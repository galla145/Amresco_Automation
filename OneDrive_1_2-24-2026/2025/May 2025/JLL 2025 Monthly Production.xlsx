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7" documentId="13_ncr:1_{9DF4D4A9-5E12-4476-AC38-E961B95ACFA8}" xr6:coauthVersionLast="47" xr6:coauthVersionMax="47" xr10:uidLastSave="{18C567CC-6E3B-4CC4-9FAB-28CDE9F94B3F}"/>
  <bookViews>
    <workbookView xWindow="1080" yWindow="1080" windowWidth="17280" windowHeight="9960" tabRatio="866" firstSheet="9" activeTab="9"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21" l="1"/>
  <c r="F27" i="21" s="1"/>
  <c r="H27" i="21"/>
  <c r="E26" i="21"/>
  <c r="F26" i="21" s="1"/>
  <c r="H26" i="21"/>
  <c r="E25" i="21"/>
  <c r="F25" i="21" s="1"/>
  <c r="H25" i="21"/>
  <c r="E24" i="21"/>
  <c r="F24" i="21" s="1"/>
  <c r="H24" i="21"/>
  <c r="E23" i="21"/>
  <c r="F23" i="21" s="1"/>
  <c r="H23" i="21"/>
  <c r="E22" i="21"/>
  <c r="F22" i="21" s="1"/>
  <c r="H22" i="21"/>
  <c r="E21" i="3"/>
  <c r="F21" i="3"/>
  <c r="H21" i="3"/>
  <c r="I21" i="3" s="1"/>
  <c r="H22" i="3"/>
  <c r="I22" i="3" s="1"/>
  <c r="H23" i="3"/>
  <c r="I23" i="3" s="1"/>
  <c r="H24" i="3"/>
  <c r="I24" i="3" s="1"/>
  <c r="H25" i="3"/>
  <c r="I25" i="3" s="1"/>
  <c r="H26" i="3"/>
  <c r="I26" i="3" s="1"/>
  <c r="H27" i="3"/>
  <c r="I27" i="3" s="1"/>
  <c r="H28" i="3"/>
  <c r="I28" i="3" s="1"/>
  <c r="E22" i="3"/>
  <c r="F22" i="3" s="1"/>
  <c r="E23" i="3"/>
  <c r="F23" i="3" s="1"/>
  <c r="E24" i="3"/>
  <c r="F24" i="3" s="1"/>
  <c r="E25" i="3"/>
  <c r="F25" i="3" s="1"/>
  <c r="E26" i="3"/>
  <c r="F26" i="3" s="1"/>
  <c r="E27" i="3"/>
  <c r="F27" i="3" s="1"/>
  <c r="E28" i="3"/>
  <c r="F28" i="3" s="1"/>
  <c r="H6" i="32"/>
  <c r="E6" i="32"/>
  <c r="F6" i="32" s="1"/>
  <c r="H5" i="32"/>
  <c r="E5" i="32"/>
  <c r="H4" i="32"/>
  <c r="E4" i="32"/>
  <c r="J2" i="32"/>
  <c r="H28" i="32"/>
  <c r="E28" i="32"/>
  <c r="H27" i="32"/>
  <c r="E27" i="32"/>
  <c r="F27" i="32" s="1"/>
  <c r="H26" i="32"/>
  <c r="E26" i="32"/>
  <c r="H25" i="32"/>
  <c r="E25" i="32"/>
  <c r="F25" i="32" s="1"/>
  <c r="H24" i="32"/>
  <c r="E24" i="32"/>
  <c r="H23" i="32"/>
  <c r="E23" i="32"/>
  <c r="H22" i="32"/>
  <c r="I22" i="32" s="1"/>
  <c r="E22" i="32"/>
  <c r="F22" i="32" s="1"/>
  <c r="H21" i="32"/>
  <c r="I21" i="32" s="1"/>
  <c r="E21" i="32"/>
  <c r="F21" i="32" s="1"/>
  <c r="H20" i="32"/>
  <c r="I20" i="32" s="1"/>
  <c r="E20" i="32"/>
  <c r="H19" i="32"/>
  <c r="E19" i="32"/>
  <c r="H18" i="32"/>
  <c r="I18" i="32" s="1"/>
  <c r="E18" i="32"/>
  <c r="F18" i="32" s="1"/>
  <c r="H17" i="32"/>
  <c r="I17" i="32" s="1"/>
  <c r="E17" i="32"/>
  <c r="F17" i="32" s="1"/>
  <c r="H16" i="32"/>
  <c r="I16" i="32" s="1"/>
  <c r="E16" i="32"/>
  <c r="F16" i="32" s="1"/>
  <c r="H15" i="32"/>
  <c r="H15" i="30" s="1"/>
  <c r="E15" i="32"/>
  <c r="F15" i="32" s="1"/>
  <c r="H14" i="32"/>
  <c r="H14" i="30" s="1"/>
  <c r="E14" i="32"/>
  <c r="H13" i="32"/>
  <c r="E13" i="32"/>
  <c r="F13" i="32" s="1"/>
  <c r="H12" i="32"/>
  <c r="I12" i="32" s="1"/>
  <c r="E12" i="32"/>
  <c r="F12" i="32" s="1"/>
  <c r="H11" i="32"/>
  <c r="E11" i="32"/>
  <c r="H10" i="32"/>
  <c r="E10" i="32"/>
  <c r="F10" i="32" s="1"/>
  <c r="H9" i="32"/>
  <c r="I9" i="32" s="1"/>
  <c r="E9" i="32"/>
  <c r="F9" i="32" s="1"/>
  <c r="H8" i="32"/>
  <c r="I8" i="32" s="1"/>
  <c r="E8" i="32"/>
  <c r="H7" i="32"/>
  <c r="E7" i="32"/>
  <c r="H7" i="33"/>
  <c r="E7" i="33"/>
  <c r="H6" i="33"/>
  <c r="E6" i="33"/>
  <c r="H5" i="33"/>
  <c r="I5" i="33" s="1"/>
  <c r="E5" i="33"/>
  <c r="F5" i="33" s="1"/>
  <c r="H4" i="33"/>
  <c r="I4" i="33" s="1"/>
  <c r="E4" i="33"/>
  <c r="F4" i="33" s="1"/>
  <c r="J2" i="33"/>
  <c r="H28" i="33"/>
  <c r="E28" i="33"/>
  <c r="H27" i="33"/>
  <c r="I27" i="33" s="1"/>
  <c r="E27" i="33"/>
  <c r="H26" i="33"/>
  <c r="I26" i="33" s="1"/>
  <c r="E26" i="33"/>
  <c r="F26" i="33" s="1"/>
  <c r="H25" i="33"/>
  <c r="I25" i="33" s="1"/>
  <c r="E25" i="33"/>
  <c r="H24" i="33"/>
  <c r="I24" i="33" s="1"/>
  <c r="E24" i="33"/>
  <c r="H23" i="33"/>
  <c r="I23" i="33" s="1"/>
  <c r="E23" i="33"/>
  <c r="F23" i="33" s="1"/>
  <c r="H22" i="33"/>
  <c r="I22" i="33" s="1"/>
  <c r="E22" i="33"/>
  <c r="F22" i="33" s="1"/>
  <c r="H21" i="33"/>
  <c r="E21" i="33"/>
  <c r="H20" i="33"/>
  <c r="I20" i="33" s="1"/>
  <c r="E20" i="33"/>
  <c r="F20" i="33" s="1"/>
  <c r="H19" i="33"/>
  <c r="I19" i="33" s="1"/>
  <c r="E19" i="33"/>
  <c r="H18" i="33"/>
  <c r="E18" i="33"/>
  <c r="F18" i="33" s="1"/>
  <c r="H17" i="33"/>
  <c r="I17" i="33" s="1"/>
  <c r="E17" i="33"/>
  <c r="F17" i="33" s="1"/>
  <c r="H16" i="33"/>
  <c r="E16" i="33"/>
  <c r="F16" i="33" s="1"/>
  <c r="H15" i="33"/>
  <c r="E15" i="33"/>
  <c r="F15" i="33" s="1"/>
  <c r="H14" i="33"/>
  <c r="I14" i="33" s="1"/>
  <c r="E14" i="33"/>
  <c r="H13" i="33"/>
  <c r="I13" i="33" s="1"/>
  <c r="E13" i="33"/>
  <c r="F13" i="33" s="1"/>
  <c r="H12" i="33"/>
  <c r="I12" i="33" s="1"/>
  <c r="E12" i="33"/>
  <c r="F12" i="33" s="1"/>
  <c r="H11" i="33"/>
  <c r="I11" i="33" s="1"/>
  <c r="E11" i="33"/>
  <c r="F11" i="33" s="1"/>
  <c r="H10" i="33"/>
  <c r="I10" i="33" s="1"/>
  <c r="E10" i="33"/>
  <c r="F10" i="33" s="1"/>
  <c r="H9" i="33"/>
  <c r="I9" i="33" s="1"/>
  <c r="E9" i="33"/>
  <c r="H8" i="33"/>
  <c r="E8" i="33"/>
  <c r="F14" i="33"/>
  <c r="I15" i="33"/>
  <c r="I18" i="33"/>
  <c r="F19" i="33"/>
  <c r="I21" i="33"/>
  <c r="F27" i="33"/>
  <c r="F28" i="33"/>
  <c r="F6" i="33"/>
  <c r="F7" i="32"/>
  <c r="H7" i="30"/>
  <c r="F8" i="32"/>
  <c r="H11" i="30"/>
  <c r="I13" i="32"/>
  <c r="F20" i="32"/>
  <c r="F23" i="32"/>
  <c r="F24" i="32"/>
  <c r="F28" i="32"/>
  <c r="F4" i="32"/>
  <c r="F5" i="32"/>
  <c r="I22" i="27"/>
  <c r="I23" i="27"/>
  <c r="I24" i="27"/>
  <c r="I21" i="28"/>
  <c r="I23" i="28"/>
  <c r="I24" i="28"/>
  <c r="I25" i="28"/>
  <c r="I26" i="28"/>
  <c r="I27" i="28"/>
  <c r="I28" i="28"/>
  <c r="I28" i="33"/>
  <c r="F24" i="33"/>
  <c r="F25" i="33"/>
  <c r="F23" i="31"/>
  <c r="F25" i="31"/>
  <c r="F28" i="31"/>
  <c r="F23" i="28"/>
  <c r="F26" i="27"/>
  <c r="F28" i="27"/>
  <c r="F22" i="26"/>
  <c r="F23" i="26"/>
  <c r="F25" i="26"/>
  <c r="F26" i="26"/>
  <c r="F28" i="26"/>
  <c r="F27" i="19"/>
  <c r="C22" i="30"/>
  <c r="D22" i="30"/>
  <c r="E22" i="30"/>
  <c r="F22" i="30"/>
  <c r="G22" i="30"/>
  <c r="C23" i="30"/>
  <c r="D23" i="30"/>
  <c r="E23" i="30"/>
  <c r="F23" i="30" s="1"/>
  <c r="G23" i="30"/>
  <c r="C24" i="30"/>
  <c r="D24" i="30"/>
  <c r="E24" i="30"/>
  <c r="F24" i="30" s="1"/>
  <c r="G24" i="30"/>
  <c r="C25" i="30"/>
  <c r="D25" i="30"/>
  <c r="E25" i="30"/>
  <c r="F25" i="30"/>
  <c r="G25" i="30"/>
  <c r="C26" i="30"/>
  <c r="D26" i="30"/>
  <c r="E26" i="30" s="1"/>
  <c r="F26" i="30" s="1"/>
  <c r="G26" i="30"/>
  <c r="C27" i="30"/>
  <c r="D27" i="30"/>
  <c r="E27" i="30"/>
  <c r="F27" i="30"/>
  <c r="G27" i="30"/>
  <c r="C28" i="30"/>
  <c r="D28" i="30"/>
  <c r="G28" i="30"/>
  <c r="C22" i="29"/>
  <c r="D22" i="29"/>
  <c r="E22" i="29" s="1"/>
  <c r="F22" i="29" s="1"/>
  <c r="G22" i="29"/>
  <c r="H22" i="29"/>
  <c r="I22" i="29"/>
  <c r="C23" i="29"/>
  <c r="E23" i="29" s="1"/>
  <c r="F23" i="29" s="1"/>
  <c r="D23" i="29"/>
  <c r="G23" i="29"/>
  <c r="C24" i="29"/>
  <c r="D24" i="29"/>
  <c r="E24" i="29"/>
  <c r="F24" i="29"/>
  <c r="G24" i="29"/>
  <c r="H24" i="29"/>
  <c r="I24" i="29"/>
  <c r="C25" i="29"/>
  <c r="D25" i="29"/>
  <c r="E25" i="29" s="1"/>
  <c r="F25" i="29" s="1"/>
  <c r="G25" i="29"/>
  <c r="C26" i="29"/>
  <c r="D26" i="29"/>
  <c r="E26" i="29"/>
  <c r="F26" i="29"/>
  <c r="G26" i="29"/>
  <c r="C27" i="29"/>
  <c r="D27" i="29"/>
  <c r="E27" i="29"/>
  <c r="F27" i="29" s="1"/>
  <c r="G27" i="29"/>
  <c r="C28" i="29"/>
  <c r="D28" i="29"/>
  <c r="E28" i="29"/>
  <c r="F28" i="29" s="1"/>
  <c r="G28" i="29"/>
  <c r="C22" i="18"/>
  <c r="D22" i="18"/>
  <c r="G22" i="18"/>
  <c r="C23" i="18"/>
  <c r="D23" i="18"/>
  <c r="G23" i="18"/>
  <c r="C24" i="18"/>
  <c r="D24" i="18"/>
  <c r="G24" i="18"/>
  <c r="C25" i="18"/>
  <c r="D25" i="18"/>
  <c r="G25" i="18"/>
  <c r="C26" i="18"/>
  <c r="D26" i="18"/>
  <c r="G26" i="18"/>
  <c r="C27" i="18"/>
  <c r="D27" i="18"/>
  <c r="G27" i="18"/>
  <c r="C28" i="18"/>
  <c r="D28" i="18"/>
  <c r="G28" i="18"/>
  <c r="C22" i="1"/>
  <c r="D22" i="1"/>
  <c r="E22" i="1"/>
  <c r="F22" i="1"/>
  <c r="G22" i="1"/>
  <c r="C23" i="1"/>
  <c r="D23" i="1"/>
  <c r="E23" i="1"/>
  <c r="F23" i="1"/>
  <c r="G23" i="1"/>
  <c r="C24" i="1"/>
  <c r="D24" i="1"/>
  <c r="E24" i="1"/>
  <c r="F24" i="1"/>
  <c r="G24" i="1"/>
  <c r="C25" i="1"/>
  <c r="D25" i="1"/>
  <c r="E25" i="1"/>
  <c r="F25" i="1"/>
  <c r="G25" i="1"/>
  <c r="C26" i="1"/>
  <c r="D26" i="1"/>
  <c r="E26" i="1"/>
  <c r="F26" i="1"/>
  <c r="G26" i="1"/>
  <c r="C27" i="1"/>
  <c r="D27" i="1"/>
  <c r="E27" i="1"/>
  <c r="F27" i="1"/>
  <c r="G27" i="1"/>
  <c r="C28" i="1"/>
  <c r="D28" i="1"/>
  <c r="E28" i="1"/>
  <c r="F28" i="1"/>
  <c r="G28" i="1"/>
  <c r="F26" i="32"/>
  <c r="E23" i="31"/>
  <c r="E24" i="31"/>
  <c r="F24" i="31" s="1"/>
  <c r="E25" i="31"/>
  <c r="E26" i="31"/>
  <c r="F26" i="31" s="1"/>
  <c r="E27" i="31"/>
  <c r="F27" i="31" s="1"/>
  <c r="E28" i="31"/>
  <c r="H24" i="31"/>
  <c r="I24" i="31" s="1"/>
  <c r="H25" i="31"/>
  <c r="I25" i="31" s="1"/>
  <c r="H26" i="31"/>
  <c r="I26" i="31" s="1"/>
  <c r="H27" i="31"/>
  <c r="I27" i="31" s="1"/>
  <c r="H28" i="31"/>
  <c r="I28" i="31" s="1"/>
  <c r="H23" i="31"/>
  <c r="I23" i="31" s="1"/>
  <c r="H22" i="31"/>
  <c r="E22" i="31"/>
  <c r="F22" i="31" s="1"/>
  <c r="H24" i="28"/>
  <c r="H25" i="28"/>
  <c r="H26" i="28"/>
  <c r="H27" i="28"/>
  <c r="H28" i="28"/>
  <c r="E24" i="28"/>
  <c r="F24" i="28" s="1"/>
  <c r="E25" i="28"/>
  <c r="F25" i="28" s="1"/>
  <c r="E26" i="28"/>
  <c r="F26" i="28" s="1"/>
  <c r="E27" i="28"/>
  <c r="F27" i="28" s="1"/>
  <c r="E28" i="28"/>
  <c r="F28" i="28" s="1"/>
  <c r="H23" i="28"/>
  <c r="E23" i="28"/>
  <c r="H22" i="28"/>
  <c r="I22" i="28" s="1"/>
  <c r="E22" i="28"/>
  <c r="F22" i="28" s="1"/>
  <c r="H22" i="27"/>
  <c r="H23" i="27"/>
  <c r="H24" i="27"/>
  <c r="H25" i="27"/>
  <c r="I25" i="27" s="1"/>
  <c r="H26" i="27"/>
  <c r="I26" i="27" s="1"/>
  <c r="H27" i="27"/>
  <c r="I27" i="27" s="1"/>
  <c r="H28" i="27"/>
  <c r="I28" i="27" s="1"/>
  <c r="E24" i="27"/>
  <c r="F24" i="27" s="1"/>
  <c r="E25" i="27"/>
  <c r="F25" i="27" s="1"/>
  <c r="E26" i="27"/>
  <c r="E27" i="27"/>
  <c r="F27" i="27" s="1"/>
  <c r="E28" i="27"/>
  <c r="E23" i="27"/>
  <c r="F23" i="27" s="1"/>
  <c r="E22" i="27"/>
  <c r="F22" i="27" s="1"/>
  <c r="H24" i="26"/>
  <c r="I24" i="26" s="1"/>
  <c r="H25" i="26"/>
  <c r="I25" i="26" s="1"/>
  <c r="H26" i="26"/>
  <c r="H26" i="29" s="1"/>
  <c r="I26" i="29" s="1"/>
  <c r="H27" i="26"/>
  <c r="I27" i="26" s="1"/>
  <c r="H28" i="26"/>
  <c r="I28" i="26" s="1"/>
  <c r="E24" i="26"/>
  <c r="F24" i="26" s="1"/>
  <c r="E25" i="26"/>
  <c r="E26" i="26"/>
  <c r="E27" i="26"/>
  <c r="F27" i="26" s="1"/>
  <c r="E28" i="26"/>
  <c r="E22" i="26"/>
  <c r="H23" i="26"/>
  <c r="I23" i="26" s="1"/>
  <c r="H22" i="26"/>
  <c r="I22" i="26" s="1"/>
  <c r="E23" i="26"/>
  <c r="H24" i="19"/>
  <c r="I24" i="19" s="1"/>
  <c r="H25" i="19"/>
  <c r="H26" i="19"/>
  <c r="H27" i="19"/>
  <c r="H28" i="19"/>
  <c r="E23" i="19"/>
  <c r="E24" i="19"/>
  <c r="F24" i="19" s="1"/>
  <c r="E25" i="19"/>
  <c r="F25" i="19" s="1"/>
  <c r="E26" i="19"/>
  <c r="F26" i="19" s="1"/>
  <c r="E27" i="19"/>
  <c r="E28" i="19"/>
  <c r="F28" i="19" s="1"/>
  <c r="H23" i="19"/>
  <c r="F23" i="19"/>
  <c r="H22" i="19"/>
  <c r="I22" i="19" s="1"/>
  <c r="E22" i="19"/>
  <c r="F22" i="19"/>
  <c r="H25" i="20"/>
  <c r="H26" i="20"/>
  <c r="I26" i="20" s="1"/>
  <c r="H27" i="20"/>
  <c r="H28" i="20"/>
  <c r="I28" i="20" s="1"/>
  <c r="E24" i="20"/>
  <c r="F24" i="20" s="1"/>
  <c r="E25" i="20"/>
  <c r="F25" i="20" s="1"/>
  <c r="E26" i="20"/>
  <c r="F26" i="20" s="1"/>
  <c r="E27" i="20"/>
  <c r="F27" i="20" s="1"/>
  <c r="E28" i="20"/>
  <c r="F28" i="20" s="1"/>
  <c r="H24" i="20"/>
  <c r="I24" i="20" s="1"/>
  <c r="H23" i="20"/>
  <c r="E23" i="20"/>
  <c r="F23" i="20" s="1"/>
  <c r="H22" i="20"/>
  <c r="E22" i="20"/>
  <c r="F22" i="20" s="1"/>
  <c r="I28" i="19"/>
  <c r="I22" i="20"/>
  <c r="I23" i="20"/>
  <c r="I25" i="20"/>
  <c r="I27" i="20"/>
  <c r="C30" i="21"/>
  <c r="C2" i="21"/>
  <c r="J2" i="21" s="1"/>
  <c r="I22" i="21"/>
  <c r="I23" i="21"/>
  <c r="I24" i="21"/>
  <c r="I25" i="21"/>
  <c r="I26" i="21"/>
  <c r="I27" i="21"/>
  <c r="I28" i="21"/>
  <c r="E22" i="4"/>
  <c r="F22" i="4" s="1"/>
  <c r="H22" i="4"/>
  <c r="I22" i="4"/>
  <c r="E23" i="4"/>
  <c r="F23" i="4"/>
  <c r="H23" i="4"/>
  <c r="I23" i="4"/>
  <c r="E24" i="4"/>
  <c r="F24" i="4"/>
  <c r="H24" i="4"/>
  <c r="I24" i="4"/>
  <c r="E25" i="4"/>
  <c r="F25" i="4" s="1"/>
  <c r="H25" i="4"/>
  <c r="I25" i="4"/>
  <c r="E26" i="4"/>
  <c r="F26" i="4"/>
  <c r="H26" i="4"/>
  <c r="I26" i="4"/>
  <c r="E27" i="4"/>
  <c r="F27" i="4"/>
  <c r="H27" i="4"/>
  <c r="I27" i="4"/>
  <c r="E28" i="4"/>
  <c r="F28" i="4" s="1"/>
  <c r="H28" i="4"/>
  <c r="I28" i="4"/>
  <c r="F21" i="33"/>
  <c r="I16" i="33"/>
  <c r="F9" i="33"/>
  <c r="I8" i="33"/>
  <c r="F8" i="33"/>
  <c r="I7" i="33"/>
  <c r="F7" i="33"/>
  <c r="I6" i="33"/>
  <c r="B4" i="33" a="1"/>
  <c r="B4" i="33" s="1"/>
  <c r="A4" i="33" a="1"/>
  <c r="A4" i="33" s="1"/>
  <c r="G2" i="33"/>
  <c r="D2" i="33"/>
  <c r="C2" i="33"/>
  <c r="A1" i="33" a="1"/>
  <c r="A1" i="33" s="1"/>
  <c r="F19" i="32"/>
  <c r="F14" i="32"/>
  <c r="F11" i="32"/>
  <c r="I10" i="32"/>
  <c r="B4" i="32" a="1"/>
  <c r="B4" i="32" s="1"/>
  <c r="A4" i="32" a="1"/>
  <c r="A4" i="32" s="1"/>
  <c r="G2" i="32"/>
  <c r="D2" i="32"/>
  <c r="C2" i="32"/>
  <c r="A1" i="32" a="1"/>
  <c r="A1" i="32" s="1"/>
  <c r="H21" i="31"/>
  <c r="I21" i="31" s="1"/>
  <c r="E21" i="31"/>
  <c r="F21" i="31" s="1"/>
  <c r="I20" i="31"/>
  <c r="H20" i="31"/>
  <c r="E20" i="31"/>
  <c r="F20" i="31" s="1"/>
  <c r="H19" i="31"/>
  <c r="I19" i="31" s="1"/>
  <c r="E19" i="31"/>
  <c r="F19" i="31" s="1"/>
  <c r="H18" i="31"/>
  <c r="I18" i="31" s="1"/>
  <c r="E18" i="31"/>
  <c r="F18" i="31" s="1"/>
  <c r="I17" i="31"/>
  <c r="H17" i="31"/>
  <c r="E17" i="31"/>
  <c r="F17" i="31" s="1"/>
  <c r="H16" i="31"/>
  <c r="I16" i="31" s="1"/>
  <c r="E16" i="31"/>
  <c r="F16" i="31" s="1"/>
  <c r="H15" i="31"/>
  <c r="I15" i="31" s="1"/>
  <c r="E15" i="31"/>
  <c r="F15" i="31" s="1"/>
  <c r="I14" i="31"/>
  <c r="H14" i="31"/>
  <c r="E14" i="31"/>
  <c r="F14" i="31" s="1"/>
  <c r="H13" i="31"/>
  <c r="I13" i="31" s="1"/>
  <c r="E13" i="31"/>
  <c r="F13" i="31" s="1"/>
  <c r="H12" i="31"/>
  <c r="I12" i="31" s="1"/>
  <c r="E12" i="31"/>
  <c r="F12" i="31" s="1"/>
  <c r="I11" i="31"/>
  <c r="H11" i="31"/>
  <c r="E11" i="31"/>
  <c r="F11" i="31" s="1"/>
  <c r="H10" i="31"/>
  <c r="H10" i="30" s="1"/>
  <c r="E10" i="31"/>
  <c r="F10" i="31" s="1"/>
  <c r="H9" i="31"/>
  <c r="I9" i="31" s="1"/>
  <c r="E9" i="31"/>
  <c r="F9" i="31" s="1"/>
  <c r="I8" i="31"/>
  <c r="H8" i="31"/>
  <c r="E8" i="31"/>
  <c r="F8" i="31" s="1"/>
  <c r="H7" i="31"/>
  <c r="I7" i="31" s="1"/>
  <c r="E7" i="31"/>
  <c r="F7" i="31" s="1"/>
  <c r="H6" i="31"/>
  <c r="H6" i="30" s="1"/>
  <c r="E6" i="31"/>
  <c r="F6" i="31" s="1"/>
  <c r="I5" i="31"/>
  <c r="H5" i="31"/>
  <c r="E5" i="31"/>
  <c r="F5" i="31" s="1"/>
  <c r="H4" i="31"/>
  <c r="I4" i="31" s="1"/>
  <c r="E4" i="31"/>
  <c r="F4" i="31" s="1"/>
  <c r="B4" i="31" a="1"/>
  <c r="B4" i="31" s="1"/>
  <c r="A4" i="31" a="1"/>
  <c r="A4" i="31" s="1"/>
  <c r="G2" i="31"/>
  <c r="D2" i="31"/>
  <c r="C2" i="31"/>
  <c r="J2" i="31" s="1"/>
  <c r="A1" i="31" a="1"/>
  <c r="A1" i="31" s="1"/>
  <c r="H21" i="28"/>
  <c r="E21" i="28"/>
  <c r="F21" i="28" s="1"/>
  <c r="H20" i="28"/>
  <c r="I20" i="28" s="1"/>
  <c r="E20" i="28"/>
  <c r="F20" i="28" s="1"/>
  <c r="H19" i="28"/>
  <c r="I19" i="28" s="1"/>
  <c r="F19" i="28"/>
  <c r="E19" i="28"/>
  <c r="H18" i="28"/>
  <c r="I18" i="28" s="1"/>
  <c r="E18" i="28"/>
  <c r="F18" i="28" s="1"/>
  <c r="H17" i="28"/>
  <c r="I17" i="28" s="1"/>
  <c r="E17" i="28"/>
  <c r="F17" i="28" s="1"/>
  <c r="H16" i="28"/>
  <c r="I16" i="28" s="1"/>
  <c r="F16" i="28"/>
  <c r="E16" i="28"/>
  <c r="H15" i="28"/>
  <c r="I15" i="28" s="1"/>
  <c r="E15" i="28"/>
  <c r="F15" i="28" s="1"/>
  <c r="H14" i="28"/>
  <c r="I14" i="28" s="1"/>
  <c r="E14" i="28"/>
  <c r="F14" i="28" s="1"/>
  <c r="H13" i="28"/>
  <c r="I13" i="28" s="1"/>
  <c r="F13" i="28"/>
  <c r="E13" i="28"/>
  <c r="H12" i="28"/>
  <c r="I12" i="28" s="1"/>
  <c r="E12" i="28"/>
  <c r="F12" i="28" s="1"/>
  <c r="H11" i="28"/>
  <c r="I11" i="28" s="1"/>
  <c r="E11" i="28"/>
  <c r="F11" i="28" s="1"/>
  <c r="H10" i="28"/>
  <c r="I10" i="28" s="1"/>
  <c r="F10" i="28"/>
  <c r="E10" i="28"/>
  <c r="H9" i="28"/>
  <c r="I9" i="28" s="1"/>
  <c r="E9" i="28"/>
  <c r="F9" i="28" s="1"/>
  <c r="H8" i="28"/>
  <c r="I8" i="28" s="1"/>
  <c r="E8" i="28"/>
  <c r="F8" i="28" s="1"/>
  <c r="H7" i="28"/>
  <c r="I7" i="28" s="1"/>
  <c r="F7" i="28"/>
  <c r="E7" i="28"/>
  <c r="H6" i="28"/>
  <c r="I6" i="28" s="1"/>
  <c r="E6" i="28"/>
  <c r="F6" i="28" s="1"/>
  <c r="H5" i="28"/>
  <c r="I5" i="28" s="1"/>
  <c r="E5" i="28"/>
  <c r="F5" i="28" s="1"/>
  <c r="H4" i="28"/>
  <c r="I4" i="28" s="1"/>
  <c r="F4" i="28"/>
  <c r="E4" i="28"/>
  <c r="B4" i="28" a="1"/>
  <c r="B4" i="28" s="1"/>
  <c r="A4" i="28" a="1"/>
  <c r="A4" i="28" s="1"/>
  <c r="G2" i="28"/>
  <c r="D2" i="28"/>
  <c r="C2" i="28"/>
  <c r="J2" i="28" s="1"/>
  <c r="A1" i="28" a="1"/>
  <c r="A1" i="28" s="1"/>
  <c r="H21" i="27"/>
  <c r="I21" i="27" s="1"/>
  <c r="E21" i="27"/>
  <c r="F21" i="27" s="1"/>
  <c r="H20" i="27"/>
  <c r="I20" i="27" s="1"/>
  <c r="F20" i="27"/>
  <c r="E20" i="27"/>
  <c r="I19" i="27"/>
  <c r="H19" i="27"/>
  <c r="E19" i="27"/>
  <c r="F19" i="27" s="1"/>
  <c r="H18" i="27"/>
  <c r="I18" i="27" s="1"/>
  <c r="E18" i="27"/>
  <c r="F18" i="27" s="1"/>
  <c r="H17" i="27"/>
  <c r="I17" i="27" s="1"/>
  <c r="F17" i="27"/>
  <c r="E17" i="27"/>
  <c r="I16" i="27"/>
  <c r="H16" i="27"/>
  <c r="E16" i="27"/>
  <c r="F16" i="27" s="1"/>
  <c r="H15" i="27"/>
  <c r="H15" i="29" s="1"/>
  <c r="I15" i="29" s="1"/>
  <c r="E15" i="27"/>
  <c r="F15" i="27" s="1"/>
  <c r="H14" i="27"/>
  <c r="I14" i="27" s="1"/>
  <c r="F14" i="27"/>
  <c r="E14" i="27"/>
  <c r="I13" i="27"/>
  <c r="H13" i="27"/>
  <c r="E13" i="27"/>
  <c r="F13" i="27" s="1"/>
  <c r="H12" i="27"/>
  <c r="I12" i="27" s="1"/>
  <c r="E12" i="27"/>
  <c r="F12" i="27" s="1"/>
  <c r="H11" i="27"/>
  <c r="I11" i="27" s="1"/>
  <c r="F11" i="27"/>
  <c r="E11" i="27"/>
  <c r="I10" i="27"/>
  <c r="H10" i="27"/>
  <c r="E10" i="27"/>
  <c r="F10" i="27" s="1"/>
  <c r="H9" i="27"/>
  <c r="I9" i="27" s="1"/>
  <c r="E9" i="27"/>
  <c r="F9" i="27" s="1"/>
  <c r="H8" i="27"/>
  <c r="I8" i="27" s="1"/>
  <c r="F8" i="27"/>
  <c r="E8" i="27"/>
  <c r="I7" i="27"/>
  <c r="H7" i="27"/>
  <c r="E7" i="27"/>
  <c r="F7" i="27" s="1"/>
  <c r="H6" i="27"/>
  <c r="I6" i="27" s="1"/>
  <c r="E6" i="27"/>
  <c r="F6" i="27" s="1"/>
  <c r="H5" i="27"/>
  <c r="I5" i="27" s="1"/>
  <c r="F5" i="27"/>
  <c r="E5" i="27"/>
  <c r="I4" i="27"/>
  <c r="H4" i="27"/>
  <c r="E4" i="27"/>
  <c r="F4" i="27" s="1"/>
  <c r="B4" i="27" a="1"/>
  <c r="B4" i="27" s="1"/>
  <c r="A4" i="27" a="1"/>
  <c r="A4" i="27" s="1"/>
  <c r="G2" i="27"/>
  <c r="D2" i="27"/>
  <c r="C2" i="27"/>
  <c r="A1" i="27" a="1"/>
  <c r="A1" i="27" s="1"/>
  <c r="H21" i="26"/>
  <c r="I21" i="26" s="1"/>
  <c r="E21" i="26"/>
  <c r="F21" i="26" s="1"/>
  <c r="H20" i="26"/>
  <c r="I20" i="26" s="1"/>
  <c r="E20" i="26"/>
  <c r="F20" i="26" s="1"/>
  <c r="H19" i="26"/>
  <c r="I19" i="26" s="1"/>
  <c r="E19" i="26"/>
  <c r="F19" i="26" s="1"/>
  <c r="I18" i="26"/>
  <c r="H18" i="26"/>
  <c r="F18" i="26"/>
  <c r="E18" i="26"/>
  <c r="H17" i="26"/>
  <c r="H17" i="29" s="1"/>
  <c r="I17" i="29" s="1"/>
  <c r="E17" i="26"/>
  <c r="F17" i="26" s="1"/>
  <c r="H16" i="26"/>
  <c r="I16" i="26" s="1"/>
  <c r="E16" i="26"/>
  <c r="F16" i="26" s="1"/>
  <c r="I15" i="26"/>
  <c r="H15" i="26"/>
  <c r="F15" i="26"/>
  <c r="E15" i="26"/>
  <c r="H14" i="26"/>
  <c r="I14" i="26" s="1"/>
  <c r="E14" i="26"/>
  <c r="F14" i="26" s="1"/>
  <c r="H13" i="26"/>
  <c r="H13" i="29" s="1"/>
  <c r="I13" i="29" s="1"/>
  <c r="E13" i="26"/>
  <c r="F13" i="26" s="1"/>
  <c r="I12" i="26"/>
  <c r="H12" i="26"/>
  <c r="F12" i="26"/>
  <c r="E12" i="26"/>
  <c r="H11" i="26"/>
  <c r="I11" i="26" s="1"/>
  <c r="E11" i="26"/>
  <c r="F11" i="26" s="1"/>
  <c r="H10" i="26"/>
  <c r="I10" i="26" s="1"/>
  <c r="E10" i="26"/>
  <c r="F10" i="26" s="1"/>
  <c r="I9" i="26"/>
  <c r="H9" i="26"/>
  <c r="F9" i="26"/>
  <c r="E9" i="26"/>
  <c r="H8" i="26"/>
  <c r="I8" i="26" s="1"/>
  <c r="E8" i="26"/>
  <c r="F8" i="26" s="1"/>
  <c r="H7" i="26"/>
  <c r="I7" i="26" s="1"/>
  <c r="E7" i="26"/>
  <c r="F7" i="26" s="1"/>
  <c r="I6" i="26"/>
  <c r="H6" i="26"/>
  <c r="F6" i="26"/>
  <c r="E6" i="26"/>
  <c r="H5" i="26"/>
  <c r="H5" i="29" s="1"/>
  <c r="I5" i="29" s="1"/>
  <c r="E5" i="26"/>
  <c r="F5" i="26" s="1"/>
  <c r="H4" i="26"/>
  <c r="I4" i="26" s="1"/>
  <c r="E4" i="26"/>
  <c r="F4" i="26" s="1"/>
  <c r="B4" i="26" a="1"/>
  <c r="B4" i="26" s="1"/>
  <c r="A4" i="26" a="1"/>
  <c r="A4" i="26" s="1"/>
  <c r="G2" i="26"/>
  <c r="D2" i="26"/>
  <c r="C2" i="26"/>
  <c r="A1" i="26" a="1"/>
  <c r="A1" i="26" s="1"/>
  <c r="H21" i="19"/>
  <c r="F21" i="19"/>
  <c r="E21" i="19"/>
  <c r="H20" i="19"/>
  <c r="I20" i="19" s="1"/>
  <c r="E20" i="19"/>
  <c r="F20" i="19" s="1"/>
  <c r="H19" i="19"/>
  <c r="I19" i="19" s="1"/>
  <c r="E19" i="19"/>
  <c r="F19" i="19" s="1"/>
  <c r="H18" i="19"/>
  <c r="F18" i="19"/>
  <c r="E18" i="19"/>
  <c r="H17" i="19"/>
  <c r="I17" i="19" s="1"/>
  <c r="E17" i="19"/>
  <c r="F17" i="19" s="1"/>
  <c r="H16" i="19"/>
  <c r="I16" i="19" s="1"/>
  <c r="E16" i="19"/>
  <c r="F16" i="19" s="1"/>
  <c r="H15" i="19"/>
  <c r="I15" i="19" s="1"/>
  <c r="F15" i="19"/>
  <c r="E15" i="19"/>
  <c r="H14" i="19"/>
  <c r="I14" i="19" s="1"/>
  <c r="E14" i="19"/>
  <c r="F14" i="19" s="1"/>
  <c r="H13" i="19"/>
  <c r="I13" i="19" s="1"/>
  <c r="E13" i="19"/>
  <c r="F13" i="19" s="1"/>
  <c r="H12" i="19"/>
  <c r="F12" i="19"/>
  <c r="E12" i="19"/>
  <c r="H11" i="19"/>
  <c r="I11" i="19" s="1"/>
  <c r="E11" i="19"/>
  <c r="F11" i="19" s="1"/>
  <c r="H10" i="19"/>
  <c r="E10" i="19"/>
  <c r="F10" i="19" s="1"/>
  <c r="H9" i="19"/>
  <c r="I9" i="19" s="1"/>
  <c r="F9" i="19"/>
  <c r="E9" i="19"/>
  <c r="H8" i="19"/>
  <c r="I8" i="19" s="1"/>
  <c r="E8" i="19"/>
  <c r="F8" i="19" s="1"/>
  <c r="H7" i="19"/>
  <c r="I7" i="19" s="1"/>
  <c r="E7" i="19"/>
  <c r="F7" i="19" s="1"/>
  <c r="H6" i="19"/>
  <c r="I6" i="19" s="1"/>
  <c r="F6" i="19"/>
  <c r="E6" i="19"/>
  <c r="H5" i="19"/>
  <c r="I5" i="19" s="1"/>
  <c r="E5" i="19"/>
  <c r="F5" i="19" s="1"/>
  <c r="H4" i="19"/>
  <c r="I4" i="19" s="1"/>
  <c r="E4" i="19"/>
  <c r="F4" i="19" s="1"/>
  <c r="B4" i="19" a="1"/>
  <c r="B4" i="19" s="1"/>
  <c r="A4" i="19" a="1"/>
  <c r="A4" i="19" s="1"/>
  <c r="G2" i="19"/>
  <c r="D2" i="19"/>
  <c r="C2" i="19"/>
  <c r="A1" i="19" a="1"/>
  <c r="A1" i="19" s="1"/>
  <c r="H21" i="20"/>
  <c r="I21" i="20" s="1"/>
  <c r="E21" i="20"/>
  <c r="F21" i="20" s="1"/>
  <c r="H20" i="20"/>
  <c r="E20" i="20"/>
  <c r="F20" i="20" s="1"/>
  <c r="H19" i="20"/>
  <c r="I19" i="20" s="1"/>
  <c r="E19" i="20"/>
  <c r="F19" i="20" s="1"/>
  <c r="H18" i="20"/>
  <c r="I18" i="20" s="1"/>
  <c r="E18" i="20"/>
  <c r="F18" i="20" s="1"/>
  <c r="H17" i="20"/>
  <c r="I17" i="20" s="1"/>
  <c r="E17" i="20"/>
  <c r="F17" i="20" s="1"/>
  <c r="H16" i="20"/>
  <c r="E16" i="20"/>
  <c r="F16" i="20" s="1"/>
  <c r="H15" i="20"/>
  <c r="I15" i="20" s="1"/>
  <c r="E15" i="20"/>
  <c r="F15" i="20" s="1"/>
  <c r="H14" i="20"/>
  <c r="E14" i="20"/>
  <c r="F14" i="20" s="1"/>
  <c r="H13" i="20"/>
  <c r="I13" i="20" s="1"/>
  <c r="E13" i="20"/>
  <c r="F13" i="20" s="1"/>
  <c r="H12" i="20"/>
  <c r="I12" i="20" s="1"/>
  <c r="E12" i="20"/>
  <c r="F12" i="20" s="1"/>
  <c r="H11" i="20"/>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B4" i="20" a="1"/>
  <c r="B4" i="20" s="1"/>
  <c r="A4" i="20" a="1"/>
  <c r="A4" i="20" s="1"/>
  <c r="G2" i="20"/>
  <c r="D2" i="20"/>
  <c r="C2" i="20"/>
  <c r="J2" i="20" s="1"/>
  <c r="A1" i="20" a="1"/>
  <c r="A1" i="20" s="1"/>
  <c r="H21" i="21"/>
  <c r="I21" i="21" s="1"/>
  <c r="E21" i="21"/>
  <c r="F21" i="21" s="1"/>
  <c r="H20" i="21"/>
  <c r="I20" i="21" s="1"/>
  <c r="E20" i="21"/>
  <c r="F20" i="21" s="1"/>
  <c r="H19" i="21"/>
  <c r="I19" i="21" s="1"/>
  <c r="E19" i="21"/>
  <c r="F19" i="21" s="1"/>
  <c r="H18" i="21"/>
  <c r="I18" i="21" s="1"/>
  <c r="E18" i="21"/>
  <c r="F18" i="21" s="1"/>
  <c r="H17" i="21"/>
  <c r="I17" i="21" s="1"/>
  <c r="E17" i="21"/>
  <c r="F17" i="21" s="1"/>
  <c r="H16" i="21"/>
  <c r="I16" i="21" s="1"/>
  <c r="E16" i="21"/>
  <c r="F16" i="21"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E7" i="21"/>
  <c r="F7" i="21" s="1"/>
  <c r="H6" i="21"/>
  <c r="I6" i="21" s="1"/>
  <c r="E6" i="21"/>
  <c r="F6" i="21" s="1"/>
  <c r="H5" i="21"/>
  <c r="I5" i="21" s="1"/>
  <c r="E5" i="21"/>
  <c r="F5" i="21" s="1"/>
  <c r="H4" i="21"/>
  <c r="E4" i="21"/>
  <c r="F4" i="21" s="1"/>
  <c r="B4" i="21" a="1"/>
  <c r="B4" i="21" s="1"/>
  <c r="A4" i="21" a="1"/>
  <c r="A4" i="21" s="1"/>
  <c r="G2" i="21"/>
  <c r="D2" i="21"/>
  <c r="A1" i="21" a="1"/>
  <c r="A1" i="21" s="1"/>
  <c r="H21" i="4"/>
  <c r="I21" i="4" s="1"/>
  <c r="E21" i="4"/>
  <c r="F21" i="4" s="1"/>
  <c r="H20" i="4"/>
  <c r="I20" i="4" s="1"/>
  <c r="E20" i="4"/>
  <c r="F20" i="4" s="1"/>
  <c r="H19" i="4"/>
  <c r="I19" i="4" s="1"/>
  <c r="E19" i="4"/>
  <c r="F19" i="4" s="1"/>
  <c r="H18" i="4"/>
  <c r="I18" i="4" s="1"/>
  <c r="E18" i="4"/>
  <c r="F18" i="4" s="1"/>
  <c r="H17" i="4"/>
  <c r="I17" i="4" s="1"/>
  <c r="E17" i="4"/>
  <c r="F17" i="4" s="1"/>
  <c r="H16" i="4"/>
  <c r="I16" i="4" s="1"/>
  <c r="E16" i="4"/>
  <c r="F16" i="4" s="1"/>
  <c r="H15" i="4"/>
  <c r="I15" i="4" s="1"/>
  <c r="E15" i="4"/>
  <c r="F15" i="4"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B4" i="4" a="1"/>
  <c r="B4" i="4" s="1"/>
  <c r="A4" i="4" a="1"/>
  <c r="A4" i="4" s="1"/>
  <c r="G2" i="4"/>
  <c r="D2" i="4"/>
  <c r="C2" i="4"/>
  <c r="A1" i="4" a="1"/>
  <c r="A1" i="4" s="1"/>
  <c r="H20" i="3"/>
  <c r="E20" i="3"/>
  <c r="F20" i="3" s="1"/>
  <c r="H19" i="3"/>
  <c r="I19" i="3" s="1"/>
  <c r="E19" i="3"/>
  <c r="F19" i="3" s="1"/>
  <c r="H18" i="3"/>
  <c r="I18" i="3" s="1"/>
  <c r="E18" i="3"/>
  <c r="F18" i="3" s="1"/>
  <c r="H17" i="3"/>
  <c r="E17" i="3"/>
  <c r="F17" i="3" s="1"/>
  <c r="H16" i="3"/>
  <c r="E16" i="3"/>
  <c r="F16" i="3" s="1"/>
  <c r="H15" i="3"/>
  <c r="E15" i="3"/>
  <c r="F15" i="3" s="1"/>
  <c r="H14" i="3"/>
  <c r="I14" i="3" s="1"/>
  <c r="E14" i="3"/>
  <c r="F14" i="3" s="1"/>
  <c r="H13" i="3"/>
  <c r="I13" i="3" s="1"/>
  <c r="E13" i="3"/>
  <c r="F13" i="3" s="1"/>
  <c r="H12" i="3"/>
  <c r="I12" i="3" s="1"/>
  <c r="E12" i="3"/>
  <c r="F12" i="3" s="1"/>
  <c r="H11" i="3"/>
  <c r="I11" i="3" s="1"/>
  <c r="E11" i="3"/>
  <c r="F11" i="3" s="1"/>
  <c r="H10" i="3"/>
  <c r="E10" i="3"/>
  <c r="F10" i="3" s="1"/>
  <c r="H9" i="3"/>
  <c r="I9" i="3" s="1"/>
  <c r="E9" i="3"/>
  <c r="F9" i="3" s="1"/>
  <c r="H8" i="3"/>
  <c r="I8" i="3" s="1"/>
  <c r="E8" i="3"/>
  <c r="F8" i="3" s="1"/>
  <c r="H7" i="3"/>
  <c r="E7" i="3"/>
  <c r="F7" i="3" s="1"/>
  <c r="H6" i="3"/>
  <c r="I6" i="3" s="1"/>
  <c r="E6" i="3"/>
  <c r="F6" i="3" s="1"/>
  <c r="H5" i="3"/>
  <c r="E5" i="3"/>
  <c r="F5" i="3" s="1"/>
  <c r="H4" i="3"/>
  <c r="E4" i="3"/>
  <c r="F4" i="3" s="1"/>
  <c r="B4" i="3" a="1"/>
  <c r="B4" i="3" s="1"/>
  <c r="A4" i="3" a="1"/>
  <c r="A4" i="3" s="1"/>
  <c r="G2" i="3"/>
  <c r="D2" i="3"/>
  <c r="C2" i="3"/>
  <c r="H2" i="3" s="1"/>
  <c r="I2" i="3" s="1"/>
  <c r="A1" i="3" a="1"/>
  <c r="A1" i="3" s="1"/>
  <c r="H28" i="72"/>
  <c r="E28" i="72"/>
  <c r="F28" i="72" s="1"/>
  <c r="H27" i="72"/>
  <c r="E27" i="72"/>
  <c r="F27" i="72" s="1"/>
  <c r="H26" i="72"/>
  <c r="E26" i="72"/>
  <c r="F26" i="72" s="1"/>
  <c r="H25" i="72"/>
  <c r="E25" i="72"/>
  <c r="F25" i="72" s="1"/>
  <c r="H24" i="72"/>
  <c r="E24" i="72"/>
  <c r="F24" i="72" s="1"/>
  <c r="H23" i="72"/>
  <c r="E23" i="72"/>
  <c r="F23" i="72" s="1"/>
  <c r="H22" i="72"/>
  <c r="E22" i="72"/>
  <c r="F22" i="72" s="1"/>
  <c r="H21" i="72"/>
  <c r="H21" i="34" s="1"/>
  <c r="E21" i="72"/>
  <c r="F21" i="72" s="1"/>
  <c r="H20" i="72"/>
  <c r="E20" i="72"/>
  <c r="F20" i="72" s="1"/>
  <c r="H19" i="72"/>
  <c r="H19" i="34" s="1"/>
  <c r="E19" i="72"/>
  <c r="F19" i="72" s="1"/>
  <c r="H18" i="72"/>
  <c r="I18" i="72" s="1"/>
  <c r="E18" i="72"/>
  <c r="F18" i="72" s="1"/>
  <c r="H17" i="72"/>
  <c r="I17" i="72" s="1"/>
  <c r="E17" i="72"/>
  <c r="F17" i="72" s="1"/>
  <c r="H16" i="72"/>
  <c r="I16" i="72" s="1"/>
  <c r="E16" i="72"/>
  <c r="F16" i="72" s="1"/>
  <c r="H15" i="72"/>
  <c r="E15" i="72"/>
  <c r="F15" i="72" s="1"/>
  <c r="H14" i="72"/>
  <c r="I14" i="72" s="1"/>
  <c r="E14" i="72"/>
  <c r="F14" i="72" s="1"/>
  <c r="H13" i="72"/>
  <c r="H13" i="1" s="1"/>
  <c r="E13" i="72"/>
  <c r="F13" i="72" s="1"/>
  <c r="H12" i="72"/>
  <c r="H12" i="34" s="1"/>
  <c r="E12" i="72"/>
  <c r="F12" i="72" s="1"/>
  <c r="H11" i="72"/>
  <c r="E11" i="72"/>
  <c r="F11" i="72" s="1"/>
  <c r="H10" i="72"/>
  <c r="I10" i="72" s="1"/>
  <c r="E10" i="72"/>
  <c r="F10" i="72" s="1"/>
  <c r="H9" i="72"/>
  <c r="I9" i="72" s="1"/>
  <c r="E9" i="72"/>
  <c r="F9" i="72" s="1"/>
  <c r="H8" i="72"/>
  <c r="H8" i="34" s="1"/>
  <c r="E8" i="72"/>
  <c r="F8" i="72" s="1"/>
  <c r="H7" i="72"/>
  <c r="E7" i="72"/>
  <c r="F7" i="72" s="1"/>
  <c r="H6" i="72"/>
  <c r="H6" i="1" s="1"/>
  <c r="E6" i="72"/>
  <c r="F6" i="72" s="1"/>
  <c r="H5" i="72"/>
  <c r="I5" i="72" s="1"/>
  <c r="E5" i="72"/>
  <c r="F5" i="72" s="1"/>
  <c r="H4" i="72"/>
  <c r="I4" i="72" s="1"/>
  <c r="E4" i="72"/>
  <c r="F4" i="72" s="1"/>
  <c r="B4" i="72" a="1"/>
  <c r="B4" i="72" s="1"/>
  <c r="A4" i="72" a="1"/>
  <c r="A4" i="72" s="1"/>
  <c r="G2" i="72"/>
  <c r="D2" i="72"/>
  <c r="C2" i="72"/>
  <c r="J2" i="72" s="1"/>
  <c r="A1" i="72" a="1"/>
  <c r="A1" i="72" s="1"/>
  <c r="G21" i="30"/>
  <c r="D21" i="30"/>
  <c r="C21" i="30"/>
  <c r="G20" i="30"/>
  <c r="D20" i="30"/>
  <c r="C20" i="30"/>
  <c r="E20" i="30" s="1"/>
  <c r="F20" i="30" s="1"/>
  <c r="G19" i="30"/>
  <c r="D19" i="30"/>
  <c r="C19" i="30"/>
  <c r="E19" i="30" s="1"/>
  <c r="F19" i="30" s="1"/>
  <c r="G18" i="30"/>
  <c r="D18" i="30"/>
  <c r="C18" i="30"/>
  <c r="E18" i="30" s="1"/>
  <c r="F18" i="30" s="1"/>
  <c r="G17" i="30"/>
  <c r="D17" i="30"/>
  <c r="C17" i="30"/>
  <c r="E17" i="30" s="1"/>
  <c r="F17" i="30" s="1"/>
  <c r="G16" i="30"/>
  <c r="D16" i="30"/>
  <c r="C16" i="30"/>
  <c r="E16" i="30" s="1"/>
  <c r="F16" i="30" s="1"/>
  <c r="G15" i="30"/>
  <c r="D15" i="30"/>
  <c r="C15" i="30"/>
  <c r="G14" i="30"/>
  <c r="D14" i="30"/>
  <c r="C14" i="30"/>
  <c r="E14" i="30" s="1"/>
  <c r="F14" i="30" s="1"/>
  <c r="G13" i="30"/>
  <c r="D13" i="30"/>
  <c r="C13" i="30"/>
  <c r="E13" i="30" s="1"/>
  <c r="F13" i="30" s="1"/>
  <c r="G12" i="30"/>
  <c r="D12" i="30"/>
  <c r="C12" i="30"/>
  <c r="E12" i="30" s="1"/>
  <c r="F12" i="30" s="1"/>
  <c r="G11" i="30"/>
  <c r="D11" i="30"/>
  <c r="C11" i="30"/>
  <c r="E11" i="30" s="1"/>
  <c r="F11" i="30" s="1"/>
  <c r="G10" i="30"/>
  <c r="D10" i="30"/>
  <c r="C10" i="30"/>
  <c r="G9" i="30"/>
  <c r="D9" i="30"/>
  <c r="C9" i="30"/>
  <c r="E9" i="30" s="1"/>
  <c r="F9" i="30" s="1"/>
  <c r="G8" i="30"/>
  <c r="G2" i="30" s="1"/>
  <c r="D8" i="30"/>
  <c r="C8" i="30"/>
  <c r="E8" i="30" s="1"/>
  <c r="F8" i="30" s="1"/>
  <c r="G7" i="30"/>
  <c r="D7" i="30"/>
  <c r="D2" i="30" s="1"/>
  <c r="C7" i="30"/>
  <c r="E7" i="30" s="1"/>
  <c r="F7" i="30" s="1"/>
  <c r="G6" i="30"/>
  <c r="D6" i="30"/>
  <c r="C6" i="30"/>
  <c r="E6" i="30" s="1"/>
  <c r="F6" i="30" s="1"/>
  <c r="G5" i="30"/>
  <c r="D5" i="30"/>
  <c r="C5" i="30"/>
  <c r="E5" i="30" s="1"/>
  <c r="F5" i="30" s="1"/>
  <c r="G4" i="30"/>
  <c r="D4" i="30"/>
  <c r="C4" i="30"/>
  <c r="E4" i="30" s="1"/>
  <c r="F4" i="30" s="1"/>
  <c r="B4" i="30" a="1"/>
  <c r="B4" i="30" s="1"/>
  <c r="A4" i="30" a="1"/>
  <c r="A4" i="30" s="1"/>
  <c r="A1" i="30" a="1"/>
  <c r="A1" i="30" s="1"/>
  <c r="G21" i="29"/>
  <c r="E21" i="29"/>
  <c r="F21" i="29" s="1"/>
  <c r="D21" i="29"/>
  <c r="C21" i="29"/>
  <c r="G20" i="29"/>
  <c r="D20" i="29"/>
  <c r="C20" i="29"/>
  <c r="E20" i="29" s="1"/>
  <c r="F20" i="29" s="1"/>
  <c r="G19" i="29"/>
  <c r="D19" i="29"/>
  <c r="E19" i="29" s="1"/>
  <c r="F19" i="29" s="1"/>
  <c r="C19" i="29"/>
  <c r="G18" i="29"/>
  <c r="D18" i="29"/>
  <c r="C18" i="29"/>
  <c r="E18" i="29" s="1"/>
  <c r="F18" i="29" s="1"/>
  <c r="G17" i="29"/>
  <c r="D17" i="29"/>
  <c r="C17" i="29"/>
  <c r="E17" i="29" s="1"/>
  <c r="F17" i="29" s="1"/>
  <c r="G16" i="29"/>
  <c r="D16" i="29"/>
  <c r="E16" i="29" s="1"/>
  <c r="F16" i="29" s="1"/>
  <c r="C16" i="29"/>
  <c r="G15" i="29"/>
  <c r="D15" i="29"/>
  <c r="C15" i="29"/>
  <c r="E15" i="29" s="1"/>
  <c r="F15" i="29" s="1"/>
  <c r="H14" i="29"/>
  <c r="I14" i="29" s="1"/>
  <c r="G14" i="29"/>
  <c r="D14" i="29"/>
  <c r="C14" i="29"/>
  <c r="E14" i="29" s="1"/>
  <c r="F14" i="29" s="1"/>
  <c r="G13" i="29"/>
  <c r="D13" i="29"/>
  <c r="C13" i="29"/>
  <c r="E13" i="29" s="1"/>
  <c r="F13" i="29" s="1"/>
  <c r="H12" i="29"/>
  <c r="I12" i="29" s="1"/>
  <c r="G12" i="29"/>
  <c r="D12" i="29"/>
  <c r="C12" i="29"/>
  <c r="G11" i="29"/>
  <c r="D11" i="29"/>
  <c r="C11" i="29"/>
  <c r="G10" i="29"/>
  <c r="D10" i="29"/>
  <c r="C10" i="29"/>
  <c r="E10" i="29" s="1"/>
  <c r="F10" i="29" s="1"/>
  <c r="G9" i="29"/>
  <c r="E9" i="29"/>
  <c r="F9" i="29" s="1"/>
  <c r="D9" i="29"/>
  <c r="C9" i="29"/>
  <c r="G8" i="29"/>
  <c r="D8" i="29"/>
  <c r="D2" i="29" s="1"/>
  <c r="C8" i="29"/>
  <c r="E8" i="29" s="1"/>
  <c r="F8" i="29" s="1"/>
  <c r="H7" i="29"/>
  <c r="I7" i="29" s="1"/>
  <c r="G7" i="29"/>
  <c r="D7" i="29"/>
  <c r="E7" i="29" s="1"/>
  <c r="F7" i="29" s="1"/>
  <c r="C7" i="29"/>
  <c r="G6" i="29"/>
  <c r="D6" i="29"/>
  <c r="C6" i="29"/>
  <c r="E6" i="29" s="1"/>
  <c r="F6" i="29" s="1"/>
  <c r="G5" i="29"/>
  <c r="D5" i="29"/>
  <c r="C5" i="29"/>
  <c r="E5" i="29" s="1"/>
  <c r="F5" i="29" s="1"/>
  <c r="G4" i="29"/>
  <c r="E4" i="29"/>
  <c r="F4" i="29" s="1"/>
  <c r="D4" i="29"/>
  <c r="C4" i="29"/>
  <c r="B4" i="29" a="1"/>
  <c r="B4" i="29" s="1"/>
  <c r="A4" i="29" a="1"/>
  <c r="A4" i="29" s="1"/>
  <c r="A1" i="29" a="1"/>
  <c r="A1" i="29" s="1"/>
  <c r="G21" i="18"/>
  <c r="D21" i="18"/>
  <c r="C21" i="18"/>
  <c r="G20" i="18"/>
  <c r="D20" i="18"/>
  <c r="C20" i="18"/>
  <c r="G19" i="18"/>
  <c r="D19" i="18"/>
  <c r="C19" i="18"/>
  <c r="G18" i="18"/>
  <c r="D18" i="18"/>
  <c r="D18" i="34" s="1"/>
  <c r="C18" i="18"/>
  <c r="G17" i="18"/>
  <c r="D17" i="18"/>
  <c r="C17" i="18"/>
  <c r="E17" i="18" s="1"/>
  <c r="F17" i="18" s="1"/>
  <c r="G16" i="18"/>
  <c r="D16" i="18"/>
  <c r="C16" i="18"/>
  <c r="E16" i="18" s="1"/>
  <c r="F16" i="18" s="1"/>
  <c r="G15" i="18"/>
  <c r="D15" i="18"/>
  <c r="C15" i="18"/>
  <c r="G14" i="18"/>
  <c r="D14" i="18"/>
  <c r="C14" i="18"/>
  <c r="G13" i="18"/>
  <c r="D13" i="18"/>
  <c r="C13" i="18"/>
  <c r="G12" i="18"/>
  <c r="D12" i="18"/>
  <c r="C12" i="18"/>
  <c r="G11" i="18"/>
  <c r="D11" i="18"/>
  <c r="C11" i="18"/>
  <c r="G10" i="18"/>
  <c r="D10" i="18"/>
  <c r="C10" i="18"/>
  <c r="G9" i="18"/>
  <c r="D9" i="18"/>
  <c r="C9" i="18"/>
  <c r="G8" i="18"/>
  <c r="D8" i="18"/>
  <c r="C8" i="18"/>
  <c r="G7" i="18"/>
  <c r="D7" i="18"/>
  <c r="C7" i="18"/>
  <c r="C7" i="34" s="1"/>
  <c r="G6" i="18"/>
  <c r="D6" i="18"/>
  <c r="C6" i="18"/>
  <c r="G5" i="18"/>
  <c r="D5" i="18"/>
  <c r="C5" i="18"/>
  <c r="G4" i="18"/>
  <c r="D4" i="18"/>
  <c r="C4" i="18"/>
  <c r="B4" i="18" a="1"/>
  <c r="B4" i="18" s="1"/>
  <c r="A4" i="18" a="1"/>
  <c r="A4" i="18" s="1"/>
  <c r="A1" i="18" a="1"/>
  <c r="A1" i="18" s="1"/>
  <c r="G21" i="1"/>
  <c r="D21" i="1"/>
  <c r="C21" i="1"/>
  <c r="G20" i="1"/>
  <c r="D20" i="1"/>
  <c r="C20" i="1"/>
  <c r="G19" i="1"/>
  <c r="D19" i="1"/>
  <c r="C19" i="1"/>
  <c r="E19" i="1" s="1"/>
  <c r="F19" i="1" s="1"/>
  <c r="H18" i="1"/>
  <c r="G18" i="1"/>
  <c r="G18" i="34" s="1"/>
  <c r="D18" i="1"/>
  <c r="C18" i="1"/>
  <c r="G17" i="1"/>
  <c r="D17" i="1"/>
  <c r="C17" i="1"/>
  <c r="G16" i="1"/>
  <c r="D16" i="1"/>
  <c r="C16" i="1"/>
  <c r="G15" i="1"/>
  <c r="D15" i="1"/>
  <c r="C15" i="1"/>
  <c r="G14" i="1"/>
  <c r="D14" i="1"/>
  <c r="C14" i="1"/>
  <c r="G13" i="1"/>
  <c r="D13" i="1"/>
  <c r="C13" i="1"/>
  <c r="G12" i="1"/>
  <c r="D12" i="1"/>
  <c r="C12" i="1"/>
  <c r="G11" i="1"/>
  <c r="D11" i="1"/>
  <c r="C11" i="1"/>
  <c r="H10" i="1"/>
  <c r="G10" i="1"/>
  <c r="D10" i="1"/>
  <c r="C10" i="1"/>
  <c r="G9" i="1"/>
  <c r="D9" i="1"/>
  <c r="C9" i="1"/>
  <c r="G8" i="1"/>
  <c r="D8" i="1"/>
  <c r="C8" i="1"/>
  <c r="G7" i="1"/>
  <c r="D7" i="1"/>
  <c r="D7" i="34" s="1"/>
  <c r="C7" i="1"/>
  <c r="G6" i="1"/>
  <c r="D6" i="1"/>
  <c r="C6" i="1"/>
  <c r="G5" i="1"/>
  <c r="D5" i="1"/>
  <c r="C5" i="1"/>
  <c r="G4" i="1"/>
  <c r="D4" i="1"/>
  <c r="C4" i="1"/>
  <c r="B4" i="1" a="1"/>
  <c r="B4" i="1" s="1"/>
  <c r="A4" i="1" a="1"/>
  <c r="A4" i="1" s="1"/>
  <c r="A1" i="1" a="1"/>
  <c r="A1" i="1" s="1"/>
  <c r="H18" i="34"/>
  <c r="H6" i="34"/>
  <c r="B4" i="34" a="1"/>
  <c r="B4" i="34" s="1"/>
  <c r="A4" i="34" a="1"/>
  <c r="A4" i="34" s="1"/>
  <c r="A1" i="34" a="1"/>
  <c r="A1" i="34" s="1"/>
  <c r="H16" i="18" l="1"/>
  <c r="H7" i="18"/>
  <c r="I7" i="18" s="1"/>
  <c r="H23" i="18"/>
  <c r="E27" i="18"/>
  <c r="F27" i="18" s="1"/>
  <c r="E24" i="18"/>
  <c r="F24" i="18" s="1"/>
  <c r="E22" i="18"/>
  <c r="F22" i="18" s="1"/>
  <c r="H11" i="18"/>
  <c r="I11" i="18" s="1"/>
  <c r="H20" i="18"/>
  <c r="E20" i="18"/>
  <c r="F20" i="18" s="1"/>
  <c r="E10" i="18"/>
  <c r="F10" i="18" s="1"/>
  <c r="H14" i="18"/>
  <c r="I14" i="18" s="1"/>
  <c r="J2" i="4"/>
  <c r="E2" i="4"/>
  <c r="F2" i="4" s="1"/>
  <c r="H2" i="4"/>
  <c r="I2" i="4" s="1"/>
  <c r="H22" i="34"/>
  <c r="H22" i="1"/>
  <c r="I22" i="1" s="1"/>
  <c r="I22" i="72"/>
  <c r="H23" i="34"/>
  <c r="H23" i="1"/>
  <c r="I23" i="1" s="1"/>
  <c r="I23" i="72"/>
  <c r="E5" i="1"/>
  <c r="F5" i="1" s="1"/>
  <c r="G6" i="34"/>
  <c r="I6" i="34" s="1"/>
  <c r="I6" i="1"/>
  <c r="I13" i="1"/>
  <c r="G23" i="34"/>
  <c r="H28" i="34"/>
  <c r="H28" i="1"/>
  <c r="I28" i="1" s="1"/>
  <c r="I28" i="72"/>
  <c r="H24" i="34"/>
  <c r="H24" i="1"/>
  <c r="I24" i="1" s="1"/>
  <c r="I24" i="72"/>
  <c r="H27" i="34"/>
  <c r="H27" i="1"/>
  <c r="I27" i="1" s="1"/>
  <c r="I27" i="72"/>
  <c r="H26" i="34"/>
  <c r="H26" i="1"/>
  <c r="I26" i="1" s="1"/>
  <c r="I26" i="72"/>
  <c r="H25" i="34"/>
  <c r="H25" i="1"/>
  <c r="I25" i="1" s="1"/>
  <c r="I25" i="72"/>
  <c r="E21" i="1"/>
  <c r="F21" i="1" s="1"/>
  <c r="H20" i="1"/>
  <c r="I20" i="1" s="1"/>
  <c r="C14" i="34"/>
  <c r="H15" i="34"/>
  <c r="E14" i="1"/>
  <c r="F14" i="1" s="1"/>
  <c r="H21" i="1"/>
  <c r="I21" i="1" s="1"/>
  <c r="H4" i="1"/>
  <c r="I4" i="1" s="1"/>
  <c r="H10" i="34"/>
  <c r="H16" i="1"/>
  <c r="I16" i="1" s="1"/>
  <c r="E6" i="1"/>
  <c r="F6" i="1" s="1"/>
  <c r="E15" i="1"/>
  <c r="F15" i="1" s="1"/>
  <c r="H5" i="34"/>
  <c r="H17" i="34"/>
  <c r="C15" i="34"/>
  <c r="E2" i="72"/>
  <c r="F2" i="72" s="1"/>
  <c r="H2" i="72"/>
  <c r="I2" i="72" s="1"/>
  <c r="C6" i="34"/>
  <c r="E20" i="1"/>
  <c r="F20" i="1" s="1"/>
  <c r="H7" i="34"/>
  <c r="I10" i="3"/>
  <c r="H14" i="1"/>
  <c r="I14" i="1" s="1"/>
  <c r="I18" i="1"/>
  <c r="H9" i="1"/>
  <c r="I9" i="1" s="1"/>
  <c r="H9" i="34"/>
  <c r="G12" i="34"/>
  <c r="I10" i="1"/>
  <c r="I15" i="3"/>
  <c r="H14" i="34"/>
  <c r="G13" i="34"/>
  <c r="H5" i="1"/>
  <c r="I5" i="1" s="1"/>
  <c r="G5" i="34"/>
  <c r="I4" i="3"/>
  <c r="E18" i="1"/>
  <c r="F18" i="1" s="1"/>
  <c r="D10" i="34"/>
  <c r="D6" i="34"/>
  <c r="D5" i="34"/>
  <c r="D4" i="34"/>
  <c r="E9" i="1"/>
  <c r="F9" i="1" s="1"/>
  <c r="E8" i="1"/>
  <c r="F8" i="1" s="1"/>
  <c r="C8" i="34"/>
  <c r="I5" i="3"/>
  <c r="E11" i="1"/>
  <c r="F11" i="1" s="1"/>
  <c r="H11" i="1"/>
  <c r="I11" i="1" s="1"/>
  <c r="C11" i="34"/>
  <c r="H16" i="34"/>
  <c r="I16" i="3"/>
  <c r="E16" i="1"/>
  <c r="F16" i="1" s="1"/>
  <c r="I17" i="3"/>
  <c r="E17" i="1"/>
  <c r="F17" i="1" s="1"/>
  <c r="E10" i="1"/>
  <c r="F10" i="1" s="1"/>
  <c r="C18" i="34"/>
  <c r="E18" i="34" s="1"/>
  <c r="F18" i="34" s="1"/>
  <c r="I18" i="34"/>
  <c r="E12" i="1"/>
  <c r="F12" i="1" s="1"/>
  <c r="C12" i="34"/>
  <c r="I7" i="3"/>
  <c r="H7" i="1"/>
  <c r="I7" i="1" s="1"/>
  <c r="E13" i="1"/>
  <c r="F13" i="1" s="1"/>
  <c r="C2" i="1"/>
  <c r="C13" i="34"/>
  <c r="H15" i="1"/>
  <c r="I15" i="1" s="1"/>
  <c r="I20" i="3"/>
  <c r="H20" i="34"/>
  <c r="G2" i="1"/>
  <c r="H17" i="1"/>
  <c r="I17" i="1" s="1"/>
  <c r="H19" i="1"/>
  <c r="I19" i="1" s="1"/>
  <c r="G10" i="34"/>
  <c r="G14" i="34"/>
  <c r="I14" i="34" s="1"/>
  <c r="I13" i="72"/>
  <c r="I21" i="72"/>
  <c r="G16" i="34"/>
  <c r="I11" i="72"/>
  <c r="I15" i="72"/>
  <c r="I19" i="72"/>
  <c r="G21" i="34"/>
  <c r="I21" i="34" s="1"/>
  <c r="I12" i="72"/>
  <c r="H11" i="34"/>
  <c r="I8" i="72"/>
  <c r="H12" i="1"/>
  <c r="I12" i="1" s="1"/>
  <c r="I12" i="34"/>
  <c r="I20" i="72"/>
  <c r="H13" i="34"/>
  <c r="H8" i="1"/>
  <c r="I8" i="1" s="1"/>
  <c r="G11" i="34"/>
  <c r="G15" i="34"/>
  <c r="I15" i="34" s="1"/>
  <c r="I7" i="72"/>
  <c r="G7" i="34"/>
  <c r="I7" i="34" s="1"/>
  <c r="I6" i="72"/>
  <c r="G4" i="34"/>
  <c r="D20" i="34"/>
  <c r="D12" i="34"/>
  <c r="D9" i="34"/>
  <c r="D13" i="34"/>
  <c r="D17" i="34"/>
  <c r="D21" i="34"/>
  <c r="D15" i="34"/>
  <c r="D8" i="34"/>
  <c r="E7" i="1"/>
  <c r="F7" i="1" s="1"/>
  <c r="D2" i="1"/>
  <c r="E4" i="1"/>
  <c r="F4" i="1" s="1"/>
  <c r="E4" i="18"/>
  <c r="F4" i="18" s="1"/>
  <c r="G2" i="18"/>
  <c r="H19" i="18"/>
  <c r="I19" i="18" s="1"/>
  <c r="I11" i="20"/>
  <c r="I14" i="20"/>
  <c r="I20" i="20"/>
  <c r="E7" i="34"/>
  <c r="F7" i="34" s="1"/>
  <c r="E7" i="18"/>
  <c r="F7" i="18" s="1"/>
  <c r="G8" i="34"/>
  <c r="I8" i="34" s="1"/>
  <c r="E25" i="18"/>
  <c r="F25" i="18" s="1"/>
  <c r="I16" i="20"/>
  <c r="H4" i="18"/>
  <c r="I4" i="18" s="1"/>
  <c r="D28" i="34"/>
  <c r="H26" i="18"/>
  <c r="I26" i="18" s="1"/>
  <c r="D19" i="34"/>
  <c r="H25" i="18"/>
  <c r="I25" i="18" s="1"/>
  <c r="H27" i="18"/>
  <c r="I27" i="18" s="1"/>
  <c r="E12" i="18"/>
  <c r="F12" i="18" s="1"/>
  <c r="H28" i="18"/>
  <c r="I28" i="18" s="1"/>
  <c r="E14" i="18"/>
  <c r="F14" i="18" s="1"/>
  <c r="I7" i="21"/>
  <c r="G9" i="34"/>
  <c r="E5" i="18"/>
  <c r="F5" i="18" s="1"/>
  <c r="H17" i="18"/>
  <c r="I17" i="18" s="1"/>
  <c r="E21" i="18"/>
  <c r="F21" i="18" s="1"/>
  <c r="E23" i="18"/>
  <c r="F23" i="18" s="1"/>
  <c r="G25" i="34"/>
  <c r="H12" i="18"/>
  <c r="I12" i="18" s="1"/>
  <c r="I4" i="21"/>
  <c r="H5" i="18"/>
  <c r="I5" i="18" s="1"/>
  <c r="H8" i="18"/>
  <c r="I8" i="18" s="1"/>
  <c r="H21" i="18"/>
  <c r="I21" i="18" s="1"/>
  <c r="C28" i="34"/>
  <c r="I16" i="18"/>
  <c r="C10" i="34"/>
  <c r="E10" i="34" s="1"/>
  <c r="F10" i="34" s="1"/>
  <c r="G20" i="34"/>
  <c r="E9" i="18"/>
  <c r="F9" i="18" s="1"/>
  <c r="E19" i="18"/>
  <c r="F19" i="18" s="1"/>
  <c r="G17" i="34"/>
  <c r="I17" i="34" s="1"/>
  <c r="I23" i="18"/>
  <c r="G27" i="34"/>
  <c r="H18" i="18"/>
  <c r="I18" i="18" s="1"/>
  <c r="E11" i="18"/>
  <c r="F11" i="18" s="1"/>
  <c r="I20" i="18"/>
  <c r="G19" i="34"/>
  <c r="I19" i="34" s="1"/>
  <c r="H10" i="18"/>
  <c r="I10" i="18" s="1"/>
  <c r="G22" i="34"/>
  <c r="E28" i="18"/>
  <c r="F28" i="18" s="1"/>
  <c r="C22" i="34"/>
  <c r="C19" i="34"/>
  <c r="H4" i="29"/>
  <c r="I4" i="29" s="1"/>
  <c r="H6" i="18"/>
  <c r="I6" i="18" s="1"/>
  <c r="E15" i="18"/>
  <c r="F15" i="18" s="1"/>
  <c r="H11" i="29"/>
  <c r="I11" i="29" s="1"/>
  <c r="I17" i="26"/>
  <c r="I26" i="19"/>
  <c r="D27" i="34"/>
  <c r="G24" i="34"/>
  <c r="I26" i="26"/>
  <c r="D2" i="18"/>
  <c r="H13" i="18"/>
  <c r="I13" i="18" s="1"/>
  <c r="C2" i="29"/>
  <c r="H6" i="29"/>
  <c r="I6" i="29" s="1"/>
  <c r="H18" i="29"/>
  <c r="I18" i="29" s="1"/>
  <c r="E10" i="30"/>
  <c r="F10" i="30" s="1"/>
  <c r="E21" i="30"/>
  <c r="F21" i="30" s="1"/>
  <c r="I10" i="19"/>
  <c r="I25" i="19"/>
  <c r="E26" i="18"/>
  <c r="F26" i="18" s="1"/>
  <c r="H25" i="29"/>
  <c r="I25" i="29" s="1"/>
  <c r="C27" i="34"/>
  <c r="D22" i="34"/>
  <c r="E6" i="18"/>
  <c r="F6" i="18" s="1"/>
  <c r="I12" i="19"/>
  <c r="C23" i="34"/>
  <c r="C16" i="34"/>
  <c r="E13" i="18"/>
  <c r="F13" i="18" s="1"/>
  <c r="I15" i="27"/>
  <c r="C4" i="34"/>
  <c r="I27" i="19"/>
  <c r="G26" i="34"/>
  <c r="H19" i="30"/>
  <c r="H4" i="30"/>
  <c r="D11" i="34"/>
  <c r="D14" i="34"/>
  <c r="H15" i="18"/>
  <c r="I15" i="18" s="1"/>
  <c r="G2" i="29"/>
  <c r="H8" i="29"/>
  <c r="I8" i="29" s="1"/>
  <c r="H20" i="29"/>
  <c r="I20" i="29" s="1"/>
  <c r="H17" i="30"/>
  <c r="I17" i="30" s="1"/>
  <c r="I10" i="31"/>
  <c r="I23" i="19"/>
  <c r="H23" i="29"/>
  <c r="I23" i="29" s="1"/>
  <c r="D24" i="34"/>
  <c r="H19" i="29"/>
  <c r="I19" i="29" s="1"/>
  <c r="I13" i="26"/>
  <c r="H9" i="18"/>
  <c r="I9" i="18" s="1"/>
  <c r="E18" i="18"/>
  <c r="F18" i="18" s="1"/>
  <c r="E11" i="29"/>
  <c r="F11" i="29" s="1"/>
  <c r="I21" i="19"/>
  <c r="H22" i="18"/>
  <c r="I22" i="18" s="1"/>
  <c r="H9" i="29"/>
  <c r="I9" i="29" s="1"/>
  <c r="H21" i="29"/>
  <c r="I21" i="29" s="1"/>
  <c r="D25" i="34"/>
  <c r="E8" i="18"/>
  <c r="F8" i="18" s="1"/>
  <c r="H27" i="29"/>
  <c r="I27" i="29" s="1"/>
  <c r="I5" i="26"/>
  <c r="C5" i="34"/>
  <c r="C20" i="34"/>
  <c r="E12" i="29"/>
  <c r="F12" i="29" s="1"/>
  <c r="H21" i="30"/>
  <c r="H28" i="29"/>
  <c r="I28" i="29" s="1"/>
  <c r="G28" i="34"/>
  <c r="H5" i="30"/>
  <c r="I18" i="19"/>
  <c r="I14" i="32"/>
  <c r="D16" i="34"/>
  <c r="H16" i="29"/>
  <c r="I16" i="29" s="1"/>
  <c r="I6" i="31"/>
  <c r="H10" i="29"/>
  <c r="I10" i="29" s="1"/>
  <c r="D26" i="34"/>
  <c r="H13" i="30"/>
  <c r="I13" i="30" s="1"/>
  <c r="D23" i="34"/>
  <c r="C25" i="34"/>
  <c r="C17" i="34"/>
  <c r="C2" i="30"/>
  <c r="E2" i="30" s="1"/>
  <c r="F2" i="30" s="1"/>
  <c r="C9" i="34"/>
  <c r="E9" i="34" s="1"/>
  <c r="F9" i="34" s="1"/>
  <c r="C21" i="34"/>
  <c r="E21" i="34" s="1"/>
  <c r="F21" i="34" s="1"/>
  <c r="E15" i="30"/>
  <c r="F15" i="30" s="1"/>
  <c r="E28" i="30"/>
  <c r="F28" i="30" s="1"/>
  <c r="C2" i="18"/>
  <c r="H24" i="18"/>
  <c r="I24" i="18" s="1"/>
  <c r="C26" i="34"/>
  <c r="C24" i="34"/>
  <c r="H18" i="30"/>
  <c r="H9" i="30"/>
  <c r="I9" i="30" s="1"/>
  <c r="I4" i="32"/>
  <c r="I5" i="32"/>
  <c r="I6" i="32"/>
  <c r="H20" i="30"/>
  <c r="I20" i="30" s="1"/>
  <c r="H16" i="30"/>
  <c r="I16" i="30" s="1"/>
  <c r="H12" i="30"/>
  <c r="I12" i="30" s="1"/>
  <c r="H8" i="30"/>
  <c r="I8" i="30" s="1"/>
  <c r="I7" i="32"/>
  <c r="I11" i="32"/>
  <c r="I19" i="32"/>
  <c r="I15" i="32"/>
  <c r="I4" i="30"/>
  <c r="I5" i="30"/>
  <c r="I6" i="30"/>
  <c r="I7" i="30"/>
  <c r="I10" i="30"/>
  <c r="I11" i="30"/>
  <c r="I14" i="30"/>
  <c r="I15" i="30"/>
  <c r="I18" i="30"/>
  <c r="I19" i="30"/>
  <c r="I21" i="30"/>
  <c r="H23" i="30"/>
  <c r="I23" i="30" s="1"/>
  <c r="I23" i="32"/>
  <c r="H28" i="30"/>
  <c r="I28" i="30" s="1"/>
  <c r="I28" i="32"/>
  <c r="H27" i="30"/>
  <c r="I27" i="30" s="1"/>
  <c r="I27" i="32"/>
  <c r="H26" i="30"/>
  <c r="I26" i="30" s="1"/>
  <c r="I26" i="32"/>
  <c r="H25" i="30"/>
  <c r="I25" i="30" s="1"/>
  <c r="I25" i="32"/>
  <c r="H24" i="30"/>
  <c r="I24" i="30" s="1"/>
  <c r="I24" i="32"/>
  <c r="I22" i="31"/>
  <c r="H22" i="30"/>
  <c r="I22" i="30" s="1"/>
  <c r="H2" i="29"/>
  <c r="I2" i="29" s="1"/>
  <c r="E2" i="29"/>
  <c r="F2" i="29" s="1"/>
  <c r="E2" i="27"/>
  <c r="F2" i="27" s="1"/>
  <c r="E2" i="33"/>
  <c r="F2" i="33" s="1"/>
  <c r="E2" i="28"/>
  <c r="F2" i="28" s="1"/>
  <c r="H2" i="28"/>
  <c r="I2" i="28" s="1"/>
  <c r="H2" i="27"/>
  <c r="I2" i="27" s="1"/>
  <c r="J2" i="27"/>
  <c r="E2" i="19"/>
  <c r="F2" i="19" s="1"/>
  <c r="E2" i="31"/>
  <c r="F2" i="31" s="1"/>
  <c r="H2" i="31"/>
  <c r="I2" i="31" s="1"/>
  <c r="H2" i="26"/>
  <c r="I2" i="26" s="1"/>
  <c r="J2" i="26"/>
  <c r="E2" i="26"/>
  <c r="F2" i="26" s="1"/>
  <c r="H2" i="19"/>
  <c r="I2" i="19" s="1"/>
  <c r="J2" i="19"/>
  <c r="E2" i="20"/>
  <c r="F2" i="20" s="1"/>
  <c r="H2" i="20"/>
  <c r="I2" i="20" s="1"/>
  <c r="E2" i="21"/>
  <c r="F2" i="21" s="1"/>
  <c r="H2" i="21"/>
  <c r="I2" i="21" s="1"/>
  <c r="J2" i="3"/>
  <c r="E2" i="32"/>
  <c r="F2" i="32" s="1"/>
  <c r="H2" i="32"/>
  <c r="I2" i="32" s="1"/>
  <c r="H2" i="33"/>
  <c r="I2" i="33" s="1"/>
  <c r="E2" i="3"/>
  <c r="F2" i="3" s="1"/>
  <c r="E14" i="34" l="1"/>
  <c r="F14" i="34" s="1"/>
  <c r="E8" i="34"/>
  <c r="F8" i="34" s="1"/>
  <c r="E15" i="34"/>
  <c r="F15" i="34" s="1"/>
  <c r="E12" i="34"/>
  <c r="F12" i="34" s="1"/>
  <c r="E2" i="18"/>
  <c r="F2" i="18" s="1"/>
  <c r="E5" i="34"/>
  <c r="F5" i="34" s="1"/>
  <c r="E6" i="34"/>
  <c r="F6" i="34" s="1"/>
  <c r="I5" i="34"/>
  <c r="E22" i="34"/>
  <c r="I10" i="34"/>
  <c r="E13" i="34"/>
  <c r="F13" i="34" s="1"/>
  <c r="I9" i="34"/>
  <c r="I13" i="34"/>
  <c r="H2" i="1"/>
  <c r="I2" i="1" s="1"/>
  <c r="E19" i="34"/>
  <c r="F19" i="34" s="1"/>
  <c r="E20" i="34"/>
  <c r="F20" i="34" s="1"/>
  <c r="E4" i="34"/>
  <c r="F4" i="34" s="1"/>
  <c r="I11" i="34"/>
  <c r="I16" i="34"/>
  <c r="E2" i="1"/>
  <c r="F2" i="1" s="1"/>
  <c r="I20" i="34"/>
  <c r="E17" i="34"/>
  <c r="F17" i="34" s="1"/>
  <c r="H2" i="18"/>
  <c r="I2" i="18" s="1"/>
  <c r="E28" i="34"/>
  <c r="E27" i="34"/>
  <c r="E23" i="34"/>
  <c r="E25" i="34"/>
  <c r="E16" i="34"/>
  <c r="F16" i="34" s="1"/>
  <c r="D2" i="34"/>
  <c r="H2" i="30"/>
  <c r="I2" i="30" s="1"/>
  <c r="E26" i="34"/>
  <c r="H4" i="34"/>
  <c r="I4" i="34" s="1"/>
  <c r="E11" i="34"/>
  <c r="F11" i="34" s="1"/>
  <c r="G2" i="34"/>
  <c r="C2" i="34"/>
  <c r="E24" i="34"/>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<sst xmlns="http://schemas.openxmlformats.org/spreadsheetml/2006/main" count="780" uniqueCount="190">
  <si>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</si>
  <si>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</si>
  <si>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</si>
  <si>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</si>
  <si>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</si>
  <si>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</si>
  <si>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</si>
  <si>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</si>
  <si>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</si>
  <si>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</si>
  <si>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</si>
  <si>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</si>
  <si>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</si>
  <si>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</si>
  <si>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</si>
  <si>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</si>
  <si>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</si>
  <si>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</si>
  <si>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</si>
  <si>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</si>
  <si>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</si>
  <si>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</si>
  <si>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</si>
  <si>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1. Site is reporting its production at the meter as a negative value, but inverter production is positive from 09/11, due to a faulty CT and its leads needed to be reversed to read positive production.</t>
  </si>
  <si>
    <t>1. SR090283</t>
  </si>
  <si>
    <t>1. 2 microinverters are not reporting  and 1 microinverter is not producing since 01/22/25. Parts are needed to bring them back online.</t>
  </si>
  <si>
    <t>1. SR095856</t>
  </si>
  <si>
    <t>1. 25 microinverters have been offline since 06/25. The Southwest microinverters are receiving AC voltage but not DC voltage, while the Northeast microinverters are not reporting, likely due to a breaker trip.</t>
  </si>
  <si>
    <t>1. SR087006</t>
  </si>
  <si>
    <t xml:space="preserve"> -   </t>
  </si>
  <si>
    <t>1. Site was taken offline since 12/09/24 for equipment reinstallation as per customer's request and remained offline through the month.</t>
  </si>
  <si>
    <t>1. SR087694</t>
  </si>
  <si>
    <t>1. 9 microinverters are not reporting from 11:35AM on 01/05 and remained throughtout the month.</t>
  </si>
  <si>
    <t>1. SR095523</t>
  </si>
  <si>
    <t>1. 17 microinverters are not producing since 12/09/24 and also faulty CT at the meter due to a site configuration/mapping is wrong causing strings to be down, On 01/03/25, the technicien mentioned that the wires onsite were very brittle and replaced a few connectors and brought back online,  The remaining work will be completed during PM 2025, as per the customer's request</t>
  </si>
  <si>
    <t>1. SR094284</t>
  </si>
  <si>
    <t xml:space="preserve">1. No site comms to DAS since 4/26/23. The system is shut down (locked out) currently pending RSD Remediation.
 </t>
  </si>
  <si>
    <t>1. SR086583</t>
  </si>
  <si>
    <t>1. SR086584</t>
  </si>
  <si>
    <t>1. Site was de-energized on 01/09/2025 at 18:00 due to a serious electrical grounding hazard and remained offline throughout the month.</t>
  </si>
  <si>
    <t>1. SR095935, SR095456</t>
  </si>
  <si>
    <t>1. Inverter 4-1 back online at 13:30 on 01/10/25 after the technician performed reset inhibition.
2. Inverter 5-1 regained its communication on 01/09/25 after the technician replaced the communication board.
3. Inverter 5-2 was back online on 12/10/24, and Inverter 1-1 resumed communication. On 01/09/25, the technician found that Inverter 3 had a faulty communication board, which has been RMA'd. Additionally, Inverter 4-1 has been offline since 10/22/24. Following SMA instructions, the technician performed an operational reset inhibition and brought it back online the same day.</t>
  </si>
  <si>
    <t>1. SR095532, SR092433
2. SR091053
3. SR092433, SR095532</t>
  </si>
  <si>
    <t>1. Site is not found in Also Energy. The system is shut down (locked out) currently pending RSD Remediation</t>
  </si>
  <si>
    <t>1. SR086585</t>
  </si>
  <si>
    <t>February Actual v. Expected</t>
  </si>
  <si>
    <t>February Actual v. Forecasted</t>
  </si>
  <si>
    <t>1. Site was offline since 02/22/25 and remained offline throughout the month.</t>
  </si>
  <si>
    <t>1. SR097705</t>
  </si>
  <si>
    <t>1. Microinverters didn't report on 02/19 &amp; 02/20, with minimal production due to a weather event.</t>
  </si>
  <si>
    <t>1. SR097570</t>
  </si>
  <si>
    <t>1. Two microinverters stopped reporting on 02/20 and self-resolved on 02/25.</t>
  </si>
  <si>
    <t>1. SR097571</t>
  </si>
  <si>
    <t>1. Site was online for testing on 02/14, then offline from 02/15/25 for remaining equipment reinstallation per the customer's request. It came back online at 11:45 AM on 02/26/25 after passing the final inspection.</t>
  </si>
  <si>
    <t>1. 9 microinverters were brought online at 10:35 AM on 02/07/2025 after the technician plugged in the 4-string connector during the PM event and reenergized the inverters.</t>
  </si>
  <si>
    <t>1. SR095523, PM9700 &amp; SR097030</t>
  </si>
  <si>
    <t>SR097030</t>
  </si>
  <si>
    <t>1. 17 microinverters have not been producing since 12/09/24 due to a faulty CT at the meter caused by incorrect site configuration, resulting in downed strings. On 01/03/25, the technician replaced a few brittle connectors. During the PM event on 02/21/25, the technician corrected the C-phase CT wiring, but the meter is showing negative values and requires further troubleshooting.</t>
  </si>
  <si>
    <t>1.SR094284, PM9699 &amp; SR097692</t>
  </si>
  <si>
    <t>SR097692</t>
  </si>
  <si>
    <t>SR095456</t>
  </si>
  <si>
    <t xml:space="preserve">1. Inverter 4-1 back online at 13:30 on 01/10/25 after the technician performed reset inhibition.
2. Site was offline from at 09:30 on 02/05/25 due to an main breaker trip and remaind offline throughout the month.
</t>
  </si>
  <si>
    <t>1. SR095532, SR092433
2. SR096384</t>
  </si>
  <si>
    <t>SR092433</t>
  </si>
  <si>
    <t>SR096384</t>
  </si>
  <si>
    <t>March Actual v. Expected</t>
  </si>
  <si>
    <t>March Actual v. Forecasted</t>
  </si>
  <si>
    <t>1. Site gateway not reporting since 03:30 on 03/25/25 and remained down throughout the month</t>
  </si>
  <si>
    <t>1. SR099003</t>
  </si>
  <si>
    <t xml:space="preserve">1. 2 microinverters are not reporting  and 1 microinverter is not producing since 01/22/25. Parts are needed to bring them back online and on 03/20/25 holded WO.
2. One of the gateways (Gateway 122033008814) has not communicated since 03/31 at 21:06 EDT and later self resolved </t>
  </si>
  <si>
    <t>1. SR095856
2. SR099294(but looks good in enphase on those days verify once)</t>
  </si>
  <si>
    <t>SR099294</t>
  </si>
  <si>
    <t>1.  8 microinverters are reporting AC Voltage Low On 03/31/25 and later self resolved the same day.</t>
  </si>
  <si>
    <t>1.	SR099197</t>
  </si>
  <si>
    <t>1. All micros are communicating and producing from 03/27/25.
2. One microinverter (device ID 482126008076) has failed to report since 03/31/25.</t>
  </si>
  <si>
    <t>1. SR097570
2. SR099372</t>
  </si>
  <si>
    <t>SR099372</t>
  </si>
  <si>
    <t xml:space="preserve">1. Site was offline from at 09:30 on 02/05/25 due to an main breaker trip and remaind offline throughout the month.
</t>
  </si>
  <si>
    <t>1. SR096384</t>
  </si>
  <si>
    <t>April Actual v. Expected</t>
  </si>
  <si>
    <t>April Actual v. Forecasted</t>
  </si>
  <si>
    <t>1. 104 microinverters are offline on 04/24 due to 'AC Voltage Low/Out of Range'. By 04/25, 2 microinverters were still reporting 'No Power,' while the rest had self-resolved. As of 04/30, 2 microinverters have been RMA'd.</t>
  </si>
  <si>
    <t>1. SR100345</t>
  </si>
  <si>
    <t xml:space="preserve">1. One of the gateways (Gateway 122033008814) has not communicated since 03/31 at 21:06 EDT and later self resolved
1. 26 microinverters are not reporting  and 1 microinverter is not producing since 04/17. </t>
  </si>
  <si>
    <t>1. SR099294
2. SR095856</t>
  </si>
  <si>
    <t>SR095856</t>
  </si>
  <si>
    <t>1. 25 microinverters have been offline since 06/26/24. The southwest microinverters are receiving AC voltage but not DC voltage, while the northeast microinverters are not reporting, likely due to a breaker trip. By 04/17, 17 microinverters remained offline while the rest had self-resolved. As of 04/29, 25 microinverters are offline.</t>
  </si>
  <si>
    <t>1. One microinverter (Device ID: 482126008076) has failed to report since 03/31/25. On 04/15, the microinverter was under RMA'd.</t>
  </si>
  <si>
    <t>1. SR099372</t>
  </si>
  <si>
    <t>1.SR094284, PM9699 &amp; SR097692, SR101677</t>
  </si>
  <si>
    <t>SR101677</t>
  </si>
  <si>
    <t>1. No site comms to DAS since 4/26/23. The system is shut down (locked out) currently pending RSD Remediation.</t>
  </si>
  <si>
    <t>1.SR086583</t>
  </si>
  <si>
    <t>1.SR086584</t>
  </si>
  <si>
    <t>1.Site was de-energized on 01/09/2025 at 18:00 due to a serious electrical grounding hazard and remained offline throughout the month.</t>
  </si>
  <si>
    <t>1.SR095935, SR095456</t>
  </si>
  <si>
    <t>1. Site was offline from at 09:30 on 02/05/25 due to an main breaker trip and remaind offline throughout the month.</t>
  </si>
  <si>
    <t>1.	SR096384</t>
  </si>
  <si>
    <t>May Actual v. Expected</t>
  </si>
  <si>
    <t>May Actual v. Forecasted</t>
  </si>
  <si>
    <t>1. Site was offline since 02/22/25 and due to Pending Corrigo WO was denied by customer.</t>
  </si>
  <si>
    <t>1. Site gateway not reporting since 03:30 on 03/25/25.</t>
  </si>
  <si>
    <t>1. 26 microinverters are not reporting  and 1 microinverter is not producing since 04/17. 
2. Both gateways (Gateway 122033008814, 122033006173) has not communicated since 05/08 at 11:58 EDT and later self resolved on 05/14.</t>
  </si>
  <si>
    <t>1. SR095856
2. SR101165</t>
  </si>
  <si>
    <t>SR101165</t>
  </si>
  <si>
    <t>1. 25 microinverters have not been reporting and are possibly offline since 04/29.</t>
  </si>
  <si>
    <t>1.1.SR094284, PM9699 &amp; SR097692, SR101677</t>
  </si>
  <si>
    <t>June Actual v. Expected</t>
  </si>
  <si>
    <t>June Actual v. Forecasted</t>
  </si>
  <si>
    <t>1.Site is not communicating</t>
  </si>
  <si>
    <t>July Actual v. Expected</t>
  </si>
  <si>
    <t>July Actual v. Forecasted</t>
  </si>
  <si>
    <t>1. Gateway has not reported since 7/27.</t>
  </si>
  <si>
    <t>1. SR091354</t>
  </si>
  <si>
    <t>August Actual v. Expected</t>
  </si>
  <si>
    <t>August Actual v. Forecasted</t>
  </si>
  <si>
    <t>September Actual v. Expected</t>
  </si>
  <si>
    <t>September Actual v. Forecasted</t>
  </si>
  <si>
    <t>October Actual v. Expected</t>
  </si>
  <si>
    <t>October Actual v. Forecasted</t>
  </si>
  <si>
    <t xml:space="preserve"> 1. Site experienced daily power generation off by command alerts from 11/14/24. wassue resolved on 11/24
</t>
  </si>
  <si>
    <t>1. SR093471</t>
  </si>
  <si>
    <t>November Actual v. Expected</t>
  </si>
  <si>
    <t>November Actual v. Forecasted</t>
  </si>
  <si>
    <t>1. SIte regained communication on 11/14</t>
  </si>
  <si>
    <t>1. 	SR091354</t>
  </si>
  <si>
    <t>December Actual v. Expected</t>
  </si>
  <si>
    <t>December Actual v. Forecasted</t>
  </si>
  <si>
    <t>Portfolio:</t>
  </si>
  <si>
    <t>JLL</t>
  </si>
  <si>
    <t>Site DAS Name</t>
  </si>
  <si>
    <t>Update</t>
  </si>
  <si>
    <t>DAS</t>
  </si>
  <si>
    <t>Bank of America - AZW-167 (Bullhead City, AZ)</t>
  </si>
  <si>
    <t>Bullhead</t>
  </si>
  <si>
    <t>AZ</t>
  </si>
  <si>
    <t>Enlighten</t>
  </si>
  <si>
    <t>Bank of America - AZW-166 (Peoria, AZ)</t>
  </si>
  <si>
    <t>Peoria</t>
  </si>
  <si>
    <t>Bank of America - AZ5-135 (Midvale Park, AZ)</t>
  </si>
  <si>
    <t>Tucson</t>
  </si>
  <si>
    <t>Bank of America - FL7-551 (Hialeah Miami Springs, FL)</t>
  </si>
  <si>
    <t>Hialeah</t>
  </si>
  <si>
    <t>FL</t>
  </si>
  <si>
    <t>Bank of America - FLW-B75 (Jacksonville, FL)</t>
  </si>
  <si>
    <t>Jacksonville</t>
  </si>
  <si>
    <t>Bank of America - FLW-B89 (Miami Gardens, FL)</t>
  </si>
  <si>
    <t>Miami Gardens</t>
  </si>
  <si>
    <t>Bank of America - FL4-199 (North Fort Myers, FL)</t>
  </si>
  <si>
    <t>Fort Myers</t>
  </si>
  <si>
    <t>Bank of America - FLW-D01 (Orlando, FL)</t>
  </si>
  <si>
    <t>Orlando</t>
  </si>
  <si>
    <t>Bank of America - FL5-644 (Port St. Lucie, FL)</t>
  </si>
  <si>
    <t>Port St. Lucie</t>
  </si>
  <si>
    <t>Bank of America - FL2-201 (Tampa, FL)</t>
  </si>
  <si>
    <t>Tampa</t>
  </si>
  <si>
    <t>Bank of America - GA7-247 (Roswell, GA)</t>
  </si>
  <si>
    <t>Roswell</t>
  </si>
  <si>
    <t>GA</t>
  </si>
  <si>
    <t>Bank of America - NC2-225 (Charlotte, NC)</t>
  </si>
  <si>
    <t>Charlotte</t>
  </si>
  <si>
    <t>NC</t>
  </si>
  <si>
    <t>Bank of America - NC7-430 (Raleigh, NC)</t>
  </si>
  <si>
    <t>Raleigh</t>
  </si>
  <si>
    <t>Bank of America - TN3-844 (Cordova, TN)</t>
  </si>
  <si>
    <t>Cordova</t>
  </si>
  <si>
    <t>TN</t>
  </si>
  <si>
    <t>Bank of America - TX9-794 (Austin, TX)</t>
  </si>
  <si>
    <t>Austin</t>
  </si>
  <si>
    <t>TX</t>
  </si>
  <si>
    <t>Bank of America - TX2-736 (Frisco, TX)</t>
  </si>
  <si>
    <t>Frisco</t>
  </si>
  <si>
    <t>Bank of America - TX5-204 (Copperfield, TX) (240 VAC High Leg Delta) (FC - Copperfield (High Leg Delta))</t>
  </si>
  <si>
    <t>Copperfield</t>
  </si>
  <si>
    <t>150 North College St - Bank of America Corporation</t>
  </si>
  <si>
    <t>Charlotte - B of A - 1 BAC</t>
  </si>
  <si>
    <t>Power Track</t>
  </si>
  <si>
    <t>401 North Tryon St - Bank of America Corporation</t>
  </si>
  <si>
    <t>Charlotte - B of A - 401 N Tryon</t>
  </si>
  <si>
    <t>B of A Chandler - Building A</t>
  </si>
  <si>
    <t>Chandler - B of A Campus Bldg A</t>
  </si>
  <si>
    <t>B of A Chandler - Building B</t>
  </si>
  <si>
    <t>Chandler - B of A Campus Bldg B</t>
  </si>
  <si>
    <t>B of A Chandler - Building C1 (Rooftop)</t>
  </si>
  <si>
    <t>Chandler - B of A Campus Bldg C</t>
  </si>
  <si>
    <t>B of A Chandler - Building D1 (Rooftop)</t>
  </si>
  <si>
    <t>Chandler - B of A Campus Bldg D</t>
  </si>
  <si>
    <t>Bank of America FL</t>
  </si>
  <si>
    <t>Tampa - BoA Ekman</t>
  </si>
  <si>
    <t>Charlotte - B of A - Sherrill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</si>
</sst>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2">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scheme val="minor"/>
    </font>
    <font>
      <sz val="12"/>
      <color rgb="FF000000"/>
      <name val="Calibri"/>
    </font>
    <font>
      <sz val="8"/>
      <name val="Arial"/>
    </font>
    <font>
      <sz val="11"/>
      <color rgb="FF000000"/>
      <name val="Calibri"/>
      <charset val="1"/>
    </font>
    <font>
      <sz val="12"/>
      <color rgb="FF000000"/>
      <name val="Calibri"/>
      <charset val="1"/>
    </font>
    <font>
      <u/>
      <sz val="10"/>
      <color theme="10"/>
      <name val="Arial"/>
    </font>
    <font>
      <sz val="11"/>
      <color rgb="FF242424"/>
      <name val="Aptos Narrow"/>
      <charset val="1"/>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s>
  <borders count="16">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40" fillId="0" borderId="0" applyNumberFormat="0" applyFill="0" applyBorder="0" applyAlignment="0" applyProtection="0"/>
  </cellStyleXfs>
  <cellXfs count="9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22" fillId="0" borderId="12" xfId="43" applyFont="1" applyBorder="1"/>
    <xf numFmtId="0" fontId="22" fillId="0" borderId="13" xfId="43" applyFont="1" applyBorder="1"/>
    <xf numFmtId="164" fontId="0" fillId="0" borderId="0" xfId="0" applyNumberFormat="1"/>
    <xf numFmtId="49" fontId="28"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23"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5" fillId="0" borderId="0" xfId="0" applyFont="1" applyAlignment="1">
      <alignment horizontal="left" vertical="top"/>
    </xf>
    <xf numFmtId="49" fontId="36" fillId="0" borderId="0" xfId="0" applyNumberFormat="1" applyFont="1" applyAlignment="1">
      <alignment horizontal="left" vertical="top" wrapText="1"/>
    </xf>
    <xf numFmtId="49" fontId="28" fillId="0" borderId="0" xfId="0" applyNumberFormat="1" applyFont="1" applyAlignment="1">
      <alignment vertical="top" wrapText="1"/>
    </xf>
    <xf numFmtId="49" fontId="27" fillId="0" borderId="0" xfId="0" applyNumberFormat="1" applyFont="1" applyAlignment="1">
      <alignment vertical="top" wrapText="1"/>
    </xf>
    <xf numFmtId="0" fontId="22" fillId="0" borderId="14" xfId="43" applyFont="1" applyBorder="1"/>
    <xf numFmtId="0" fontId="22" fillId="0" borderId="0" xfId="43" applyFont="1"/>
    <xf numFmtId="0" fontId="22" fillId="0" borderId="15" xfId="43" applyFont="1" applyBorder="1"/>
    <xf numFmtId="3" fontId="30" fillId="0" borderId="0" xfId="0" applyNumberFormat="1" applyFont="1" applyAlignment="1">
      <alignment horizontal="center" vertical="center"/>
    </xf>
    <xf numFmtId="0" fontId="38" fillId="0" borderId="0" xfId="0" applyFont="1"/>
    <xf numFmtId="0" fontId="39" fillId="0" borderId="0" xfId="0" applyFont="1"/>
    <xf numFmtId="0" fontId="27" fillId="46" borderId="0" xfId="0" applyFont="1" applyFill="1" applyAlignment="1">
      <alignment horizontal="center" vertical="center"/>
    </xf>
    <xf numFmtId="0" fontId="28" fillId="46" borderId="0" xfId="0" applyFont="1" applyFill="1" applyAlignment="1">
      <alignment horizontal="center" vertical="center"/>
    </xf>
    <xf numFmtId="164" fontId="28" fillId="46" borderId="0" xfId="1" applyNumberFormat="1" applyFont="1" applyFill="1" applyBorder="1" applyAlignment="1">
      <alignment horizontal="center" vertical="center"/>
    </xf>
    <xf numFmtId="3" fontId="30" fillId="46" borderId="0" xfId="0" applyNumberFormat="1" applyFont="1" applyFill="1" applyAlignment="1">
      <alignment horizontal="right" vertical="center"/>
    </xf>
    <xf numFmtId="0" fontId="23" fillId="0" borderId="0" xfId="0" applyFont="1" applyAlignment="1">
      <alignment wrapText="1"/>
    </xf>
    <xf numFmtId="0" fontId="23" fillId="0" borderId="0" xfId="0" applyFont="1" applyAlignment="1">
      <alignment horizontal="left" vertical="top" wrapText="1"/>
    </xf>
    <xf numFmtId="0" fontId="30" fillId="47" borderId="0" xfId="0" applyFont="1" applyFill="1" applyAlignment="1">
      <alignment wrapText="1"/>
    </xf>
    <xf numFmtId="0" fontId="30" fillId="47" borderId="0" xfId="0" applyFont="1" applyFill="1" applyAlignment="1">
      <alignment horizontal="left" vertical="top" wrapText="1"/>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3" fontId="30" fillId="4" borderId="0" xfId="1" applyNumberFormat="1" applyFont="1" applyFill="1" applyBorder="1" applyAlignment="1">
      <alignment horizontal="right" vertical="center"/>
    </xf>
    <xf numFmtId="3" fontId="30" fillId="0" borderId="0" xfId="1" applyNumberFormat="1" applyFont="1" applyFill="1" applyBorder="1" applyAlignment="1">
      <alignment horizontal="right" vertical="center"/>
    </xf>
    <xf numFmtId="49" fontId="40" fillId="0" borderId="0" xfId="45" applyNumberFormat="1" applyAlignment="1">
      <alignment vertical="center" wrapText="1"/>
    </xf>
    <xf numFmtId="0" fontId="40" fillId="0" borderId="0" xfId="45" applyAlignment="1">
      <alignment horizontal="left" vertical="top" wrapText="1"/>
    </xf>
    <xf numFmtId="0" fontId="40" fillId="47" borderId="0" xfId="45" applyFill="1" applyAlignment="1">
      <alignment horizontal="left" vertical="top" wrapText="1"/>
    </xf>
    <xf numFmtId="49" fontId="40" fillId="38" borderId="0" xfId="45" applyNumberFormat="1" applyFill="1" applyBorder="1" applyAlignment="1">
      <alignment vertical="top" wrapText="1"/>
    </xf>
    <xf numFmtId="49" fontId="40" fillId="0" borderId="0" xfId="45" applyNumberFormat="1" applyAlignment="1">
      <alignment horizontal="left" vertical="top" wrapText="1"/>
    </xf>
    <xf numFmtId="0" fontId="0" fillId="0" borderId="0" xfId="0" applyAlignment="1">
      <alignment horizontal="left" vertical="top"/>
    </xf>
    <xf numFmtId="0" fontId="40" fillId="0" borderId="0" xfId="45" applyAlignment="1">
      <alignment horizontal="left" vertical="top"/>
    </xf>
    <xf numFmtId="0" fontId="41" fillId="0" borderId="0" xfId="0" applyFont="1" applyAlignment="1">
      <alignment wrapText="1"/>
    </xf>
    <xf numFmtId="3" fontId="30" fillId="4" borderId="0" xfId="1" applyNumberFormat="1" applyFont="1" applyFill="1" applyBorder="1" applyAlignment="1">
      <alignment horizontal="right"/>
    </xf>
    <xf numFmtId="3" fontId="30" fillId="0" borderId="0" xfId="1" applyNumberFormat="1" applyFont="1" applyFill="1" applyBorder="1" applyAlignment="1">
      <alignment horizontal="right"/>
    </xf>
    <xf numFmtId="49" fontId="40" fillId="0" borderId="0" xfId="45" applyNumberFormat="1" applyAlignment="1">
      <alignment vertical="top" wrapText="1"/>
    </xf>
    <xf numFmtId="164" fontId="40" fillId="0" borderId="0" xfId="45" applyNumberFormat="1"/>
    <xf numFmtId="0" fontId="40" fillId="0" borderId="0" xfId="45"/>
    <xf numFmtId="49" fontId="40" fillId="38" borderId="0" xfId="45" applyNumberFormat="1" applyFill="1" applyAlignment="1">
      <alignment vertical="top" wrapText="1"/>
    </xf>
    <xf numFmtId="164" fontId="40" fillId="0" borderId="0" xfId="45" applyNumberFormat="1" applyAlignment="1">
      <alignment vertical="top"/>
    </xf>
    <xf numFmtId="0" fontId="40" fillId="0" borderId="0" xfId="45"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3">
    <dxf>
      <font>
        <b val="0"/>
        <i val="0"/>
        <strike val="0"/>
        <condense val="0"/>
        <extend val="0"/>
        <outline val="0"/>
        <shadow val="0"/>
        <u val="none"/>
        <vertAlign val="baseline"/>
        <sz val="10"/>
        <color theme="1"/>
        <name val="Arial"/>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border diagonalUp="0" diagonalDown="0">
        <left style="thin">
          <color theme="4" tint="0.39997558519241921"/>
        </left>
        <right/>
        <top style="thin">
          <color theme="4" tint="0.39997558519241921"/>
        </top>
        <bottom style="thin">
          <color theme="4" tint="0.39997558519241921"/>
        </bottom>
        <vertical/>
        <horizontal/>
      </border>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8" totalsRowShown="0">
  <autoFilter ref="A3:E28" xr:uid="{C9C95D9E-67ED-41E0-9F41-9C3DA4ACF4CD}"/>
  <sortState xmlns:xlrd2="http://schemas.microsoft.com/office/spreadsheetml/2017/richdata2" ref="A4:E20">
    <sortCondition ref="C3:C20"/>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523" TargetMode="External"/><Relationship Id="rId13" Type="http://schemas.openxmlformats.org/officeDocument/2006/relationships/hyperlink" Target="https://us3.assetplanner.com/service_request?ID=086583" TargetMode="External"/><Relationship Id="rId18" Type="http://schemas.openxmlformats.org/officeDocument/2006/relationships/hyperlink" Target="https://us3.assetplanner.com/service_request?ID=095935" TargetMode="External"/><Relationship Id="rId3" Type="http://schemas.openxmlformats.org/officeDocument/2006/relationships/hyperlink" Target="https://us3.assetplanner.com/service_request?ID=095856" TargetMode="External"/><Relationship Id="rId21" Type="http://schemas.openxmlformats.org/officeDocument/2006/relationships/hyperlink" Target="https://us3.assetplanner.com/service_request?ID=095456" TargetMode="External"/><Relationship Id="rId7" Type="http://schemas.openxmlformats.org/officeDocument/2006/relationships/hyperlink" Target="https://us3.assetplanner.com/service_request?ID=087694" TargetMode="External"/><Relationship Id="rId12" Type="http://schemas.openxmlformats.org/officeDocument/2006/relationships/hyperlink" Target="https://us3.assetplanner.com/service_request?ID=086583" TargetMode="External"/><Relationship Id="rId17" Type="http://schemas.openxmlformats.org/officeDocument/2006/relationships/hyperlink" Target="https://us3.assetplanner.com/service_request?ID=095456" TargetMode="External"/><Relationship Id="rId25" Type="http://schemas.openxmlformats.org/officeDocument/2006/relationships/hyperlink" Target="https://us3.assetplanner.com/service_request?ID=086585" TargetMode="External"/><Relationship Id="rId2" Type="http://schemas.openxmlformats.org/officeDocument/2006/relationships/hyperlink" Target="https://us3.assetplanner.com/service_request?ID=090283" TargetMode="External"/><Relationship Id="rId16" Type="http://schemas.openxmlformats.org/officeDocument/2006/relationships/hyperlink" Target="https://us3.assetplanner.com/service_request?ID=095935" TargetMode="External"/><Relationship Id="rId20" Type="http://schemas.openxmlformats.org/officeDocument/2006/relationships/hyperlink" Target="https://us3.assetplanner.com/service_request?ID=095935" TargetMode="External"/><Relationship Id="rId1" Type="http://schemas.openxmlformats.org/officeDocument/2006/relationships/hyperlink" Target="https://us3.assetplanner.com/service_request?ID=097705" TargetMode="External"/><Relationship Id="rId6" Type="http://schemas.openxmlformats.org/officeDocument/2006/relationships/hyperlink" Target="https://us3.assetplanner.com/service_request?ID=097571" TargetMode="External"/><Relationship Id="rId11" Type="http://schemas.openxmlformats.org/officeDocument/2006/relationships/hyperlink" Target="https://us3.assetplanner.com/service_request?ID=097692" TargetMode="External"/><Relationship Id="rId24" Type="http://schemas.openxmlformats.org/officeDocument/2006/relationships/hyperlink" Target="https://us3.assetplanner.com/service_request?ID=096384" TargetMode="External"/><Relationship Id="rId5" Type="http://schemas.openxmlformats.org/officeDocument/2006/relationships/hyperlink" Target="https://us3.assetplanner.com/service_request?ID=097570" TargetMode="External"/><Relationship Id="rId15" Type="http://schemas.openxmlformats.org/officeDocument/2006/relationships/hyperlink" Target="https://us3.assetplanner.com/service_request?ID=095456" TargetMode="External"/><Relationship Id="rId23" Type="http://schemas.openxmlformats.org/officeDocument/2006/relationships/hyperlink" Target="https://us3.assetplanner.com/service_request?ID=092433" TargetMode="External"/><Relationship Id="rId10" Type="http://schemas.openxmlformats.org/officeDocument/2006/relationships/hyperlink" Target="https://us3.assetplanner.com/service_request?ID=094284" TargetMode="External"/><Relationship Id="rId19" Type="http://schemas.openxmlformats.org/officeDocument/2006/relationships/hyperlink" Target="https://us3.assetplanner.com/service_request?ID=095456" TargetMode="External"/><Relationship Id="rId4" Type="http://schemas.openxmlformats.org/officeDocument/2006/relationships/hyperlink" Target="https://us3.assetplanner.com/service_request?ID=087006" TargetMode="External"/><Relationship Id="rId9" Type="http://schemas.openxmlformats.org/officeDocument/2006/relationships/hyperlink" Target="https://us3.assetplanner.com/service_request?ID=097030" TargetMode="External"/><Relationship Id="rId14" Type="http://schemas.openxmlformats.org/officeDocument/2006/relationships/hyperlink" Target="https://us3.assetplanner.com/service_request?ID=095935" TargetMode="External"/><Relationship Id="rId22" Type="http://schemas.openxmlformats.org/officeDocument/2006/relationships/hyperlink" Target="https://us3.assetplanner.com/service_request?ID=09553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570" TargetMode="External"/><Relationship Id="rId13" Type="http://schemas.openxmlformats.org/officeDocument/2006/relationships/hyperlink" Target="https://us3.assetplanner.com/service_request?ID=095935" TargetMode="External"/><Relationship Id="rId18" Type="http://schemas.openxmlformats.org/officeDocument/2006/relationships/hyperlink" Target="https://us3.assetplanner.com/service_request?ID=095456" TargetMode="External"/><Relationship Id="rId3" Type="http://schemas.openxmlformats.org/officeDocument/2006/relationships/hyperlink" Target="https://us3.assetplanner.com/service_request?ID=090283" TargetMode="External"/><Relationship Id="rId21" Type="http://schemas.openxmlformats.org/officeDocument/2006/relationships/hyperlink" Target="https://us3.assetplanner.com/service_request?ID=096384" TargetMode="External"/><Relationship Id="rId7" Type="http://schemas.openxmlformats.org/officeDocument/2006/relationships/hyperlink" Target="https://us3.assetplanner.com/service_request?ID=087006" TargetMode="External"/><Relationship Id="rId12" Type="http://schemas.openxmlformats.org/officeDocument/2006/relationships/hyperlink" Target="https://us3.assetplanner.com/service_request?ID=086583" TargetMode="External"/><Relationship Id="rId17" Type="http://schemas.openxmlformats.org/officeDocument/2006/relationships/hyperlink" Target="https://us3.assetplanner.com/service_request?ID=095935" TargetMode="External"/><Relationship Id="rId2" Type="http://schemas.openxmlformats.org/officeDocument/2006/relationships/hyperlink" Target="https://us3.assetplanner.com/service_request?ID=099003" TargetMode="External"/><Relationship Id="rId16" Type="http://schemas.openxmlformats.org/officeDocument/2006/relationships/hyperlink" Target="https://us3.assetplanner.com/service_request?ID=095456" TargetMode="External"/><Relationship Id="rId20" Type="http://schemas.openxmlformats.org/officeDocument/2006/relationships/hyperlink" Target="https://us3.assetplanner.com/service_request?ID=095456" TargetMode="External"/><Relationship Id="rId1" Type="http://schemas.openxmlformats.org/officeDocument/2006/relationships/hyperlink" Target="https://us3.assetplanner.com/service_request?ID=097705" TargetMode="External"/><Relationship Id="rId6" Type="http://schemas.openxmlformats.org/officeDocument/2006/relationships/hyperlink" Target="https://us3.assetplanner.com/service_request?ID=099197" TargetMode="External"/><Relationship Id="rId11" Type="http://schemas.openxmlformats.org/officeDocument/2006/relationships/hyperlink" Target="https://us3.assetplanner.com/service_request?ID=086583" TargetMode="External"/><Relationship Id="rId5" Type="http://schemas.openxmlformats.org/officeDocument/2006/relationships/hyperlink" Target="https://us3.assetplanner.com/service_request?ID=099294" TargetMode="External"/><Relationship Id="rId15" Type="http://schemas.openxmlformats.org/officeDocument/2006/relationships/hyperlink" Target="https://us3.assetplanner.com/service_request?ID=095935" TargetMode="External"/><Relationship Id="rId23" Type="http://schemas.openxmlformats.org/officeDocument/2006/relationships/hyperlink" Target="https://us3.assetplanner.com/service_request?ID=094284" TargetMode="External"/><Relationship Id="rId10" Type="http://schemas.openxmlformats.org/officeDocument/2006/relationships/hyperlink" Target="https://us3.assetplanner.com/service_request?ID=097692" TargetMode="External"/><Relationship Id="rId19" Type="http://schemas.openxmlformats.org/officeDocument/2006/relationships/hyperlink" Target="https://us3.assetplanner.com/service_request?ID=095935" TargetMode="External"/><Relationship Id="rId4" Type="http://schemas.openxmlformats.org/officeDocument/2006/relationships/hyperlink" Target="https://us3.assetplanner.com/service_request?ID=095856" TargetMode="External"/><Relationship Id="rId9" Type="http://schemas.openxmlformats.org/officeDocument/2006/relationships/hyperlink" Target="https://us3.assetplanner.com/service_request?ID=099372" TargetMode="External"/><Relationship Id="rId14" Type="http://schemas.openxmlformats.org/officeDocument/2006/relationships/hyperlink" Target="https://us3.assetplanner.com/service_request?ID=095456" TargetMode="External"/><Relationship Id="rId22" Type="http://schemas.openxmlformats.org/officeDocument/2006/relationships/hyperlink" Target="https://us3.assetplanner.com/service_request?ID=086585"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372" TargetMode="External"/><Relationship Id="rId13" Type="http://schemas.openxmlformats.org/officeDocument/2006/relationships/hyperlink" Target="https://us3.assetplanner.com/service_request?ID=086584" TargetMode="External"/><Relationship Id="rId18" Type="http://schemas.openxmlformats.org/officeDocument/2006/relationships/hyperlink" Target="https://us3.assetplanner.com/service_request?ID=095935" TargetMode="External"/><Relationship Id="rId3" Type="http://schemas.openxmlformats.org/officeDocument/2006/relationships/hyperlink" Target="https://us3.assetplanner.com/service_request?ID=090283" TargetMode="External"/><Relationship Id="rId21" Type="http://schemas.openxmlformats.org/officeDocument/2006/relationships/hyperlink" Target="https://us3.assetplanner.com/service_request?ID=095456" TargetMode="External"/><Relationship Id="rId7" Type="http://schemas.openxmlformats.org/officeDocument/2006/relationships/hyperlink" Target="https://us3.assetplanner.com/service_request?ID=087006" TargetMode="External"/><Relationship Id="rId12" Type="http://schemas.openxmlformats.org/officeDocument/2006/relationships/hyperlink" Target="https://us3.assetplanner.com/service_request?ID=086583" TargetMode="External"/><Relationship Id="rId17" Type="http://schemas.openxmlformats.org/officeDocument/2006/relationships/hyperlink" Target="https://us3.assetplanner.com/service_request?ID=095456" TargetMode="External"/><Relationship Id="rId2" Type="http://schemas.openxmlformats.org/officeDocument/2006/relationships/hyperlink" Target="https://us3.assetplanner.com/service_request?ID=099003" TargetMode="External"/><Relationship Id="rId16" Type="http://schemas.openxmlformats.org/officeDocument/2006/relationships/hyperlink" Target="https://us3.assetplanner.com/service_request?ID=095935" TargetMode="External"/><Relationship Id="rId20" Type="http://schemas.openxmlformats.org/officeDocument/2006/relationships/hyperlink" Target="https://us3.assetplanner.com/service_request?ID=095935" TargetMode="External"/><Relationship Id="rId1" Type="http://schemas.openxmlformats.org/officeDocument/2006/relationships/hyperlink" Target="https://us3.assetplanner.com/service_request?ID=097705" TargetMode="External"/><Relationship Id="rId6" Type="http://schemas.openxmlformats.org/officeDocument/2006/relationships/hyperlink" Target="https://us3.assetplanner.com/service_request?ID=095856" TargetMode="External"/><Relationship Id="rId11" Type="http://schemas.openxmlformats.org/officeDocument/2006/relationships/hyperlink" Target="https://us3.assetplanner.com/service_request?ID=101677" TargetMode="External"/><Relationship Id="rId5" Type="http://schemas.openxmlformats.org/officeDocument/2006/relationships/hyperlink" Target="https://us3.assetplanner.com/service_request?ID=099294" TargetMode="External"/><Relationship Id="rId15" Type="http://schemas.openxmlformats.org/officeDocument/2006/relationships/hyperlink" Target="https://us3.assetplanner.com/service_request?ID=095456" TargetMode="External"/><Relationship Id="rId23" Type="http://schemas.openxmlformats.org/officeDocument/2006/relationships/hyperlink" Target="https://us3.assetplanner.com/service_request?ID=086585" TargetMode="External"/><Relationship Id="rId10" Type="http://schemas.openxmlformats.org/officeDocument/2006/relationships/hyperlink" Target="https://us3.assetplanner.com/service_request?ID=097692" TargetMode="External"/><Relationship Id="rId19" Type="http://schemas.openxmlformats.org/officeDocument/2006/relationships/hyperlink" Target="https://us3.assetplanner.com/service_request?ID=095456" TargetMode="External"/><Relationship Id="rId4" Type="http://schemas.openxmlformats.org/officeDocument/2006/relationships/hyperlink" Target="https://us3.assetplanner.com/service_request?ID=100345" TargetMode="External"/><Relationship Id="rId9" Type="http://schemas.openxmlformats.org/officeDocument/2006/relationships/hyperlink" Target="https://us3.assetplanner.com/service_request?ID=094284" TargetMode="External"/><Relationship Id="rId14" Type="http://schemas.openxmlformats.org/officeDocument/2006/relationships/hyperlink" Target="https://us3.assetplanner.com/service_request?ID=095935" TargetMode="External"/><Relationship Id="rId22" Type="http://schemas.openxmlformats.org/officeDocument/2006/relationships/hyperlink" Target="https://us3.assetplanner.com/service_request?ID=096384"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372" TargetMode="External"/><Relationship Id="rId13" Type="http://schemas.openxmlformats.org/officeDocument/2006/relationships/hyperlink" Target="https://us3.assetplanner.com/service_request?ID=086584" TargetMode="External"/><Relationship Id="rId18" Type="http://schemas.openxmlformats.org/officeDocument/2006/relationships/hyperlink" Target="https://us3.assetplanner.com/service_request?ID=095935" TargetMode="External"/><Relationship Id="rId3" Type="http://schemas.openxmlformats.org/officeDocument/2006/relationships/hyperlink" Target="https://us3.assetplanner.com/service_request?ID=090283" TargetMode="External"/><Relationship Id="rId21" Type="http://schemas.openxmlformats.org/officeDocument/2006/relationships/hyperlink" Target="https://us3.assetplanner.com/service_request?ID=095456" TargetMode="External"/><Relationship Id="rId7" Type="http://schemas.openxmlformats.org/officeDocument/2006/relationships/hyperlink" Target="https://us3.assetplanner.com/service_request?ID=087006" TargetMode="External"/><Relationship Id="rId12" Type="http://schemas.openxmlformats.org/officeDocument/2006/relationships/hyperlink" Target="https://us3.assetplanner.com/service_request?ID=086583" TargetMode="External"/><Relationship Id="rId17" Type="http://schemas.openxmlformats.org/officeDocument/2006/relationships/hyperlink" Target="https://us3.assetplanner.com/service_request?ID=095456" TargetMode="External"/><Relationship Id="rId2" Type="http://schemas.openxmlformats.org/officeDocument/2006/relationships/hyperlink" Target="https://us3.assetplanner.com/service_request?ID=099003" TargetMode="External"/><Relationship Id="rId16" Type="http://schemas.openxmlformats.org/officeDocument/2006/relationships/hyperlink" Target="https://us3.assetplanner.com/service_request?ID=095935" TargetMode="External"/><Relationship Id="rId20" Type="http://schemas.openxmlformats.org/officeDocument/2006/relationships/hyperlink" Target="https://us3.assetplanner.com/service_request?ID=095935" TargetMode="External"/><Relationship Id="rId1" Type="http://schemas.openxmlformats.org/officeDocument/2006/relationships/hyperlink" Target="https://us3.assetplanner.com/service_request?ID=097705" TargetMode="External"/><Relationship Id="rId6" Type="http://schemas.openxmlformats.org/officeDocument/2006/relationships/hyperlink" Target="https://us3.assetplanner.com/service_request?ID=101165" TargetMode="External"/><Relationship Id="rId11" Type="http://schemas.openxmlformats.org/officeDocument/2006/relationships/hyperlink" Target="https://us3.assetplanner.com/service_request?ID=101677" TargetMode="External"/><Relationship Id="rId5" Type="http://schemas.openxmlformats.org/officeDocument/2006/relationships/hyperlink" Target="https://us3.assetplanner.com/service_request?ID=095856" TargetMode="External"/><Relationship Id="rId15" Type="http://schemas.openxmlformats.org/officeDocument/2006/relationships/hyperlink" Target="https://us3.assetplanner.com/service_request?ID=095456" TargetMode="External"/><Relationship Id="rId23" Type="http://schemas.openxmlformats.org/officeDocument/2006/relationships/hyperlink" Target="https://us3.assetplanner.com/service_request?ID=086585" TargetMode="External"/><Relationship Id="rId10" Type="http://schemas.openxmlformats.org/officeDocument/2006/relationships/hyperlink" Target="https://us3.assetplanner.com/service_request?ID=097692" TargetMode="External"/><Relationship Id="rId19" Type="http://schemas.openxmlformats.org/officeDocument/2006/relationships/hyperlink" Target="https://us3.assetplanner.com/service_request?ID=095456" TargetMode="External"/><Relationship Id="rId4" Type="http://schemas.openxmlformats.org/officeDocument/2006/relationships/hyperlink" Target="https://us3.assetplanner.com/service_request?ID=100345" TargetMode="External"/><Relationship Id="rId9" Type="http://schemas.openxmlformats.org/officeDocument/2006/relationships/hyperlink" Target="https://us3.assetplanner.com/service_request?ID=094284" TargetMode="External"/><Relationship Id="rId14" Type="http://schemas.openxmlformats.org/officeDocument/2006/relationships/hyperlink" Target="https://us3.assetplanner.com/service_request?ID=095935" TargetMode="External"/><Relationship Id="rId22" Type="http://schemas.openxmlformats.org/officeDocument/2006/relationships/hyperlink" Target="https://us3.assetplanner.com/service_request?ID=09638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0"/>
  <sheetViews>
    <sheetView workbookViewId="0">
      <pane xSplit="2" ySplit="3" topLeftCell="C4" activePane="bottomRight" state="frozen"/>
      <selection pane="bottomRight" activeCell="H23" sqref="H23"/>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JLL</v>
      </c>
      <c r="B1" s="91"/>
      <c r="C1" s="91"/>
      <c r="D1" s="92" t="s">
        <v>0</v>
      </c>
      <c r="E1" s="92"/>
      <c r="F1" s="92"/>
      <c r="G1" s="90" t="s">
        <v>1</v>
      </c>
      <c r="H1" s="90"/>
      <c r="I1" s="90"/>
    </row>
    <row r="2" spans="1:9" ht="19.5" customHeight="1">
      <c r="A2" s="93" t="s">
        <v>2</v>
      </c>
      <c r="B2" s="93"/>
      <c r="C2" s="5">
        <f>SUM(C4:C98)</f>
        <v>321048.413</v>
      </c>
      <c r="D2" s="5">
        <f>SUM(D4:D98)</f>
        <v>0</v>
      </c>
      <c r="E2" s="5">
        <f>C2-D2</f>
        <v>321048.413</v>
      </c>
      <c r="F2" s="6">
        <f>IFERROR(E2/D2, 0)</f>
        <v>0</v>
      </c>
      <c r="G2" s="5">
        <f>SUM(G4:G98)</f>
        <v>0</v>
      </c>
      <c r="H2" s="7">
        <f>C2-G2</f>
        <v>321048.413</v>
      </c>
      <c r="I2" s="6">
        <f>IFERROR(H2/G2, 0)</f>
        <v>0</v>
      </c>
    </row>
    <row r="3" spans="1:9" ht="14.25" customHeight="1">
      <c r="A3" s="8" t="s">
        <v>3</v>
      </c>
      <c r="B3" s="8" t="s">
        <v>4</v>
      </c>
      <c r="C3" s="23" t="s">
        <v>5</v>
      </c>
      <c r="D3" s="35" t="s">
        <v>6</v>
      </c>
      <c r="E3" s="35" t="s">
        <v>7</v>
      </c>
      <c r="F3" s="36" t="s">
        <v>8</v>
      </c>
      <c r="G3" s="37" t="s">
        <v>9</v>
      </c>
      <c r="H3" s="38" t="s">
        <v>7</v>
      </c>
      <c r="I3" s="39" t="s">
        <v>8</v>
      </c>
    </row>
    <row r="4" spans="1:9" ht="15.6">
      <c r="A4" s="12" t="str" cm="1">
        <f t="array" ref="A4:A28">Sites[Site]</f>
        <v>Bullhead</v>
      </c>
      <c r="B4" s="9" t="str" cm="1">
        <f t="array" ref="B4:B28">Sites[State]</f>
        <v>AZ</v>
      </c>
      <c r="C4" s="24">
        <f>SUM('1st Qtr'!C4, '2nd Qtr'!C4, '3rd Qtr'!C4, '4th Qtr'!C4)</f>
        <v>515.79999999999995</v>
      </c>
      <c r="D4" s="13">
        <f>SUM('1st Qtr'!D4, '2nd Qtr'!D4, '3rd Qtr'!D4, '4th Qtr'!D4)</f>
        <v>0</v>
      </c>
      <c r="E4" s="13">
        <f>IF(AND(ISNUMBER(C4),ISNUMBER(D4)), C4-D4, "")</f>
        <v>515.79999999999995</v>
      </c>
      <c r="F4" s="14" t="str">
        <f>IFERROR(E4/D4, "")</f>
        <v/>
      </c>
      <c r="G4" s="15">
        <f>SUM('1st Qtr'!G4, '2nd Qtr'!G4, '3rd Qtr'!G4, '4th Qtr'!G4)</f>
        <v>0</v>
      </c>
      <c r="H4" s="15">
        <f>SUM('1st Qtr'!H4, '2nd Qtr'!H4, '3rd Qtr'!H4, '4th Qtr'!H4)</f>
        <v>0</v>
      </c>
      <c r="I4" s="16" t="str">
        <f>IFERROR(H4/G4, "")</f>
        <v/>
      </c>
    </row>
    <row r="5" spans="1:9" ht="15.6">
      <c r="A5" s="17" t="str">
        <v>Peoria</v>
      </c>
      <c r="B5" s="10" t="str">
        <v>AZ</v>
      </c>
      <c r="C5" s="11">
        <f>SUM('1st Qtr'!C5, '2nd Qtr'!C5, '3rd Qtr'!C5, '4th Qtr'!C5)</f>
        <v>134.30000000000001</v>
      </c>
      <c r="D5" s="18">
        <f>SUM('1st Qtr'!D5, '2nd Qtr'!D5, '3rd Qtr'!D5, '4th Qtr'!D5)</f>
        <v>0</v>
      </c>
      <c r="E5" s="18">
        <f t="shared" ref="E5:E15" si="0">IF(AND(ISNUMBER(C5),ISNUMBER(D5)), C5-D5, "")</f>
        <v>134.30000000000001</v>
      </c>
      <c r="F5" s="19" t="str">
        <f>IFERROR(E5/D5, "")</f>
        <v/>
      </c>
      <c r="G5" s="20">
        <f>SUM('1st Qtr'!G5, '2nd Qtr'!G5, '3rd Qtr'!G5, '4th Qtr'!G5)</f>
        <v>0</v>
      </c>
      <c r="H5" s="20">
        <f>SUM(Jan!H5, Feb!H5, Mar!H5)</f>
        <v>0</v>
      </c>
      <c r="I5" s="19" t="str">
        <f>IFERROR(H5/G5, "")</f>
        <v/>
      </c>
    </row>
    <row r="6" spans="1:9" ht="15.6">
      <c r="A6" s="12" t="str">
        <v>Tucson</v>
      </c>
      <c r="B6" s="9" t="str">
        <v>AZ</v>
      </c>
      <c r="C6" s="24">
        <f>SUM('1st Qtr'!C6, '2nd Qtr'!C6, '3rd Qtr'!C6, '4th Qtr'!C6)</f>
        <v>4801.1890000000003</v>
      </c>
      <c r="D6" s="13">
        <f>SUM('1st Qtr'!D6, '2nd Qtr'!D6, '3rd Qtr'!D6, '4th Qtr'!D6)</f>
        <v>0</v>
      </c>
      <c r="E6" s="13">
        <f t="shared" si="0"/>
        <v>4801.1890000000003</v>
      </c>
      <c r="F6" s="14" t="str">
        <f t="shared" ref="F6:F15" si="1">IFERROR(E6/D6, "")</f>
        <v/>
      </c>
      <c r="G6" s="15">
        <f>SUM('1st Qtr'!G6, '2nd Qtr'!G6, '3rd Qtr'!G6, '4th Qtr'!G6)</f>
        <v>0</v>
      </c>
      <c r="H6" s="15">
        <f>SUM(Jan!H6, Feb!H6, Mar!H6)</f>
        <v>0</v>
      </c>
      <c r="I6" s="16" t="str">
        <f t="shared" ref="I6:I15" si="2">IFERROR(H6/G6, "")</f>
        <v/>
      </c>
    </row>
    <row r="7" spans="1:9" ht="15.6">
      <c r="A7" s="17" t="str">
        <v>Hialeah</v>
      </c>
      <c r="B7" s="10" t="str">
        <v>FL</v>
      </c>
      <c r="C7" s="11">
        <f>SUM('1st Qtr'!C7, '2nd Qtr'!C7, '3rd Qtr'!C7, '4th Qtr'!C7)</f>
        <v>-4653.21</v>
      </c>
      <c r="D7" s="18">
        <f>SUM('1st Qtr'!D7, '2nd Qtr'!D7, '3rd Qtr'!D7, '4th Qtr'!D7)</f>
        <v>0</v>
      </c>
      <c r="E7" s="18">
        <f t="shared" si="0"/>
        <v>-4653.21</v>
      </c>
      <c r="F7" s="19" t="str">
        <f t="shared" si="1"/>
        <v/>
      </c>
      <c r="G7" s="20">
        <f>SUM('1st Qtr'!G7, '2nd Qtr'!G7, '3rd Qtr'!G7, '4th Qtr'!G7)</f>
        <v>0</v>
      </c>
      <c r="H7" s="20">
        <f>SUM(Jan!H7, Feb!H7, Mar!H7)</f>
        <v>0</v>
      </c>
      <c r="I7" s="19" t="str">
        <f t="shared" si="2"/>
        <v/>
      </c>
    </row>
    <row r="8" spans="1:9" ht="15.6">
      <c r="A8" s="12" t="str">
        <v>Jacksonville</v>
      </c>
      <c r="B8" s="9" t="str">
        <v>FL</v>
      </c>
      <c r="C8" s="24">
        <f>SUM('1st Qtr'!C8, '2nd Qtr'!C8, '3rd Qtr'!C8, '4th Qtr'!C8)</f>
        <v>518.56400000000008</v>
      </c>
      <c r="D8" s="13">
        <f>SUM('1st Qtr'!D8, '2nd Qtr'!D8, '3rd Qtr'!D8, '4th Qtr'!D8)</f>
        <v>0</v>
      </c>
      <c r="E8" s="13">
        <f t="shared" si="0"/>
        <v>518.56400000000008</v>
      </c>
      <c r="F8" s="14" t="str">
        <f t="shared" si="1"/>
        <v/>
      </c>
      <c r="G8" s="15">
        <f>SUM('1st Qtr'!G8, '2nd Qtr'!G8, '3rd Qtr'!G8, '4th Qtr'!G8)</f>
        <v>0</v>
      </c>
      <c r="H8" s="15">
        <f>SUM(Jan!H8, Feb!H8, Mar!H8)</f>
        <v>0</v>
      </c>
      <c r="I8" s="16" t="str">
        <f t="shared" si="2"/>
        <v/>
      </c>
    </row>
    <row r="9" spans="1:9" ht="15.6">
      <c r="A9" s="17" t="str">
        <v>Miami Gardens</v>
      </c>
      <c r="B9" s="10" t="str">
        <v>FL</v>
      </c>
      <c r="C9" s="11">
        <f>SUM('1st Qtr'!C9, '2nd Qtr'!C9, '3rd Qtr'!C9, '4th Qtr'!C9)</f>
        <v>543.6</v>
      </c>
      <c r="D9" s="18">
        <f>SUM('1st Qtr'!D9, '2nd Qtr'!D9, '3rd Qtr'!D9, '4th Qtr'!D9)</f>
        <v>0</v>
      </c>
      <c r="E9" s="18">
        <f t="shared" si="0"/>
        <v>543.6</v>
      </c>
      <c r="F9" s="19" t="str">
        <f t="shared" si="1"/>
        <v/>
      </c>
      <c r="G9" s="20">
        <f>SUM('1st Qtr'!G9, '2nd Qtr'!G9, '3rd Qtr'!G9, '4th Qtr'!G9)</f>
        <v>0</v>
      </c>
      <c r="H9" s="20">
        <f>SUM(Jan!H9, Feb!H9, Mar!H9)</f>
        <v>0</v>
      </c>
      <c r="I9" s="19" t="str">
        <f t="shared" si="2"/>
        <v/>
      </c>
    </row>
    <row r="10" spans="1:9" ht="15.6">
      <c r="A10" s="12" t="str">
        <v>Fort Myers</v>
      </c>
      <c r="B10" s="9" t="str">
        <v>FL</v>
      </c>
      <c r="C10" s="24">
        <f>SUM('1st Qtr'!C10, '2nd Qtr'!C10, '3rd Qtr'!C10, '4th Qtr'!C10)</f>
        <v>27115.1</v>
      </c>
      <c r="D10" s="13">
        <f>SUM('1st Qtr'!D10, '2nd Qtr'!D10, '3rd Qtr'!D10, '4th Qtr'!D10)</f>
        <v>0</v>
      </c>
      <c r="E10" s="13">
        <f t="shared" si="0"/>
        <v>27115.1</v>
      </c>
      <c r="F10" s="14" t="str">
        <f t="shared" si="1"/>
        <v/>
      </c>
      <c r="G10" s="15">
        <f>SUM('1st Qtr'!G10, '2nd Qtr'!G10, '3rd Qtr'!G10, '4th Qtr'!G10)</f>
        <v>0</v>
      </c>
      <c r="H10" s="15">
        <f>SUM(Jan!H10, Feb!H10, Mar!H10)</f>
        <v>0</v>
      </c>
      <c r="I10" s="16" t="str">
        <f t="shared" si="2"/>
        <v/>
      </c>
    </row>
    <row r="11" spans="1:9" ht="15.6">
      <c r="A11" s="17" t="str">
        <v>Orlando</v>
      </c>
      <c r="B11" s="10" t="str">
        <v>FL</v>
      </c>
      <c r="C11" s="11">
        <f>SUM('1st Qtr'!C11, '2nd Qtr'!C11, '3rd Qtr'!C11, '4th Qtr'!C11)</f>
        <v>21120.15</v>
      </c>
      <c r="D11" s="18">
        <f>SUM('1st Qtr'!D11, '2nd Qtr'!D11, '3rd Qtr'!D11, '4th Qtr'!D11)</f>
        <v>0</v>
      </c>
      <c r="E11" s="18">
        <f t="shared" si="0"/>
        <v>21120.15</v>
      </c>
      <c r="F11" s="19" t="str">
        <f t="shared" si="1"/>
        <v/>
      </c>
      <c r="G11" s="20">
        <f>SUM('1st Qtr'!G11, '2nd Qtr'!G11, '3rd Qtr'!G11, '4th Qtr'!G11)</f>
        <v>0</v>
      </c>
      <c r="H11" s="20">
        <f>SUM(Jan!H11, Feb!H11, Mar!H11)</f>
        <v>0</v>
      </c>
      <c r="I11" s="19" t="str">
        <f t="shared" si="2"/>
        <v/>
      </c>
    </row>
    <row r="12" spans="1:9" ht="15.6">
      <c r="A12" s="12" t="str">
        <v>Port St. Lucie</v>
      </c>
      <c r="B12" s="9" t="str">
        <v>FL</v>
      </c>
      <c r="C12" s="24">
        <f>SUM('1st Qtr'!C12, '2nd Qtr'!C12, '3rd Qtr'!C12, '4th Qtr'!C12)</f>
        <v>45063.199999999997</v>
      </c>
      <c r="D12" s="13">
        <f>SUM('1st Qtr'!D12, '2nd Qtr'!D12, '3rd Qtr'!D12, '4th Qtr'!D12)</f>
        <v>0</v>
      </c>
      <c r="E12" s="13">
        <f t="shared" si="0"/>
        <v>45063.199999999997</v>
      </c>
      <c r="F12" s="14" t="str">
        <f t="shared" si="1"/>
        <v/>
      </c>
      <c r="G12" s="15">
        <f>SUM('1st Qtr'!G12, '2nd Qtr'!G12, '3rd Qtr'!G12, '4th Qtr'!G12)</f>
        <v>0</v>
      </c>
      <c r="H12" s="15">
        <f>SUM(Jan!H12, Feb!H12, Mar!H12)</f>
        <v>0</v>
      </c>
      <c r="I12" s="16" t="str">
        <f t="shared" si="2"/>
        <v/>
      </c>
    </row>
    <row r="13" spans="1:9" ht="15.6">
      <c r="A13" s="17" t="str">
        <v>Tampa</v>
      </c>
      <c r="B13" s="10" t="str">
        <v>FL</v>
      </c>
      <c r="C13" s="11">
        <f>SUM('1st Qtr'!C13, '2nd Qtr'!C13, '3rd Qtr'!C13, '4th Qtr'!C13)</f>
        <v>7329.2000000000007</v>
      </c>
      <c r="D13" s="18">
        <f>SUM('1st Qtr'!D13, '2nd Qtr'!D13, '3rd Qtr'!D13, '4th Qtr'!D13)</f>
        <v>0</v>
      </c>
      <c r="E13" s="18">
        <f t="shared" si="0"/>
        <v>7329.2000000000007</v>
      </c>
      <c r="F13" s="19" t="str">
        <f t="shared" si="1"/>
        <v/>
      </c>
      <c r="G13" s="20">
        <f>SUM('1st Qtr'!G13, '2nd Qtr'!G13, '3rd Qtr'!G13, '4th Qtr'!G13)</f>
        <v>0</v>
      </c>
      <c r="H13" s="20">
        <f>SUM(Jan!H13, Feb!H13, Mar!H13)</f>
        <v>0</v>
      </c>
      <c r="I13" s="19" t="str">
        <f t="shared" si="2"/>
        <v/>
      </c>
    </row>
    <row r="14" spans="1:9" ht="15.6">
      <c r="A14" s="12" t="str">
        <v>Roswell</v>
      </c>
      <c r="B14" s="9" t="str">
        <v>GA</v>
      </c>
      <c r="C14" s="24">
        <f>SUM('1st Qtr'!C14, '2nd Qtr'!C14, '3rd Qtr'!C14, '4th Qtr'!C14)</f>
        <v>26314.9</v>
      </c>
      <c r="D14" s="13">
        <f>SUM('1st Qtr'!D14, '2nd Qtr'!D14, '3rd Qtr'!D14, '4th Qtr'!D14)</f>
        <v>0</v>
      </c>
      <c r="E14" s="13">
        <f t="shared" si="0"/>
        <v>26314.9</v>
      </c>
      <c r="F14" s="14" t="str">
        <f t="shared" si="1"/>
        <v/>
      </c>
      <c r="G14" s="15">
        <f>SUM('1st Qtr'!G14, '2nd Qtr'!G14, '3rd Qtr'!G14, '4th Qtr'!G14)</f>
        <v>0</v>
      </c>
      <c r="H14" s="15">
        <f>SUM(Jan!H14, Feb!H14, Mar!H14)</f>
        <v>0</v>
      </c>
      <c r="I14" s="16" t="str">
        <f t="shared" si="2"/>
        <v/>
      </c>
    </row>
    <row r="15" spans="1:9" ht="15.6">
      <c r="A15" s="17" t="str">
        <v>Charlotte</v>
      </c>
      <c r="B15" s="10" t="str">
        <v>NC</v>
      </c>
      <c r="C15" s="11">
        <f>SUM('1st Qtr'!C15, '2nd Qtr'!C15, '3rd Qtr'!C15, '4th Qtr'!C15)</f>
        <v>10740.9</v>
      </c>
      <c r="D15" s="18">
        <f>SUM('1st Qtr'!D15, '2nd Qtr'!D15, '3rd Qtr'!D15, '4th Qtr'!D15)</f>
        <v>0</v>
      </c>
      <c r="E15" s="18">
        <f t="shared" si="0"/>
        <v>10740.9</v>
      </c>
      <c r="F15" s="19" t="str">
        <f t="shared" si="1"/>
        <v/>
      </c>
      <c r="G15" s="20">
        <f>SUM('1st Qtr'!G15, '2nd Qtr'!G15, '3rd Qtr'!G15, '4th Qtr'!G15)</f>
        <v>0</v>
      </c>
      <c r="H15" s="20">
        <f>SUM(Jan!H15, Feb!H15, Mar!H15)</f>
        <v>0</v>
      </c>
      <c r="I15" s="19" t="str">
        <f t="shared" si="2"/>
        <v/>
      </c>
    </row>
    <row r="16" spans="1:9" ht="15.6">
      <c r="A16" s="12" t="str">
        <v>Raleigh</v>
      </c>
      <c r="B16" s="9" t="str">
        <v>NC</v>
      </c>
      <c r="C16" s="24">
        <f>SUM('1st Qtr'!C16, '2nd Qtr'!C16, '3rd Qtr'!C16, '4th Qtr'!C16)</f>
        <v>14237.900000000001</v>
      </c>
      <c r="D16" s="13">
        <f>SUM('1st Qtr'!D16, '2nd Qtr'!D16, '3rd Qtr'!D16, '4th Qtr'!D16)</f>
        <v>0</v>
      </c>
      <c r="E16" s="13">
        <f t="shared" ref="E16:E28" si="3">IF(AND(ISNUMBER(C16),ISNUMBER(D16)), C16-D16, "")</f>
        <v>14237.900000000001</v>
      </c>
      <c r="F16" s="14" t="str">
        <f t="shared" ref="F16:F21" si="4">IFERROR(E16/D16, "")</f>
        <v/>
      </c>
      <c r="G16" s="15">
        <f>SUM('1st Qtr'!G16, '2nd Qtr'!G16, '3rd Qtr'!G16, '4th Qtr'!G16)</f>
        <v>0</v>
      </c>
      <c r="H16" s="15">
        <f>SUM(Jan!H16, Feb!H16, Mar!H16)</f>
        <v>0</v>
      </c>
      <c r="I16" s="16" t="str">
        <f t="shared" ref="I16:I21" si="5">IFERROR(H16/G16, "")</f>
        <v/>
      </c>
    </row>
    <row r="17" spans="1:9" ht="15.6">
      <c r="A17" s="17" t="str">
        <v>Cordova</v>
      </c>
      <c r="B17" s="10" t="str">
        <v>TN</v>
      </c>
      <c r="C17" s="11">
        <f>SUM('1st Qtr'!C17, '2nd Qtr'!C17, '3rd Qtr'!C17, '4th Qtr'!C17)</f>
        <v>13139.5</v>
      </c>
      <c r="D17" s="18">
        <f>SUM('1st Qtr'!D17, '2nd Qtr'!D17, '3rd Qtr'!D17, '4th Qtr'!D17)</f>
        <v>0</v>
      </c>
      <c r="E17" s="18">
        <f t="shared" si="3"/>
        <v>13139.5</v>
      </c>
      <c r="F17" s="19" t="str">
        <f t="shared" si="4"/>
        <v/>
      </c>
      <c r="G17" s="20">
        <f>SUM('1st Qtr'!G17, '2nd Qtr'!G17, '3rd Qtr'!G17, '4th Qtr'!G17)</f>
        <v>0</v>
      </c>
      <c r="H17" s="20">
        <f>SUM(Jan!H17, Feb!H17, Mar!H17)</f>
        <v>0</v>
      </c>
      <c r="I17" s="19" t="str">
        <f t="shared" si="5"/>
        <v/>
      </c>
    </row>
    <row r="18" spans="1:9" ht="12.75" customHeight="1">
      <c r="A18" s="12" t="str">
        <v>Austin</v>
      </c>
      <c r="B18" s="9" t="str">
        <v>TX</v>
      </c>
      <c r="C18" s="24">
        <f>SUM('1st Qtr'!C18, '2nd Qtr'!C18, '3rd Qtr'!C18, '4th Qtr'!C18)</f>
        <v>6832</v>
      </c>
      <c r="D18" s="13">
        <f>SUM('1st Qtr'!D18, '2nd Qtr'!D18, '3rd Qtr'!D18, '4th Qtr'!D18)</f>
        <v>0</v>
      </c>
      <c r="E18" s="13">
        <f t="shared" si="3"/>
        <v>6832</v>
      </c>
      <c r="F18" s="14" t="str">
        <f t="shared" si="4"/>
        <v/>
      </c>
      <c r="G18" s="15">
        <f>SUM('1st Qtr'!G18, '2nd Qtr'!G18, '3rd Qtr'!G18, '4th Qtr'!G18)</f>
        <v>0</v>
      </c>
      <c r="H18" s="15">
        <f>SUM(Jan!H18, Feb!H18, Mar!H18)</f>
        <v>0</v>
      </c>
      <c r="I18" s="16" t="str">
        <f t="shared" si="5"/>
        <v/>
      </c>
    </row>
    <row r="19" spans="1:9" ht="15.6">
      <c r="A19" s="17" t="str">
        <v>Frisco</v>
      </c>
      <c r="B19" s="10" t="str">
        <v>TX</v>
      </c>
      <c r="C19" s="11">
        <f>SUM('1st Qtr'!C19, '2nd Qtr'!C19, '3rd Qtr'!C19, '4th Qtr'!C19)</f>
        <v>11784.7</v>
      </c>
      <c r="D19" s="18">
        <f>SUM('1st Qtr'!D19, '2nd Qtr'!D19, '3rd Qtr'!D19, '4th Qtr'!D19)</f>
        <v>0</v>
      </c>
      <c r="E19" s="18">
        <f t="shared" si="3"/>
        <v>11784.7</v>
      </c>
      <c r="F19" s="19" t="str">
        <f t="shared" si="4"/>
        <v/>
      </c>
      <c r="G19" s="20">
        <f>SUM('1st Qtr'!G19, '2nd Qtr'!G19, '3rd Qtr'!G19, '4th Qtr'!G19)</f>
        <v>0</v>
      </c>
      <c r="H19" s="20">
        <f>SUM(Jan!H19, Feb!H19, Mar!H19)</f>
        <v>0</v>
      </c>
      <c r="I19" s="19" t="str">
        <f t="shared" si="5"/>
        <v/>
      </c>
    </row>
    <row r="20" spans="1:9" ht="15.6">
      <c r="A20" s="12" t="str">
        <v>Copperfield</v>
      </c>
      <c r="B20" s="9" t="str">
        <v>TX</v>
      </c>
      <c r="C20" s="24">
        <f>SUM('1st Qtr'!C20, '2nd Qtr'!C20, '3rd Qtr'!C20, '4th Qtr'!C20)</f>
        <v>6872.1</v>
      </c>
      <c r="D20" s="13">
        <f>SUM('1st Qtr'!D20, '2nd Qtr'!D20, '3rd Qtr'!D20, '4th Qtr'!D20)</f>
        <v>0</v>
      </c>
      <c r="E20" s="13">
        <f t="shared" si="3"/>
        <v>6872.1</v>
      </c>
      <c r="F20" s="14" t="str">
        <f t="shared" si="4"/>
        <v/>
      </c>
      <c r="G20" s="15">
        <f>SUM('1st Qtr'!G20, '2nd Qtr'!G20, '3rd Qtr'!G20, '4th Qtr'!G20)</f>
        <v>0</v>
      </c>
      <c r="H20" s="15">
        <f>SUM(Jan!H20, Feb!H20, Mar!H20)</f>
        <v>0</v>
      </c>
      <c r="I20" s="16" t="str">
        <f t="shared" si="5"/>
        <v/>
      </c>
    </row>
    <row r="21" spans="1:9" ht="15.6">
      <c r="A21" s="17" t="str">
        <v>Charlotte - B of A - 1 BAC</v>
      </c>
      <c r="B21" s="10" t="str">
        <v>NC</v>
      </c>
      <c r="C21" s="11">
        <f>SUM('1st Qtr'!C21, '2nd Qtr'!C21, '3rd Qtr'!C21, '4th Qtr'!C21)</f>
        <v>0</v>
      </c>
      <c r="D21" s="18">
        <f>SUM('1st Qtr'!D21, '2nd Qtr'!D21, '3rd Qtr'!D21, '4th Qtr'!D21)</f>
        <v>0</v>
      </c>
      <c r="E21" s="18">
        <f t="shared" si="3"/>
        <v>0</v>
      </c>
      <c r="F21" s="19" t="str">
        <f t="shared" si="4"/>
        <v/>
      </c>
      <c r="G21" s="20">
        <f>SUM('1st Qtr'!G21, '2nd Qtr'!G21, '3rd Qtr'!G21, '4th Qtr'!G21)</f>
        <v>0</v>
      </c>
      <c r="H21" s="20">
        <f>SUM(Jan!H21, Feb!H21, Mar!H21)</f>
        <v>0</v>
      </c>
      <c r="I21" s="19" t="str">
        <f t="shared" si="5"/>
        <v/>
      </c>
    </row>
    <row r="22" spans="1:9" ht="15.6">
      <c r="A22" s="12" t="str">
        <v>Charlotte - B of A - 401 N Tryon</v>
      </c>
      <c r="B22" s="9" t="str">
        <v>NC</v>
      </c>
      <c r="C22" s="24">
        <f>SUM('1st Qtr'!C22, '2nd Qtr'!C22, '3rd Qtr'!C22, '4th Qtr'!C22)</f>
        <v>0</v>
      </c>
      <c r="D22" s="13">
        <f>SUM('1st Qtr'!D22, '2nd Qtr'!D22, '3rd Qtr'!D22, '4th Qtr'!D22)</f>
        <v>0</v>
      </c>
      <c r="E22" s="13">
        <f t="shared" si="3"/>
        <v>0</v>
      </c>
      <c r="F22" s="14"/>
      <c r="G22" s="15">
        <f>SUM('1st Qtr'!G22, '2nd Qtr'!G22, '3rd Qtr'!G22, '4th Qtr'!G22)</f>
        <v>0</v>
      </c>
      <c r="H22" s="15">
        <f>SUM(Jan!H22, Feb!H22, Mar!H22)</f>
        <v>0</v>
      </c>
      <c r="I22" s="16"/>
    </row>
    <row r="23" spans="1:9" ht="15.6">
      <c r="A23" s="17" t="str">
        <v>Chandler - B of A Campus Bldg A</v>
      </c>
      <c r="B23" s="10" t="str">
        <v>AZ</v>
      </c>
      <c r="C23" s="11">
        <f>SUM('1st Qtr'!C23, '2nd Qtr'!C23, '3rd Qtr'!C23, '4th Qtr'!C23)</f>
        <v>10791.25</v>
      </c>
      <c r="D23" s="18">
        <f>SUM('1st Qtr'!D23, '2nd Qtr'!D23, '3rd Qtr'!D23, '4th Qtr'!D23)</f>
        <v>0</v>
      </c>
      <c r="E23" s="18">
        <f t="shared" si="3"/>
        <v>10791.25</v>
      </c>
      <c r="F23" s="19"/>
      <c r="G23" s="20">
        <f>SUM('1st Qtr'!G23, '2nd Qtr'!G23, '3rd Qtr'!G23, '4th Qtr'!G23)</f>
        <v>0</v>
      </c>
      <c r="H23" s="20">
        <f>SUM(Jan!H23, Feb!H23, Mar!H23)</f>
        <v>0</v>
      </c>
      <c r="I23" s="19"/>
    </row>
    <row r="24" spans="1:9" ht="15.6">
      <c r="A24" s="12" t="str">
        <v>Chandler - B of A Campus Bldg B</v>
      </c>
      <c r="B24" s="9" t="str">
        <v>AZ</v>
      </c>
      <c r="C24" s="24">
        <f>SUM('1st Qtr'!C24, '2nd Qtr'!C24, '3rd Qtr'!C24, '4th Qtr'!C24)</f>
        <v>19506.5</v>
      </c>
      <c r="D24" s="13">
        <f>SUM('1st Qtr'!D24, '2nd Qtr'!D24, '3rd Qtr'!D24, '4th Qtr'!D24)</f>
        <v>0</v>
      </c>
      <c r="E24" s="13">
        <f t="shared" si="3"/>
        <v>19506.5</v>
      </c>
      <c r="F24" s="14"/>
      <c r="G24" s="15">
        <f>SUM('1st Qtr'!G24, '2nd Qtr'!G24, '3rd Qtr'!G24, '4th Qtr'!G24)</f>
        <v>0</v>
      </c>
      <c r="H24" s="15">
        <f>SUM(Jan!H24, Feb!H24, Mar!H24)</f>
        <v>0</v>
      </c>
      <c r="I24" s="16"/>
    </row>
    <row r="25" spans="1:9" ht="15.6">
      <c r="A25" s="17" t="str">
        <v>Chandler - B of A Campus Bldg C</v>
      </c>
      <c r="B25" s="10" t="str">
        <v>AZ</v>
      </c>
      <c r="C25" s="11">
        <f>SUM('1st Qtr'!C25, '2nd Qtr'!C25, '3rd Qtr'!C25, '4th Qtr'!C25)</f>
        <v>10495.3</v>
      </c>
      <c r="D25" s="18">
        <f>SUM('1st Qtr'!D25, '2nd Qtr'!D25, '3rd Qtr'!D25, '4th Qtr'!D25)</f>
        <v>0</v>
      </c>
      <c r="E25" s="18">
        <f t="shared" si="3"/>
        <v>10495.3</v>
      </c>
      <c r="F25" s="19"/>
      <c r="G25" s="20">
        <f>SUM('1st Qtr'!G25, '2nd Qtr'!G25, '3rd Qtr'!G25, '4th Qtr'!G25)</f>
        <v>0</v>
      </c>
      <c r="H25" s="20">
        <f>SUM(Jan!H25, Feb!H25, Mar!H25)</f>
        <v>0</v>
      </c>
      <c r="I25" s="19"/>
    </row>
    <row r="26" spans="1:9" ht="15.6">
      <c r="A26" s="12" t="str">
        <v>Chandler - B of A Campus Bldg D</v>
      </c>
      <c r="B26" s="9" t="str">
        <v>AZ</v>
      </c>
      <c r="C26" s="24">
        <f>SUM('1st Qtr'!C26, '2nd Qtr'!C26, '3rd Qtr'!C26, '4th Qtr'!C26)</f>
        <v>5978.87</v>
      </c>
      <c r="D26" s="13">
        <f>SUM('1st Qtr'!D26, '2nd Qtr'!D26, '3rd Qtr'!D26, '4th Qtr'!D26)</f>
        <v>0</v>
      </c>
      <c r="E26" s="13">
        <f t="shared" si="3"/>
        <v>5978.87</v>
      </c>
      <c r="F26" s="14"/>
      <c r="G26" s="15">
        <f>SUM('1st Qtr'!G26, '2nd Qtr'!G26, '3rd Qtr'!G26, '4th Qtr'!G26)</f>
        <v>0</v>
      </c>
      <c r="H26" s="15">
        <f>SUM(Jan!H26, Feb!H26, Mar!H26)</f>
        <v>0</v>
      </c>
      <c r="I26" s="16"/>
    </row>
    <row r="27" spans="1:9" ht="15.6">
      <c r="A27" s="17" t="str">
        <v>Tampa - BoA Ekman</v>
      </c>
      <c r="B27" s="10" t="str">
        <v>FL</v>
      </c>
      <c r="C27" s="11">
        <f>SUM('1st Qtr'!C27, '2nd Qtr'!C27, '3rd Qtr'!C27, '4th Qtr'!C27)</f>
        <v>81866.599999999991</v>
      </c>
      <c r="D27" s="18">
        <f>SUM('1st Qtr'!D27, '2nd Qtr'!D27, '3rd Qtr'!D27, '4th Qtr'!D27)</f>
        <v>0</v>
      </c>
      <c r="E27" s="18">
        <f t="shared" si="3"/>
        <v>81866.599999999991</v>
      </c>
      <c r="F27" s="19"/>
      <c r="G27" s="20">
        <f>SUM('1st Qtr'!G27, '2nd Qtr'!G27, '3rd Qtr'!G27, '4th Qtr'!G27)</f>
        <v>0</v>
      </c>
      <c r="H27" s="20">
        <f>SUM(Jan!H27, Feb!H27, Mar!H27)</f>
        <v>0</v>
      </c>
      <c r="I27" s="19"/>
    </row>
    <row r="28" spans="1:9" ht="15.6">
      <c r="A28" s="12" t="str">
        <v>Charlotte - B of A - Sherrill</v>
      </c>
      <c r="B28" s="9" t="str">
        <v>NC</v>
      </c>
      <c r="C28" s="24">
        <f>SUM('1st Qtr'!C28, '2nd Qtr'!C28, '3rd Qtr'!C28, '4th Qtr'!C28)</f>
        <v>0</v>
      </c>
      <c r="D28" s="13">
        <f>SUM('1st Qtr'!D28, '2nd Qtr'!D28, '3rd Qtr'!D28, '4th Qtr'!D28)</f>
        <v>0</v>
      </c>
      <c r="E28" s="13">
        <f t="shared" si="3"/>
        <v>0</v>
      </c>
      <c r="F28" s="14"/>
      <c r="G28" s="15">
        <f>SUM('1st Qtr'!G28, '2nd Qtr'!G28, '3rd Qtr'!G28, '4th Qtr'!G28)</f>
        <v>0</v>
      </c>
      <c r="H28" s="15">
        <f>SUM(Jan!H28, Feb!H28, Mar!H28)</f>
        <v>0</v>
      </c>
      <c r="I28" s="16"/>
    </row>
    <row r="29" spans="1:9" ht="14.45">
      <c r="A29" s="21"/>
      <c r="B29" s="21"/>
      <c r="C29" s="21"/>
      <c r="D29" s="21"/>
      <c r="E29" s="21"/>
      <c r="F29" s="21"/>
      <c r="G29" s="21"/>
      <c r="H29" s="20"/>
      <c r="I29" s="21"/>
    </row>
    <row r="30" spans="1:9" ht="13.9">
      <c r="A30" s="21"/>
      <c r="B30" s="21"/>
      <c r="C30" s="21"/>
      <c r="D30" s="21"/>
      <c r="E30" s="21"/>
      <c r="F30" s="21"/>
      <c r="G30" s="21"/>
      <c r="H30" s="21"/>
      <c r="I30" s="21"/>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sheetData>
  <autoFilter ref="A2:I2" xr:uid="{D5C25034-9971-4A61-864F-C938F31EB1B8}"/>
  <mergeCells count="4">
    <mergeCell ref="G1:I1"/>
    <mergeCell ref="A1:C1"/>
    <mergeCell ref="D1:F1"/>
    <mergeCell ref="A2:B2"/>
  </mergeCells>
  <conditionalFormatting sqref="F2 I2 F4:F98 I4:I98">
    <cfRule type="cellIs" dxfId="42" priority="3" stopIfTrue="1" operator="lessThanOrEqual">
      <formula>-0.1</formula>
    </cfRule>
    <cfRule type="expression" dxfId="41" priority="4">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0"/>
  <sheetViews>
    <sheetView workbookViewId="0">
      <pane xSplit="2" ySplit="3" topLeftCell="E4" activePane="bottomRight" state="frozen"/>
      <selection pane="bottomRight" activeCell="E4" sqref="E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JLL</v>
      </c>
      <c r="B1" s="91"/>
      <c r="C1" s="91"/>
      <c r="D1" s="92" t="s">
        <v>10</v>
      </c>
      <c r="E1" s="92"/>
      <c r="F1" s="92"/>
      <c r="G1" s="90" t="s">
        <v>11</v>
      </c>
      <c r="H1" s="90"/>
      <c r="I1" s="90"/>
    </row>
    <row r="2" spans="1:9" ht="19.5" customHeight="1">
      <c r="A2" s="93" t="s">
        <v>2</v>
      </c>
      <c r="B2" s="93"/>
      <c r="C2" s="5">
        <f>SUM(C4:C98)</f>
        <v>227964.07299999997</v>
      </c>
      <c r="D2" s="5">
        <f>SUM(D4:D98)</f>
        <v>0</v>
      </c>
      <c r="E2" s="5">
        <f>C2-D2</f>
        <v>227964.07299999997</v>
      </c>
      <c r="F2" s="6">
        <f>IFERROR(E2/D2, 0)</f>
        <v>0</v>
      </c>
      <c r="G2" s="5">
        <f>SUM(G4:G98)</f>
        <v>0</v>
      </c>
      <c r="H2" s="7">
        <f>C2-G2</f>
        <v>227964.07299999997</v>
      </c>
      <c r="I2" s="6">
        <f>IFERROR(H2/G2, 0)</f>
        <v>0</v>
      </c>
    </row>
    <row r="3" spans="1:9" ht="14.25" customHeight="1">
      <c r="A3" s="8" t="s">
        <v>3</v>
      </c>
      <c r="B3" s="8" t="s">
        <v>4</v>
      </c>
      <c r="C3" s="23" t="s">
        <v>5</v>
      </c>
      <c r="D3" s="35" t="s">
        <v>6</v>
      </c>
      <c r="E3" s="35" t="s">
        <v>7</v>
      </c>
      <c r="F3" s="36" t="s">
        <v>8</v>
      </c>
      <c r="G3" s="37" t="s">
        <v>9</v>
      </c>
      <c r="H3" s="38" t="s">
        <v>7</v>
      </c>
      <c r="I3" s="39" t="s">
        <v>8</v>
      </c>
    </row>
    <row r="4" spans="1:9" ht="15.6">
      <c r="A4" s="12" t="str" cm="1">
        <f t="array" ref="A4:A28">Sites[Site]</f>
        <v>Bullhead</v>
      </c>
      <c r="B4" s="9" t="str" cm="1">
        <f t="array" ref="B4:B28">Sites[State]</f>
        <v>AZ</v>
      </c>
      <c r="C4" s="24">
        <f>SUM(Jan!C4, Feb!C4, Mar!C4)</f>
        <v>223.89999999999998</v>
      </c>
      <c r="D4" s="13">
        <f>SUM(Jan!D4, Feb!D4, Mar!D4)</f>
        <v>0</v>
      </c>
      <c r="E4" s="13">
        <f>IF(AND(ISNUMBER(C4),ISNUMBER(D4)), C4-D4, "")</f>
        <v>223.89999999999998</v>
      </c>
      <c r="F4" s="14" t="str">
        <f>IFERROR(E4/D4, "")</f>
        <v/>
      </c>
      <c r="G4" s="15">
        <f>SUM(Jan!G4, Feb!G4, Mar!G4)</f>
        <v>0</v>
      </c>
      <c r="H4" s="15">
        <f>SUM(Jan!H4, Feb!H4, Mar!H4)</f>
        <v>0</v>
      </c>
      <c r="I4" s="16" t="str">
        <f>IFERROR(H4/G4, "")</f>
        <v/>
      </c>
    </row>
    <row r="5" spans="1:9" ht="15.6">
      <c r="A5" s="17" t="str">
        <v>Peoria</v>
      </c>
      <c r="B5" s="10" t="str">
        <v>AZ</v>
      </c>
      <c r="C5" s="11">
        <f>SUM(Jan!C5, Feb!C5, Mar!C5)</f>
        <v>134.30000000000001</v>
      </c>
      <c r="D5" s="18">
        <f>SUM(Jan!D5, Feb!D5, Mar!D5)</f>
        <v>0</v>
      </c>
      <c r="E5" s="18">
        <f t="shared" ref="E5:E15" si="0">IF(AND(ISNUMBER(C5),ISNUMBER(D5)), C5-D5, "")</f>
        <v>134.30000000000001</v>
      </c>
      <c r="F5" s="19" t="str">
        <f>IFERROR(E5/D5, "")</f>
        <v/>
      </c>
      <c r="G5" s="20">
        <f>SUM(Jan!G5, Feb!G5, Mar!G5)</f>
        <v>0</v>
      </c>
      <c r="H5" s="20">
        <f>SUM(Jan!H5, Feb!H5, Mar!H5)</f>
        <v>0</v>
      </c>
      <c r="I5" s="19" t="str">
        <f>IFERROR(H5/G5, "")</f>
        <v/>
      </c>
    </row>
    <row r="6" spans="1:9" ht="15.6">
      <c r="A6" s="12" t="str">
        <v>Tucson</v>
      </c>
      <c r="B6" s="9" t="str">
        <v>AZ</v>
      </c>
      <c r="C6" s="24">
        <f>SUM(Jan!C6, Feb!C6, Mar!C6)</f>
        <v>4801.1890000000003</v>
      </c>
      <c r="D6" s="13">
        <f>SUM(Jan!D6, Feb!D6, Mar!D6)</f>
        <v>0</v>
      </c>
      <c r="E6" s="13">
        <f t="shared" si="0"/>
        <v>4801.1890000000003</v>
      </c>
      <c r="F6" s="14" t="str">
        <f t="shared" ref="F6:F15" si="1">IFERROR(E6/D6, "")</f>
        <v/>
      </c>
      <c r="G6" s="15">
        <f>SUM(Jan!G6, Feb!G6, Mar!G6)</f>
        <v>0</v>
      </c>
      <c r="H6" s="15">
        <f>SUM(Jan!H6, Feb!H6, Mar!H6)</f>
        <v>0</v>
      </c>
      <c r="I6" s="16" t="str">
        <f t="shared" ref="I6:I15" si="2">IFERROR(H6/G6, "")</f>
        <v/>
      </c>
    </row>
    <row r="7" spans="1:9" ht="15.6">
      <c r="A7" s="17" t="str">
        <v>Hialeah</v>
      </c>
      <c r="B7" s="10" t="str">
        <v>FL</v>
      </c>
      <c r="C7" s="11">
        <f>SUM(Jan!C7, Feb!C7, Mar!C7)</f>
        <v>-727.7</v>
      </c>
      <c r="D7" s="18">
        <f>SUM(Jan!D7, Feb!D7, Mar!D7)</f>
        <v>0</v>
      </c>
      <c r="E7" s="18">
        <f t="shared" si="0"/>
        <v>-727.7</v>
      </c>
      <c r="F7" s="19" t="str">
        <f t="shared" si="1"/>
        <v/>
      </c>
      <c r="G7" s="20">
        <f>SUM(Jan!G7, Feb!G7, Mar!G7)</f>
        <v>0</v>
      </c>
      <c r="H7" s="20">
        <f>SUM(Jan!H7, Feb!H7, Mar!H7)</f>
        <v>0</v>
      </c>
      <c r="I7" s="19" t="str">
        <f t="shared" si="2"/>
        <v/>
      </c>
    </row>
    <row r="8" spans="1:9" ht="15.6">
      <c r="A8" s="12" t="str">
        <v>Jacksonville</v>
      </c>
      <c r="B8" s="9" t="str">
        <v>FL</v>
      </c>
      <c r="C8" s="24">
        <f>SUM(Jan!C8, Feb!C8, Mar!C8)</f>
        <v>277.06400000000002</v>
      </c>
      <c r="D8" s="13">
        <f>SUM(Jan!D8, Feb!D8, Mar!D8)</f>
        <v>0</v>
      </c>
      <c r="E8" s="13">
        <f t="shared" si="0"/>
        <v>277.06400000000002</v>
      </c>
      <c r="F8" s="14" t="str">
        <f t="shared" si="1"/>
        <v/>
      </c>
      <c r="G8" s="15">
        <f>SUM(Jan!G8, Feb!G8, Mar!G8)</f>
        <v>0</v>
      </c>
      <c r="H8" s="15">
        <f>SUM(Jan!H8, Feb!H8, Mar!H8)</f>
        <v>0</v>
      </c>
      <c r="I8" s="16" t="str">
        <f t="shared" si="2"/>
        <v/>
      </c>
    </row>
    <row r="9" spans="1:9" ht="15.6">
      <c r="A9" s="17" t="str">
        <v>Miami Gardens</v>
      </c>
      <c r="B9" s="10" t="str">
        <v>FL</v>
      </c>
      <c r="C9" s="11">
        <f>SUM(Jan!C9, Feb!C9, Mar!C9)</f>
        <v>294.5</v>
      </c>
      <c r="D9" s="18">
        <f>SUM(Jan!D9, Feb!D9, Mar!D9)</f>
        <v>0</v>
      </c>
      <c r="E9" s="18">
        <f t="shared" si="0"/>
        <v>294.5</v>
      </c>
      <c r="F9" s="19" t="str">
        <f t="shared" si="1"/>
        <v/>
      </c>
      <c r="G9" s="20">
        <f>SUM(Jan!G9, Feb!G9, Mar!G9)</f>
        <v>0</v>
      </c>
      <c r="H9" s="20">
        <f>SUM(Jan!H9, Feb!H9, Mar!H9)</f>
        <v>0</v>
      </c>
      <c r="I9" s="19" t="str">
        <f t="shared" si="2"/>
        <v/>
      </c>
    </row>
    <row r="10" spans="1:9" ht="15.6">
      <c r="A10" s="12" t="str">
        <v>Fort Myers</v>
      </c>
      <c r="B10" s="9" t="str">
        <v>FL</v>
      </c>
      <c r="C10" s="24">
        <f>SUM(Jan!C10, Feb!C10, Mar!C10)</f>
        <v>12350.9</v>
      </c>
      <c r="D10" s="13">
        <f>SUM(Jan!D10, Feb!D10, Mar!D10)</f>
        <v>0</v>
      </c>
      <c r="E10" s="13">
        <f t="shared" si="0"/>
        <v>12350.9</v>
      </c>
      <c r="F10" s="14" t="str">
        <f t="shared" si="1"/>
        <v/>
      </c>
      <c r="G10" s="15">
        <f>SUM(Jan!G10, Feb!G10, Mar!G10)</f>
        <v>0</v>
      </c>
      <c r="H10" s="15">
        <f>SUM(Jan!H10, Feb!H10, Mar!H10)</f>
        <v>0</v>
      </c>
      <c r="I10" s="16" t="str">
        <f t="shared" si="2"/>
        <v/>
      </c>
    </row>
    <row r="11" spans="1:9" ht="15.6">
      <c r="A11" s="17" t="str">
        <v>Orlando</v>
      </c>
      <c r="B11" s="10" t="str">
        <v>FL</v>
      </c>
      <c r="C11" s="11">
        <f>SUM(Jan!C11, Feb!C11, Mar!C11)</f>
        <v>9370.1</v>
      </c>
      <c r="D11" s="18">
        <f>SUM(Jan!D11, Feb!D11, Mar!D11)</f>
        <v>0</v>
      </c>
      <c r="E11" s="18">
        <f t="shared" si="0"/>
        <v>9370.1</v>
      </c>
      <c r="F11" s="19" t="str">
        <f t="shared" si="1"/>
        <v/>
      </c>
      <c r="G11" s="20">
        <f>SUM(Jan!G11, Feb!G11, Mar!G11)</f>
        <v>0</v>
      </c>
      <c r="H11" s="20">
        <f>SUM(Jan!H11, Feb!H11, Mar!H11)</f>
        <v>0</v>
      </c>
      <c r="I11" s="19" t="str">
        <f t="shared" si="2"/>
        <v/>
      </c>
    </row>
    <row r="12" spans="1:9" ht="15.6">
      <c r="A12" s="12" t="str">
        <v>Port St. Lucie</v>
      </c>
      <c r="B12" s="9" t="str">
        <v>FL</v>
      </c>
      <c r="C12" s="24">
        <f>SUM(Jan!C12, Feb!C12, Mar!C12)</f>
        <v>24214.5</v>
      </c>
      <c r="D12" s="13">
        <f>SUM(Jan!D12, Feb!D12, Mar!D12)</f>
        <v>0</v>
      </c>
      <c r="E12" s="13">
        <f t="shared" si="0"/>
        <v>24214.5</v>
      </c>
      <c r="F12" s="14" t="str">
        <f t="shared" si="1"/>
        <v/>
      </c>
      <c r="G12" s="15">
        <f>SUM(Jan!G12, Feb!G12, Mar!G12)</f>
        <v>0</v>
      </c>
      <c r="H12" s="15">
        <f>SUM(Jan!H12, Feb!H12, Mar!H12)</f>
        <v>0</v>
      </c>
      <c r="I12" s="16" t="str">
        <f t="shared" si="2"/>
        <v/>
      </c>
    </row>
    <row r="13" spans="1:9" ht="15.6">
      <c r="A13" s="17" t="str">
        <v>Tampa</v>
      </c>
      <c r="B13" s="10" t="str">
        <v>FL</v>
      </c>
      <c r="C13" s="11">
        <f>SUM(Jan!C13, Feb!C13, Mar!C13)</f>
        <v>3163.1000000000004</v>
      </c>
      <c r="D13" s="18">
        <f>SUM(Jan!D13, Feb!D13, Mar!D13)</f>
        <v>0</v>
      </c>
      <c r="E13" s="18">
        <f t="shared" si="0"/>
        <v>3163.1000000000004</v>
      </c>
      <c r="F13" s="19" t="str">
        <f t="shared" si="1"/>
        <v/>
      </c>
      <c r="G13" s="20">
        <f>SUM(Jan!G13, Feb!G13, Mar!G13)</f>
        <v>0</v>
      </c>
      <c r="H13" s="20">
        <f>SUM(Jan!H13, Feb!H13, Mar!H13)</f>
        <v>0</v>
      </c>
      <c r="I13" s="19" t="str">
        <f t="shared" si="2"/>
        <v/>
      </c>
    </row>
    <row r="14" spans="1:9" ht="15.6">
      <c r="A14" s="12" t="str">
        <v>Roswell</v>
      </c>
      <c r="B14" s="9" t="str">
        <v>GA</v>
      </c>
      <c r="C14" s="24">
        <f>SUM(Jan!C14, Feb!C14, Mar!C14)</f>
        <v>13469</v>
      </c>
      <c r="D14" s="13">
        <f>SUM(Jan!D14, Feb!D14, Mar!D14)</f>
        <v>0</v>
      </c>
      <c r="E14" s="13">
        <f t="shared" si="0"/>
        <v>13469</v>
      </c>
      <c r="F14" s="14" t="str">
        <f t="shared" si="1"/>
        <v/>
      </c>
      <c r="G14" s="15">
        <f>SUM(Jan!G14, Feb!G14, Mar!G14)</f>
        <v>0</v>
      </c>
      <c r="H14" s="15">
        <f>SUM(Jan!H14, Feb!H14, Mar!H14)</f>
        <v>0</v>
      </c>
      <c r="I14" s="16" t="str">
        <f t="shared" si="2"/>
        <v/>
      </c>
    </row>
    <row r="15" spans="1:9" ht="15.6">
      <c r="A15" s="17" t="str">
        <v>Charlotte</v>
      </c>
      <c r="B15" s="10" t="str">
        <v>NC</v>
      </c>
      <c r="C15" s="11">
        <f>SUM(Jan!C15, Feb!C15, Mar!C15)</f>
        <v>5942.7999999999993</v>
      </c>
      <c r="D15" s="18">
        <f>SUM(Jan!D15, Feb!D15, Mar!D15)</f>
        <v>0</v>
      </c>
      <c r="E15" s="18">
        <f t="shared" si="0"/>
        <v>5942.7999999999993</v>
      </c>
      <c r="F15" s="19" t="str">
        <f t="shared" si="1"/>
        <v/>
      </c>
      <c r="G15" s="20">
        <f>SUM(Jan!G15, Feb!G15, Mar!G15)</f>
        <v>0</v>
      </c>
      <c r="H15" s="20">
        <f>SUM(Jan!H15, Feb!H15, Mar!H15)</f>
        <v>0</v>
      </c>
      <c r="I15" s="19" t="str">
        <f t="shared" si="2"/>
        <v/>
      </c>
    </row>
    <row r="16" spans="1:9" ht="15.6">
      <c r="A16" s="12" t="str">
        <v>Raleigh</v>
      </c>
      <c r="B16" s="9" t="str">
        <v>NC</v>
      </c>
      <c r="C16" s="24">
        <f>SUM(Jan!C16, Feb!C16, Mar!C16)</f>
        <v>7561.2000000000007</v>
      </c>
      <c r="D16" s="13">
        <f>SUM(Jan!D16, Feb!D16, Mar!D16)</f>
        <v>0</v>
      </c>
      <c r="E16" s="13">
        <f t="shared" ref="E16:E21" si="3">IF(AND(ISNUMBER(C16),ISNUMBER(D16)), C16-D16, "")</f>
        <v>7561.2000000000007</v>
      </c>
      <c r="F16" s="14" t="str">
        <f t="shared" ref="F16:F21" si="4">IFERROR(E16/D16, "")</f>
        <v/>
      </c>
      <c r="G16" s="15">
        <f>SUM(Jan!G16, Feb!G16, Mar!G16)</f>
        <v>0</v>
      </c>
      <c r="H16" s="15">
        <f>SUM(Jan!H16, Feb!H16, Mar!H16)</f>
        <v>0</v>
      </c>
      <c r="I16" s="16" t="str">
        <f t="shared" ref="I16:I21" si="5">IFERROR(H16/G16, "")</f>
        <v/>
      </c>
    </row>
    <row r="17" spans="1:9" ht="15.6">
      <c r="A17" s="17" t="str">
        <v>Cordova</v>
      </c>
      <c r="B17" s="10" t="str">
        <v>TN</v>
      </c>
      <c r="C17" s="11">
        <f>SUM(Jan!C17, Feb!C17, Mar!C17)</f>
        <v>5806.3</v>
      </c>
      <c r="D17" s="18">
        <f>SUM(Jan!D17, Feb!D17, Mar!D17)</f>
        <v>0</v>
      </c>
      <c r="E17" s="18">
        <f t="shared" si="3"/>
        <v>5806.3</v>
      </c>
      <c r="F17" s="19" t="str">
        <f t="shared" si="4"/>
        <v/>
      </c>
      <c r="G17" s="20">
        <f>SUM(Jan!G17, Feb!G17, Mar!G17)</f>
        <v>0</v>
      </c>
      <c r="H17" s="20">
        <f>SUM(Jan!H17, Feb!H17, Mar!H17)</f>
        <v>0</v>
      </c>
      <c r="I17" s="19" t="str">
        <f t="shared" si="5"/>
        <v/>
      </c>
    </row>
    <row r="18" spans="1:9" ht="12.75" customHeight="1">
      <c r="A18" s="12" t="str">
        <v>Austin</v>
      </c>
      <c r="B18" s="9" t="str">
        <v>TX</v>
      </c>
      <c r="C18" s="24">
        <f>SUM(Jan!C18, Feb!C18, Mar!C18)</f>
        <v>2467.9</v>
      </c>
      <c r="D18" s="13">
        <f>SUM(Jan!D18, Feb!D18, Mar!D18)</f>
        <v>0</v>
      </c>
      <c r="E18" s="13">
        <f t="shared" si="3"/>
        <v>2467.9</v>
      </c>
      <c r="F18" s="14" t="str">
        <f t="shared" si="4"/>
        <v/>
      </c>
      <c r="G18" s="15">
        <f>SUM(Jan!G18, Feb!G18, Mar!G18)</f>
        <v>0</v>
      </c>
      <c r="H18" s="15">
        <f>SUM(Jan!H18, Feb!H18, Mar!H18)</f>
        <v>0</v>
      </c>
      <c r="I18" s="16" t="str">
        <f t="shared" si="5"/>
        <v/>
      </c>
    </row>
    <row r="19" spans="1:9" ht="15.6">
      <c r="A19" s="17" t="str">
        <v>Frisco</v>
      </c>
      <c r="B19" s="10" t="str">
        <v>TX</v>
      </c>
      <c r="C19" s="11">
        <f>SUM(Jan!C19, Feb!C19, Mar!C19)</f>
        <v>6282.5</v>
      </c>
      <c r="D19" s="18">
        <f>SUM(Jan!D19, Feb!D19, Mar!D19)</f>
        <v>0</v>
      </c>
      <c r="E19" s="18">
        <f t="shared" si="3"/>
        <v>6282.5</v>
      </c>
      <c r="F19" s="19" t="str">
        <f t="shared" si="4"/>
        <v/>
      </c>
      <c r="G19" s="20">
        <f>SUM(Jan!G19, Feb!G19, Mar!G19)</f>
        <v>0</v>
      </c>
      <c r="H19" s="20">
        <f>SUM(Jan!H19, Feb!H19, Mar!H19)</f>
        <v>0</v>
      </c>
      <c r="I19" s="19" t="str">
        <f t="shared" si="5"/>
        <v/>
      </c>
    </row>
    <row r="20" spans="1:9" ht="15.6">
      <c r="A20" s="12" t="str">
        <v>Copperfield</v>
      </c>
      <c r="B20" s="9" t="str">
        <v>TX</v>
      </c>
      <c r="C20" s="24">
        <f>SUM(Jan!C20, Feb!C20, Mar!C20)</f>
        <v>3694</v>
      </c>
      <c r="D20" s="13">
        <f>SUM(Jan!D20, Feb!D20, Mar!D20)</f>
        <v>0</v>
      </c>
      <c r="E20" s="13">
        <f t="shared" si="3"/>
        <v>3694</v>
      </c>
      <c r="F20" s="14" t="str">
        <f t="shared" si="4"/>
        <v/>
      </c>
      <c r="G20" s="15">
        <f>SUM(Jan!G20, Feb!G20, Mar!G20)</f>
        <v>0</v>
      </c>
      <c r="H20" s="15">
        <f>SUM(Jan!H20, Feb!H20, Mar!H20)</f>
        <v>0</v>
      </c>
      <c r="I20" s="16" t="str">
        <f t="shared" si="5"/>
        <v/>
      </c>
    </row>
    <row r="21" spans="1:9" ht="15.6">
      <c r="A21" s="17" t="str">
        <v>Charlotte - B of A - 1 BAC</v>
      </c>
      <c r="B21" s="10" t="str">
        <v>NC</v>
      </c>
      <c r="C21" s="11">
        <f>SUM(Jan!C21, Feb!C21, Mar!C21)</f>
        <v>0</v>
      </c>
      <c r="D21" s="18">
        <f>SUM(Jan!D21, Feb!D21, Mar!D21)</f>
        <v>0</v>
      </c>
      <c r="E21" s="18">
        <f t="shared" si="3"/>
        <v>0</v>
      </c>
      <c r="F21" s="19" t="str">
        <f t="shared" si="4"/>
        <v/>
      </c>
      <c r="G21" s="20">
        <f>SUM(Jan!G21, Feb!G21, Mar!G21)</f>
        <v>0</v>
      </c>
      <c r="H21" s="20">
        <f>SUM(Jan!H21, Feb!H21, Mar!H21)</f>
        <v>0</v>
      </c>
      <c r="I21" s="19" t="str">
        <f t="shared" si="5"/>
        <v/>
      </c>
    </row>
    <row r="22" spans="1:9" ht="15.6">
      <c r="A22" s="12" t="str">
        <v>Charlotte - B of A - 401 N Tryon</v>
      </c>
      <c r="B22" s="9" t="str">
        <v>NC</v>
      </c>
      <c r="C22" s="24">
        <f>SUM(Jan!C22, Feb!C22, Mar!C22)</f>
        <v>0</v>
      </c>
      <c r="D22" s="13">
        <f>SUM(Jan!D22, Feb!D22, Mar!D22)</f>
        <v>0</v>
      </c>
      <c r="E22" s="13">
        <f t="shared" ref="E22:E28" si="6">IF(AND(ISNUMBER(C22),ISNUMBER(D22)), C22-D22, "")</f>
        <v>0</v>
      </c>
      <c r="F22" s="14" t="str">
        <f t="shared" ref="F22:F28" si="7">IFERROR(E22/D22, "")</f>
        <v/>
      </c>
      <c r="G22" s="15">
        <f>SUM(Jan!G22, Feb!G22, Mar!G22)</f>
        <v>0</v>
      </c>
      <c r="H22" s="15">
        <f>SUM(Jan!H22, Feb!H22, Mar!H22)</f>
        <v>0</v>
      </c>
      <c r="I22" s="16" t="str">
        <f t="shared" ref="I22:I28" si="8">IFERROR(H22/G22, "")</f>
        <v/>
      </c>
    </row>
    <row r="23" spans="1:9" ht="15.6">
      <c r="A23" s="17" t="str">
        <v>Chandler - B of A Campus Bldg A</v>
      </c>
      <c r="B23" s="10" t="str">
        <v>AZ</v>
      </c>
      <c r="C23" s="11">
        <f>SUM(Jan!C23, Feb!C23, Mar!C23)</f>
        <v>10791.25</v>
      </c>
      <c r="D23" s="18">
        <f>SUM(Jan!D23, Feb!D23, Mar!D23)</f>
        <v>0</v>
      </c>
      <c r="E23" s="18">
        <f t="shared" si="6"/>
        <v>10791.25</v>
      </c>
      <c r="F23" s="19" t="str">
        <f t="shared" si="7"/>
        <v/>
      </c>
      <c r="G23" s="20">
        <f>SUM(Jan!G23, Feb!G23, Mar!G23)</f>
        <v>0</v>
      </c>
      <c r="H23" s="20">
        <f>SUM(Jan!H23, Feb!H23, Mar!H23)</f>
        <v>0</v>
      </c>
      <c r="I23" s="19" t="str">
        <f t="shared" si="8"/>
        <v/>
      </c>
    </row>
    <row r="24" spans="1:9" ht="15.6">
      <c r="A24" s="12" t="str">
        <v>Chandler - B of A Campus Bldg B</v>
      </c>
      <c r="B24" s="9" t="str">
        <v>AZ</v>
      </c>
      <c r="C24" s="24">
        <f>SUM(Jan!C24, Feb!C24, Mar!C24)</f>
        <v>19506.5</v>
      </c>
      <c r="D24" s="13">
        <f>SUM(Jan!D24, Feb!D24, Mar!D24)</f>
        <v>0</v>
      </c>
      <c r="E24" s="13">
        <f t="shared" si="6"/>
        <v>19506.5</v>
      </c>
      <c r="F24" s="14" t="str">
        <f t="shared" si="7"/>
        <v/>
      </c>
      <c r="G24" s="15">
        <f>SUM(Jan!G24, Feb!G24, Mar!G24)</f>
        <v>0</v>
      </c>
      <c r="H24" s="15">
        <f>SUM(Jan!H24, Feb!H24, Mar!H24)</f>
        <v>0</v>
      </c>
      <c r="I24" s="16" t="str">
        <f t="shared" si="8"/>
        <v/>
      </c>
    </row>
    <row r="25" spans="1:9" ht="15.6">
      <c r="A25" s="17" t="str">
        <v>Chandler - B of A Campus Bldg C</v>
      </c>
      <c r="B25" s="10" t="str">
        <v>AZ</v>
      </c>
      <c r="C25" s="11">
        <f>SUM(Jan!C25, Feb!C25, Mar!C25)</f>
        <v>10495.3</v>
      </c>
      <c r="D25" s="18">
        <f>SUM(Jan!D25, Feb!D25, Mar!D25)</f>
        <v>0</v>
      </c>
      <c r="E25" s="18">
        <f t="shared" si="6"/>
        <v>10495.3</v>
      </c>
      <c r="F25" s="19" t="str">
        <f t="shared" si="7"/>
        <v/>
      </c>
      <c r="G25" s="20">
        <f>SUM(Jan!G25, Feb!G25, Mar!G25)</f>
        <v>0</v>
      </c>
      <c r="H25" s="20">
        <f>SUM(Jan!H25, Feb!H25, Mar!H25)</f>
        <v>0</v>
      </c>
      <c r="I25" s="19" t="str">
        <f t="shared" si="8"/>
        <v/>
      </c>
    </row>
    <row r="26" spans="1:9" ht="15.6">
      <c r="A26" s="12" t="str">
        <v>Chandler - B of A Campus Bldg D</v>
      </c>
      <c r="B26" s="9" t="str">
        <v>AZ</v>
      </c>
      <c r="C26" s="24">
        <f>SUM(Jan!C26, Feb!C26, Mar!C26)</f>
        <v>5978.87</v>
      </c>
      <c r="D26" s="13">
        <f>SUM(Jan!D26, Feb!D26, Mar!D26)</f>
        <v>0</v>
      </c>
      <c r="E26" s="13">
        <f t="shared" si="6"/>
        <v>5978.87</v>
      </c>
      <c r="F26" s="14" t="str">
        <f t="shared" si="7"/>
        <v/>
      </c>
      <c r="G26" s="15">
        <f>SUM(Jan!G26, Feb!G26, Mar!G26)</f>
        <v>0</v>
      </c>
      <c r="H26" s="15">
        <f>SUM(Jan!H26, Feb!H26, Mar!H26)</f>
        <v>0</v>
      </c>
      <c r="I26" s="16" t="str">
        <f t="shared" si="8"/>
        <v/>
      </c>
    </row>
    <row r="27" spans="1:9" ht="15.6">
      <c r="A27" s="17" t="str">
        <v>Tampa - BoA Ekman</v>
      </c>
      <c r="B27" s="10" t="str">
        <v>FL</v>
      </c>
      <c r="C27" s="11">
        <f>SUM(Jan!C27, Feb!C27, Mar!C27)</f>
        <v>81866.599999999991</v>
      </c>
      <c r="D27" s="18">
        <f>SUM(Jan!D27, Feb!D27, Mar!D27)</f>
        <v>0</v>
      </c>
      <c r="E27" s="18">
        <f t="shared" si="6"/>
        <v>81866.599999999991</v>
      </c>
      <c r="F27" s="19" t="str">
        <f t="shared" si="7"/>
        <v/>
      </c>
      <c r="G27" s="20">
        <f>SUM(Jan!G27, Feb!G27, Mar!G27)</f>
        <v>0</v>
      </c>
      <c r="H27" s="20">
        <f>SUM(Jan!H27, Feb!H27, Mar!H27)</f>
        <v>0</v>
      </c>
      <c r="I27" s="19" t="str">
        <f t="shared" si="8"/>
        <v/>
      </c>
    </row>
    <row r="28" spans="1:9" ht="15.6">
      <c r="A28" s="12" t="str">
        <v>Charlotte - B of A - Sherrill</v>
      </c>
      <c r="B28" s="9" t="str">
        <v>NC</v>
      </c>
      <c r="C28" s="24">
        <f>SUM(Jan!C28, Feb!C28, Mar!C28)</f>
        <v>0</v>
      </c>
      <c r="D28" s="13">
        <f>SUM(Jan!D28, Feb!D28, Mar!D28)</f>
        <v>0</v>
      </c>
      <c r="E28" s="13">
        <f t="shared" si="6"/>
        <v>0</v>
      </c>
      <c r="F28" s="14" t="str">
        <f t="shared" si="7"/>
        <v/>
      </c>
      <c r="G28" s="15">
        <f>SUM(Jan!G28, Feb!G28, Mar!G28)</f>
        <v>0</v>
      </c>
      <c r="H28" s="15">
        <f>SUM(Jan!H28, Feb!H28, Mar!H28)</f>
        <v>0</v>
      </c>
      <c r="I28" s="16" t="str">
        <f t="shared" si="8"/>
        <v/>
      </c>
    </row>
    <row r="29" spans="1:9" ht="13.9">
      <c r="A29" s="21"/>
      <c r="B29" s="21"/>
      <c r="C29" s="21"/>
      <c r="D29" s="21"/>
      <c r="E29" s="21"/>
      <c r="F29" s="21"/>
      <c r="G29" s="21"/>
      <c r="H29" s="21"/>
      <c r="I29" s="21"/>
    </row>
    <row r="30" spans="1:9" ht="13.9">
      <c r="A30" s="21"/>
      <c r="B30" s="21"/>
      <c r="C30" s="21"/>
      <c r="D30" s="21"/>
      <c r="E30" s="21"/>
      <c r="F30" s="21"/>
      <c r="G30" s="21"/>
      <c r="H30" s="21"/>
      <c r="I30" s="21"/>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sheetData>
  <sortState xmlns:xlrd2="http://schemas.microsoft.com/office/spreadsheetml/2017/richdata2" ref="A3:I3">
    <sortCondition ref="A3"/>
  </sortState>
  <mergeCells count="4">
    <mergeCell ref="G1:I1"/>
    <mergeCell ref="A1:C1"/>
    <mergeCell ref="D1:F1"/>
    <mergeCell ref="A2:B2"/>
  </mergeCells>
  <conditionalFormatting sqref="F2 I2 F4:F98 I4:I98">
    <cfRule type="cellIs" dxfId="40" priority="1" stopIfTrue="1" operator="lessThanOrEqual">
      <formula>-0.1</formula>
    </cfRule>
    <cfRule type="expression" dxfId="3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0"/>
  <sheetViews>
    <sheetView workbookViewId="0">
      <pane xSplit="2" ySplit="3" topLeftCell="C4" activePane="bottomRight" state="frozen"/>
      <selection pane="bottomRight" activeCell="M33" sqref="M33"/>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JLL</v>
      </c>
      <c r="B1" s="91"/>
      <c r="C1" s="91"/>
      <c r="D1" s="92" t="s">
        <v>12</v>
      </c>
      <c r="E1" s="92"/>
      <c r="F1" s="92"/>
      <c r="G1" s="90" t="s">
        <v>13</v>
      </c>
      <c r="H1" s="90"/>
      <c r="I1" s="90"/>
    </row>
    <row r="2" spans="1:9" ht="19.5" customHeight="1">
      <c r="A2" s="93" t="s">
        <v>2</v>
      </c>
      <c r="B2" s="93"/>
      <c r="C2" s="5">
        <f>SUM(C4:C98)</f>
        <v>93084.34</v>
      </c>
      <c r="D2" s="5">
        <f>SUM(D4:D98)</f>
        <v>0</v>
      </c>
      <c r="E2" s="5">
        <f>C2-D2</f>
        <v>93084.34</v>
      </c>
      <c r="F2" s="6">
        <f>IFERROR(E2/D2, 0)</f>
        <v>0</v>
      </c>
      <c r="G2" s="5">
        <f>SUM(G4:G98)</f>
        <v>0</v>
      </c>
      <c r="H2" s="7">
        <f>C2-G2</f>
        <v>93084.34</v>
      </c>
      <c r="I2" s="6">
        <f>IFERROR(H2/G2, 0)</f>
        <v>0</v>
      </c>
    </row>
    <row r="3" spans="1:9" ht="14.25" customHeight="1">
      <c r="A3" s="8" t="s">
        <v>3</v>
      </c>
      <c r="B3" s="8" t="s">
        <v>4</v>
      </c>
      <c r="C3" s="23" t="s">
        <v>5</v>
      </c>
      <c r="D3" s="35" t="s">
        <v>6</v>
      </c>
      <c r="E3" s="35" t="s">
        <v>7</v>
      </c>
      <c r="F3" s="36" t="s">
        <v>8</v>
      </c>
      <c r="G3" s="37" t="s">
        <v>9</v>
      </c>
      <c r="H3" s="38" t="s">
        <v>7</v>
      </c>
      <c r="I3" s="39" t="s">
        <v>8</v>
      </c>
    </row>
    <row r="4" spans="1:9" ht="15.6">
      <c r="A4" s="12" t="str" cm="1">
        <f t="array" ref="A4:A28">Sites[Site]</f>
        <v>Bullhead</v>
      </c>
      <c r="B4" s="9" t="str" cm="1">
        <f t="array" ref="B4:B28">Sites[State]</f>
        <v>AZ</v>
      </c>
      <c r="C4" s="24">
        <f>SUM(Apr!C4, May!C4, Jun!C4)</f>
        <v>291.89999999999998</v>
      </c>
      <c r="D4" s="13">
        <f>SUM(Apr!D4, May!D4, Jun!D4)</f>
        <v>0</v>
      </c>
      <c r="E4" s="13">
        <f>IF(AND(ISNUMBER(C4),ISNUMBER(D4)), C4-D4, "")</f>
        <v>291.89999999999998</v>
      </c>
      <c r="F4" s="14" t="str">
        <f>IFERROR(E4/D4, "")</f>
        <v/>
      </c>
      <c r="G4" s="15">
        <f>SUM(Apr!G4, May!G4, Jun!G4)</f>
        <v>0</v>
      </c>
      <c r="H4" s="15">
        <f>SUM(Apr!H4, May!H4, Jun!H4)</f>
        <v>0</v>
      </c>
      <c r="I4" s="16" t="str">
        <f>IFERROR(H4/G4, "")</f>
        <v/>
      </c>
    </row>
    <row r="5" spans="1:9" ht="15.6">
      <c r="A5" s="17" t="str">
        <v>Peoria</v>
      </c>
      <c r="B5" s="10" t="str">
        <v>AZ</v>
      </c>
      <c r="C5" s="11">
        <f>SUM(Apr!C5, May!C5, Jun!C5)</f>
        <v>0</v>
      </c>
      <c r="D5" s="18">
        <f>SUM(Apr!D5, May!D5, Jun!D5)</f>
        <v>0</v>
      </c>
      <c r="E5" s="18">
        <f t="shared" ref="E5:E15" si="0">IF(AND(ISNUMBER(C5),ISNUMBER(D5)), C5-D5, "")</f>
        <v>0</v>
      </c>
      <c r="F5" s="19" t="str">
        <f>IFERROR(E5/D5, "")</f>
        <v/>
      </c>
      <c r="G5" s="20">
        <f>SUM(Apr!G5, May!G5, Jun!G5)</f>
        <v>0</v>
      </c>
      <c r="H5" s="20">
        <f>SUM(Apr!H5, May!H5, Jun!H5)</f>
        <v>0</v>
      </c>
      <c r="I5" s="19" t="str">
        <f>IFERROR(H5/G5, "")</f>
        <v/>
      </c>
    </row>
    <row r="6" spans="1:9" ht="15.6">
      <c r="A6" s="12" t="str">
        <v>Tucson</v>
      </c>
      <c r="B6" s="9" t="str">
        <v>AZ</v>
      </c>
      <c r="C6" s="24">
        <f>SUM(Apr!C6, May!C6, Jun!C6)</f>
        <v>0</v>
      </c>
      <c r="D6" s="13">
        <f>SUM(Apr!D6, May!D6, Jun!D6)</f>
        <v>0</v>
      </c>
      <c r="E6" s="13">
        <f t="shared" si="0"/>
        <v>0</v>
      </c>
      <c r="F6" s="14" t="str">
        <f t="shared" ref="F6:F15" si="1">IFERROR(E6/D6, "")</f>
        <v/>
      </c>
      <c r="G6" s="15">
        <f>SUM(Apr!G6, May!G6, Jun!G6)</f>
        <v>0</v>
      </c>
      <c r="H6" s="15">
        <f>SUM(Apr!H6, May!H6, Jun!H6)</f>
        <v>0</v>
      </c>
      <c r="I6" s="16" t="str">
        <f t="shared" ref="I6:I15" si="2">IFERROR(H6/G6, "")</f>
        <v/>
      </c>
    </row>
    <row r="7" spans="1:9" ht="15.6">
      <c r="A7" s="17" t="str">
        <v>Hialeah</v>
      </c>
      <c r="B7" s="10" t="str">
        <v>FL</v>
      </c>
      <c r="C7" s="11">
        <f>SUM(Apr!C7, May!C7, Jun!C7)</f>
        <v>-3925.51</v>
      </c>
      <c r="D7" s="18">
        <f>SUM(Apr!D7, May!D7, Jun!D7)</f>
        <v>0</v>
      </c>
      <c r="E7" s="18">
        <f t="shared" si="0"/>
        <v>-3925.51</v>
      </c>
      <c r="F7" s="19" t="str">
        <f t="shared" si="1"/>
        <v/>
      </c>
      <c r="G7" s="20">
        <f>SUM(Apr!G7, May!G7, Jun!G7)</f>
        <v>0</v>
      </c>
      <c r="H7" s="20">
        <f>SUM(Apr!H7, May!H7, Jun!H7)</f>
        <v>0</v>
      </c>
      <c r="I7" s="19" t="str">
        <f t="shared" si="2"/>
        <v/>
      </c>
    </row>
    <row r="8" spans="1:9" ht="15.6">
      <c r="A8" s="12" t="str">
        <v>Jacksonville</v>
      </c>
      <c r="B8" s="9" t="str">
        <v>FL</v>
      </c>
      <c r="C8" s="24">
        <f>SUM(Apr!C8, May!C8, Jun!C8)</f>
        <v>241.5</v>
      </c>
      <c r="D8" s="13">
        <f>SUM(Apr!D8, May!D8, Jun!D8)</f>
        <v>0</v>
      </c>
      <c r="E8" s="13">
        <f t="shared" si="0"/>
        <v>241.5</v>
      </c>
      <c r="F8" s="14" t="str">
        <f t="shared" si="1"/>
        <v/>
      </c>
      <c r="G8" s="15">
        <f>SUM(Apr!G8, May!G8, Jun!G8)</f>
        <v>0</v>
      </c>
      <c r="H8" s="15">
        <f>SUM(Apr!H8, May!H8, Jun!H8)</f>
        <v>0</v>
      </c>
      <c r="I8" s="16" t="str">
        <f t="shared" si="2"/>
        <v/>
      </c>
    </row>
    <row r="9" spans="1:9" ht="15.6">
      <c r="A9" s="17" t="str">
        <v>Miami Gardens</v>
      </c>
      <c r="B9" s="10" t="str">
        <v>FL</v>
      </c>
      <c r="C9" s="11">
        <f>SUM(Apr!C9, May!C9, Jun!C9)</f>
        <v>249.1</v>
      </c>
      <c r="D9" s="18">
        <f>SUM(Apr!D9, May!D9, Jun!D9)</f>
        <v>0</v>
      </c>
      <c r="E9" s="18">
        <f t="shared" si="0"/>
        <v>249.1</v>
      </c>
      <c r="F9" s="19" t="str">
        <f t="shared" si="1"/>
        <v/>
      </c>
      <c r="G9" s="20">
        <f>SUM(Apr!G9, May!G9, Jun!G9)</f>
        <v>0</v>
      </c>
      <c r="H9" s="20">
        <f>SUM(Apr!H9, May!H9, Jun!H9)</f>
        <v>0</v>
      </c>
      <c r="I9" s="19" t="str">
        <f t="shared" si="2"/>
        <v/>
      </c>
    </row>
    <row r="10" spans="1:9" ht="15.6">
      <c r="A10" s="12" t="str">
        <v>Fort Myers</v>
      </c>
      <c r="B10" s="9" t="str">
        <v>FL</v>
      </c>
      <c r="C10" s="24">
        <f>SUM(Apr!C10, May!C10, Jun!C10)</f>
        <v>14764.2</v>
      </c>
      <c r="D10" s="13">
        <f>SUM(Apr!D10, May!D10, Jun!D10)</f>
        <v>0</v>
      </c>
      <c r="E10" s="13">
        <f t="shared" si="0"/>
        <v>14764.2</v>
      </c>
      <c r="F10" s="14" t="str">
        <f t="shared" si="1"/>
        <v/>
      </c>
      <c r="G10" s="15">
        <f>SUM(Apr!G10, May!G10, Jun!G10)</f>
        <v>0</v>
      </c>
      <c r="H10" s="15">
        <f>SUM(Apr!H10, May!H10, Jun!H10)</f>
        <v>0</v>
      </c>
      <c r="I10" s="16" t="str">
        <f t="shared" si="2"/>
        <v/>
      </c>
    </row>
    <row r="11" spans="1:9" ht="15.6">
      <c r="A11" s="17" t="str">
        <v>Orlando</v>
      </c>
      <c r="B11" s="10" t="str">
        <v>FL</v>
      </c>
      <c r="C11" s="11">
        <f>SUM(Apr!C11, May!C11, Jun!C11)</f>
        <v>11750.05</v>
      </c>
      <c r="D11" s="18">
        <f>SUM(Apr!D11, May!D11, Jun!D11)</f>
        <v>0</v>
      </c>
      <c r="E11" s="18">
        <f t="shared" si="0"/>
        <v>11750.05</v>
      </c>
      <c r="F11" s="19" t="str">
        <f t="shared" si="1"/>
        <v/>
      </c>
      <c r="G11" s="20">
        <f>SUM(Apr!G11, May!G11, Jun!G11)</f>
        <v>0</v>
      </c>
      <c r="H11" s="20">
        <f>SUM(Apr!H11, May!H11, Jun!H11)</f>
        <v>0</v>
      </c>
      <c r="I11" s="19" t="str">
        <f t="shared" si="2"/>
        <v/>
      </c>
    </row>
    <row r="12" spans="1:9" ht="15.6">
      <c r="A12" s="12" t="str">
        <v>Port St. Lucie</v>
      </c>
      <c r="B12" s="9" t="str">
        <v>FL</v>
      </c>
      <c r="C12" s="24">
        <f>SUM(Apr!C12, May!C12, Jun!C12)</f>
        <v>20848.699999999997</v>
      </c>
      <c r="D12" s="13">
        <f>SUM(Apr!D12, May!D12, Jun!D12)</f>
        <v>0</v>
      </c>
      <c r="E12" s="13">
        <f t="shared" si="0"/>
        <v>20848.699999999997</v>
      </c>
      <c r="F12" s="14" t="str">
        <f t="shared" si="1"/>
        <v/>
      </c>
      <c r="G12" s="15">
        <f>SUM(Apr!G12, May!G12, Jun!G12)</f>
        <v>0</v>
      </c>
      <c r="H12" s="15">
        <f>SUM(Apr!H12, May!H12, Jun!H12)</f>
        <v>0</v>
      </c>
      <c r="I12" s="16" t="str">
        <f t="shared" si="2"/>
        <v/>
      </c>
    </row>
    <row r="13" spans="1:9" ht="15.6">
      <c r="A13" s="17" t="str">
        <v>Tampa</v>
      </c>
      <c r="B13" s="10" t="str">
        <v>FL</v>
      </c>
      <c r="C13" s="11">
        <f>SUM(Apr!C13, May!C13, Jun!C13)</f>
        <v>4166.1000000000004</v>
      </c>
      <c r="D13" s="18">
        <f>SUM(Apr!D13, May!D13, Jun!D13)</f>
        <v>0</v>
      </c>
      <c r="E13" s="18">
        <f t="shared" si="0"/>
        <v>4166.1000000000004</v>
      </c>
      <c r="F13" s="19" t="str">
        <f t="shared" si="1"/>
        <v/>
      </c>
      <c r="G13" s="20">
        <f>SUM(Apr!G13, May!G13, Jun!G13)</f>
        <v>0</v>
      </c>
      <c r="H13" s="20">
        <f>SUM(Apr!H13, May!H13, Jun!H13)</f>
        <v>0</v>
      </c>
      <c r="I13" s="19" t="str">
        <f t="shared" si="2"/>
        <v/>
      </c>
    </row>
    <row r="14" spans="1:9" ht="15.6">
      <c r="A14" s="12" t="str">
        <v>Roswell</v>
      </c>
      <c r="B14" s="9" t="str">
        <v>GA</v>
      </c>
      <c r="C14" s="24">
        <f>SUM(Apr!C14, May!C14, Jun!C14)</f>
        <v>12845.9</v>
      </c>
      <c r="D14" s="13">
        <f>SUM(Apr!D14, May!D14, Jun!D14)</f>
        <v>0</v>
      </c>
      <c r="E14" s="13">
        <f t="shared" si="0"/>
        <v>12845.9</v>
      </c>
      <c r="F14" s="14" t="str">
        <f t="shared" si="1"/>
        <v/>
      </c>
      <c r="G14" s="15">
        <f>SUM(Apr!G14, May!G14, Jun!G14)</f>
        <v>0</v>
      </c>
      <c r="H14" s="15">
        <f>SUM(Apr!H14, May!H14, Jun!H14)</f>
        <v>0</v>
      </c>
      <c r="I14" s="16" t="str">
        <f t="shared" si="2"/>
        <v/>
      </c>
    </row>
    <row r="15" spans="1:9" ht="15.6">
      <c r="A15" s="17" t="str">
        <v>Charlotte</v>
      </c>
      <c r="B15" s="10" t="str">
        <v>NC</v>
      </c>
      <c r="C15" s="11">
        <f>SUM(Apr!C15, May!C15, Jun!C15)</f>
        <v>4798.1000000000004</v>
      </c>
      <c r="D15" s="18">
        <f>SUM(Apr!D15, May!D15, Jun!D15)</f>
        <v>0</v>
      </c>
      <c r="E15" s="18">
        <f t="shared" si="0"/>
        <v>4798.1000000000004</v>
      </c>
      <c r="F15" s="19" t="str">
        <f t="shared" si="1"/>
        <v/>
      </c>
      <c r="G15" s="20">
        <f>SUM(Apr!G15, May!G15, Jun!G15)</f>
        <v>0</v>
      </c>
      <c r="H15" s="20">
        <f>SUM(Apr!H15, May!H15, Jun!H15)</f>
        <v>0</v>
      </c>
      <c r="I15" s="19" t="str">
        <f t="shared" si="2"/>
        <v/>
      </c>
    </row>
    <row r="16" spans="1:9" ht="15.6">
      <c r="A16" s="12" t="str">
        <v>Raleigh</v>
      </c>
      <c r="B16" s="9" t="str">
        <v>NC</v>
      </c>
      <c r="C16" s="24">
        <f>SUM(Apr!C16, May!C16, Jun!C16)</f>
        <v>6676.7</v>
      </c>
      <c r="D16" s="13">
        <f>SUM(Apr!D16, May!D16, Jun!D16)</f>
        <v>0</v>
      </c>
      <c r="E16" s="13">
        <f t="shared" ref="E16:E21" si="3">IF(AND(ISNUMBER(C16),ISNUMBER(D16)), C16-D16, "")</f>
        <v>6676.7</v>
      </c>
      <c r="F16" s="14" t="str">
        <f t="shared" ref="F16:F21" si="4">IFERROR(E16/D16, "")</f>
        <v/>
      </c>
      <c r="G16" s="15">
        <f>SUM(Apr!G16, May!G16, Jun!G16)</f>
        <v>0</v>
      </c>
      <c r="H16" s="15">
        <f>SUM(Apr!H16, May!H16, Jun!H16)</f>
        <v>0</v>
      </c>
      <c r="I16" s="16" t="str">
        <f t="shared" ref="I16:I21" si="5">IFERROR(H16/G16, "")</f>
        <v/>
      </c>
    </row>
    <row r="17" spans="1:9" ht="15.6">
      <c r="A17" s="17" t="str">
        <v>Cordova</v>
      </c>
      <c r="B17" s="10" t="str">
        <v>TN</v>
      </c>
      <c r="C17" s="11">
        <f>SUM(Apr!C17, May!C17, Jun!C17)</f>
        <v>7333.2</v>
      </c>
      <c r="D17" s="18">
        <f>SUM(Apr!D17, May!D17, Jun!D17)</f>
        <v>0</v>
      </c>
      <c r="E17" s="18">
        <f t="shared" si="3"/>
        <v>7333.2</v>
      </c>
      <c r="F17" s="19" t="str">
        <f t="shared" si="4"/>
        <v/>
      </c>
      <c r="G17" s="20">
        <f>SUM(Apr!G17, May!G17, Jun!G17)</f>
        <v>0</v>
      </c>
      <c r="H17" s="20">
        <f>SUM(Apr!H17, May!H17, Jun!H17)</f>
        <v>0</v>
      </c>
      <c r="I17" s="19" t="str">
        <f t="shared" si="5"/>
        <v/>
      </c>
    </row>
    <row r="18" spans="1:9" ht="12.75" customHeight="1">
      <c r="A18" s="12" t="str">
        <v>Austin</v>
      </c>
      <c r="B18" s="9" t="str">
        <v>TX</v>
      </c>
      <c r="C18" s="24">
        <f>SUM(Apr!C18, May!C18, Jun!C18)</f>
        <v>4364.1000000000004</v>
      </c>
      <c r="D18" s="13">
        <f>SUM(Apr!D18, May!D18, Jun!D18)</f>
        <v>0</v>
      </c>
      <c r="E18" s="13">
        <f t="shared" si="3"/>
        <v>4364.1000000000004</v>
      </c>
      <c r="F18" s="14" t="str">
        <f t="shared" si="4"/>
        <v/>
      </c>
      <c r="G18" s="15">
        <f>SUM(Apr!G18, May!G18, Jun!G18)</f>
        <v>0</v>
      </c>
      <c r="H18" s="15">
        <f>SUM(Apr!H18, May!H18, Jun!H18)</f>
        <v>0</v>
      </c>
      <c r="I18" s="16" t="str">
        <f t="shared" si="5"/>
        <v/>
      </c>
    </row>
    <row r="19" spans="1:9" ht="15.6">
      <c r="A19" s="17" t="str">
        <v>Frisco</v>
      </c>
      <c r="B19" s="10" t="str">
        <v>TX</v>
      </c>
      <c r="C19" s="11">
        <f>SUM(Apr!C19, May!C19, Jun!C19)</f>
        <v>5502.2000000000007</v>
      </c>
      <c r="D19" s="18">
        <f>SUM(Apr!D19, May!D19, Jun!D19)</f>
        <v>0</v>
      </c>
      <c r="E19" s="18">
        <f t="shared" si="3"/>
        <v>5502.2000000000007</v>
      </c>
      <c r="F19" s="19" t="str">
        <f t="shared" si="4"/>
        <v/>
      </c>
      <c r="G19" s="20">
        <f>SUM(Apr!G19, May!G19, Jun!G19)</f>
        <v>0</v>
      </c>
      <c r="H19" s="20">
        <f>SUM(Apr!H19, May!H19, Jun!H19)</f>
        <v>0</v>
      </c>
      <c r="I19" s="19" t="str">
        <f t="shared" si="5"/>
        <v/>
      </c>
    </row>
    <row r="20" spans="1:9" ht="15.6">
      <c r="A20" s="12" t="str">
        <v>Copperfield</v>
      </c>
      <c r="B20" s="9" t="str">
        <v>TX</v>
      </c>
      <c r="C20" s="24">
        <f>SUM(Apr!C20, May!C20, Jun!C20)</f>
        <v>3178.1</v>
      </c>
      <c r="D20" s="13">
        <f>SUM(Apr!D20, May!D20, Jun!D20)</f>
        <v>0</v>
      </c>
      <c r="E20" s="13">
        <f t="shared" si="3"/>
        <v>3178.1</v>
      </c>
      <c r="F20" s="14" t="str">
        <f t="shared" si="4"/>
        <v/>
      </c>
      <c r="G20" s="15">
        <f>SUM(Apr!G20, May!G20, Jun!G20)</f>
        <v>0</v>
      </c>
      <c r="H20" s="15">
        <f>SUM(Apr!H20, May!H20, Jun!H20)</f>
        <v>0</v>
      </c>
      <c r="I20" s="16" t="str">
        <f t="shared" si="5"/>
        <v/>
      </c>
    </row>
    <row r="21" spans="1:9" ht="15.6">
      <c r="A21" s="17" t="str">
        <v>Charlotte - B of A - 1 BAC</v>
      </c>
      <c r="B21" s="10" t="str">
        <v>NC</v>
      </c>
      <c r="C21" s="11">
        <f>SUM(Apr!C21, May!C21, Jun!C21)</f>
        <v>0</v>
      </c>
      <c r="D21" s="18">
        <f>SUM(Apr!D21, May!D21, Jun!D21)</f>
        <v>0</v>
      </c>
      <c r="E21" s="18">
        <f t="shared" si="3"/>
        <v>0</v>
      </c>
      <c r="F21" s="19" t="str">
        <f t="shared" si="4"/>
        <v/>
      </c>
      <c r="G21" s="20">
        <f>SUM(Apr!G21, May!G21, Jun!G21)</f>
        <v>0</v>
      </c>
      <c r="H21" s="20">
        <f>SUM(Apr!H21, May!H21, Jun!H21)</f>
        <v>0</v>
      </c>
      <c r="I21" s="19" t="str">
        <f t="shared" si="5"/>
        <v/>
      </c>
    </row>
    <row r="22" spans="1:9" ht="15.6">
      <c r="A22" s="12" t="str">
        <v>Charlotte - B of A - 401 N Tryon</v>
      </c>
      <c r="B22" s="9" t="str">
        <v>NC</v>
      </c>
      <c r="C22" s="24">
        <f>SUM(Apr!C22, May!C22, Jun!C22)</f>
        <v>0</v>
      </c>
      <c r="D22" s="13">
        <f>SUM(Apr!D22, May!D22, Jun!D22)</f>
        <v>0</v>
      </c>
      <c r="E22" s="13">
        <f t="shared" ref="E22:E28" si="6">IF(AND(ISNUMBER(C22),ISNUMBER(D22)), C22-D22, "")</f>
        <v>0</v>
      </c>
      <c r="F22" s="14" t="str">
        <f t="shared" ref="F22:F28" si="7">IFERROR(E22/D22, "")</f>
        <v/>
      </c>
      <c r="G22" s="15">
        <f>SUM(Apr!G22, May!G22, Jun!G22)</f>
        <v>0</v>
      </c>
      <c r="H22" s="15">
        <f>SUM(Apr!H22, May!H22, Jun!H22)</f>
        <v>0</v>
      </c>
      <c r="I22" s="16" t="str">
        <f t="shared" ref="I22:I28" si="8">IFERROR(H22/G22, "")</f>
        <v/>
      </c>
    </row>
    <row r="23" spans="1:9" ht="15.6">
      <c r="A23" s="17" t="str">
        <v>Chandler - B of A Campus Bldg A</v>
      </c>
      <c r="B23" s="10" t="str">
        <v>AZ</v>
      </c>
      <c r="C23" s="11">
        <f>SUM(Apr!C23, May!C23, Jun!C23)</f>
        <v>0</v>
      </c>
      <c r="D23" s="18">
        <f>SUM(Apr!D23, May!D23, Jun!D23)</f>
        <v>0</v>
      </c>
      <c r="E23" s="18">
        <f t="shared" si="6"/>
        <v>0</v>
      </c>
      <c r="F23" s="19" t="str">
        <f t="shared" si="7"/>
        <v/>
      </c>
      <c r="G23" s="20">
        <f>SUM(Apr!G23, May!G23, Jun!G23)</f>
        <v>0</v>
      </c>
      <c r="H23" s="20">
        <f>SUM(Apr!H23, May!H23, Jun!H23)</f>
        <v>0</v>
      </c>
      <c r="I23" s="19" t="str">
        <f t="shared" si="8"/>
        <v/>
      </c>
    </row>
    <row r="24" spans="1:9" ht="15.6">
      <c r="A24" s="12" t="str">
        <v>Chandler - B of A Campus Bldg B</v>
      </c>
      <c r="B24" s="9" t="str">
        <v>AZ</v>
      </c>
      <c r="C24" s="24">
        <f>SUM(Apr!C24, May!C24, Jun!C24)</f>
        <v>0</v>
      </c>
      <c r="D24" s="13">
        <f>SUM(Apr!D24, May!D24, Jun!D24)</f>
        <v>0</v>
      </c>
      <c r="E24" s="13">
        <f t="shared" si="6"/>
        <v>0</v>
      </c>
      <c r="F24" s="14" t="str">
        <f t="shared" si="7"/>
        <v/>
      </c>
      <c r="G24" s="15">
        <f>SUM(Apr!G24, May!G24, Jun!G24)</f>
        <v>0</v>
      </c>
      <c r="H24" s="15">
        <f>SUM(Apr!H24, May!H24, Jun!H24)</f>
        <v>0</v>
      </c>
      <c r="I24" s="16" t="str">
        <f t="shared" si="8"/>
        <v/>
      </c>
    </row>
    <row r="25" spans="1:9" ht="15.6">
      <c r="A25" s="17" t="str">
        <v>Chandler - B of A Campus Bldg C</v>
      </c>
      <c r="B25" s="10" t="str">
        <v>AZ</v>
      </c>
      <c r="C25" s="11">
        <f>SUM(Apr!C25, May!C25, Jun!C25)</f>
        <v>0</v>
      </c>
      <c r="D25" s="18">
        <f>SUM(Apr!D25, May!D25, Jun!D25)</f>
        <v>0</v>
      </c>
      <c r="E25" s="18">
        <f t="shared" si="6"/>
        <v>0</v>
      </c>
      <c r="F25" s="19" t="str">
        <f t="shared" si="7"/>
        <v/>
      </c>
      <c r="G25" s="20">
        <f>SUM(Apr!G25, May!G25, Jun!G25)</f>
        <v>0</v>
      </c>
      <c r="H25" s="20">
        <f>SUM(Apr!H25, May!H25, Jun!H25)</f>
        <v>0</v>
      </c>
      <c r="I25" s="19" t="str">
        <f t="shared" si="8"/>
        <v/>
      </c>
    </row>
    <row r="26" spans="1:9" ht="15.6">
      <c r="A26" s="12" t="str">
        <v>Chandler - B of A Campus Bldg D</v>
      </c>
      <c r="B26" s="9" t="str">
        <v>AZ</v>
      </c>
      <c r="C26" s="24">
        <f>SUM(Apr!C26, May!C26, Jun!C26)</f>
        <v>0</v>
      </c>
      <c r="D26" s="13">
        <f>SUM(Apr!D26, May!D26, Jun!D26)</f>
        <v>0</v>
      </c>
      <c r="E26" s="13">
        <f t="shared" si="6"/>
        <v>0</v>
      </c>
      <c r="F26" s="14" t="str">
        <f t="shared" si="7"/>
        <v/>
      </c>
      <c r="G26" s="15">
        <f>SUM(Apr!G26, May!G26, Jun!G26)</f>
        <v>0</v>
      </c>
      <c r="H26" s="15">
        <f>SUM(Apr!H26, May!H26, Jun!H26)</f>
        <v>0</v>
      </c>
      <c r="I26" s="16" t="str">
        <f t="shared" si="8"/>
        <v/>
      </c>
    </row>
    <row r="27" spans="1:9" ht="15.6">
      <c r="A27" s="17" t="str">
        <v>Tampa - BoA Ekman</v>
      </c>
      <c r="B27" s="10" t="str">
        <v>FL</v>
      </c>
      <c r="C27" s="11">
        <f>SUM(Apr!C27, May!C27, Jun!C27)</f>
        <v>0</v>
      </c>
      <c r="D27" s="18">
        <f>SUM(Apr!D27, May!D27, Jun!D27)</f>
        <v>0</v>
      </c>
      <c r="E27" s="18">
        <f t="shared" si="6"/>
        <v>0</v>
      </c>
      <c r="F27" s="19" t="str">
        <f t="shared" si="7"/>
        <v/>
      </c>
      <c r="G27" s="20">
        <f>SUM(Apr!G27, May!G27, Jun!G27)</f>
        <v>0</v>
      </c>
      <c r="H27" s="20">
        <f>SUM(Apr!H27, May!H27, Jun!H27)</f>
        <v>0</v>
      </c>
      <c r="I27" s="19" t="str">
        <f t="shared" si="8"/>
        <v/>
      </c>
    </row>
    <row r="28" spans="1:9" ht="15.6">
      <c r="A28" s="12" t="str">
        <v>Charlotte - B of A - Sherrill</v>
      </c>
      <c r="B28" s="9" t="str">
        <v>NC</v>
      </c>
      <c r="C28" s="24">
        <f>SUM(Apr!C28, May!C28, Jun!C28)</f>
        <v>0</v>
      </c>
      <c r="D28" s="13">
        <f>SUM(Apr!D28, May!D28, Jun!D28)</f>
        <v>0</v>
      </c>
      <c r="E28" s="13">
        <f t="shared" si="6"/>
        <v>0</v>
      </c>
      <c r="F28" s="14" t="str">
        <f t="shared" si="7"/>
        <v/>
      </c>
      <c r="G28" s="15">
        <f>SUM(Apr!G28, May!G28, Jun!G28)</f>
        <v>0</v>
      </c>
      <c r="H28" s="15">
        <f>SUM(Apr!H28, May!H28, Jun!H28)</f>
        <v>0</v>
      </c>
      <c r="I28" s="16" t="str">
        <f t="shared" si="8"/>
        <v/>
      </c>
    </row>
    <row r="29" spans="1:9" ht="13.9">
      <c r="A29" s="21"/>
      <c r="B29" s="21"/>
      <c r="C29" s="21"/>
      <c r="D29" s="21"/>
      <c r="E29" s="21"/>
      <c r="F29" s="21"/>
      <c r="G29" s="21"/>
      <c r="H29" s="21"/>
      <c r="I29" s="21"/>
    </row>
    <row r="30" spans="1:9" ht="13.9">
      <c r="A30" s="21"/>
      <c r="B30" s="21"/>
      <c r="C30" s="21"/>
      <c r="D30" s="21"/>
      <c r="E30" s="21"/>
      <c r="F30" s="21"/>
      <c r="G30" s="21"/>
      <c r="H30" s="21"/>
      <c r="I30" s="21"/>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sheetData>
  <sortState xmlns:xlrd2="http://schemas.microsoft.com/office/spreadsheetml/2017/richdata2" ref="A3:I4">
    <sortCondition ref="A3:A4"/>
  </sortState>
  <mergeCells count="4">
    <mergeCell ref="G1:I1"/>
    <mergeCell ref="A1:C1"/>
    <mergeCell ref="D1:F1"/>
    <mergeCell ref="A2:B2"/>
  </mergeCells>
  <conditionalFormatting sqref="F2 I2 F4:F98 I4:I98">
    <cfRule type="cellIs" dxfId="38" priority="3" stopIfTrue="1" operator="lessThanOrEqual">
      <formula>-0.1</formula>
    </cfRule>
    <cfRule type="expression" dxfId="37" priority="4">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0"/>
  <sheetViews>
    <sheetView workbookViewId="0">
      <pane xSplit="2" ySplit="3" topLeftCell="C4" activePane="bottomRight" state="frozen"/>
      <selection pane="bottomRight" activeCell="F32" sqref="F3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JLL</v>
      </c>
      <c r="B1" s="91"/>
      <c r="C1" s="91"/>
      <c r="D1" s="92" t="s">
        <v>14</v>
      </c>
      <c r="E1" s="92"/>
      <c r="F1" s="92"/>
      <c r="G1" s="90" t="s">
        <v>15</v>
      </c>
      <c r="H1" s="90"/>
      <c r="I1" s="90"/>
    </row>
    <row r="2" spans="1:9" ht="19.5" customHeight="1">
      <c r="A2" s="93" t="s">
        <v>2</v>
      </c>
      <c r="B2" s="93"/>
      <c r="C2" s="5">
        <f>SUM(C4:C98)</f>
        <v>0</v>
      </c>
      <c r="D2" s="5">
        <f>SUM(D4:D98)</f>
        <v>0</v>
      </c>
      <c r="E2" s="5">
        <f>C2-D2</f>
        <v>0</v>
      </c>
      <c r="F2" s="6">
        <f>IFERROR(E2/D2, 0)</f>
        <v>0</v>
      </c>
      <c r="G2" s="5">
        <f>SUM(G4:G98)</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12" t="str" cm="1">
        <f t="array" ref="A4:A28">Sites[Site]</f>
        <v>Bullhead</v>
      </c>
      <c r="B4" s="9" t="str" cm="1">
        <f t="array" ref="B4:B28">Sites[State]</f>
        <v>AZ</v>
      </c>
      <c r="C4" s="24">
        <f>SUM(Jul!C4, Aug!C4, Sep!C4)</f>
        <v>0</v>
      </c>
      <c r="D4" s="13">
        <f>SUM(Jul!D4, Aug!D4, Sep!D4)</f>
        <v>0</v>
      </c>
      <c r="E4" s="13">
        <f>IF(AND(ISNUMBER(C4),ISNUMBER(D4)), C4-D4, "")</f>
        <v>0</v>
      </c>
      <c r="F4" s="14" t="str">
        <f>IFERROR(E4/D4, "")</f>
        <v/>
      </c>
      <c r="G4" s="15">
        <f>SUM(Jul!G4, Aug!G4, Sep!G4)</f>
        <v>0</v>
      </c>
      <c r="H4" s="15">
        <f>SUM(Jul!H4, Aug!H4, Sep!H4)</f>
        <v>0</v>
      </c>
      <c r="I4" s="16" t="str">
        <f>IFERROR(H4/G4, "")</f>
        <v/>
      </c>
    </row>
    <row r="5" spans="1:9" ht="15.6">
      <c r="A5" s="17" t="str">
        <v>Peoria</v>
      </c>
      <c r="B5" s="10" t="str">
        <v>AZ</v>
      </c>
      <c r="C5" s="11">
        <f>SUM(Jul!C5, Aug!C5, Sep!C5)</f>
        <v>0</v>
      </c>
      <c r="D5" s="18">
        <f>SUM(Jul!D5, Aug!D5, Sep!D5)</f>
        <v>0</v>
      </c>
      <c r="E5" s="18">
        <f t="shared" ref="E5:E15" si="0">IF(AND(ISNUMBER(C5),ISNUMBER(D5)), C5-D5, "")</f>
        <v>0</v>
      </c>
      <c r="F5" s="19" t="str">
        <f>IFERROR(E5/D5, "")</f>
        <v/>
      </c>
      <c r="G5" s="20">
        <f>SUM(Jul!G5, Aug!G5, Sep!G5)</f>
        <v>0</v>
      </c>
      <c r="H5" s="20">
        <f>SUM(Jul!H5, Aug!H5, Sep!H5)</f>
        <v>0</v>
      </c>
      <c r="I5" s="19" t="str">
        <f>IFERROR(H5/G5, "")</f>
        <v/>
      </c>
    </row>
    <row r="6" spans="1:9" ht="15.6">
      <c r="A6" s="12" t="str">
        <v>Tucson</v>
      </c>
      <c r="B6" s="9" t="str">
        <v>AZ</v>
      </c>
      <c r="C6" s="24">
        <f>SUM(Jul!C6, Aug!C6, Sep!C6)</f>
        <v>0</v>
      </c>
      <c r="D6" s="13">
        <f>SUM(Jul!D6, Aug!D6, Sep!D6)</f>
        <v>0</v>
      </c>
      <c r="E6" s="13">
        <f t="shared" si="0"/>
        <v>0</v>
      </c>
      <c r="F6" s="14" t="str">
        <f t="shared" ref="F6:F15" si="1">IFERROR(E6/D6, "")</f>
        <v/>
      </c>
      <c r="G6" s="15">
        <f>SUM(Jul!G6, Aug!G6, Sep!G6)</f>
        <v>0</v>
      </c>
      <c r="H6" s="15">
        <f>SUM(Jul!H6, Aug!H6, Sep!H6)</f>
        <v>0</v>
      </c>
      <c r="I6" s="16" t="str">
        <f t="shared" ref="I6:I15" si="2">IFERROR(H6/G6, "")</f>
        <v/>
      </c>
    </row>
    <row r="7" spans="1:9" ht="15.6">
      <c r="A7" s="17" t="str">
        <v>Hialeah</v>
      </c>
      <c r="B7" s="10" t="str">
        <v>FL</v>
      </c>
      <c r="C7" s="11">
        <f>SUM(Jul!C7, Aug!C7, Sep!C7)</f>
        <v>0</v>
      </c>
      <c r="D7" s="18">
        <f>SUM(Jul!D7, Aug!D7, Sep!D7)</f>
        <v>0</v>
      </c>
      <c r="E7" s="18">
        <f t="shared" si="0"/>
        <v>0</v>
      </c>
      <c r="F7" s="19" t="str">
        <f t="shared" si="1"/>
        <v/>
      </c>
      <c r="G7" s="20">
        <f>SUM(Jul!G7, Aug!G7, Sep!G7)</f>
        <v>0</v>
      </c>
      <c r="H7" s="20">
        <f>SUM(Jul!H7, Aug!H7, Sep!H7)</f>
        <v>0</v>
      </c>
      <c r="I7" s="19" t="str">
        <f t="shared" si="2"/>
        <v/>
      </c>
    </row>
    <row r="8" spans="1:9" ht="15.6">
      <c r="A8" s="12" t="str">
        <v>Jacksonville</v>
      </c>
      <c r="B8" s="9" t="str">
        <v>FL</v>
      </c>
      <c r="C8" s="24">
        <f>SUM(Jul!C8, Aug!C8, Sep!C8)</f>
        <v>0</v>
      </c>
      <c r="D8" s="13">
        <f>SUM(Jul!D8, Aug!D8, Sep!D8)</f>
        <v>0</v>
      </c>
      <c r="E8" s="13">
        <f t="shared" si="0"/>
        <v>0</v>
      </c>
      <c r="F8" s="14" t="str">
        <f t="shared" si="1"/>
        <v/>
      </c>
      <c r="G8" s="15">
        <f>SUM(Jul!G8, Aug!G8, Sep!G8)</f>
        <v>0</v>
      </c>
      <c r="H8" s="15">
        <f>SUM(Jul!H8, Aug!H8, Sep!H8)</f>
        <v>0</v>
      </c>
      <c r="I8" s="16" t="str">
        <f t="shared" si="2"/>
        <v/>
      </c>
    </row>
    <row r="9" spans="1:9" ht="15.6">
      <c r="A9" s="17" t="str">
        <v>Miami Gardens</v>
      </c>
      <c r="B9" s="10" t="str">
        <v>FL</v>
      </c>
      <c r="C9" s="11">
        <f>SUM(Jul!C9, Aug!C9, Sep!C9)</f>
        <v>0</v>
      </c>
      <c r="D9" s="18">
        <f>SUM(Jul!D9, Aug!D9, Sep!D9)</f>
        <v>0</v>
      </c>
      <c r="E9" s="18">
        <f t="shared" si="0"/>
        <v>0</v>
      </c>
      <c r="F9" s="19" t="str">
        <f t="shared" si="1"/>
        <v/>
      </c>
      <c r="G9" s="20">
        <f>SUM(Jul!G9, Aug!G9, Sep!G9)</f>
        <v>0</v>
      </c>
      <c r="H9" s="20">
        <f>SUM(Jul!H9, Aug!H9, Sep!H9)</f>
        <v>0</v>
      </c>
      <c r="I9" s="19" t="str">
        <f t="shared" si="2"/>
        <v/>
      </c>
    </row>
    <row r="10" spans="1:9" ht="15.6">
      <c r="A10" s="12" t="str">
        <v>Fort Myers</v>
      </c>
      <c r="B10" s="9" t="str">
        <v>FL</v>
      </c>
      <c r="C10" s="24">
        <f>SUM(Jul!C10, Aug!C10, Sep!C10)</f>
        <v>0</v>
      </c>
      <c r="D10" s="13">
        <f>SUM(Jul!D10, Aug!D10, Sep!D10)</f>
        <v>0</v>
      </c>
      <c r="E10" s="13">
        <f t="shared" si="0"/>
        <v>0</v>
      </c>
      <c r="F10" s="14" t="str">
        <f t="shared" si="1"/>
        <v/>
      </c>
      <c r="G10" s="15">
        <f>SUM(Jul!G10, Aug!G10, Sep!G10)</f>
        <v>0</v>
      </c>
      <c r="H10" s="15">
        <f>SUM(Jul!H10, Aug!H10, Sep!H10)</f>
        <v>0</v>
      </c>
      <c r="I10" s="16" t="str">
        <f t="shared" si="2"/>
        <v/>
      </c>
    </row>
    <row r="11" spans="1:9" ht="15.6">
      <c r="A11" s="17" t="str">
        <v>Orlando</v>
      </c>
      <c r="B11" s="10" t="str">
        <v>FL</v>
      </c>
      <c r="C11" s="11">
        <f>SUM(Jul!C11, Aug!C11, Sep!C11)</f>
        <v>0</v>
      </c>
      <c r="D11" s="18">
        <f>SUM(Jul!D11, Aug!D11, Sep!D11)</f>
        <v>0</v>
      </c>
      <c r="E11" s="18">
        <f t="shared" si="0"/>
        <v>0</v>
      </c>
      <c r="F11" s="19" t="str">
        <f t="shared" si="1"/>
        <v/>
      </c>
      <c r="G11" s="20">
        <f>SUM(Jul!G11, Aug!G11, Sep!G11)</f>
        <v>0</v>
      </c>
      <c r="H11" s="20">
        <f>SUM(Jul!H11, Aug!H11, Sep!H11)</f>
        <v>0</v>
      </c>
      <c r="I11" s="19" t="str">
        <f t="shared" si="2"/>
        <v/>
      </c>
    </row>
    <row r="12" spans="1:9" ht="15.6">
      <c r="A12" s="12" t="str">
        <v>Port St. Lucie</v>
      </c>
      <c r="B12" s="9" t="str">
        <v>FL</v>
      </c>
      <c r="C12" s="24">
        <f>SUM(Jul!C12, Aug!C12, Sep!C12)</f>
        <v>0</v>
      </c>
      <c r="D12" s="13">
        <f>SUM(Jul!D12, Aug!D12, Sep!D12)</f>
        <v>0</v>
      </c>
      <c r="E12" s="13">
        <f t="shared" si="0"/>
        <v>0</v>
      </c>
      <c r="F12" s="14" t="str">
        <f t="shared" si="1"/>
        <v/>
      </c>
      <c r="G12" s="15">
        <f>SUM(Jul!G12, Aug!G12, Sep!G12)</f>
        <v>0</v>
      </c>
      <c r="H12" s="15">
        <f>SUM(Jul!H12, Aug!H12, Sep!H12)</f>
        <v>0</v>
      </c>
      <c r="I12" s="16" t="str">
        <f t="shared" si="2"/>
        <v/>
      </c>
    </row>
    <row r="13" spans="1:9" ht="15.6">
      <c r="A13" s="17" t="str">
        <v>Tampa</v>
      </c>
      <c r="B13" s="10" t="str">
        <v>FL</v>
      </c>
      <c r="C13" s="11">
        <f>SUM(Jul!C13, Aug!C13, Sep!C13)</f>
        <v>0</v>
      </c>
      <c r="D13" s="18">
        <f>SUM(Jul!D13, Aug!D13, Sep!D13)</f>
        <v>0</v>
      </c>
      <c r="E13" s="18">
        <f t="shared" si="0"/>
        <v>0</v>
      </c>
      <c r="F13" s="19" t="str">
        <f t="shared" si="1"/>
        <v/>
      </c>
      <c r="G13" s="20">
        <f>SUM(Jul!G13, Aug!G13, Sep!G13)</f>
        <v>0</v>
      </c>
      <c r="H13" s="20">
        <f>SUM(Jul!H13, Aug!H13, Sep!H13)</f>
        <v>0</v>
      </c>
      <c r="I13" s="19" t="str">
        <f t="shared" si="2"/>
        <v/>
      </c>
    </row>
    <row r="14" spans="1:9" ht="15.6">
      <c r="A14" s="12" t="str">
        <v>Roswell</v>
      </c>
      <c r="B14" s="9" t="str">
        <v>GA</v>
      </c>
      <c r="C14" s="24">
        <f>SUM(Jul!C14, Aug!C14, Sep!C14)</f>
        <v>0</v>
      </c>
      <c r="D14" s="13">
        <f>SUM(Jul!D14, Aug!D14, Sep!D14)</f>
        <v>0</v>
      </c>
      <c r="E14" s="13">
        <f t="shared" si="0"/>
        <v>0</v>
      </c>
      <c r="F14" s="14" t="str">
        <f t="shared" si="1"/>
        <v/>
      </c>
      <c r="G14" s="15">
        <f>SUM(Jul!G14, Aug!G14, Sep!G14)</f>
        <v>0</v>
      </c>
      <c r="H14" s="15">
        <f>SUM(Jul!H14, Aug!H14, Sep!H14)</f>
        <v>0</v>
      </c>
      <c r="I14" s="16" t="str">
        <f t="shared" si="2"/>
        <v/>
      </c>
    </row>
    <row r="15" spans="1:9" ht="15.6">
      <c r="A15" s="17" t="str">
        <v>Charlotte</v>
      </c>
      <c r="B15" s="10" t="str">
        <v>NC</v>
      </c>
      <c r="C15" s="11">
        <f>SUM(Jul!C15, Aug!C15, Sep!C15)</f>
        <v>0</v>
      </c>
      <c r="D15" s="18">
        <f>SUM(Jul!D15, Aug!D15, Sep!D15)</f>
        <v>0</v>
      </c>
      <c r="E15" s="18">
        <f t="shared" si="0"/>
        <v>0</v>
      </c>
      <c r="F15" s="19" t="str">
        <f t="shared" si="1"/>
        <v/>
      </c>
      <c r="G15" s="20">
        <f>SUM(Jul!G15, Aug!G15, Sep!G15)</f>
        <v>0</v>
      </c>
      <c r="H15" s="20">
        <f>SUM(Jul!H15, Aug!H15, Sep!H15)</f>
        <v>0</v>
      </c>
      <c r="I15" s="19" t="str">
        <f t="shared" si="2"/>
        <v/>
      </c>
    </row>
    <row r="16" spans="1:9" ht="15.6">
      <c r="A16" s="12" t="str">
        <v>Raleigh</v>
      </c>
      <c r="B16" s="9" t="str">
        <v>NC</v>
      </c>
      <c r="C16" s="24">
        <f>SUM(Jul!C16, Aug!C16, Sep!C16)</f>
        <v>0</v>
      </c>
      <c r="D16" s="13">
        <f>SUM(Jul!D16, Aug!D16, Sep!D16)</f>
        <v>0</v>
      </c>
      <c r="E16" s="13">
        <f t="shared" ref="E16:E21" si="3">IF(AND(ISNUMBER(C16),ISNUMBER(D16)), C16-D16, "")</f>
        <v>0</v>
      </c>
      <c r="F16" s="14" t="str">
        <f t="shared" ref="F16:F21" si="4">IFERROR(E16/D16, "")</f>
        <v/>
      </c>
      <c r="G16" s="15">
        <f>SUM(Jul!G16, Aug!G16, Sep!G16)</f>
        <v>0</v>
      </c>
      <c r="H16" s="15">
        <f>SUM(Jul!H16, Aug!H16, Sep!H16)</f>
        <v>0</v>
      </c>
      <c r="I16" s="16" t="str">
        <f t="shared" ref="I16:I21" si="5">IFERROR(H16/G16, "")</f>
        <v/>
      </c>
    </row>
    <row r="17" spans="1:9" ht="15.6">
      <c r="A17" s="17" t="str">
        <v>Cordova</v>
      </c>
      <c r="B17" s="10" t="str">
        <v>TN</v>
      </c>
      <c r="C17" s="11">
        <f>SUM(Jul!C17, Aug!C17, Sep!C17)</f>
        <v>0</v>
      </c>
      <c r="D17" s="18">
        <f>SUM(Jul!D17, Aug!D17, Sep!D17)</f>
        <v>0</v>
      </c>
      <c r="E17" s="18">
        <f t="shared" si="3"/>
        <v>0</v>
      </c>
      <c r="F17" s="19" t="str">
        <f t="shared" si="4"/>
        <v/>
      </c>
      <c r="G17" s="20">
        <f>SUM(Jul!G17, Aug!G17, Sep!G17)</f>
        <v>0</v>
      </c>
      <c r="H17" s="20">
        <f>SUM(Jul!H17, Aug!H17, Sep!H17)</f>
        <v>0</v>
      </c>
      <c r="I17" s="19" t="str">
        <f t="shared" si="5"/>
        <v/>
      </c>
    </row>
    <row r="18" spans="1:9" ht="12.75" customHeight="1">
      <c r="A18" s="12" t="str">
        <v>Austin</v>
      </c>
      <c r="B18" s="9" t="str">
        <v>TX</v>
      </c>
      <c r="C18" s="24">
        <f>SUM(Jul!C18, Aug!C18, Sep!C18)</f>
        <v>0</v>
      </c>
      <c r="D18" s="13">
        <f>SUM(Jul!D18, Aug!D18, Sep!D18)</f>
        <v>0</v>
      </c>
      <c r="E18" s="13">
        <f t="shared" si="3"/>
        <v>0</v>
      </c>
      <c r="F18" s="14" t="str">
        <f t="shared" si="4"/>
        <v/>
      </c>
      <c r="G18" s="15">
        <f>SUM(Jul!G18, Aug!G18, Sep!G18)</f>
        <v>0</v>
      </c>
      <c r="H18" s="15">
        <f>SUM(Jul!H18, Aug!H18, Sep!H18)</f>
        <v>0</v>
      </c>
      <c r="I18" s="16" t="str">
        <f t="shared" si="5"/>
        <v/>
      </c>
    </row>
    <row r="19" spans="1:9" ht="15.6">
      <c r="A19" s="17" t="str">
        <v>Frisco</v>
      </c>
      <c r="B19" s="10" t="str">
        <v>TX</v>
      </c>
      <c r="C19" s="11">
        <f>SUM(Jul!C19, Aug!C19, Sep!C19)</f>
        <v>0</v>
      </c>
      <c r="D19" s="18">
        <f>SUM(Jul!D19, Aug!D19, Sep!D19)</f>
        <v>0</v>
      </c>
      <c r="E19" s="18">
        <f t="shared" si="3"/>
        <v>0</v>
      </c>
      <c r="F19" s="19" t="str">
        <f t="shared" si="4"/>
        <v/>
      </c>
      <c r="G19" s="20">
        <f>SUM(Jul!G19, Aug!G19, Sep!G19)</f>
        <v>0</v>
      </c>
      <c r="H19" s="20">
        <f>SUM(Jul!H19, Aug!H19, Sep!H19)</f>
        <v>0</v>
      </c>
      <c r="I19" s="19" t="str">
        <f t="shared" si="5"/>
        <v/>
      </c>
    </row>
    <row r="20" spans="1:9" ht="15.6">
      <c r="A20" s="12" t="str">
        <v>Copperfield</v>
      </c>
      <c r="B20" s="9" t="str">
        <v>TX</v>
      </c>
      <c r="C20" s="24">
        <f>SUM(Jul!C20, Aug!C20, Sep!C20)</f>
        <v>0</v>
      </c>
      <c r="D20" s="13">
        <f>SUM(Jul!D20, Aug!D20, Sep!D20)</f>
        <v>0</v>
      </c>
      <c r="E20" s="13">
        <f t="shared" si="3"/>
        <v>0</v>
      </c>
      <c r="F20" s="14" t="str">
        <f t="shared" si="4"/>
        <v/>
      </c>
      <c r="G20" s="15">
        <f>SUM(Jul!G20, Aug!G20, Sep!G20)</f>
        <v>0</v>
      </c>
      <c r="H20" s="15">
        <f>SUM(Jul!H20, Aug!H20, Sep!H20)</f>
        <v>0</v>
      </c>
      <c r="I20" s="16" t="str">
        <f t="shared" si="5"/>
        <v/>
      </c>
    </row>
    <row r="21" spans="1:9" ht="15.6">
      <c r="A21" s="17" t="str">
        <v>Charlotte - B of A - 1 BAC</v>
      </c>
      <c r="B21" s="10" t="str">
        <v>NC</v>
      </c>
      <c r="C21" s="11">
        <f>SUM(Jul!C21, Aug!C21, Sep!C21)</f>
        <v>0</v>
      </c>
      <c r="D21" s="18">
        <f>SUM(Jul!D21, Aug!D21, Sep!D21)</f>
        <v>0</v>
      </c>
      <c r="E21" s="18">
        <f t="shared" si="3"/>
        <v>0</v>
      </c>
      <c r="F21" s="19" t="str">
        <f t="shared" si="4"/>
        <v/>
      </c>
      <c r="G21" s="20">
        <f>SUM(Jul!G21, Aug!G21, Sep!G21)</f>
        <v>0</v>
      </c>
      <c r="H21" s="20">
        <f>SUM(Jul!H21, Aug!H21, Sep!H21)</f>
        <v>0</v>
      </c>
      <c r="I21" s="19" t="str">
        <f t="shared" si="5"/>
        <v/>
      </c>
    </row>
    <row r="22" spans="1:9" ht="15.6">
      <c r="A22" s="12" t="str">
        <v>Charlotte - B of A - 401 N Tryon</v>
      </c>
      <c r="B22" s="9" t="str">
        <v>NC</v>
      </c>
      <c r="C22" s="24">
        <f>SUM(Jul!C22, Aug!C22, Sep!C22)</f>
        <v>0</v>
      </c>
      <c r="D22" s="13">
        <f>SUM(Jul!D22, Aug!D22, Sep!D22)</f>
        <v>0</v>
      </c>
      <c r="E22" s="13">
        <f t="shared" ref="E22:E28" si="6">IF(AND(ISNUMBER(C22),ISNUMBER(D22)), C22-D22, "")</f>
        <v>0</v>
      </c>
      <c r="F22" s="14" t="str">
        <f t="shared" ref="F22:F28" si="7">IFERROR(E22/D22, "")</f>
        <v/>
      </c>
      <c r="G22" s="15">
        <f>SUM(Jul!G22, Aug!G22, Sep!G22)</f>
        <v>0</v>
      </c>
      <c r="H22" s="15">
        <f>SUM(Jul!H22, Aug!H22, Sep!H22)</f>
        <v>0</v>
      </c>
      <c r="I22" s="16" t="str">
        <f t="shared" ref="I22:I28" si="8">IFERROR(H22/G22, "")</f>
        <v/>
      </c>
    </row>
    <row r="23" spans="1:9" ht="15.6">
      <c r="A23" s="17" t="str">
        <v>Chandler - B of A Campus Bldg A</v>
      </c>
      <c r="B23" s="10" t="str">
        <v>AZ</v>
      </c>
      <c r="C23" s="11">
        <f>SUM(Jul!C23, Aug!C23, Sep!C23)</f>
        <v>0</v>
      </c>
      <c r="D23" s="18">
        <f>SUM(Jul!D23, Aug!D23, Sep!D23)</f>
        <v>0</v>
      </c>
      <c r="E23" s="18">
        <f t="shared" si="6"/>
        <v>0</v>
      </c>
      <c r="F23" s="19" t="str">
        <f t="shared" si="7"/>
        <v/>
      </c>
      <c r="G23" s="20">
        <f>SUM(Jul!G23, Aug!G23, Sep!G23)</f>
        <v>0</v>
      </c>
      <c r="H23" s="20">
        <f>SUM(Jul!H23, Aug!H23, Sep!H23)</f>
        <v>0</v>
      </c>
      <c r="I23" s="19" t="str">
        <f t="shared" si="8"/>
        <v/>
      </c>
    </row>
    <row r="24" spans="1:9" ht="15.6">
      <c r="A24" s="12" t="str">
        <v>Chandler - B of A Campus Bldg B</v>
      </c>
      <c r="B24" s="9" t="str">
        <v>AZ</v>
      </c>
      <c r="C24" s="24">
        <f>SUM(Jul!C24, Aug!C24, Sep!C24)</f>
        <v>0</v>
      </c>
      <c r="D24" s="13">
        <f>SUM(Jul!D24, Aug!D24, Sep!D24)</f>
        <v>0</v>
      </c>
      <c r="E24" s="13">
        <f t="shared" si="6"/>
        <v>0</v>
      </c>
      <c r="F24" s="14" t="str">
        <f t="shared" si="7"/>
        <v/>
      </c>
      <c r="G24" s="15">
        <f>SUM(Jul!G24, Aug!G24, Sep!G24)</f>
        <v>0</v>
      </c>
      <c r="H24" s="15">
        <f>SUM(Jul!H24, Aug!H24, Sep!H24)</f>
        <v>0</v>
      </c>
      <c r="I24" s="16" t="str">
        <f t="shared" si="8"/>
        <v/>
      </c>
    </row>
    <row r="25" spans="1:9" ht="15.6">
      <c r="A25" s="17" t="str">
        <v>Chandler - B of A Campus Bldg C</v>
      </c>
      <c r="B25" s="10" t="str">
        <v>AZ</v>
      </c>
      <c r="C25" s="11">
        <f>SUM(Jul!C25, Aug!C25, Sep!C25)</f>
        <v>0</v>
      </c>
      <c r="D25" s="18">
        <f>SUM(Jul!D25, Aug!D25, Sep!D25)</f>
        <v>0</v>
      </c>
      <c r="E25" s="18">
        <f t="shared" si="6"/>
        <v>0</v>
      </c>
      <c r="F25" s="19" t="str">
        <f t="shared" si="7"/>
        <v/>
      </c>
      <c r="G25" s="20">
        <f>SUM(Jul!G25, Aug!G25, Sep!G25)</f>
        <v>0</v>
      </c>
      <c r="H25" s="20">
        <f>SUM(Jul!H25, Aug!H25, Sep!H25)</f>
        <v>0</v>
      </c>
      <c r="I25" s="19" t="str">
        <f t="shared" si="8"/>
        <v/>
      </c>
    </row>
    <row r="26" spans="1:9" ht="15.6">
      <c r="A26" s="12" t="str">
        <v>Chandler - B of A Campus Bldg D</v>
      </c>
      <c r="B26" s="9" t="str">
        <v>AZ</v>
      </c>
      <c r="C26" s="24">
        <f>SUM(Jul!C26, Aug!C26, Sep!C26)</f>
        <v>0</v>
      </c>
      <c r="D26" s="13">
        <f>SUM(Jul!D26, Aug!D26, Sep!D26)</f>
        <v>0</v>
      </c>
      <c r="E26" s="13">
        <f t="shared" si="6"/>
        <v>0</v>
      </c>
      <c r="F26" s="14" t="str">
        <f t="shared" si="7"/>
        <v/>
      </c>
      <c r="G26" s="15">
        <f>SUM(Jul!G26, Aug!G26, Sep!G26)</f>
        <v>0</v>
      </c>
      <c r="H26" s="15">
        <f>SUM(Jul!H26, Aug!H26, Sep!H26)</f>
        <v>0</v>
      </c>
      <c r="I26" s="16" t="str">
        <f t="shared" si="8"/>
        <v/>
      </c>
    </row>
    <row r="27" spans="1:9" ht="15.6">
      <c r="A27" s="17" t="str">
        <v>Tampa - BoA Ekman</v>
      </c>
      <c r="B27" s="10" t="str">
        <v>FL</v>
      </c>
      <c r="C27" s="11">
        <f>SUM(Jul!C27, Aug!C27, Sep!C27)</f>
        <v>0</v>
      </c>
      <c r="D27" s="18">
        <f>SUM(Jul!D27, Aug!D27, Sep!D27)</f>
        <v>0</v>
      </c>
      <c r="E27" s="18">
        <f t="shared" si="6"/>
        <v>0</v>
      </c>
      <c r="F27" s="19" t="str">
        <f t="shared" si="7"/>
        <v/>
      </c>
      <c r="G27" s="20">
        <f>SUM(Jul!G27, Aug!G27, Sep!G27)</f>
        <v>0</v>
      </c>
      <c r="H27" s="20">
        <f>SUM(Jul!H27, Aug!H27, Sep!H27)</f>
        <v>0</v>
      </c>
      <c r="I27" s="19" t="str">
        <f t="shared" si="8"/>
        <v/>
      </c>
    </row>
    <row r="28" spans="1:9" ht="15.6">
      <c r="A28" s="12" t="str">
        <v>Charlotte - B of A - Sherrill</v>
      </c>
      <c r="B28" s="9" t="str">
        <v>NC</v>
      </c>
      <c r="C28" s="24">
        <f>SUM(Jul!C28, Aug!C28, Sep!C28)</f>
        <v>0</v>
      </c>
      <c r="D28" s="13">
        <f>SUM(Jul!D28, Aug!D28, Sep!D28)</f>
        <v>0</v>
      </c>
      <c r="E28" s="13">
        <f t="shared" si="6"/>
        <v>0</v>
      </c>
      <c r="F28" s="14" t="str">
        <f t="shared" si="7"/>
        <v/>
      </c>
      <c r="G28" s="15">
        <f>SUM(Jul!G28, Aug!G28, Sep!G28)</f>
        <v>0</v>
      </c>
      <c r="H28" s="15">
        <f>SUM(Jul!H28, Aug!H28, Sep!H28)</f>
        <v>0</v>
      </c>
      <c r="I28" s="16" t="str">
        <f t="shared" si="8"/>
        <v/>
      </c>
    </row>
    <row r="29" spans="1:9" ht="13.9">
      <c r="A29" s="21"/>
      <c r="B29" s="21"/>
      <c r="C29" s="21"/>
      <c r="D29" s="21"/>
      <c r="E29" s="21"/>
      <c r="F29" s="21"/>
      <c r="G29" s="21"/>
      <c r="H29" s="21"/>
      <c r="I29" s="21"/>
    </row>
    <row r="30" spans="1:9" ht="13.9">
      <c r="A30" s="21"/>
      <c r="B30" s="21"/>
      <c r="C30" s="21"/>
      <c r="D30" s="21"/>
      <c r="E30" s="21"/>
      <c r="F30" s="21"/>
      <c r="G30" s="21"/>
      <c r="H30" s="21"/>
      <c r="I30" s="21"/>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sheetData>
  <mergeCells count="4">
    <mergeCell ref="G1:I1"/>
    <mergeCell ref="A1:C1"/>
    <mergeCell ref="D1:F1"/>
    <mergeCell ref="A2:B2"/>
  </mergeCells>
  <conditionalFormatting sqref="F2 I2 F4:F98 I4:I98">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0"/>
  <sheetViews>
    <sheetView workbookViewId="0">
      <pane xSplit="2" ySplit="3" topLeftCell="C4" activePane="bottomRight" state="frozen"/>
      <selection pane="bottomRight" activeCell="K18" sqref="K1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JLL</v>
      </c>
      <c r="B1" s="91"/>
      <c r="C1" s="91"/>
      <c r="D1" s="92" t="s">
        <v>16</v>
      </c>
      <c r="E1" s="92"/>
      <c r="F1" s="92"/>
      <c r="G1" s="90" t="s">
        <v>17</v>
      </c>
      <c r="H1" s="90"/>
      <c r="I1" s="90"/>
    </row>
    <row r="2" spans="1:9" ht="19.5" customHeight="1">
      <c r="A2" s="93" t="s">
        <v>2</v>
      </c>
      <c r="B2" s="93"/>
      <c r="C2" s="5">
        <f>SUM(C4:C98)</f>
        <v>0</v>
      </c>
      <c r="D2" s="5">
        <f>SUM(D4:D98)</f>
        <v>0</v>
      </c>
      <c r="E2" s="5">
        <f>C2-D2</f>
        <v>0</v>
      </c>
      <c r="F2" s="6">
        <f>IFERROR(E2/D2, 0)</f>
        <v>0</v>
      </c>
      <c r="G2" s="5">
        <f>SUM(G4:G98)</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12" t="str" cm="1">
        <f t="array" ref="A4:A28">Sites[Site]</f>
        <v>Bullhead</v>
      </c>
      <c r="B4" s="9" t="str" cm="1">
        <f t="array" ref="B4:B28">Sites[State]</f>
        <v>AZ</v>
      </c>
      <c r="C4" s="24">
        <f>SUM(Oct!C4, Nov!C4, Dec!C4)</f>
        <v>0</v>
      </c>
      <c r="D4" s="13">
        <f>SUM(Oct!D4, Nov!D4, Dec!D4)</f>
        <v>0</v>
      </c>
      <c r="E4" s="13">
        <f>IF(AND(ISNUMBER(C4),ISNUMBER(D4)), C4-D4, "")</f>
        <v>0</v>
      </c>
      <c r="F4" s="14" t="str">
        <f>IFERROR(E4/D4, "")</f>
        <v/>
      </c>
      <c r="G4" s="15">
        <f>SUM(Oct!G4, Nov!G4, Dec!G4)</f>
        <v>0</v>
      </c>
      <c r="H4" s="15">
        <f>SUM(Oct!H4, Nov!H4, Dec!H4)</f>
        <v>0</v>
      </c>
      <c r="I4" s="16" t="str">
        <f>IFERROR(H4/G4, "")</f>
        <v/>
      </c>
    </row>
    <row r="5" spans="1:9" ht="15.6">
      <c r="A5" s="17" t="str">
        <v>Peoria</v>
      </c>
      <c r="B5" s="10" t="str">
        <v>AZ</v>
      </c>
      <c r="C5" s="11">
        <f>SUM(Oct!C5, Nov!C5, Dec!C5)</f>
        <v>0</v>
      </c>
      <c r="D5" s="18">
        <f>SUM(Oct!D5, Nov!D5, Dec!D5)</f>
        <v>0</v>
      </c>
      <c r="E5" s="18">
        <f t="shared" ref="E5:E15" si="0">IF(AND(ISNUMBER(C5),ISNUMBER(D5)), C5-D5, "")</f>
        <v>0</v>
      </c>
      <c r="F5" s="19" t="str">
        <f>IFERROR(E5/D5, "")</f>
        <v/>
      </c>
      <c r="G5" s="20">
        <f>SUM(Oct!G5, Nov!G5, Dec!G5)</f>
        <v>0</v>
      </c>
      <c r="H5" s="20">
        <f>SUM(Oct!H5, Nov!H5, Dec!H5)</f>
        <v>0</v>
      </c>
      <c r="I5" s="19" t="str">
        <f>IFERROR(H5/G5, "")</f>
        <v/>
      </c>
    </row>
    <row r="6" spans="1:9" ht="15.6">
      <c r="A6" s="12" t="str">
        <v>Tucson</v>
      </c>
      <c r="B6" s="9" t="str">
        <v>AZ</v>
      </c>
      <c r="C6" s="24">
        <f>SUM(Oct!C6, Nov!C6, Dec!C6)</f>
        <v>0</v>
      </c>
      <c r="D6" s="13">
        <f>SUM(Oct!D6, Nov!D6, Dec!D6)</f>
        <v>0</v>
      </c>
      <c r="E6" s="13">
        <f t="shared" si="0"/>
        <v>0</v>
      </c>
      <c r="F6" s="14" t="str">
        <f t="shared" ref="F6:F15" si="1">IFERROR(E6/D6, "")</f>
        <v/>
      </c>
      <c r="G6" s="15">
        <f>SUM(Oct!G6, Nov!G6, Dec!G6)</f>
        <v>0</v>
      </c>
      <c r="H6" s="15">
        <f>SUM(Oct!H6, Nov!H6, Dec!H6)</f>
        <v>0</v>
      </c>
      <c r="I6" s="16" t="str">
        <f t="shared" ref="I6:I15" si="2">IFERROR(H6/G6, "")</f>
        <v/>
      </c>
    </row>
    <row r="7" spans="1:9" ht="15.6">
      <c r="A7" s="17" t="str">
        <v>Hialeah</v>
      </c>
      <c r="B7" s="10" t="str">
        <v>FL</v>
      </c>
      <c r="C7" s="11">
        <f>SUM(Oct!C7, Nov!C7, Dec!C7)</f>
        <v>0</v>
      </c>
      <c r="D7" s="18">
        <f>SUM(Oct!D7, Nov!D7, Dec!D7)</f>
        <v>0</v>
      </c>
      <c r="E7" s="18">
        <f t="shared" si="0"/>
        <v>0</v>
      </c>
      <c r="F7" s="19" t="str">
        <f t="shared" si="1"/>
        <v/>
      </c>
      <c r="G7" s="20">
        <f>SUM(Oct!G7, Nov!G7, Dec!G7)</f>
        <v>0</v>
      </c>
      <c r="H7" s="20">
        <f>SUM(Oct!H7, Nov!H7, Dec!H7)</f>
        <v>0</v>
      </c>
      <c r="I7" s="19" t="str">
        <f t="shared" si="2"/>
        <v/>
      </c>
    </row>
    <row r="8" spans="1:9" ht="15.6">
      <c r="A8" s="12" t="str">
        <v>Jacksonville</v>
      </c>
      <c r="B8" s="9" t="str">
        <v>FL</v>
      </c>
      <c r="C8" s="24">
        <f>SUM(Oct!C8, Nov!C8, Dec!C8)</f>
        <v>0</v>
      </c>
      <c r="D8" s="13">
        <f>SUM(Oct!D8, Nov!D8, Dec!D8)</f>
        <v>0</v>
      </c>
      <c r="E8" s="13">
        <f t="shared" si="0"/>
        <v>0</v>
      </c>
      <c r="F8" s="14" t="str">
        <f t="shared" si="1"/>
        <v/>
      </c>
      <c r="G8" s="15">
        <f>SUM(Oct!G8, Nov!G8, Dec!G8)</f>
        <v>0</v>
      </c>
      <c r="H8" s="15">
        <f>SUM(Oct!H8, Nov!H8, Dec!H8)</f>
        <v>0</v>
      </c>
      <c r="I8" s="16" t="str">
        <f t="shared" si="2"/>
        <v/>
      </c>
    </row>
    <row r="9" spans="1:9" ht="15.6">
      <c r="A9" s="17" t="str">
        <v>Miami Gardens</v>
      </c>
      <c r="B9" s="10" t="str">
        <v>FL</v>
      </c>
      <c r="C9" s="11">
        <f>SUM(Oct!C9, Nov!C9, Dec!C9)</f>
        <v>0</v>
      </c>
      <c r="D9" s="18">
        <f>SUM(Oct!D9, Nov!D9, Dec!D9)</f>
        <v>0</v>
      </c>
      <c r="E9" s="18">
        <f t="shared" si="0"/>
        <v>0</v>
      </c>
      <c r="F9" s="19" t="str">
        <f t="shared" si="1"/>
        <v/>
      </c>
      <c r="G9" s="20">
        <f>SUM(Oct!G9, Nov!G9, Dec!G9)</f>
        <v>0</v>
      </c>
      <c r="H9" s="20">
        <f>SUM(Oct!H9, Nov!H9, Dec!H9)</f>
        <v>0</v>
      </c>
      <c r="I9" s="19" t="str">
        <f t="shared" si="2"/>
        <v/>
      </c>
    </row>
    <row r="10" spans="1:9" ht="15.6">
      <c r="A10" s="12" t="str">
        <v>Fort Myers</v>
      </c>
      <c r="B10" s="9" t="str">
        <v>FL</v>
      </c>
      <c r="C10" s="24">
        <f>SUM(Oct!C10, Nov!C10, Dec!C10)</f>
        <v>0</v>
      </c>
      <c r="D10" s="13">
        <f>SUM(Oct!D10, Nov!D10, Dec!D10)</f>
        <v>0</v>
      </c>
      <c r="E10" s="13">
        <f t="shared" si="0"/>
        <v>0</v>
      </c>
      <c r="F10" s="14" t="str">
        <f t="shared" si="1"/>
        <v/>
      </c>
      <c r="G10" s="15">
        <f>SUM(Oct!G10, Nov!G10, Dec!G10)</f>
        <v>0</v>
      </c>
      <c r="H10" s="15">
        <f>SUM(Oct!H10, Nov!H10, Dec!H10)</f>
        <v>0</v>
      </c>
      <c r="I10" s="16" t="str">
        <f t="shared" si="2"/>
        <v/>
      </c>
    </row>
    <row r="11" spans="1:9" ht="15.6">
      <c r="A11" s="17" t="str">
        <v>Orlando</v>
      </c>
      <c r="B11" s="10" t="str">
        <v>FL</v>
      </c>
      <c r="C11" s="11">
        <f>SUM(Oct!C11, Nov!C11, Dec!C11)</f>
        <v>0</v>
      </c>
      <c r="D11" s="18">
        <f>SUM(Oct!D11, Nov!D11, Dec!D11)</f>
        <v>0</v>
      </c>
      <c r="E11" s="18">
        <f t="shared" si="0"/>
        <v>0</v>
      </c>
      <c r="F11" s="19" t="str">
        <f t="shared" si="1"/>
        <v/>
      </c>
      <c r="G11" s="20">
        <f>SUM(Oct!G11, Nov!G11, Dec!G11)</f>
        <v>0</v>
      </c>
      <c r="H11" s="20">
        <f>SUM(Oct!H11, Nov!H11, Dec!H11)</f>
        <v>0</v>
      </c>
      <c r="I11" s="19" t="str">
        <f t="shared" si="2"/>
        <v/>
      </c>
    </row>
    <row r="12" spans="1:9" ht="15.6">
      <c r="A12" s="12" t="str">
        <v>Port St. Lucie</v>
      </c>
      <c r="B12" s="9" t="str">
        <v>FL</v>
      </c>
      <c r="C12" s="24">
        <f>SUM(Oct!C12, Nov!C12, Dec!C12)</f>
        <v>0</v>
      </c>
      <c r="D12" s="13">
        <f>SUM(Oct!D12, Nov!D12, Dec!D12)</f>
        <v>0</v>
      </c>
      <c r="E12" s="13">
        <f t="shared" si="0"/>
        <v>0</v>
      </c>
      <c r="F12" s="14" t="str">
        <f t="shared" si="1"/>
        <v/>
      </c>
      <c r="G12" s="15">
        <f>SUM(Oct!G12, Nov!G12, Dec!G12)</f>
        <v>0</v>
      </c>
      <c r="H12" s="15">
        <f>SUM(Oct!H12, Nov!H12, Dec!H12)</f>
        <v>0</v>
      </c>
      <c r="I12" s="16" t="str">
        <f t="shared" si="2"/>
        <v/>
      </c>
    </row>
    <row r="13" spans="1:9" ht="15.6">
      <c r="A13" s="17" t="str">
        <v>Tampa</v>
      </c>
      <c r="B13" s="10" t="str">
        <v>FL</v>
      </c>
      <c r="C13" s="11">
        <f>SUM(Oct!C13, Nov!C13, Dec!C13)</f>
        <v>0</v>
      </c>
      <c r="D13" s="18">
        <f>SUM(Oct!D13, Nov!D13, Dec!D13)</f>
        <v>0</v>
      </c>
      <c r="E13" s="18">
        <f t="shared" si="0"/>
        <v>0</v>
      </c>
      <c r="F13" s="19" t="str">
        <f t="shared" si="1"/>
        <v/>
      </c>
      <c r="G13" s="20">
        <f>SUM(Oct!G13, Nov!G13, Dec!G13)</f>
        <v>0</v>
      </c>
      <c r="H13" s="20">
        <f>SUM(Oct!H13, Nov!H13, Dec!H13)</f>
        <v>0</v>
      </c>
      <c r="I13" s="19" t="str">
        <f t="shared" si="2"/>
        <v/>
      </c>
    </row>
    <row r="14" spans="1:9" ht="15.6">
      <c r="A14" s="12" t="str">
        <v>Roswell</v>
      </c>
      <c r="B14" s="9" t="str">
        <v>GA</v>
      </c>
      <c r="C14" s="24">
        <f>SUM(Oct!C14, Nov!C14, Dec!C14)</f>
        <v>0</v>
      </c>
      <c r="D14" s="13">
        <f>SUM(Oct!D14, Nov!D14, Dec!D14)</f>
        <v>0</v>
      </c>
      <c r="E14" s="13">
        <f t="shared" si="0"/>
        <v>0</v>
      </c>
      <c r="F14" s="14" t="str">
        <f t="shared" si="1"/>
        <v/>
      </c>
      <c r="G14" s="15">
        <f>SUM(Oct!G14, Nov!G14, Dec!G14)</f>
        <v>0</v>
      </c>
      <c r="H14" s="15">
        <f>SUM(Oct!H14, Nov!H14, Dec!H14)</f>
        <v>0</v>
      </c>
      <c r="I14" s="16" t="str">
        <f t="shared" si="2"/>
        <v/>
      </c>
    </row>
    <row r="15" spans="1:9" ht="15.6">
      <c r="A15" s="17" t="str">
        <v>Charlotte</v>
      </c>
      <c r="B15" s="10" t="str">
        <v>NC</v>
      </c>
      <c r="C15" s="11">
        <f>SUM(Oct!C15, Nov!C15, Dec!C15)</f>
        <v>0</v>
      </c>
      <c r="D15" s="18">
        <f>SUM(Oct!D15, Nov!D15, Dec!D15)</f>
        <v>0</v>
      </c>
      <c r="E15" s="18">
        <f t="shared" si="0"/>
        <v>0</v>
      </c>
      <c r="F15" s="19" t="str">
        <f t="shared" si="1"/>
        <v/>
      </c>
      <c r="G15" s="20">
        <f>SUM(Oct!G15, Nov!G15, Dec!G15)</f>
        <v>0</v>
      </c>
      <c r="H15" s="20">
        <f>SUM(Oct!H15, Nov!H15, Dec!H15)</f>
        <v>0</v>
      </c>
      <c r="I15" s="19" t="str">
        <f t="shared" si="2"/>
        <v/>
      </c>
    </row>
    <row r="16" spans="1:9" ht="15.6">
      <c r="A16" s="12" t="str">
        <v>Raleigh</v>
      </c>
      <c r="B16" s="9" t="str">
        <v>NC</v>
      </c>
      <c r="C16" s="24">
        <f>SUM(Oct!C16, Nov!C16, Dec!C16)</f>
        <v>0</v>
      </c>
      <c r="D16" s="13">
        <f>SUM(Oct!D16, Nov!D16, Dec!D16)</f>
        <v>0</v>
      </c>
      <c r="E16" s="13">
        <f t="shared" ref="E16:E21" si="3">IF(AND(ISNUMBER(C16),ISNUMBER(D16)), C16-D16, "")</f>
        <v>0</v>
      </c>
      <c r="F16" s="14" t="str">
        <f t="shared" ref="F16:F21" si="4">IFERROR(E16/D16, "")</f>
        <v/>
      </c>
      <c r="G16" s="15">
        <f>SUM(Oct!G16, Nov!G16, Dec!G16)</f>
        <v>0</v>
      </c>
      <c r="H16" s="15">
        <f>SUM(Oct!H16, Nov!H16, Dec!H16)</f>
        <v>0</v>
      </c>
      <c r="I16" s="16" t="str">
        <f t="shared" ref="I16:I21" si="5">IFERROR(H16/G16, "")</f>
        <v/>
      </c>
    </row>
    <row r="17" spans="1:9" ht="15.6">
      <c r="A17" s="17" t="str">
        <v>Cordova</v>
      </c>
      <c r="B17" s="10" t="str">
        <v>TN</v>
      </c>
      <c r="C17" s="11">
        <f>SUM(Oct!C17, Nov!C17, Dec!C17)</f>
        <v>0</v>
      </c>
      <c r="D17" s="18">
        <f>SUM(Oct!D17, Nov!D17, Dec!D17)</f>
        <v>0</v>
      </c>
      <c r="E17" s="18">
        <f t="shared" si="3"/>
        <v>0</v>
      </c>
      <c r="F17" s="19" t="str">
        <f t="shared" si="4"/>
        <v/>
      </c>
      <c r="G17" s="20">
        <f>SUM(Oct!G17, Nov!G17, Dec!G17)</f>
        <v>0</v>
      </c>
      <c r="H17" s="20">
        <f>SUM(Oct!H17, Nov!H17, Dec!H17)</f>
        <v>0</v>
      </c>
      <c r="I17" s="19" t="str">
        <f t="shared" si="5"/>
        <v/>
      </c>
    </row>
    <row r="18" spans="1:9" ht="12.75" customHeight="1">
      <c r="A18" s="12" t="str">
        <v>Austin</v>
      </c>
      <c r="B18" s="9" t="str">
        <v>TX</v>
      </c>
      <c r="C18" s="24">
        <f>SUM(Oct!C18, Nov!C18, Dec!C18)</f>
        <v>0</v>
      </c>
      <c r="D18" s="13">
        <f>SUM(Oct!D18, Nov!D18, Dec!D18)</f>
        <v>0</v>
      </c>
      <c r="E18" s="13">
        <f t="shared" si="3"/>
        <v>0</v>
      </c>
      <c r="F18" s="14" t="str">
        <f t="shared" si="4"/>
        <v/>
      </c>
      <c r="G18" s="15">
        <f>SUM(Oct!G18, Nov!G18, Dec!G18)</f>
        <v>0</v>
      </c>
      <c r="H18" s="15">
        <f>SUM(Oct!H18, Nov!H18, Dec!H18)</f>
        <v>0</v>
      </c>
      <c r="I18" s="16" t="str">
        <f t="shared" si="5"/>
        <v/>
      </c>
    </row>
    <row r="19" spans="1:9" ht="15.6">
      <c r="A19" s="17" t="str">
        <v>Frisco</v>
      </c>
      <c r="B19" s="10" t="str">
        <v>TX</v>
      </c>
      <c r="C19" s="11">
        <f>SUM(Oct!C19, Nov!C19, Dec!C19)</f>
        <v>0</v>
      </c>
      <c r="D19" s="18">
        <f>SUM(Oct!D19, Nov!D19, Dec!D19)</f>
        <v>0</v>
      </c>
      <c r="E19" s="18">
        <f t="shared" si="3"/>
        <v>0</v>
      </c>
      <c r="F19" s="19" t="str">
        <f t="shared" si="4"/>
        <v/>
      </c>
      <c r="G19" s="20">
        <f>SUM(Oct!G19, Nov!G19, Dec!G19)</f>
        <v>0</v>
      </c>
      <c r="H19" s="20">
        <f>SUM(Oct!H19, Nov!H19, Dec!H19)</f>
        <v>0</v>
      </c>
      <c r="I19" s="19" t="str">
        <f t="shared" si="5"/>
        <v/>
      </c>
    </row>
    <row r="20" spans="1:9" ht="15.6">
      <c r="A20" s="12" t="str">
        <v>Copperfield</v>
      </c>
      <c r="B20" s="9" t="str">
        <v>TX</v>
      </c>
      <c r="C20" s="24">
        <f>SUM(Oct!C20, Nov!C20, Dec!C20)</f>
        <v>0</v>
      </c>
      <c r="D20" s="13">
        <f>SUM(Oct!D20, Nov!D20, Dec!D20)</f>
        <v>0</v>
      </c>
      <c r="E20" s="13">
        <f t="shared" si="3"/>
        <v>0</v>
      </c>
      <c r="F20" s="14" t="str">
        <f t="shared" si="4"/>
        <v/>
      </c>
      <c r="G20" s="15">
        <f>SUM(Oct!G20, Nov!G20, Dec!G20)</f>
        <v>0</v>
      </c>
      <c r="H20" s="15">
        <f>SUM(Oct!H20, Nov!H20, Dec!H20)</f>
        <v>0</v>
      </c>
      <c r="I20" s="16" t="str">
        <f t="shared" si="5"/>
        <v/>
      </c>
    </row>
    <row r="21" spans="1:9" ht="15.6">
      <c r="A21" s="17" t="str">
        <v>Charlotte - B of A - 1 BAC</v>
      </c>
      <c r="B21" s="10" t="str">
        <v>NC</v>
      </c>
      <c r="C21" s="11">
        <f>SUM(Oct!C21, Nov!C21, Dec!C21)</f>
        <v>0</v>
      </c>
      <c r="D21" s="18">
        <f>SUM(Oct!D21, Nov!D21, Dec!D21)</f>
        <v>0</v>
      </c>
      <c r="E21" s="18">
        <f t="shared" si="3"/>
        <v>0</v>
      </c>
      <c r="F21" s="19" t="str">
        <f t="shared" si="4"/>
        <v/>
      </c>
      <c r="G21" s="20">
        <f>SUM(Oct!G21, Nov!G21, Dec!G21)</f>
        <v>0</v>
      </c>
      <c r="H21" s="20">
        <f>SUM(Oct!H21, Nov!H21, Dec!H21)</f>
        <v>0</v>
      </c>
      <c r="I21" s="19" t="str">
        <f t="shared" si="5"/>
        <v/>
      </c>
    </row>
    <row r="22" spans="1:9" ht="15.6">
      <c r="A22" s="12" t="str">
        <v>Charlotte - B of A - 401 N Tryon</v>
      </c>
      <c r="B22" s="9" t="str">
        <v>NC</v>
      </c>
      <c r="C22" s="24">
        <f>SUM(Oct!C22, Nov!C22, Dec!C22)</f>
        <v>0</v>
      </c>
      <c r="D22" s="13">
        <f>SUM(Oct!D22, Nov!D22, Dec!D22)</f>
        <v>0</v>
      </c>
      <c r="E22" s="13">
        <f t="shared" ref="E22:E28" si="6">IF(AND(ISNUMBER(C22),ISNUMBER(D22)), C22-D22, "")</f>
        <v>0</v>
      </c>
      <c r="F22" s="14" t="str">
        <f t="shared" ref="F22:F28" si="7">IFERROR(E22/D22, "")</f>
        <v/>
      </c>
      <c r="G22" s="15">
        <f>SUM(Oct!G22, Nov!G22, Dec!G22)</f>
        <v>0</v>
      </c>
      <c r="H22" s="15">
        <f>SUM(Oct!H22, Nov!H22, Dec!H22)</f>
        <v>0</v>
      </c>
      <c r="I22" s="16" t="str">
        <f t="shared" ref="I22:I28" si="8">IFERROR(H22/G22, "")</f>
        <v/>
      </c>
    </row>
    <row r="23" spans="1:9" ht="15.6">
      <c r="A23" s="17" t="str">
        <v>Chandler - B of A Campus Bldg A</v>
      </c>
      <c r="B23" s="10" t="str">
        <v>AZ</v>
      </c>
      <c r="C23" s="11">
        <f>SUM(Oct!C23, Nov!C23, Dec!C23)</f>
        <v>0</v>
      </c>
      <c r="D23" s="18">
        <f>SUM(Oct!D23, Nov!D23, Dec!D23)</f>
        <v>0</v>
      </c>
      <c r="E23" s="18">
        <f t="shared" si="6"/>
        <v>0</v>
      </c>
      <c r="F23" s="19" t="str">
        <f t="shared" si="7"/>
        <v/>
      </c>
      <c r="G23" s="20">
        <f>SUM(Oct!G23, Nov!G23, Dec!G23)</f>
        <v>0</v>
      </c>
      <c r="H23" s="20">
        <f>SUM(Oct!H23, Nov!H23, Dec!H23)</f>
        <v>0</v>
      </c>
      <c r="I23" s="19" t="str">
        <f t="shared" si="8"/>
        <v/>
      </c>
    </row>
    <row r="24" spans="1:9" ht="15.6">
      <c r="A24" s="12" t="str">
        <v>Chandler - B of A Campus Bldg B</v>
      </c>
      <c r="B24" s="9" t="str">
        <v>AZ</v>
      </c>
      <c r="C24" s="24">
        <f>SUM(Oct!C24, Nov!C24, Dec!C24)</f>
        <v>0</v>
      </c>
      <c r="D24" s="13">
        <f>SUM(Oct!D24, Nov!D24, Dec!D24)</f>
        <v>0</v>
      </c>
      <c r="E24" s="13">
        <f t="shared" si="6"/>
        <v>0</v>
      </c>
      <c r="F24" s="14" t="str">
        <f t="shared" si="7"/>
        <v/>
      </c>
      <c r="G24" s="15">
        <f>SUM(Oct!G24, Nov!G24, Dec!G24)</f>
        <v>0</v>
      </c>
      <c r="H24" s="15">
        <f>SUM(Oct!H24, Nov!H24, Dec!H24)</f>
        <v>0</v>
      </c>
      <c r="I24" s="16" t="str">
        <f t="shared" si="8"/>
        <v/>
      </c>
    </row>
    <row r="25" spans="1:9" ht="15.6">
      <c r="A25" s="17" t="str">
        <v>Chandler - B of A Campus Bldg C</v>
      </c>
      <c r="B25" s="10" t="str">
        <v>AZ</v>
      </c>
      <c r="C25" s="11">
        <f>SUM(Oct!C25, Nov!C25, Dec!C25)</f>
        <v>0</v>
      </c>
      <c r="D25" s="18">
        <f>SUM(Oct!D25, Nov!D25, Dec!D25)</f>
        <v>0</v>
      </c>
      <c r="E25" s="18">
        <f t="shared" si="6"/>
        <v>0</v>
      </c>
      <c r="F25" s="19" t="str">
        <f t="shared" si="7"/>
        <v/>
      </c>
      <c r="G25" s="20">
        <f>SUM(Oct!G25, Nov!G25, Dec!G25)</f>
        <v>0</v>
      </c>
      <c r="H25" s="20">
        <f>SUM(Oct!H25, Nov!H25, Dec!H25)</f>
        <v>0</v>
      </c>
      <c r="I25" s="19" t="str">
        <f t="shared" si="8"/>
        <v/>
      </c>
    </row>
    <row r="26" spans="1:9" ht="15.6">
      <c r="A26" s="12" t="str">
        <v>Chandler - B of A Campus Bldg D</v>
      </c>
      <c r="B26" s="9" t="str">
        <v>AZ</v>
      </c>
      <c r="C26" s="24">
        <f>SUM(Oct!C26, Nov!C26, Dec!C26)</f>
        <v>0</v>
      </c>
      <c r="D26" s="13">
        <f>SUM(Oct!D26, Nov!D26, Dec!D26)</f>
        <v>0</v>
      </c>
      <c r="E26" s="13">
        <f t="shared" si="6"/>
        <v>0</v>
      </c>
      <c r="F26" s="14" t="str">
        <f t="shared" si="7"/>
        <v/>
      </c>
      <c r="G26" s="15">
        <f>SUM(Oct!G26, Nov!G26, Dec!G26)</f>
        <v>0</v>
      </c>
      <c r="H26" s="15">
        <f>SUM(Oct!H26, Nov!H26, Dec!H26)</f>
        <v>0</v>
      </c>
      <c r="I26" s="16" t="str">
        <f t="shared" si="8"/>
        <v/>
      </c>
    </row>
    <row r="27" spans="1:9" ht="15.6">
      <c r="A27" s="17" t="str">
        <v>Tampa - BoA Ekman</v>
      </c>
      <c r="B27" s="10" t="str">
        <v>FL</v>
      </c>
      <c r="C27" s="11">
        <f>SUM(Oct!C27, Nov!C27, Dec!C27)</f>
        <v>0</v>
      </c>
      <c r="D27" s="18">
        <f>SUM(Oct!D27, Nov!D27, Dec!D27)</f>
        <v>0</v>
      </c>
      <c r="E27" s="18">
        <f t="shared" si="6"/>
        <v>0</v>
      </c>
      <c r="F27" s="19" t="str">
        <f t="shared" si="7"/>
        <v/>
      </c>
      <c r="G27" s="20">
        <f>SUM(Oct!G27, Nov!G27, Dec!G27)</f>
        <v>0</v>
      </c>
      <c r="H27" s="20">
        <f>SUM(Oct!H27, Nov!H27, Dec!H27)</f>
        <v>0</v>
      </c>
      <c r="I27" s="19" t="str">
        <f t="shared" si="8"/>
        <v/>
      </c>
    </row>
    <row r="28" spans="1:9" ht="15.6">
      <c r="A28" s="12" t="str">
        <v>Charlotte - B of A - Sherrill</v>
      </c>
      <c r="B28" s="9" t="str">
        <v>NC</v>
      </c>
      <c r="C28" s="24">
        <f>SUM(Oct!C28, Nov!C28, Dec!C28)</f>
        <v>0</v>
      </c>
      <c r="D28" s="13">
        <f>SUM(Oct!D28, Nov!D28, Dec!D28)</f>
        <v>0</v>
      </c>
      <c r="E28" s="13">
        <f t="shared" si="6"/>
        <v>0</v>
      </c>
      <c r="F28" s="14" t="str">
        <f t="shared" si="7"/>
        <v/>
      </c>
      <c r="G28" s="15">
        <f>SUM(Oct!G28, Nov!G28, Dec!G28)</f>
        <v>0</v>
      </c>
      <c r="H28" s="15">
        <f>SUM(Oct!H28, Nov!H28, Dec!H28)</f>
        <v>0</v>
      </c>
      <c r="I28" s="16" t="str">
        <f t="shared" si="8"/>
        <v/>
      </c>
    </row>
    <row r="29" spans="1:9" ht="13.9">
      <c r="A29" s="21"/>
      <c r="B29" s="21"/>
      <c r="C29" s="21"/>
      <c r="D29" s="21"/>
      <c r="E29" s="21"/>
      <c r="F29" s="21"/>
      <c r="G29" s="21"/>
      <c r="H29" s="21"/>
      <c r="I29" s="21"/>
    </row>
    <row r="30" spans="1:9" ht="13.9">
      <c r="A30" s="21"/>
      <c r="B30" s="21"/>
      <c r="C30" s="21"/>
      <c r="D30" s="21"/>
      <c r="E30" s="21"/>
      <c r="F30" s="21"/>
      <c r="G30" s="21"/>
      <c r="H30" s="21"/>
      <c r="I30" s="21"/>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sheetData>
  <mergeCells count="4">
    <mergeCell ref="G1:I1"/>
    <mergeCell ref="A1:C1"/>
    <mergeCell ref="D1:F1"/>
    <mergeCell ref="A2:B2"/>
  </mergeCells>
  <conditionalFormatting sqref="F2 I2 F4:F98 I4:I98">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9"/>
  <sheetViews>
    <sheetView workbookViewId="0">
      <pane xSplit="2" ySplit="3" topLeftCell="C4" activePane="bottomRight" state="frozen"/>
      <selection pane="bottomRight" activeCell="C34" sqref="C34"/>
      <selection pane="bottomLeft"/>
      <selection pane="topRight"/>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JLL</v>
      </c>
      <c r="B1" s="91"/>
      <c r="C1" s="91"/>
      <c r="D1" s="92" t="s">
        <v>18</v>
      </c>
      <c r="E1" s="92"/>
      <c r="F1" s="92"/>
      <c r="G1" s="90" t="s">
        <v>19</v>
      </c>
      <c r="H1" s="90"/>
      <c r="I1" s="90"/>
      <c r="J1" s="4"/>
      <c r="K1" s="4"/>
    </row>
    <row r="2" spans="1:11" ht="19.5" customHeight="1">
      <c r="A2" s="93" t="s">
        <v>2</v>
      </c>
      <c r="B2" s="93"/>
      <c r="C2" s="5">
        <f>SUM(C4:C97)</f>
        <v>140840.52100000001</v>
      </c>
      <c r="D2" s="5">
        <f>SUM(D4:D97)</f>
        <v>0</v>
      </c>
      <c r="E2" s="5">
        <f>C2-D2</f>
        <v>140840.52100000001</v>
      </c>
      <c r="F2" s="6">
        <f>IFERROR(E2/D2, 0)</f>
        <v>0</v>
      </c>
      <c r="G2" s="5">
        <f>SUM(G4:G97)</f>
        <v>0</v>
      </c>
      <c r="H2" s="7">
        <f>C2-G2</f>
        <v>140840.52100000001</v>
      </c>
      <c r="I2" s="6">
        <f>IFERROR(H2/G2, 0)</f>
        <v>0</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27" t="s">
        <v>3</v>
      </c>
      <c r="B3" s="8" t="s">
        <v>4</v>
      </c>
      <c r="C3" s="23" t="s">
        <v>5</v>
      </c>
      <c r="D3" s="35" t="s">
        <v>6</v>
      </c>
      <c r="E3" s="35" t="s">
        <v>7</v>
      </c>
      <c r="F3" s="36" t="s">
        <v>8</v>
      </c>
      <c r="G3" s="40" t="s">
        <v>9</v>
      </c>
      <c r="H3" s="38" t="s">
        <v>7</v>
      </c>
      <c r="I3" s="39" t="s">
        <v>8</v>
      </c>
      <c r="J3" s="25" t="s">
        <v>20</v>
      </c>
      <c r="K3" s="25" t="s">
        <v>21</v>
      </c>
    </row>
    <row r="4" spans="1:11" ht="15.6">
      <c r="A4" s="32" t="str" cm="1">
        <f t="array" ref="A4:A28">Sites[Site]</f>
        <v>Bullhead</v>
      </c>
      <c r="B4" s="29" t="str" cm="1">
        <f t="array" ref="B4:B28">Sites[State]</f>
        <v>AZ</v>
      </c>
      <c r="C4" s="24">
        <v>51</v>
      </c>
      <c r="D4" s="13" t="s">
        <v>22</v>
      </c>
      <c r="E4" s="13" t="str">
        <f>IF(AND(ISNUMBER(C4),ISNUMBER(D4)), C4-D4, "")</f>
        <v/>
      </c>
      <c r="F4" s="14" t="str">
        <f>IFERROR(E4/D4, "")</f>
        <v/>
      </c>
      <c r="G4" s="72" t="s">
        <v>22</v>
      </c>
      <c r="H4" s="15" t="str">
        <f>IF(AND(ISNUMBER(C4),ISNUMBER(G4)), C4-G4, "")</f>
        <v/>
      </c>
      <c r="I4" s="16" t="str">
        <f>IFERROR(H4/G4, "")</f>
        <v/>
      </c>
      <c r="J4" s="41"/>
      <c r="K4" s="41"/>
    </row>
    <row r="5" spans="1:11" ht="15.6">
      <c r="A5" s="30" t="str">
        <v>Peoria</v>
      </c>
      <c r="B5" s="31" t="str">
        <v>AZ</v>
      </c>
      <c r="C5" s="11">
        <v>72</v>
      </c>
      <c r="D5" s="18" t="s">
        <v>22</v>
      </c>
      <c r="E5" s="18" t="str">
        <f t="shared" ref="E5:E15" si="0">IF(AND(ISNUMBER(C5),ISNUMBER(D5)), C5-D5, "")</f>
        <v/>
      </c>
      <c r="F5" s="19" t="str">
        <f>IFERROR(E5/D5, "")</f>
        <v/>
      </c>
      <c r="G5" s="73" t="s">
        <v>22</v>
      </c>
      <c r="H5" s="20" t="str">
        <f>IF(AND(ISNUMBER(C5),ISNUMBER(G5)), C5-G5, "")</f>
        <v/>
      </c>
      <c r="I5" s="19" t="str">
        <f>IFERROR(H5/G5, "")</f>
        <v/>
      </c>
      <c r="J5" s="42"/>
      <c r="K5" s="42"/>
    </row>
    <row r="6" spans="1:11" ht="15.6">
      <c r="A6" s="28" t="str">
        <v>Tucson</v>
      </c>
      <c r="B6" s="29" t="str">
        <v>AZ</v>
      </c>
      <c r="C6" s="24">
        <v>1393</v>
      </c>
      <c r="D6" s="13" t="s">
        <v>22</v>
      </c>
      <c r="E6" s="13" t="str">
        <f t="shared" si="0"/>
        <v/>
      </c>
      <c r="F6" s="14" t="str">
        <f t="shared" ref="F6:F15" si="1">IFERROR(E6/D6, "")</f>
        <v/>
      </c>
      <c r="G6" s="72" t="s">
        <v>22</v>
      </c>
      <c r="H6" s="15" t="str">
        <f>IF(AND(ISNUMBER(C6),ISNUMBER(G6)), C6-G6, "")</f>
        <v/>
      </c>
      <c r="I6" s="16" t="str">
        <f>IFERROR(H6/G6, "")</f>
        <v/>
      </c>
      <c r="J6" s="41"/>
      <c r="K6" s="41"/>
    </row>
    <row r="7" spans="1:11" ht="43.15">
      <c r="A7" s="30" t="str">
        <v>Hialeah</v>
      </c>
      <c r="B7" s="31" t="str">
        <v>FL</v>
      </c>
      <c r="C7" s="11">
        <v>-172</v>
      </c>
      <c r="D7" s="18" t="s">
        <v>22</v>
      </c>
      <c r="E7" s="18" t="str">
        <f t="shared" si="0"/>
        <v/>
      </c>
      <c r="F7" s="19" t="str">
        <f t="shared" si="1"/>
        <v/>
      </c>
      <c r="G7" s="73" t="s">
        <v>22</v>
      </c>
      <c r="H7" s="20" t="str">
        <f t="shared" ref="H7:H15" si="2">IF(AND(ISNUMBER(C7),ISNUMBER(G7)), C7-G7, "")</f>
        <v/>
      </c>
      <c r="I7" s="19" t="str">
        <f t="shared" ref="I7:I15" si="3">IFERROR(H7/G7, "")</f>
        <v/>
      </c>
      <c r="J7" s="65" t="s">
        <v>23</v>
      </c>
      <c r="K7" s="66" t="s">
        <v>24</v>
      </c>
    </row>
    <row r="8" spans="1:11" ht="15.6">
      <c r="A8" s="28" t="str">
        <v>Jacksonville</v>
      </c>
      <c r="B8" s="29" t="str">
        <v>FL</v>
      </c>
      <c r="C8" s="24">
        <v>87</v>
      </c>
      <c r="D8" s="13" t="s">
        <v>22</v>
      </c>
      <c r="E8" s="13" t="str">
        <f t="shared" si="0"/>
        <v/>
      </c>
      <c r="F8" s="14" t="str">
        <f t="shared" si="1"/>
        <v/>
      </c>
      <c r="G8" s="72" t="s">
        <v>22</v>
      </c>
      <c r="H8" s="15" t="str">
        <f t="shared" si="2"/>
        <v/>
      </c>
      <c r="I8" s="16" t="str">
        <f t="shared" si="3"/>
        <v/>
      </c>
      <c r="J8" s="41"/>
      <c r="K8" s="41"/>
    </row>
    <row r="9" spans="1:11" ht="15.6">
      <c r="A9" s="30" t="str">
        <v>Miami Gardens</v>
      </c>
      <c r="B9" s="31" t="str">
        <v>FL</v>
      </c>
      <c r="C9" s="11">
        <v>83</v>
      </c>
      <c r="D9" s="18" t="s">
        <v>22</v>
      </c>
      <c r="E9" s="18" t="str">
        <f t="shared" si="0"/>
        <v/>
      </c>
      <c r="F9" s="19" t="str">
        <f t="shared" si="1"/>
        <v/>
      </c>
      <c r="G9" s="73" t="s">
        <v>22</v>
      </c>
      <c r="H9" s="20" t="str">
        <f t="shared" si="2"/>
        <v/>
      </c>
      <c r="I9" s="19" t="str">
        <f t="shared" si="3"/>
        <v/>
      </c>
      <c r="J9" s="42"/>
      <c r="K9" s="43"/>
    </row>
    <row r="10" spans="1:11" ht="15.6">
      <c r="A10" s="28" t="str">
        <v>Fort Myers</v>
      </c>
      <c r="B10" s="29" t="str">
        <v>FL</v>
      </c>
      <c r="C10" s="24">
        <v>441</v>
      </c>
      <c r="D10" s="13" t="s">
        <v>22</v>
      </c>
      <c r="E10" s="13" t="str">
        <f t="shared" si="0"/>
        <v/>
      </c>
      <c r="F10" s="14" t="str">
        <f t="shared" si="1"/>
        <v/>
      </c>
      <c r="G10" s="72" t="s">
        <v>22</v>
      </c>
      <c r="H10" s="15" t="str">
        <f t="shared" si="2"/>
        <v/>
      </c>
      <c r="I10" s="16" t="str">
        <f t="shared" si="3"/>
        <v/>
      </c>
      <c r="J10" s="41"/>
      <c r="K10" s="41"/>
    </row>
    <row r="11" spans="1:11" ht="15.6">
      <c r="A11" s="30" t="str">
        <v>Orlando</v>
      </c>
      <c r="B11" s="31" t="str">
        <v>FL</v>
      </c>
      <c r="C11" s="11">
        <v>343</v>
      </c>
      <c r="D11" s="18" t="s">
        <v>22</v>
      </c>
      <c r="E11" s="18" t="str">
        <f t="shared" si="0"/>
        <v/>
      </c>
      <c r="F11" s="19" t="str">
        <f t="shared" si="1"/>
        <v/>
      </c>
      <c r="G11" s="73" t="s">
        <v>22</v>
      </c>
      <c r="H11" s="20" t="str">
        <f t="shared" si="2"/>
        <v/>
      </c>
      <c r="I11" s="19" t="str">
        <f t="shared" si="3"/>
        <v/>
      </c>
      <c r="J11" s="42"/>
      <c r="K11" s="43"/>
    </row>
    <row r="12" spans="1:11" ht="28.9">
      <c r="A12" s="28" t="str">
        <v>Port St. Lucie</v>
      </c>
      <c r="B12" s="29" t="str">
        <v>FL</v>
      </c>
      <c r="C12" s="24">
        <v>6338</v>
      </c>
      <c r="D12" s="13" t="s">
        <v>22</v>
      </c>
      <c r="E12" s="13" t="str">
        <f t="shared" si="0"/>
        <v/>
      </c>
      <c r="F12" s="14" t="str">
        <f t="shared" si="1"/>
        <v/>
      </c>
      <c r="G12" s="72" t="s">
        <v>22</v>
      </c>
      <c r="H12" s="15" t="str">
        <f t="shared" si="2"/>
        <v/>
      </c>
      <c r="I12" s="16" t="str">
        <f t="shared" si="3"/>
        <v/>
      </c>
      <c r="J12" s="67" t="s">
        <v>25</v>
      </c>
      <c r="K12" s="68" t="s">
        <v>26</v>
      </c>
    </row>
    <row r="13" spans="1:11" ht="15.6">
      <c r="A13" s="30" t="str">
        <v>Tampa</v>
      </c>
      <c r="B13" s="31" t="str">
        <v>FL</v>
      </c>
      <c r="C13" s="11">
        <v>1142</v>
      </c>
      <c r="D13" s="18" t="s">
        <v>22</v>
      </c>
      <c r="E13" s="18" t="str">
        <f t="shared" si="0"/>
        <v/>
      </c>
      <c r="F13" s="19" t="str">
        <f t="shared" si="1"/>
        <v/>
      </c>
      <c r="G13" s="73" t="s">
        <v>22</v>
      </c>
      <c r="H13" s="20" t="str">
        <f t="shared" si="2"/>
        <v/>
      </c>
      <c r="I13" s="19" t="str">
        <f t="shared" si="3"/>
        <v/>
      </c>
      <c r="J13" s="66"/>
      <c r="K13" s="66"/>
    </row>
    <row r="14" spans="1:11" ht="43.15">
      <c r="A14" s="28" t="str">
        <v>Roswell</v>
      </c>
      <c r="B14" s="29" t="str">
        <v>GA</v>
      </c>
      <c r="C14" s="24">
        <v>3328</v>
      </c>
      <c r="D14" s="13" t="s">
        <v>22</v>
      </c>
      <c r="E14" s="13" t="str">
        <f t="shared" si="0"/>
        <v/>
      </c>
      <c r="F14" s="14" t="str">
        <f t="shared" si="1"/>
        <v/>
      </c>
      <c r="G14" s="72" t="s">
        <v>22</v>
      </c>
      <c r="H14" s="15" t="str">
        <f t="shared" si="2"/>
        <v/>
      </c>
      <c r="I14" s="16" t="str">
        <f t="shared" si="3"/>
        <v/>
      </c>
      <c r="J14" s="68" t="s">
        <v>27</v>
      </c>
      <c r="K14" s="68" t="s">
        <v>28</v>
      </c>
    </row>
    <row r="15" spans="1:11" ht="15.6">
      <c r="A15" s="30" t="str">
        <v>Charlotte</v>
      </c>
      <c r="B15" s="31" t="str">
        <v>NC</v>
      </c>
      <c r="C15" s="11">
        <v>1742</v>
      </c>
      <c r="D15" s="18" t="s">
        <v>22</v>
      </c>
      <c r="E15" s="18" t="str">
        <f t="shared" si="0"/>
        <v/>
      </c>
      <c r="F15" s="19" t="str">
        <f t="shared" si="1"/>
        <v/>
      </c>
      <c r="G15" s="73" t="s">
        <v>22</v>
      </c>
      <c r="H15" s="20" t="str">
        <f t="shared" si="2"/>
        <v/>
      </c>
      <c r="I15" s="19" t="str">
        <f t="shared" si="3"/>
        <v/>
      </c>
      <c r="J15" s="42"/>
      <c r="K15" s="43"/>
    </row>
    <row r="16" spans="1:11" ht="15.6">
      <c r="A16" s="28" t="str">
        <v>Raleigh</v>
      </c>
      <c r="B16" s="29" t="str">
        <v>NC</v>
      </c>
      <c r="C16" s="24">
        <v>2308</v>
      </c>
      <c r="D16" s="13" t="s">
        <v>22</v>
      </c>
      <c r="E16" s="13" t="str">
        <f t="shared" ref="E16:E21" si="4">IF(AND(ISNUMBER(C16),ISNUMBER(D16)), C16-D16, "")</f>
        <v/>
      </c>
      <c r="F16" s="14" t="str">
        <f t="shared" ref="F16:F21" si="5">IFERROR(E16/D16, "")</f>
        <v/>
      </c>
      <c r="G16" s="72" t="s">
        <v>22</v>
      </c>
      <c r="H16" s="15" t="str">
        <f t="shared" ref="H16:H21" si="6">IF(AND(ISNUMBER(C16),ISNUMBER(G16)), C16-G16, "")</f>
        <v/>
      </c>
      <c r="I16" s="16" t="str">
        <f t="shared" ref="I16:I21" si="7">IFERROR(H16/G16, "")</f>
        <v/>
      </c>
      <c r="J16" s="41"/>
      <c r="K16" s="41"/>
    </row>
    <row r="17" spans="1:11" ht="15.6">
      <c r="A17" s="30" t="str">
        <v>Cordova</v>
      </c>
      <c r="B17" s="31" t="str">
        <v>TN</v>
      </c>
      <c r="C17" s="11">
        <v>2194</v>
      </c>
      <c r="D17" s="18" t="s">
        <v>22</v>
      </c>
      <c r="E17" s="18" t="str">
        <f t="shared" si="4"/>
        <v/>
      </c>
      <c r="F17" s="19" t="str">
        <f t="shared" si="5"/>
        <v/>
      </c>
      <c r="G17" s="73" t="s">
        <v>22</v>
      </c>
      <c r="H17" s="20" t="str">
        <f t="shared" si="6"/>
        <v/>
      </c>
      <c r="I17" s="19" t="str">
        <f t="shared" si="7"/>
        <v/>
      </c>
      <c r="J17" s="42"/>
      <c r="K17" s="43"/>
    </row>
    <row r="18" spans="1:11" ht="28.9">
      <c r="A18" s="28" t="str">
        <v>Austin</v>
      </c>
      <c r="B18" s="29" t="str">
        <v>TX</v>
      </c>
      <c r="C18" s="24" t="s">
        <v>29</v>
      </c>
      <c r="D18" s="13" t="s">
        <v>22</v>
      </c>
      <c r="E18" s="13" t="str">
        <f t="shared" si="4"/>
        <v/>
      </c>
      <c r="F18" s="14" t="str">
        <f t="shared" si="5"/>
        <v/>
      </c>
      <c r="G18" s="72" t="s">
        <v>22</v>
      </c>
      <c r="H18" s="15" t="str">
        <f t="shared" si="6"/>
        <v/>
      </c>
      <c r="I18" s="16" t="str">
        <f t="shared" si="7"/>
        <v/>
      </c>
      <c r="J18" s="67" t="s">
        <v>30</v>
      </c>
      <c r="K18" s="68" t="s">
        <v>31</v>
      </c>
    </row>
    <row r="19" spans="1:11" ht="28.9">
      <c r="A19" s="30" t="str">
        <v>Frisco</v>
      </c>
      <c r="B19" s="31" t="str">
        <v>TX</v>
      </c>
      <c r="C19" s="11">
        <v>1588</v>
      </c>
      <c r="D19" s="18" t="s">
        <v>22</v>
      </c>
      <c r="E19" s="18" t="str">
        <f t="shared" si="4"/>
        <v/>
      </c>
      <c r="F19" s="19" t="str">
        <f t="shared" si="5"/>
        <v/>
      </c>
      <c r="G19" s="73" t="s">
        <v>22</v>
      </c>
      <c r="H19" s="20" t="str">
        <f t="shared" si="6"/>
        <v/>
      </c>
      <c r="I19" s="19" t="str">
        <f t="shared" si="7"/>
        <v/>
      </c>
      <c r="J19" s="42" t="s">
        <v>32</v>
      </c>
      <c r="K19" s="47" t="s">
        <v>33</v>
      </c>
    </row>
    <row r="20" spans="1:11" ht="72">
      <c r="A20" s="28" t="str">
        <v>Copperfield</v>
      </c>
      <c r="B20" s="29" t="str">
        <v>TX</v>
      </c>
      <c r="C20" s="24">
        <v>971</v>
      </c>
      <c r="D20" s="13" t="s">
        <v>22</v>
      </c>
      <c r="E20" s="13" t="str">
        <f t="shared" si="4"/>
        <v/>
      </c>
      <c r="F20" s="14" t="str">
        <f t="shared" si="5"/>
        <v/>
      </c>
      <c r="G20" s="72" t="s">
        <v>22</v>
      </c>
      <c r="H20" s="15" t="str">
        <f t="shared" si="6"/>
        <v/>
      </c>
      <c r="I20" s="16" t="str">
        <f t="shared" si="7"/>
        <v/>
      </c>
      <c r="J20" s="67" t="s">
        <v>34</v>
      </c>
      <c r="K20" s="68" t="s">
        <v>35</v>
      </c>
    </row>
    <row r="21" spans="1:11" ht="43.15">
      <c r="A21" s="30" t="str">
        <v>Charlotte - B of A - 1 BAC</v>
      </c>
      <c r="B21" s="31" t="str">
        <v>NC</v>
      </c>
      <c r="C21" s="11" t="s">
        <v>29</v>
      </c>
      <c r="D21" s="18" t="s">
        <v>22</v>
      </c>
      <c r="E21" s="18" t="str">
        <f t="shared" si="4"/>
        <v/>
      </c>
      <c r="F21" s="19" t="str">
        <f t="shared" si="5"/>
        <v/>
      </c>
      <c r="G21" s="73" t="s">
        <v>22</v>
      </c>
      <c r="H21" s="20" t="str">
        <f t="shared" si="6"/>
        <v/>
      </c>
      <c r="I21" s="19" t="str">
        <f t="shared" si="7"/>
        <v/>
      </c>
      <c r="J21" s="42" t="s">
        <v>36</v>
      </c>
      <c r="K21" s="47" t="s">
        <v>37</v>
      </c>
    </row>
    <row r="22" spans="1:11" ht="43.15">
      <c r="A22" s="28" t="str">
        <v>Charlotte - B of A - 401 N Tryon</v>
      </c>
      <c r="B22" s="29" t="str">
        <v>NC</v>
      </c>
      <c r="C22" s="24">
        <v>0</v>
      </c>
      <c r="D22" s="13" t="s">
        <v>22</v>
      </c>
      <c r="E22" s="13" t="str">
        <f t="shared" ref="E22:E28" si="8">IF(AND(ISNUMBER(C22),ISNUMBER(D22)), C22-D22, "")</f>
        <v/>
      </c>
      <c r="F22" s="14" t="str">
        <f t="shared" ref="F22:F28" si="9">IFERROR(E22/D22, "")</f>
        <v/>
      </c>
      <c r="G22" s="72" t="s">
        <v>22</v>
      </c>
      <c r="H22" s="15" t="str">
        <f t="shared" ref="H22:H28" si="10">IF(AND(ISNUMBER(C22),ISNUMBER(G22)), C22-G22, "")</f>
        <v/>
      </c>
      <c r="I22" s="16" t="str">
        <f t="shared" ref="I22:I28" si="11">IFERROR(H22/G22, "")</f>
        <v/>
      </c>
      <c r="J22" s="67" t="s">
        <v>36</v>
      </c>
      <c r="K22" s="68" t="s">
        <v>38</v>
      </c>
    </row>
    <row r="23" spans="1:11" ht="54.75" customHeight="1">
      <c r="A23" s="30" t="str">
        <v>Chandler - B of A Campus Bldg A</v>
      </c>
      <c r="B23" s="31" t="str">
        <v>AZ</v>
      </c>
      <c r="C23" s="11">
        <v>10791.25</v>
      </c>
      <c r="D23" s="18" t="s">
        <v>22</v>
      </c>
      <c r="E23" s="18" t="str">
        <f t="shared" si="8"/>
        <v/>
      </c>
      <c r="F23" s="19" t="str">
        <f t="shared" si="9"/>
        <v/>
      </c>
      <c r="G23" s="73" t="s">
        <v>22</v>
      </c>
      <c r="H23" s="20" t="str">
        <f t="shared" si="10"/>
        <v/>
      </c>
      <c r="I23" s="19" t="str">
        <f t="shared" si="11"/>
        <v/>
      </c>
      <c r="J23" s="41" t="s">
        <v>39</v>
      </c>
      <c r="K23" s="41" t="s">
        <v>40</v>
      </c>
    </row>
    <row r="24" spans="1:11" ht="28.9">
      <c r="A24" s="28" t="str">
        <v>Chandler - B of A Campus Bldg B</v>
      </c>
      <c r="B24" s="29" t="str">
        <v>AZ</v>
      </c>
      <c r="C24" s="24">
        <v>19506.5</v>
      </c>
      <c r="D24" s="13" t="s">
        <v>22</v>
      </c>
      <c r="E24" s="13" t="str">
        <f t="shared" si="8"/>
        <v/>
      </c>
      <c r="F24" s="14" t="str">
        <f t="shared" si="9"/>
        <v/>
      </c>
      <c r="G24" s="72" t="s">
        <v>22</v>
      </c>
      <c r="H24" s="15" t="str">
        <f t="shared" si="10"/>
        <v/>
      </c>
      <c r="I24" s="16" t="str">
        <f t="shared" si="11"/>
        <v/>
      </c>
      <c r="J24" s="47" t="s">
        <v>39</v>
      </c>
      <c r="K24" s="42" t="s">
        <v>40</v>
      </c>
    </row>
    <row r="25" spans="1:11" ht="28.9">
      <c r="A25" s="30" t="str">
        <v>Chandler - B of A Campus Bldg C</v>
      </c>
      <c r="B25" s="31" t="str">
        <v>AZ</v>
      </c>
      <c r="C25" s="11">
        <v>10495.3</v>
      </c>
      <c r="D25" s="18" t="s">
        <v>22</v>
      </c>
      <c r="E25" s="18" t="str">
        <f t="shared" si="8"/>
        <v/>
      </c>
      <c r="F25" s="19" t="str">
        <f t="shared" si="9"/>
        <v/>
      </c>
      <c r="G25" s="73" t="s">
        <v>22</v>
      </c>
      <c r="H25" s="20" t="str">
        <f t="shared" si="10"/>
        <v/>
      </c>
      <c r="I25" s="19" t="str">
        <f t="shared" si="11"/>
        <v/>
      </c>
      <c r="J25" s="41" t="s">
        <v>39</v>
      </c>
      <c r="K25" s="41" t="s">
        <v>40</v>
      </c>
    </row>
    <row r="26" spans="1:11" ht="28.9">
      <c r="A26" s="28" t="str">
        <v>Chandler - B of A Campus Bldg D</v>
      </c>
      <c r="B26" s="29" t="str">
        <v>AZ</v>
      </c>
      <c r="C26" s="24">
        <v>5978.87</v>
      </c>
      <c r="D26" s="13" t="s">
        <v>22</v>
      </c>
      <c r="E26" s="13" t="str">
        <f t="shared" si="8"/>
        <v/>
      </c>
      <c r="F26" s="14" t="str">
        <f t="shared" si="9"/>
        <v/>
      </c>
      <c r="G26" s="72" t="s">
        <v>22</v>
      </c>
      <c r="H26" s="15" t="str">
        <f t="shared" si="10"/>
        <v/>
      </c>
      <c r="I26" s="16" t="str">
        <f t="shared" si="11"/>
        <v/>
      </c>
      <c r="J26" s="47" t="s">
        <v>39</v>
      </c>
      <c r="K26" s="42" t="s">
        <v>40</v>
      </c>
    </row>
    <row r="27" spans="1:11" ht="129.6">
      <c r="A27" s="30" t="str">
        <v>Tampa - BoA Ekman</v>
      </c>
      <c r="B27" s="31" t="str">
        <v>FL</v>
      </c>
      <c r="C27" s="11">
        <v>72159.600999999995</v>
      </c>
      <c r="D27" s="18" t="s">
        <v>22</v>
      </c>
      <c r="E27" s="18" t="str">
        <f t="shared" si="8"/>
        <v/>
      </c>
      <c r="F27" s="19" t="str">
        <f t="shared" si="9"/>
        <v/>
      </c>
      <c r="G27" s="73" t="s">
        <v>22</v>
      </c>
      <c r="H27" s="20" t="str">
        <f t="shared" si="10"/>
        <v/>
      </c>
      <c r="I27" s="19" t="str">
        <f t="shared" si="11"/>
        <v/>
      </c>
      <c r="J27" s="41" t="s">
        <v>41</v>
      </c>
      <c r="K27" s="41" t="s">
        <v>42</v>
      </c>
    </row>
    <row r="28" spans="1:11" ht="28.9">
      <c r="A28" s="28" t="str">
        <v>Charlotte - B of A - Sherrill</v>
      </c>
      <c r="B28" s="29" t="str">
        <v>NC</v>
      </c>
      <c r="C28" s="24"/>
      <c r="D28" s="13"/>
      <c r="E28" s="13" t="str">
        <f t="shared" si="8"/>
        <v/>
      </c>
      <c r="F28" s="14" t="str">
        <f t="shared" si="9"/>
        <v/>
      </c>
      <c r="G28" s="72"/>
      <c r="H28" s="15" t="str">
        <f t="shared" si="10"/>
        <v/>
      </c>
      <c r="I28" s="16" t="str">
        <f t="shared" si="11"/>
        <v/>
      </c>
      <c r="J28" s="42" t="s">
        <v>43</v>
      </c>
      <c r="K28" s="47" t="s">
        <v>44</v>
      </c>
    </row>
    <row r="29" spans="1:11" ht="15.6">
      <c r="A29" s="30"/>
      <c r="B29" s="31"/>
      <c r="C29" s="69"/>
      <c r="D29" s="18"/>
      <c r="E29" s="18"/>
      <c r="F29" s="70"/>
      <c r="G29" s="71"/>
      <c r="H29" s="71"/>
      <c r="I29" s="70"/>
    </row>
    <row r="30" spans="1:11" ht="14.45">
      <c r="A30" s="21"/>
      <c r="B30" s="33"/>
      <c r="C30" s="21"/>
      <c r="D30" s="21"/>
      <c r="E30" s="21"/>
      <c r="F30" s="22"/>
      <c r="G30" s="21"/>
      <c r="H30" s="21"/>
      <c r="I30" s="22"/>
      <c r="J30" s="21"/>
      <c r="K30" s="21"/>
    </row>
    <row r="31" spans="1:11" ht="14.45">
      <c r="A31" s="21"/>
      <c r="B31" s="33"/>
      <c r="C31" s="21"/>
      <c r="D31" s="21"/>
      <c r="E31" s="21"/>
      <c r="F31" s="22"/>
      <c r="G31" s="21"/>
      <c r="H31" s="21"/>
      <c r="I31" s="22"/>
      <c r="J31" s="21"/>
      <c r="K31" s="21"/>
    </row>
    <row r="32" spans="1:11"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sheetData>
  <mergeCells count="4">
    <mergeCell ref="D1:F1"/>
    <mergeCell ref="A1:C1"/>
    <mergeCell ref="G1:I1"/>
    <mergeCell ref="A2:B2"/>
  </mergeCells>
  <conditionalFormatting sqref="F2 I2">
    <cfRule type="cellIs" dxfId="32" priority="6" stopIfTrue="1" operator="lessThanOrEqual">
      <formula>-0.1</formula>
    </cfRule>
    <cfRule type="expression" dxfId="31" priority="7">
      <formula>AND(ISNUMBER(F2), F2&gt;=0.1)</formula>
    </cfRule>
  </conditionalFormatting>
  <conditionalFormatting sqref="F4:F97 I4:I97">
    <cfRule type="cellIs" dxfId="30" priority="1" stopIfTrue="1" operator="lessThanOrEqual">
      <formula>-0.1</formula>
    </cfRule>
    <cfRule type="expression" dxfId="29"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O340"/>
  <sheetViews>
    <sheetView zoomScale="85" zoomScaleNormal="85" workbookViewId="0">
      <pane xSplit="2" ySplit="3" topLeftCell="C4" activePane="bottomRight" state="frozen"/>
      <selection pane="bottomRight" activeCell="P15" sqref="P15"/>
      <selection pane="bottomLeft" activeCell="G28" sqref="G28"/>
      <selection pane="topRight" activeCell="G28" sqref="G2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91" t="str" cm="1">
        <f t="array" ref="A1">portfolio</f>
        <v>JLL</v>
      </c>
      <c r="B1" s="91"/>
      <c r="C1" s="91"/>
      <c r="D1" s="92" t="s">
        <v>45</v>
      </c>
      <c r="E1" s="92"/>
      <c r="F1" s="92"/>
      <c r="G1" s="90" t="s">
        <v>46</v>
      </c>
      <c r="H1" s="90"/>
      <c r="I1" s="90"/>
      <c r="J1" s="4"/>
      <c r="K1" s="4"/>
    </row>
    <row r="2" spans="1:15" ht="19.5" customHeight="1">
      <c r="A2" s="93" t="s">
        <v>2</v>
      </c>
      <c r="B2" s="93"/>
      <c r="C2" s="5">
        <f>SUM(C4:C98)</f>
        <v>38679.499000000003</v>
      </c>
      <c r="D2" s="5">
        <f>SUM(D4:D98)</f>
        <v>0</v>
      </c>
      <c r="E2" s="5">
        <f>C2-D2</f>
        <v>38679.499000000003</v>
      </c>
      <c r="F2" s="6">
        <f>IFERROR(E2/D2, 0)</f>
        <v>0</v>
      </c>
      <c r="G2" s="5">
        <f>SUM(G4:G98)</f>
        <v>0</v>
      </c>
      <c r="H2" s="7">
        <f>C2-G2</f>
        <v>38679.499000000003</v>
      </c>
      <c r="I2" s="6">
        <f>IFERROR(H2/G2, 0)</f>
        <v>0</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23" t="s">
        <v>5</v>
      </c>
      <c r="D3" s="35" t="s">
        <v>6</v>
      </c>
      <c r="E3" s="35" t="s">
        <v>7</v>
      </c>
      <c r="F3" s="36" t="s">
        <v>8</v>
      </c>
      <c r="G3" s="37" t="s">
        <v>9</v>
      </c>
      <c r="H3" s="38" t="s">
        <v>7</v>
      </c>
      <c r="I3" s="39" t="s">
        <v>8</v>
      </c>
      <c r="J3" s="25" t="s">
        <v>20</v>
      </c>
      <c r="K3" s="25" t="s">
        <v>21</v>
      </c>
    </row>
    <row r="4" spans="1:15" ht="15.6">
      <c r="A4" s="32" t="str" cm="1">
        <f t="array" ref="A4:A28">Sites[Site]</f>
        <v>Bullhead</v>
      </c>
      <c r="B4" s="29" t="str" cm="1">
        <f t="array" ref="B4:B28">Sites[State]</f>
        <v>AZ</v>
      </c>
      <c r="C4" s="24">
        <v>68.099999999999994</v>
      </c>
      <c r="D4" s="13" t="s">
        <v>22</v>
      </c>
      <c r="E4" s="13" t="str">
        <f>IF(AND(ISNUMBER(C4),ISNUMBER(D4)), C4-D4, "")</f>
        <v/>
      </c>
      <c r="F4" s="14" t="str">
        <f>IFERROR(E4/D4, "")</f>
        <v/>
      </c>
      <c r="G4" s="72" t="s">
        <v>22</v>
      </c>
      <c r="H4" s="15" t="str">
        <f>IF(AND(ISNUMBER(C4),ISNUMBER(G4)), C4-G4, "")</f>
        <v/>
      </c>
      <c r="I4" s="16" t="str">
        <f>IFERROR(H4/G4, "")</f>
        <v/>
      </c>
      <c r="J4" s="41"/>
      <c r="K4" s="41"/>
      <c r="L4" s="79"/>
      <c r="M4" s="79"/>
      <c r="N4" s="79"/>
      <c r="O4" s="79"/>
    </row>
    <row r="5" spans="1:15" ht="15.6">
      <c r="A5" s="30" t="str">
        <v>Peoria</v>
      </c>
      <c r="B5" s="31" t="str">
        <v>AZ</v>
      </c>
      <c r="C5" s="11">
        <v>62.3</v>
      </c>
      <c r="D5" s="18" t="s">
        <v>22</v>
      </c>
      <c r="E5" s="18" t="str">
        <f t="shared" ref="E5:E15" si="0">IF(AND(ISNUMBER(C5),ISNUMBER(D5)), C5-D5, "")</f>
        <v/>
      </c>
      <c r="F5" s="19" t="str">
        <f>IFERROR(E5/D5, "")</f>
        <v/>
      </c>
      <c r="G5" s="73" t="s">
        <v>22</v>
      </c>
      <c r="H5" s="20" t="str">
        <f t="shared" ref="H5:H15" si="1">IF(AND(ISNUMBER(C5),ISNUMBER(G5)), C5-G5, "")</f>
        <v/>
      </c>
      <c r="I5" s="19" t="str">
        <f t="shared" ref="I5:I15" si="2">IFERROR(H5/G5, "")</f>
        <v/>
      </c>
      <c r="J5" s="42" t="s">
        <v>47</v>
      </c>
      <c r="K5" s="74" t="s">
        <v>48</v>
      </c>
      <c r="L5" s="79"/>
      <c r="M5" s="79"/>
      <c r="N5" s="79"/>
      <c r="O5" s="79"/>
    </row>
    <row r="6" spans="1:15" ht="15.6">
      <c r="A6" s="28" t="str">
        <v>Tucson</v>
      </c>
      <c r="B6" s="29" t="str">
        <v>AZ</v>
      </c>
      <c r="C6" s="24">
        <v>1684.7</v>
      </c>
      <c r="D6" s="13" t="s">
        <v>22</v>
      </c>
      <c r="E6" s="13" t="str">
        <f t="shared" si="0"/>
        <v/>
      </c>
      <c r="F6" s="14" t="str">
        <f t="shared" ref="F6:F15" si="3">IFERROR(E6/D6, "")</f>
        <v/>
      </c>
      <c r="G6" s="72" t="s">
        <v>22</v>
      </c>
      <c r="H6" s="15" t="str">
        <f t="shared" si="1"/>
        <v/>
      </c>
      <c r="I6" s="16" t="str">
        <f t="shared" si="2"/>
        <v/>
      </c>
      <c r="J6" s="41"/>
      <c r="K6" s="41"/>
      <c r="L6" s="79"/>
      <c r="M6" s="79"/>
      <c r="N6" s="79"/>
      <c r="O6" s="79"/>
    </row>
    <row r="7" spans="1:15" ht="43.15">
      <c r="A7" s="30" t="str">
        <v>Hialeah</v>
      </c>
      <c r="B7" s="31" t="str">
        <v>FL</v>
      </c>
      <c r="C7" s="11">
        <v>-229.7</v>
      </c>
      <c r="D7" s="18" t="s">
        <v>22</v>
      </c>
      <c r="E7" s="18" t="str">
        <f t="shared" si="0"/>
        <v/>
      </c>
      <c r="F7" s="19" t="str">
        <f t="shared" si="3"/>
        <v/>
      </c>
      <c r="G7" s="73" t="s">
        <v>22</v>
      </c>
      <c r="H7" s="20" t="str">
        <f t="shared" si="1"/>
        <v/>
      </c>
      <c r="I7" s="19" t="str">
        <f t="shared" si="2"/>
        <v/>
      </c>
      <c r="J7" s="65" t="s">
        <v>23</v>
      </c>
      <c r="K7" s="75" t="s">
        <v>24</v>
      </c>
      <c r="L7" s="79"/>
      <c r="M7" s="79"/>
      <c r="N7" s="79"/>
      <c r="O7" s="79"/>
    </row>
    <row r="8" spans="1:15" ht="15.6">
      <c r="A8" s="28" t="str">
        <v>Jacksonville</v>
      </c>
      <c r="B8" s="29" t="str">
        <v>FL</v>
      </c>
      <c r="C8" s="24">
        <v>83.3</v>
      </c>
      <c r="D8" s="13" t="s">
        <v>22</v>
      </c>
      <c r="E8" s="13" t="str">
        <f t="shared" si="0"/>
        <v/>
      </c>
      <c r="F8" s="14" t="str">
        <f t="shared" si="3"/>
        <v/>
      </c>
      <c r="G8" s="72" t="s">
        <v>22</v>
      </c>
      <c r="H8" s="15" t="str">
        <f t="shared" si="1"/>
        <v/>
      </c>
      <c r="I8" s="16" t="str">
        <f t="shared" si="2"/>
        <v/>
      </c>
      <c r="J8" s="41"/>
      <c r="K8" s="41"/>
      <c r="L8" s="79"/>
      <c r="M8" s="79"/>
      <c r="N8" s="79"/>
      <c r="O8" s="79"/>
    </row>
    <row r="9" spans="1:15" ht="15.6">
      <c r="A9" s="30" t="str">
        <v>Miami Gardens</v>
      </c>
      <c r="B9" s="31" t="str">
        <v>FL</v>
      </c>
      <c r="C9" s="11">
        <v>93.3</v>
      </c>
      <c r="D9" s="18" t="s">
        <v>22</v>
      </c>
      <c r="E9" s="18" t="str">
        <f t="shared" si="0"/>
        <v/>
      </c>
      <c r="F9" s="19" t="str">
        <f t="shared" si="3"/>
        <v/>
      </c>
      <c r="G9" s="73" t="s">
        <v>22</v>
      </c>
      <c r="H9" s="20" t="str">
        <f t="shared" si="1"/>
        <v/>
      </c>
      <c r="I9" s="19" t="str">
        <f t="shared" si="2"/>
        <v/>
      </c>
      <c r="J9" s="42"/>
      <c r="K9" s="43"/>
      <c r="L9" s="79"/>
      <c r="M9" s="79"/>
      <c r="N9" s="79"/>
      <c r="O9" s="79"/>
    </row>
    <row r="10" spans="1:15" ht="15.6">
      <c r="A10" s="28" t="str">
        <v>Fort Myers</v>
      </c>
      <c r="B10" s="29" t="str">
        <v>FL</v>
      </c>
      <c r="C10" s="24">
        <v>5014</v>
      </c>
      <c r="D10" s="13" t="s">
        <v>22</v>
      </c>
      <c r="E10" s="13" t="str">
        <f t="shared" si="0"/>
        <v/>
      </c>
      <c r="F10" s="14" t="str">
        <f t="shared" si="3"/>
        <v/>
      </c>
      <c r="G10" s="72" t="s">
        <v>22</v>
      </c>
      <c r="H10" s="15" t="str">
        <f t="shared" si="1"/>
        <v/>
      </c>
      <c r="I10" s="16" t="str">
        <f t="shared" si="2"/>
        <v/>
      </c>
      <c r="J10" s="41"/>
      <c r="K10" s="41"/>
      <c r="L10" s="79"/>
      <c r="M10" s="79"/>
      <c r="N10" s="79"/>
      <c r="O10" s="79"/>
    </row>
    <row r="11" spans="1:15" ht="15.6">
      <c r="A11" s="30" t="str">
        <v>Orlando</v>
      </c>
      <c r="B11" s="31" t="str">
        <v>FL</v>
      </c>
      <c r="C11" s="11">
        <v>3647.9</v>
      </c>
      <c r="D11" s="18" t="s">
        <v>22</v>
      </c>
      <c r="E11" s="18" t="str">
        <f t="shared" si="0"/>
        <v/>
      </c>
      <c r="F11" s="19" t="str">
        <f t="shared" si="3"/>
        <v/>
      </c>
      <c r="G11" s="73" t="s">
        <v>22</v>
      </c>
      <c r="H11" s="20" t="str">
        <f t="shared" si="1"/>
        <v/>
      </c>
      <c r="I11" s="19" t="str">
        <f t="shared" si="2"/>
        <v/>
      </c>
      <c r="J11" s="42"/>
      <c r="K11" s="43"/>
      <c r="L11" s="79"/>
      <c r="M11" s="79"/>
      <c r="N11" s="79"/>
      <c r="O11" s="79"/>
    </row>
    <row r="12" spans="1:15" ht="28.9">
      <c r="A12" s="28" t="str">
        <v>Port St. Lucie</v>
      </c>
      <c r="B12" s="29" t="str">
        <v>FL</v>
      </c>
      <c r="C12" s="24">
        <v>7313</v>
      </c>
      <c r="D12" s="13" t="s">
        <v>22</v>
      </c>
      <c r="E12" s="13" t="str">
        <f t="shared" si="0"/>
        <v/>
      </c>
      <c r="F12" s="14" t="str">
        <f t="shared" si="3"/>
        <v/>
      </c>
      <c r="G12" s="72" t="s">
        <v>22</v>
      </c>
      <c r="H12" s="15" t="str">
        <f t="shared" si="1"/>
        <v/>
      </c>
      <c r="I12" s="16" t="str">
        <f t="shared" si="2"/>
        <v/>
      </c>
      <c r="J12" s="67" t="s">
        <v>25</v>
      </c>
      <c r="K12" s="76" t="s">
        <v>26</v>
      </c>
      <c r="L12" s="79"/>
      <c r="M12" s="79"/>
      <c r="N12" s="79"/>
      <c r="O12" s="79"/>
    </row>
    <row r="13" spans="1:15" ht="15.6">
      <c r="A13" s="30" t="str">
        <v>Tampa</v>
      </c>
      <c r="B13" s="31" t="str">
        <v>FL</v>
      </c>
      <c r="C13" s="11">
        <v>126.9</v>
      </c>
      <c r="D13" s="18" t="s">
        <v>22</v>
      </c>
      <c r="E13" s="18" t="str">
        <f t="shared" si="0"/>
        <v/>
      </c>
      <c r="F13" s="19" t="str">
        <f t="shared" si="3"/>
        <v/>
      </c>
      <c r="G13" s="73" t="s">
        <v>22</v>
      </c>
      <c r="H13" s="20" t="str">
        <f t="shared" si="1"/>
        <v/>
      </c>
      <c r="I13" s="19" t="str">
        <f t="shared" si="2"/>
        <v/>
      </c>
      <c r="J13" s="42"/>
      <c r="K13" s="43"/>
      <c r="L13" s="79"/>
      <c r="M13" s="79"/>
      <c r="N13" s="79"/>
      <c r="O13" s="79"/>
    </row>
    <row r="14" spans="1:15" ht="43.15">
      <c r="A14" s="28" t="str">
        <v>Roswell</v>
      </c>
      <c r="B14" s="29" t="str">
        <v>GA</v>
      </c>
      <c r="C14" s="24">
        <v>4102</v>
      </c>
      <c r="D14" s="13" t="s">
        <v>22</v>
      </c>
      <c r="E14" s="13" t="str">
        <f t="shared" si="0"/>
        <v/>
      </c>
      <c r="F14" s="14" t="str">
        <f t="shared" si="3"/>
        <v/>
      </c>
      <c r="G14" s="72" t="s">
        <v>22</v>
      </c>
      <c r="H14" s="15" t="str">
        <f t="shared" si="1"/>
        <v/>
      </c>
      <c r="I14" s="16" t="str">
        <f t="shared" si="2"/>
        <v/>
      </c>
      <c r="J14" s="68" t="s">
        <v>27</v>
      </c>
      <c r="K14" s="76" t="s">
        <v>28</v>
      </c>
      <c r="L14" s="79"/>
      <c r="M14" s="79"/>
      <c r="N14" s="79"/>
      <c r="O14" s="79"/>
    </row>
    <row r="15" spans="1:15" ht="15.6">
      <c r="A15" s="30" t="str">
        <v>Charlotte</v>
      </c>
      <c r="B15" s="31" t="str">
        <v>NC</v>
      </c>
      <c r="C15" s="11">
        <v>1718.1</v>
      </c>
      <c r="D15" s="18" t="s">
        <v>22</v>
      </c>
      <c r="E15" s="18" t="str">
        <f t="shared" si="0"/>
        <v/>
      </c>
      <c r="F15" s="19" t="str">
        <f t="shared" si="3"/>
        <v/>
      </c>
      <c r="G15" s="73" t="s">
        <v>22</v>
      </c>
      <c r="H15" s="20" t="str">
        <f t="shared" si="1"/>
        <v/>
      </c>
      <c r="I15" s="19" t="str">
        <f t="shared" si="2"/>
        <v/>
      </c>
      <c r="J15" s="42"/>
      <c r="K15" s="43"/>
      <c r="L15" s="79"/>
      <c r="M15" s="79"/>
      <c r="N15" s="79"/>
      <c r="O15" s="79"/>
    </row>
    <row r="16" spans="1:15" ht="28.9">
      <c r="A16" s="28" t="str">
        <v>Raleigh</v>
      </c>
      <c r="B16" s="29" t="str">
        <v>NC</v>
      </c>
      <c r="C16" s="24">
        <v>2029.8</v>
      </c>
      <c r="D16" s="13" t="s">
        <v>22</v>
      </c>
      <c r="E16" s="13" t="str">
        <f t="shared" ref="E16:E28" si="4">IF(AND(ISNUMBER(C16),ISNUMBER(D16)), C16-D16, "")</f>
        <v/>
      </c>
      <c r="F16" s="14" t="str">
        <f t="shared" ref="F16:F28" si="5">IFERROR(E16/D16, "")</f>
        <v/>
      </c>
      <c r="G16" s="72" t="s">
        <v>22</v>
      </c>
      <c r="H16" s="15" t="str">
        <f t="shared" ref="H16:H28" si="6">IF(AND(ISNUMBER(C16),ISNUMBER(G16)), C16-G16, "")</f>
        <v/>
      </c>
      <c r="I16" s="16" t="str">
        <f t="shared" ref="I16:I28" si="7">IFERROR(H16/G16, "")</f>
        <v/>
      </c>
      <c r="J16" s="41" t="s">
        <v>49</v>
      </c>
      <c r="K16" s="77" t="s">
        <v>50</v>
      </c>
      <c r="L16" s="79"/>
      <c r="M16" s="79"/>
      <c r="N16" s="79"/>
      <c r="O16" s="79"/>
    </row>
    <row r="17" spans="1:15" ht="15.6">
      <c r="A17" s="30" t="str">
        <v>Cordova</v>
      </c>
      <c r="B17" s="31" t="str">
        <v>TN</v>
      </c>
      <c r="C17" s="11">
        <v>215.9</v>
      </c>
      <c r="D17" s="18" t="s">
        <v>22</v>
      </c>
      <c r="E17" s="18" t="str">
        <f t="shared" si="4"/>
        <v/>
      </c>
      <c r="F17" s="19" t="str">
        <f t="shared" si="5"/>
        <v/>
      </c>
      <c r="G17" s="73" t="s">
        <v>22</v>
      </c>
      <c r="H17" s="20" t="str">
        <f t="shared" si="6"/>
        <v/>
      </c>
      <c r="I17" s="19" t="str">
        <f t="shared" si="7"/>
        <v/>
      </c>
      <c r="J17" s="42" t="s">
        <v>51</v>
      </c>
      <c r="K17" s="78" t="s">
        <v>52</v>
      </c>
      <c r="L17" s="79"/>
      <c r="M17" s="79"/>
      <c r="N17" s="79"/>
      <c r="O17" s="79"/>
    </row>
    <row r="18" spans="1:15" ht="62.25" customHeight="1">
      <c r="A18" s="28" t="str">
        <v>Austin</v>
      </c>
      <c r="B18" s="29" t="str">
        <v>TX</v>
      </c>
      <c r="C18" s="24">
        <v>147</v>
      </c>
      <c r="D18" s="13" t="s">
        <v>22</v>
      </c>
      <c r="E18" s="13" t="str">
        <f t="shared" si="4"/>
        <v/>
      </c>
      <c r="F18" s="14" t="str">
        <f t="shared" si="5"/>
        <v/>
      </c>
      <c r="G18" s="72" t="s">
        <v>22</v>
      </c>
      <c r="H18" s="15" t="str">
        <f t="shared" si="6"/>
        <v/>
      </c>
      <c r="I18" s="16" t="str">
        <f t="shared" si="7"/>
        <v/>
      </c>
      <c r="J18" s="41" t="s">
        <v>53</v>
      </c>
      <c r="K18" s="77" t="s">
        <v>31</v>
      </c>
      <c r="L18" s="79"/>
      <c r="M18" s="79"/>
      <c r="N18" s="79"/>
      <c r="O18" s="79"/>
    </row>
    <row r="19" spans="1:15" ht="43.15">
      <c r="A19" s="30" t="str">
        <v>Frisco</v>
      </c>
      <c r="B19" s="31" t="str">
        <v>TX</v>
      </c>
      <c r="C19" s="11">
        <v>1819</v>
      </c>
      <c r="D19" s="18" t="s">
        <v>22</v>
      </c>
      <c r="E19" s="18" t="str">
        <f t="shared" si="4"/>
        <v/>
      </c>
      <c r="F19" s="19" t="str">
        <f t="shared" si="5"/>
        <v/>
      </c>
      <c r="G19" s="73" t="s">
        <v>22</v>
      </c>
      <c r="H19" s="20" t="str">
        <f t="shared" si="6"/>
        <v/>
      </c>
      <c r="I19" s="19" t="str">
        <f t="shared" si="7"/>
        <v/>
      </c>
      <c r="J19" s="42" t="s">
        <v>54</v>
      </c>
      <c r="K19" s="78" t="s">
        <v>55</v>
      </c>
      <c r="L19" s="80" t="s">
        <v>56</v>
      </c>
      <c r="M19" s="79"/>
      <c r="N19" s="79"/>
      <c r="O19" s="79"/>
    </row>
    <row r="20" spans="1:15" ht="72">
      <c r="A20" s="28" t="str">
        <v>Copperfield</v>
      </c>
      <c r="B20" s="29" t="str">
        <v>TX</v>
      </c>
      <c r="C20" s="24">
        <v>1076.9000000000001</v>
      </c>
      <c r="D20" s="13" t="s">
        <v>22</v>
      </c>
      <c r="E20" s="13" t="str">
        <f t="shared" si="4"/>
        <v/>
      </c>
      <c r="F20" s="14" t="str">
        <f t="shared" si="5"/>
        <v/>
      </c>
      <c r="G20" s="72" t="s">
        <v>22</v>
      </c>
      <c r="H20" s="15" t="str">
        <f t="shared" si="6"/>
        <v/>
      </c>
      <c r="I20" s="16" t="str">
        <f t="shared" si="7"/>
        <v/>
      </c>
      <c r="J20" s="41" t="s">
        <v>57</v>
      </c>
      <c r="K20" s="77" t="s">
        <v>58</v>
      </c>
      <c r="L20" s="80" t="s">
        <v>59</v>
      </c>
      <c r="M20" s="79"/>
      <c r="N20" s="79"/>
      <c r="O20" s="79"/>
    </row>
    <row r="21" spans="1:15" ht="43.15">
      <c r="A21" s="30" t="str">
        <v>Charlotte - B of A - 1 BAC</v>
      </c>
      <c r="B21" s="31" t="str">
        <v>NC</v>
      </c>
      <c r="C21" s="11">
        <v>0</v>
      </c>
      <c r="D21" s="18" t="s">
        <v>22</v>
      </c>
      <c r="E21" s="18" t="str">
        <f>IF(AND(ISNUMBER(C21),ISNUMBER(D21)), C21-D21, "")</f>
        <v/>
      </c>
      <c r="F21" s="19" t="str">
        <f>IFERROR(E21/D21, "")</f>
        <v/>
      </c>
      <c r="G21" s="73" t="s">
        <v>22</v>
      </c>
      <c r="H21" s="20" t="str">
        <f t="shared" si="6"/>
        <v/>
      </c>
      <c r="I21" s="19" t="str">
        <f t="shared" si="7"/>
        <v/>
      </c>
      <c r="J21" s="42" t="s">
        <v>36</v>
      </c>
      <c r="K21" s="78" t="s">
        <v>37</v>
      </c>
      <c r="L21" s="79"/>
      <c r="M21" s="79"/>
      <c r="N21" s="79"/>
      <c r="O21" s="79"/>
    </row>
    <row r="22" spans="1:15" ht="43.15">
      <c r="A22" s="28" t="str">
        <v>Charlotte - B of A - 401 N Tryon</v>
      </c>
      <c r="B22" s="29" t="str">
        <v>NC</v>
      </c>
      <c r="C22" s="24">
        <v>0</v>
      </c>
      <c r="D22" s="13" t="s">
        <v>22</v>
      </c>
      <c r="E22" s="13" t="str">
        <f t="shared" si="4"/>
        <v/>
      </c>
      <c r="F22" s="14" t="str">
        <f t="shared" si="5"/>
        <v/>
      </c>
      <c r="G22" s="72" t="s">
        <v>22</v>
      </c>
      <c r="H22" s="15" t="str">
        <f t="shared" si="6"/>
        <v/>
      </c>
      <c r="I22" s="16" t="str">
        <f t="shared" si="7"/>
        <v/>
      </c>
      <c r="J22" s="41" t="s">
        <v>36</v>
      </c>
      <c r="K22" s="77" t="s">
        <v>37</v>
      </c>
      <c r="L22" s="79"/>
      <c r="M22" s="79"/>
      <c r="N22" s="79"/>
      <c r="O22" s="79"/>
    </row>
    <row r="23" spans="1:15" ht="28.9">
      <c r="A23" s="30" t="str">
        <v>Chandler - B of A Campus Bldg A</v>
      </c>
      <c r="B23" s="31" t="str">
        <v>AZ</v>
      </c>
      <c r="C23" s="11">
        <v>0</v>
      </c>
      <c r="D23" s="18" t="s">
        <v>22</v>
      </c>
      <c r="E23" s="18" t="str">
        <f t="shared" si="4"/>
        <v/>
      </c>
      <c r="F23" s="19" t="str">
        <f t="shared" si="5"/>
        <v/>
      </c>
      <c r="G23" s="73" t="s">
        <v>22</v>
      </c>
      <c r="H23" s="20" t="str">
        <f t="shared" si="6"/>
        <v/>
      </c>
      <c r="I23" s="19" t="str">
        <f t="shared" si="7"/>
        <v/>
      </c>
      <c r="J23" s="47" t="s">
        <v>39</v>
      </c>
      <c r="K23" s="78" t="s">
        <v>40</v>
      </c>
      <c r="L23" s="80" t="s">
        <v>60</v>
      </c>
      <c r="M23" s="79"/>
      <c r="N23" s="79"/>
      <c r="O23" s="79"/>
    </row>
    <row r="24" spans="1:15" ht="28.9">
      <c r="A24" s="28" t="str">
        <v>Chandler - B of A Campus Bldg B</v>
      </c>
      <c r="B24" s="29" t="str">
        <v>AZ</v>
      </c>
      <c r="C24" s="24">
        <v>0</v>
      </c>
      <c r="D24" s="13" t="s">
        <v>22</v>
      </c>
      <c r="E24" s="13" t="str">
        <f t="shared" si="4"/>
        <v/>
      </c>
      <c r="F24" s="14" t="str">
        <f t="shared" si="5"/>
        <v/>
      </c>
      <c r="G24" s="72" t="s">
        <v>22</v>
      </c>
      <c r="H24" s="15" t="str">
        <f t="shared" si="6"/>
        <v/>
      </c>
      <c r="I24" s="16" t="str">
        <f t="shared" si="7"/>
        <v/>
      </c>
      <c r="J24" s="41" t="s">
        <v>39</v>
      </c>
      <c r="K24" s="77" t="s">
        <v>40</v>
      </c>
      <c r="L24" s="80" t="s">
        <v>60</v>
      </c>
      <c r="M24" s="79"/>
      <c r="N24" s="79"/>
      <c r="O24" s="79"/>
    </row>
    <row r="25" spans="1:15" ht="28.9">
      <c r="A25" s="30" t="str">
        <v>Chandler - B of A Campus Bldg C</v>
      </c>
      <c r="B25" s="31" t="str">
        <v>AZ</v>
      </c>
      <c r="C25" s="11">
        <v>0</v>
      </c>
      <c r="D25" s="18" t="s">
        <v>22</v>
      </c>
      <c r="E25" s="18" t="str">
        <f t="shared" si="4"/>
        <v/>
      </c>
      <c r="F25" s="19" t="str">
        <f t="shared" si="5"/>
        <v/>
      </c>
      <c r="G25" s="73" t="s">
        <v>22</v>
      </c>
      <c r="H25" s="20" t="str">
        <f t="shared" si="6"/>
        <v/>
      </c>
      <c r="I25" s="19" t="str">
        <f t="shared" si="7"/>
        <v/>
      </c>
      <c r="J25" s="47" t="s">
        <v>39</v>
      </c>
      <c r="K25" s="74" t="s">
        <v>40</v>
      </c>
      <c r="L25" s="80" t="s">
        <v>60</v>
      </c>
      <c r="M25" s="79"/>
      <c r="N25" s="79"/>
      <c r="O25" s="79"/>
    </row>
    <row r="26" spans="1:15" ht="28.9">
      <c r="A26" s="28" t="str">
        <v>Chandler - B of A Campus Bldg D</v>
      </c>
      <c r="B26" s="29" t="str">
        <v>AZ</v>
      </c>
      <c r="C26" s="24">
        <v>0</v>
      </c>
      <c r="D26" s="13" t="s">
        <v>22</v>
      </c>
      <c r="E26" s="13" t="str">
        <f t="shared" si="4"/>
        <v/>
      </c>
      <c r="F26" s="14" t="str">
        <f t="shared" si="5"/>
        <v/>
      </c>
      <c r="G26" s="72" t="s">
        <v>22</v>
      </c>
      <c r="H26" s="15" t="str">
        <f t="shared" si="6"/>
        <v/>
      </c>
      <c r="I26" s="16" t="str">
        <f t="shared" si="7"/>
        <v/>
      </c>
      <c r="J26" s="41" t="s">
        <v>39</v>
      </c>
      <c r="K26" s="77" t="s">
        <v>40</v>
      </c>
      <c r="L26" s="80" t="s">
        <v>60</v>
      </c>
      <c r="M26" s="79"/>
      <c r="N26" s="79"/>
      <c r="O26" s="79"/>
    </row>
    <row r="27" spans="1:15" ht="72">
      <c r="A27" s="30" t="str">
        <v>Tampa - BoA Ekman</v>
      </c>
      <c r="B27" s="31" t="str">
        <v>FL</v>
      </c>
      <c r="C27" s="11">
        <v>9706.9989999999998</v>
      </c>
      <c r="D27" s="18" t="s">
        <v>22</v>
      </c>
      <c r="E27" s="18" t="str">
        <f t="shared" si="4"/>
        <v/>
      </c>
      <c r="F27" s="19" t="str">
        <f t="shared" si="5"/>
        <v/>
      </c>
      <c r="G27" s="73" t="s">
        <v>22</v>
      </c>
      <c r="H27" s="20" t="str">
        <f t="shared" si="6"/>
        <v/>
      </c>
      <c r="I27" s="19" t="str">
        <f t="shared" si="7"/>
        <v/>
      </c>
      <c r="J27" s="47" t="s">
        <v>61</v>
      </c>
      <c r="K27" s="78" t="s">
        <v>62</v>
      </c>
      <c r="L27" s="80" t="s">
        <v>63</v>
      </c>
      <c r="M27" s="80" t="s">
        <v>64</v>
      </c>
      <c r="N27" s="79"/>
      <c r="O27" s="79"/>
    </row>
    <row r="28" spans="1:15" ht="28.9">
      <c r="A28" s="28" t="str">
        <v>Charlotte - B of A - Sherrill</v>
      </c>
      <c r="B28" s="29" t="str">
        <v>NC</v>
      </c>
      <c r="C28" s="24"/>
      <c r="D28" s="13"/>
      <c r="E28" s="13" t="str">
        <f t="shared" si="4"/>
        <v/>
      </c>
      <c r="F28" s="14" t="str">
        <f t="shared" si="5"/>
        <v/>
      </c>
      <c r="G28" s="72"/>
      <c r="H28" s="15" t="str">
        <f t="shared" si="6"/>
        <v/>
      </c>
      <c r="I28" s="16" t="str">
        <f t="shared" si="7"/>
        <v/>
      </c>
      <c r="J28" s="41" t="s">
        <v>43</v>
      </c>
      <c r="K28" s="77" t="s">
        <v>44</v>
      </c>
      <c r="L28" s="79"/>
      <c r="M28" s="79"/>
      <c r="N28" s="79"/>
      <c r="O28" s="79"/>
    </row>
    <row r="29" spans="1:15" ht="15.6">
      <c r="A29" s="30"/>
      <c r="B29" s="31"/>
      <c r="C29" s="69"/>
      <c r="D29" s="18"/>
      <c r="E29" s="18"/>
      <c r="F29" s="70"/>
      <c r="G29" s="71"/>
      <c r="H29" s="71"/>
      <c r="I29" s="70"/>
      <c r="J29" s="42"/>
      <c r="K29" s="47"/>
    </row>
    <row r="30" spans="1:15" ht="14.45">
      <c r="A30" s="21"/>
      <c r="B30" s="33"/>
      <c r="C30" s="21"/>
      <c r="D30" s="21"/>
      <c r="E30" s="21"/>
      <c r="F30" s="21"/>
      <c r="G30" s="21"/>
      <c r="H30" s="21"/>
      <c r="I30" s="21"/>
      <c r="J30" s="21"/>
      <c r="K30" s="21"/>
    </row>
    <row r="31" spans="1:15" ht="14.45">
      <c r="A31" s="21"/>
      <c r="B31" s="33"/>
      <c r="C31" s="21"/>
      <c r="D31" s="21"/>
      <c r="E31" s="21"/>
      <c r="F31" s="22"/>
      <c r="G31" s="21"/>
      <c r="H31" s="21"/>
      <c r="I31" s="22"/>
      <c r="J31" s="21"/>
      <c r="K31" s="21"/>
    </row>
    <row r="32" spans="1:15"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conditionalFormatting sqref="F2 I2">
    <cfRule type="cellIs" dxfId="28" priority="3" stopIfTrue="1" operator="lessThanOrEqual">
      <formula>-0.1</formula>
    </cfRule>
    <cfRule type="expression" dxfId="27" priority="4">
      <formula>AND(ISNUMBER(F2), F2&gt;=0.1)</formula>
    </cfRule>
  </conditionalFormatting>
  <conditionalFormatting sqref="F4:F98 I4:I98">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097705" xr:uid="{151C7FDF-90A9-45C1-94D2-5A21F344AFE1}"/>
    <hyperlink ref="K7" r:id="rId2" display="https://us3.assetplanner.com/service_request?ID=090283" xr:uid="{0DCFC647-820C-48A2-BE16-5E5709098B87}"/>
    <hyperlink ref="K12" r:id="rId3" display="https://us3.assetplanner.com/service_request?ID=095856" xr:uid="{43FC7CF3-9BAF-495F-8423-8A29EA87F379}"/>
    <hyperlink ref="K14" r:id="rId4" display="https://us3.assetplanner.com/service_request?ID=087006" xr:uid="{EDD438AC-D3B5-412F-99DE-C78FF2736094}"/>
    <hyperlink ref="K16" r:id="rId5" display="https://us3.assetplanner.com/service_request?ID=097570" xr:uid="{9FE17BB3-D023-4271-96B1-5F3DCB2E1556}"/>
    <hyperlink ref="K17" r:id="rId6" display="https://us3.assetplanner.com/service_request?ID=097571" xr:uid="{FFD131D9-6A5D-451E-BBDE-C977402FFEAF}"/>
    <hyperlink ref="K18" r:id="rId7" display="https://us3.assetplanner.com/service_request?ID=087694" xr:uid="{20A954DE-B54F-4D2D-A10D-8A4D7D1798E0}"/>
    <hyperlink ref="K19" r:id="rId8" display="https://us3.assetplanner.com/service_request?ID=095523" xr:uid="{8040D99A-0154-4479-A963-AC0F0ECD89EA}"/>
    <hyperlink ref="L19" r:id="rId9" display="https://us3.assetplanner.com/service_request?ID=097030" xr:uid="{CD1F0A34-FFE0-496E-B5D6-7B2BD548C9F1}"/>
    <hyperlink ref="K20" r:id="rId10" display="https://us3.assetplanner.com/service_request?ID=094284" xr:uid="{5F0BFA95-D5B3-4056-8D13-52265CD91138}"/>
    <hyperlink ref="L20" r:id="rId11" display="https://us3.assetplanner.com/service_request?ID=097692" xr:uid="{5B797F1F-5E17-44F4-BBF8-883A41B94216}"/>
    <hyperlink ref="K21" r:id="rId12" display="https://us3.assetplanner.com/service_request?ID=086583" xr:uid="{AE423A41-05BC-4538-A60A-1B9F9B32E5DE}"/>
    <hyperlink ref="K22" r:id="rId13" display="https://us3.assetplanner.com/service_request?ID=086583" xr:uid="{9A9340DB-4226-4970-86A2-5D738DBECC44}"/>
    <hyperlink ref="K23" r:id="rId14" display="https://us3.assetplanner.com/service_request?ID=095935" xr:uid="{85458665-9670-4872-A9F5-0905065DCF3F}"/>
    <hyperlink ref="L23" r:id="rId15" display="https://us3.assetplanner.com/service_request?ID=095456" xr:uid="{E083B8FC-0644-401B-BFA7-FC98191ACD21}"/>
    <hyperlink ref="K24" r:id="rId16" display="https://us3.assetplanner.com/service_request?ID=095935" xr:uid="{EE069C74-AE41-4B61-A4CF-F705AB9A0771}"/>
    <hyperlink ref="L24" r:id="rId17" display="https://us3.assetplanner.com/service_request?ID=095456" xr:uid="{0FC33E8A-F6C2-4A46-BA15-AA83EDFF8C8D}"/>
    <hyperlink ref="K25" r:id="rId18" display="https://us3.assetplanner.com/service_request?ID=095935" xr:uid="{D05622CA-F6DB-4213-872E-625AE50765F9}"/>
    <hyperlink ref="L25" r:id="rId19" display="https://us3.assetplanner.com/service_request?ID=095456" xr:uid="{C5C12C82-C51E-4382-A097-A932B448D0B1}"/>
    <hyperlink ref="K26" r:id="rId20" display="https://us3.assetplanner.com/service_request?ID=095935" xr:uid="{26952DA8-E5A0-4A01-8673-034173309A76}"/>
    <hyperlink ref="L26" r:id="rId21" display="https://us3.assetplanner.com/service_request?ID=095456" xr:uid="{707CCE24-A779-444E-AE11-D82DE0632CFA}"/>
    <hyperlink ref="K27" r:id="rId22" display="https://us3.assetplanner.com/service_request?ID=095532" xr:uid="{DAB6E054-B93A-4A3B-8AAF-FF80E4341795}"/>
    <hyperlink ref="L27" r:id="rId23" display="https://us3.assetplanner.com/service_request?ID=092433" xr:uid="{7C78BFB2-F9F1-4DDF-934D-9E21DEDB2A6B}"/>
    <hyperlink ref="M27" r:id="rId24" display="https://us3.assetplanner.com/service_request?ID=096384" xr:uid="{8A055D23-F6DB-4692-95F8-BAA9AEC7E51D}"/>
    <hyperlink ref="K28" r:id="rId25" display="https://us3.assetplanner.com/service_request?ID=086585" xr:uid="{17537FC1-805D-4A95-AC83-57E761423627}"/>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40"/>
  <sheetViews>
    <sheetView zoomScale="70" zoomScaleNormal="70" workbookViewId="0">
      <pane xSplit="2" ySplit="3" topLeftCell="C4" activePane="bottomRight" state="frozen"/>
      <selection pane="bottomRight" activeCell="C4" sqref="C4"/>
      <selection pane="bottomLeft" activeCell="F26" sqref="F26"/>
      <selection pane="topRight" activeCell="F26" sqref="F2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91" t="str" cm="1">
        <f t="array" ref="A1">portfolio</f>
        <v>JLL</v>
      </c>
      <c r="B1" s="91"/>
      <c r="C1" s="91"/>
      <c r="D1" s="92" t="s">
        <v>65</v>
      </c>
      <c r="E1" s="92"/>
      <c r="F1" s="92"/>
      <c r="G1" s="90" t="s">
        <v>66</v>
      </c>
      <c r="H1" s="90"/>
      <c r="I1" s="90"/>
      <c r="J1" s="4"/>
      <c r="K1" s="4"/>
    </row>
    <row r="2" spans="1:14" ht="19.5" customHeight="1">
      <c r="A2" s="93" t="s">
        <v>2</v>
      </c>
      <c r="B2" s="93"/>
      <c r="C2" s="5">
        <f>SUM(C4:C98)</f>
        <v>48444.053</v>
      </c>
      <c r="D2" s="5">
        <f>SUM(D4:D98)</f>
        <v>0</v>
      </c>
      <c r="E2" s="5">
        <f>C2-D2</f>
        <v>48444.053</v>
      </c>
      <c r="F2" s="6">
        <f>IFERROR(E2/D2, 0)</f>
        <v>0</v>
      </c>
      <c r="G2" s="5">
        <f>SUM(G4:G98)</f>
        <v>0</v>
      </c>
      <c r="H2" s="7">
        <f>C2-G2</f>
        <v>48444.053</v>
      </c>
      <c r="I2" s="6">
        <f>IFERROR(H2/G2, 0)</f>
        <v>0</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5" t="s">
        <v>6</v>
      </c>
      <c r="E3" s="35" t="s">
        <v>7</v>
      </c>
      <c r="F3" s="36" t="s">
        <v>8</v>
      </c>
      <c r="G3" s="37" t="s">
        <v>9</v>
      </c>
      <c r="H3" s="38" t="s">
        <v>7</v>
      </c>
      <c r="I3" s="39" t="s">
        <v>8</v>
      </c>
      <c r="J3" s="25" t="s">
        <v>20</v>
      </c>
      <c r="K3" s="25" t="s">
        <v>21</v>
      </c>
    </row>
    <row r="4" spans="1:14" ht="15.6">
      <c r="A4" s="32" t="str" cm="1">
        <f t="array" ref="A4:A28">Sites[Site]</f>
        <v>Bullhead</v>
      </c>
      <c r="B4" s="29" t="str" cm="1">
        <f t="array" ref="B4:B28">Sites[State]</f>
        <v>AZ</v>
      </c>
      <c r="C4" s="24">
        <v>104.8</v>
      </c>
      <c r="D4" s="13" t="s">
        <v>22</v>
      </c>
      <c r="E4" s="13" t="str">
        <f>IF(AND(ISNUMBER(C4),ISNUMBER(D4)), C4-D4, "")</f>
        <v/>
      </c>
      <c r="F4" s="14" t="str">
        <f>IFERROR(E4/D4, "")</f>
        <v/>
      </c>
      <c r="G4" s="72" t="s">
        <v>22</v>
      </c>
      <c r="H4" s="15" t="str">
        <f>IF(AND(ISNUMBER(C4),ISNUMBER(G4)), C4-G4, "")</f>
        <v/>
      </c>
      <c r="I4" s="16" t="str">
        <f>IFERROR(H4/G4, "")</f>
        <v/>
      </c>
      <c r="J4" s="41"/>
      <c r="K4" s="41"/>
      <c r="L4" s="79"/>
      <c r="M4" s="79"/>
      <c r="N4" s="79"/>
    </row>
    <row r="5" spans="1:14" ht="15.6">
      <c r="A5" s="30" t="str">
        <v>Peoria</v>
      </c>
      <c r="B5" s="31" t="str">
        <v>AZ</v>
      </c>
      <c r="C5" s="11">
        <v>0</v>
      </c>
      <c r="D5" s="18" t="s">
        <v>22</v>
      </c>
      <c r="E5" s="18" t="str">
        <f t="shared" ref="E5:E17" si="0">IF(AND(ISNUMBER(C5),ISNUMBER(D5)), C5-D5, "")</f>
        <v/>
      </c>
      <c r="F5" s="19" t="str">
        <f>IFERROR(E5/D5, "")</f>
        <v/>
      </c>
      <c r="G5" s="73" t="s">
        <v>22</v>
      </c>
      <c r="H5" s="20" t="str">
        <f t="shared" ref="H5:H17" si="1">IF(AND(ISNUMBER(C5),ISNUMBER(G5)), C5-G5, "")</f>
        <v/>
      </c>
      <c r="I5" s="19" t="str">
        <f t="shared" ref="I5:I17" si="2">IFERROR(H5/G5, "")</f>
        <v/>
      </c>
      <c r="J5" s="42" t="s">
        <v>47</v>
      </c>
      <c r="K5" s="74" t="s">
        <v>48</v>
      </c>
      <c r="L5" s="79"/>
      <c r="M5" s="79"/>
      <c r="N5" s="79"/>
    </row>
    <row r="6" spans="1:14" ht="28.9">
      <c r="A6" s="28" t="str">
        <v>Tucson</v>
      </c>
      <c r="B6" s="29" t="str">
        <v>AZ</v>
      </c>
      <c r="C6" s="24">
        <v>1723.489</v>
      </c>
      <c r="D6" s="13" t="s">
        <v>22</v>
      </c>
      <c r="E6" s="13" t="str">
        <f t="shared" si="0"/>
        <v/>
      </c>
      <c r="F6" s="14" t="str">
        <f t="shared" ref="F6:F17" si="3">IFERROR(E6/D6, "")</f>
        <v/>
      </c>
      <c r="G6" s="72" t="s">
        <v>22</v>
      </c>
      <c r="H6" s="15" t="str">
        <f t="shared" si="1"/>
        <v/>
      </c>
      <c r="I6" s="16" t="str">
        <f t="shared" si="2"/>
        <v/>
      </c>
      <c r="J6" s="41" t="s">
        <v>67</v>
      </c>
      <c r="K6" s="77" t="s">
        <v>68</v>
      </c>
      <c r="L6" s="79"/>
      <c r="M6" s="79"/>
      <c r="N6" s="79"/>
    </row>
    <row r="7" spans="1:14" ht="43.15">
      <c r="A7" s="30" t="str">
        <v>Hialeah</v>
      </c>
      <c r="B7" s="31" t="str">
        <v>FL</v>
      </c>
      <c r="C7" s="11">
        <v>-326</v>
      </c>
      <c r="D7" s="18" t="s">
        <v>22</v>
      </c>
      <c r="E7" s="18" t="str">
        <f t="shared" si="0"/>
        <v/>
      </c>
      <c r="F7" s="19" t="str">
        <f t="shared" si="3"/>
        <v/>
      </c>
      <c r="G7" s="73" t="s">
        <v>22</v>
      </c>
      <c r="H7" s="20" t="str">
        <f t="shared" si="1"/>
        <v/>
      </c>
      <c r="I7" s="19" t="str">
        <f t="shared" si="2"/>
        <v/>
      </c>
      <c r="J7" s="42" t="s">
        <v>23</v>
      </c>
      <c r="K7" s="78" t="s">
        <v>24</v>
      </c>
      <c r="L7" s="79"/>
      <c r="M7" s="79"/>
      <c r="N7" s="79"/>
    </row>
    <row r="8" spans="1:14" ht="15.6">
      <c r="A8" s="28" t="str">
        <v>Jacksonville</v>
      </c>
      <c r="B8" s="29" t="str">
        <v>FL</v>
      </c>
      <c r="C8" s="24">
        <v>106.764</v>
      </c>
      <c r="D8" s="13" t="s">
        <v>22</v>
      </c>
      <c r="E8" s="13" t="str">
        <f t="shared" si="0"/>
        <v/>
      </c>
      <c r="F8" s="14" t="str">
        <f t="shared" si="3"/>
        <v/>
      </c>
      <c r="G8" s="72" t="s">
        <v>22</v>
      </c>
      <c r="H8" s="15" t="str">
        <f t="shared" si="1"/>
        <v/>
      </c>
      <c r="I8" s="16" t="str">
        <f t="shared" si="2"/>
        <v/>
      </c>
      <c r="J8" s="41"/>
      <c r="K8" s="41"/>
      <c r="L8" s="79"/>
      <c r="M8" s="79"/>
      <c r="N8" s="79"/>
    </row>
    <row r="9" spans="1:14" ht="15.6">
      <c r="A9" s="30" t="str">
        <v>Miami Gardens</v>
      </c>
      <c r="B9" s="31" t="str">
        <v>FL</v>
      </c>
      <c r="C9" s="11">
        <v>118.2</v>
      </c>
      <c r="D9" s="18" t="s">
        <v>22</v>
      </c>
      <c r="E9" s="18" t="str">
        <f t="shared" si="0"/>
        <v/>
      </c>
      <c r="F9" s="19" t="str">
        <f t="shared" si="3"/>
        <v/>
      </c>
      <c r="G9" s="73" t="s">
        <v>22</v>
      </c>
      <c r="H9" s="20" t="str">
        <f t="shared" si="1"/>
        <v/>
      </c>
      <c r="I9" s="19" t="str">
        <f t="shared" si="2"/>
        <v/>
      </c>
      <c r="J9" s="42"/>
      <c r="K9" s="43"/>
      <c r="L9" s="79"/>
      <c r="M9" s="79"/>
      <c r="N9" s="79"/>
    </row>
    <row r="10" spans="1:14" ht="15.6">
      <c r="A10" s="28" t="str">
        <v>Fort Myers</v>
      </c>
      <c r="B10" s="29" t="str">
        <v>FL</v>
      </c>
      <c r="C10" s="24">
        <v>6895.9</v>
      </c>
      <c r="D10" s="13" t="s">
        <v>22</v>
      </c>
      <c r="E10" s="13" t="str">
        <f t="shared" si="0"/>
        <v/>
      </c>
      <c r="F10" s="14" t="str">
        <f t="shared" si="3"/>
        <v/>
      </c>
      <c r="G10" s="72" t="s">
        <v>22</v>
      </c>
      <c r="H10" s="15" t="str">
        <f t="shared" si="1"/>
        <v/>
      </c>
      <c r="I10" s="16" t="str">
        <f t="shared" si="2"/>
        <v/>
      </c>
      <c r="J10" s="41"/>
      <c r="K10" s="41"/>
      <c r="L10" s="79"/>
      <c r="M10" s="79"/>
      <c r="N10" s="79"/>
    </row>
    <row r="11" spans="1:14" ht="15.6">
      <c r="A11" s="30" t="str">
        <v>Orlando</v>
      </c>
      <c r="B11" s="31" t="str">
        <v>FL</v>
      </c>
      <c r="C11" s="11">
        <v>5379.2</v>
      </c>
      <c r="D11" s="18" t="s">
        <v>22</v>
      </c>
      <c r="E11" s="18" t="str">
        <f t="shared" si="0"/>
        <v/>
      </c>
      <c r="F11" s="19" t="str">
        <f t="shared" si="3"/>
        <v/>
      </c>
      <c r="G11" s="73" t="s">
        <v>22</v>
      </c>
      <c r="H11" s="20" t="str">
        <f t="shared" si="1"/>
        <v/>
      </c>
      <c r="I11" s="19" t="str">
        <f t="shared" si="2"/>
        <v/>
      </c>
      <c r="J11" s="42"/>
      <c r="K11" s="43"/>
      <c r="L11" s="79"/>
      <c r="M11" s="79"/>
      <c r="N11" s="79"/>
    </row>
    <row r="12" spans="1:14" ht="75.75" customHeight="1">
      <c r="A12" s="28" t="str">
        <v>Port St. Lucie</v>
      </c>
      <c r="B12" s="29" t="str">
        <v>FL</v>
      </c>
      <c r="C12" s="24">
        <v>10563.5</v>
      </c>
      <c r="D12" s="13" t="s">
        <v>22</v>
      </c>
      <c r="E12" s="13" t="str">
        <f t="shared" si="0"/>
        <v/>
      </c>
      <c r="F12" s="14" t="str">
        <f t="shared" si="3"/>
        <v/>
      </c>
      <c r="G12" s="72" t="s">
        <v>22</v>
      </c>
      <c r="H12" s="15" t="str">
        <f t="shared" si="1"/>
        <v/>
      </c>
      <c r="I12" s="16" t="str">
        <f t="shared" si="2"/>
        <v/>
      </c>
      <c r="J12" s="41" t="s">
        <v>69</v>
      </c>
      <c r="K12" s="77" t="s">
        <v>70</v>
      </c>
      <c r="L12" s="80" t="s">
        <v>71</v>
      </c>
      <c r="M12" s="79"/>
      <c r="N12" s="79"/>
    </row>
    <row r="13" spans="1:14" ht="28.9">
      <c r="A13" s="30" t="str">
        <v>Tampa</v>
      </c>
      <c r="B13" s="31" t="str">
        <v>FL</v>
      </c>
      <c r="C13" s="11">
        <v>1894.2</v>
      </c>
      <c r="D13" s="18" t="s">
        <v>22</v>
      </c>
      <c r="E13" s="18" t="str">
        <f t="shared" si="0"/>
        <v/>
      </c>
      <c r="F13" s="19" t="str">
        <f t="shared" si="3"/>
        <v/>
      </c>
      <c r="G13" s="73" t="s">
        <v>22</v>
      </c>
      <c r="H13" s="20" t="str">
        <f t="shared" si="1"/>
        <v/>
      </c>
      <c r="I13" s="19" t="str">
        <f t="shared" si="2"/>
        <v/>
      </c>
      <c r="J13" s="42" t="s">
        <v>72</v>
      </c>
      <c r="K13" s="78" t="s">
        <v>73</v>
      </c>
      <c r="L13" s="79"/>
      <c r="M13" s="79"/>
      <c r="N13" s="79"/>
    </row>
    <row r="14" spans="1:14" ht="54.75" customHeight="1">
      <c r="A14" s="28" t="str">
        <v>Roswell</v>
      </c>
      <c r="B14" s="29" t="str">
        <v>GA</v>
      </c>
      <c r="C14" s="24">
        <v>6039</v>
      </c>
      <c r="D14" s="13" t="s">
        <v>22</v>
      </c>
      <c r="E14" s="13" t="str">
        <f t="shared" si="0"/>
        <v/>
      </c>
      <c r="F14" s="14" t="str">
        <f t="shared" si="3"/>
        <v/>
      </c>
      <c r="G14" s="72" t="s">
        <v>22</v>
      </c>
      <c r="H14" s="15" t="str">
        <f t="shared" si="1"/>
        <v/>
      </c>
      <c r="I14" s="16" t="str">
        <f t="shared" si="2"/>
        <v/>
      </c>
      <c r="J14" s="41" t="s">
        <v>27</v>
      </c>
      <c r="K14" s="77" t="s">
        <v>28</v>
      </c>
      <c r="L14" s="79"/>
      <c r="M14" s="79"/>
      <c r="N14" s="79"/>
    </row>
    <row r="15" spans="1:14" ht="15.6">
      <c r="A15" s="30" t="str">
        <v>Charlotte</v>
      </c>
      <c r="B15" s="31" t="str">
        <v>NC</v>
      </c>
      <c r="C15" s="11">
        <v>2482.6999999999998</v>
      </c>
      <c r="D15" s="18" t="s">
        <v>22</v>
      </c>
      <c r="E15" s="18" t="str">
        <f t="shared" si="0"/>
        <v/>
      </c>
      <c r="F15" s="19" t="str">
        <f t="shared" si="3"/>
        <v/>
      </c>
      <c r="G15" s="73" t="s">
        <v>22</v>
      </c>
      <c r="H15" s="20" t="str">
        <f t="shared" si="1"/>
        <v/>
      </c>
      <c r="I15" s="19" t="str">
        <f t="shared" si="2"/>
        <v/>
      </c>
      <c r="J15" s="42"/>
      <c r="K15" s="43"/>
      <c r="L15" s="79"/>
      <c r="M15" s="79"/>
      <c r="N15" s="79"/>
    </row>
    <row r="16" spans="1:14" ht="28.9">
      <c r="A16" s="28" t="str">
        <v>Raleigh</v>
      </c>
      <c r="B16" s="29" t="str">
        <v>NC</v>
      </c>
      <c r="C16" s="24">
        <v>3223.4</v>
      </c>
      <c r="D16" s="13" t="s">
        <v>22</v>
      </c>
      <c r="E16" s="13" t="str">
        <f t="shared" si="0"/>
        <v/>
      </c>
      <c r="F16" s="14" t="str">
        <f t="shared" si="3"/>
        <v/>
      </c>
      <c r="G16" s="72" t="s">
        <v>22</v>
      </c>
      <c r="H16" s="15" t="str">
        <f t="shared" si="1"/>
        <v/>
      </c>
      <c r="I16" s="16" t="str">
        <f t="shared" si="2"/>
        <v/>
      </c>
      <c r="J16" s="41" t="s">
        <v>74</v>
      </c>
      <c r="K16" s="77" t="s">
        <v>75</v>
      </c>
      <c r="L16" s="80" t="s">
        <v>76</v>
      </c>
      <c r="M16" s="79"/>
      <c r="N16" s="79"/>
    </row>
    <row r="17" spans="1:14" ht="15.6">
      <c r="A17" s="30" t="str">
        <v>Cordova</v>
      </c>
      <c r="B17" s="31" t="str">
        <v>TN</v>
      </c>
      <c r="C17" s="11">
        <v>3396.4</v>
      </c>
      <c r="D17" s="18" t="s">
        <v>22</v>
      </c>
      <c r="E17" s="18" t="str">
        <f t="shared" si="0"/>
        <v/>
      </c>
      <c r="F17" s="19" t="str">
        <f t="shared" si="3"/>
        <v/>
      </c>
      <c r="G17" s="73" t="s">
        <v>22</v>
      </c>
      <c r="H17" s="20" t="str">
        <f t="shared" si="1"/>
        <v/>
      </c>
      <c r="I17" s="19" t="str">
        <f t="shared" si="2"/>
        <v/>
      </c>
      <c r="J17" s="42"/>
      <c r="K17" s="43"/>
      <c r="L17" s="79"/>
      <c r="M17" s="79"/>
      <c r="N17" s="79"/>
    </row>
    <row r="18" spans="1:14" ht="12.75" customHeight="1">
      <c r="A18" s="28" t="str">
        <v>Austin</v>
      </c>
      <c r="B18" s="29" t="str">
        <v>TX</v>
      </c>
      <c r="C18" s="24">
        <v>2320.9</v>
      </c>
      <c r="D18" s="13" t="s">
        <v>22</v>
      </c>
      <c r="E18" s="13" t="str">
        <f>IF(AND(ISNUMBER(C18),ISNUMBER(D18)), C18-D18, "")</f>
        <v/>
      </c>
      <c r="F18" s="14" t="str">
        <f>IFERROR(E18/D18, "")</f>
        <v/>
      </c>
      <c r="G18" s="72" t="s">
        <v>22</v>
      </c>
      <c r="H18" s="15" t="str">
        <f>IF(AND(ISNUMBER(C18),ISNUMBER(G18)), C18-G18, "")</f>
        <v/>
      </c>
      <c r="I18" s="16" t="str">
        <f>IFERROR(H18/G18, "")</f>
        <v/>
      </c>
      <c r="J18" s="41"/>
      <c r="K18" s="41"/>
      <c r="L18" s="79"/>
      <c r="M18" s="79"/>
      <c r="N18" s="79"/>
    </row>
    <row r="19" spans="1:14" ht="15.6">
      <c r="A19" s="30" t="str">
        <v>Frisco</v>
      </c>
      <c r="B19" s="31" t="str">
        <v>TX</v>
      </c>
      <c r="C19" s="11">
        <v>2875.5</v>
      </c>
      <c r="D19" s="18" t="s">
        <v>22</v>
      </c>
      <c r="E19" s="18" t="str">
        <f>IF(AND(ISNUMBER(C19),ISNUMBER(D19)), C19-D19, "")</f>
        <v/>
      </c>
      <c r="F19" s="19" t="str">
        <f>IFERROR(E19/D19, "")</f>
        <v/>
      </c>
      <c r="G19" s="73" t="s">
        <v>22</v>
      </c>
      <c r="H19" s="20" t="str">
        <f>IF(AND(ISNUMBER(C19),ISNUMBER(G19)), C19-G19, "")</f>
        <v/>
      </c>
      <c r="I19" s="19" t="str">
        <f>IFERROR(H19/G19, "")</f>
        <v/>
      </c>
      <c r="J19" s="42"/>
      <c r="K19" s="43"/>
      <c r="L19" s="79"/>
      <c r="M19" s="79"/>
      <c r="N19" s="79"/>
    </row>
    <row r="20" spans="1:14" ht="72">
      <c r="A20" s="28" t="str">
        <v>Copperfield</v>
      </c>
      <c r="B20" s="29" t="str">
        <v>TX</v>
      </c>
      <c r="C20" s="24">
        <v>1646.1</v>
      </c>
      <c r="D20" s="13" t="s">
        <v>22</v>
      </c>
      <c r="E20" s="13" t="str">
        <f>IF(AND(ISNUMBER(C20),ISNUMBER(D20)), C20-D20, "")</f>
        <v/>
      </c>
      <c r="F20" s="14" t="str">
        <f>IFERROR(E20/D20, "")</f>
        <v/>
      </c>
      <c r="G20" s="72" t="s">
        <v>22</v>
      </c>
      <c r="H20" s="15" t="str">
        <f>IF(AND(ISNUMBER(C20),ISNUMBER(G20)), C20-G20, "")</f>
        <v/>
      </c>
      <c r="I20" s="16" t="str">
        <f>IFERROR(H20/G20, "")</f>
        <v/>
      </c>
      <c r="J20" s="41" t="s">
        <v>57</v>
      </c>
      <c r="K20" s="77" t="s">
        <v>58</v>
      </c>
      <c r="L20" s="80" t="s">
        <v>59</v>
      </c>
      <c r="M20" s="79"/>
      <c r="N20" s="79"/>
    </row>
    <row r="21" spans="1:14" ht="43.15">
      <c r="A21" s="30" t="str">
        <v>Charlotte - B of A - 1 BAC</v>
      </c>
      <c r="B21" s="31" t="str">
        <v>NC</v>
      </c>
      <c r="C21" s="11">
        <v>0</v>
      </c>
      <c r="D21" s="18" t="s">
        <v>22</v>
      </c>
      <c r="E21" s="18" t="str">
        <f>IF(AND(ISNUMBER(C21),ISNUMBER(D21)), C21-D21, "")</f>
        <v/>
      </c>
      <c r="F21" s="19" t="str">
        <f>IFERROR(E21/D21, "")</f>
        <v/>
      </c>
      <c r="G21" s="73" t="s">
        <v>22</v>
      </c>
      <c r="H21" s="20" t="str">
        <f>IF(AND(ISNUMBER(C21),ISNUMBER(G21)), C21-G21, "")</f>
        <v/>
      </c>
      <c r="I21" s="19" t="str">
        <f>IFERROR(H21/G21, "")</f>
        <v/>
      </c>
      <c r="J21" s="42" t="s">
        <v>36</v>
      </c>
      <c r="K21" s="78" t="s">
        <v>37</v>
      </c>
      <c r="L21" s="79"/>
      <c r="M21" s="79"/>
      <c r="N21" s="79"/>
    </row>
    <row r="22" spans="1:14" ht="43.15">
      <c r="A22" s="28" t="str">
        <v>Charlotte - B of A - 401 N Tryon</v>
      </c>
      <c r="B22" s="29" t="str">
        <v>NC</v>
      </c>
      <c r="C22" s="24">
        <v>0</v>
      </c>
      <c r="D22" s="13" t="s">
        <v>22</v>
      </c>
      <c r="E22" s="13" t="str">
        <f t="shared" ref="E22:E28" si="4">IF(AND(ISNUMBER(C22),ISNUMBER(D22)), C22-D22, "")</f>
        <v/>
      </c>
      <c r="F22" s="14" t="str">
        <f t="shared" ref="F22:F28" si="5">IFERROR(E22/D22, "")</f>
        <v/>
      </c>
      <c r="G22" s="72" t="s">
        <v>22</v>
      </c>
      <c r="H22" s="15" t="str">
        <f t="shared" ref="H22:H28" si="6">IF(AND(ISNUMBER(C22),ISNUMBER(G22)), C22-G22, "")</f>
        <v/>
      </c>
      <c r="I22" s="16" t="str">
        <f t="shared" ref="I22:I28" si="7">IFERROR(H22/G22, "")</f>
        <v/>
      </c>
      <c r="J22" s="41" t="s">
        <v>36</v>
      </c>
      <c r="K22" s="77" t="s">
        <v>37</v>
      </c>
      <c r="L22" s="79"/>
      <c r="M22" s="79"/>
      <c r="N22" s="79"/>
    </row>
    <row r="23" spans="1:14" ht="28.9">
      <c r="A23" s="30" t="str">
        <v>Chandler - B of A Campus Bldg A</v>
      </c>
      <c r="B23" s="31" t="str">
        <v>AZ</v>
      </c>
      <c r="C23" s="11">
        <v>0</v>
      </c>
      <c r="D23" s="18" t="s">
        <v>22</v>
      </c>
      <c r="E23" s="18" t="str">
        <f t="shared" si="4"/>
        <v/>
      </c>
      <c r="F23" s="19" t="str">
        <f t="shared" si="5"/>
        <v/>
      </c>
      <c r="G23" s="73" t="s">
        <v>22</v>
      </c>
      <c r="H23" s="20" t="str">
        <f t="shared" si="6"/>
        <v/>
      </c>
      <c r="I23" s="19" t="str">
        <f t="shared" si="7"/>
        <v/>
      </c>
      <c r="J23" s="47" t="s">
        <v>39</v>
      </c>
      <c r="K23" s="78" t="s">
        <v>40</v>
      </c>
      <c r="L23" s="80" t="s">
        <v>60</v>
      </c>
      <c r="M23" s="79"/>
      <c r="N23" s="79"/>
    </row>
    <row r="24" spans="1:14" ht="28.9">
      <c r="A24" s="28" t="str">
        <v>Chandler - B of A Campus Bldg B</v>
      </c>
      <c r="B24" s="29" t="str">
        <v>AZ</v>
      </c>
      <c r="C24" s="24">
        <v>0</v>
      </c>
      <c r="D24" s="13" t="s">
        <v>22</v>
      </c>
      <c r="E24" s="13" t="str">
        <f t="shared" si="4"/>
        <v/>
      </c>
      <c r="F24" s="14" t="str">
        <f t="shared" si="5"/>
        <v/>
      </c>
      <c r="G24" s="72" t="s">
        <v>22</v>
      </c>
      <c r="H24" s="15" t="str">
        <f t="shared" si="6"/>
        <v/>
      </c>
      <c r="I24" s="16" t="str">
        <f t="shared" si="7"/>
        <v/>
      </c>
      <c r="J24" s="41" t="s">
        <v>39</v>
      </c>
      <c r="K24" s="77" t="s">
        <v>40</v>
      </c>
      <c r="L24" s="80" t="s">
        <v>60</v>
      </c>
      <c r="M24" s="79"/>
      <c r="N24" s="79"/>
    </row>
    <row r="25" spans="1:14" ht="28.9">
      <c r="A25" s="30" t="str">
        <v>Chandler - B of A Campus Bldg C</v>
      </c>
      <c r="B25" s="31" t="str">
        <v>AZ</v>
      </c>
      <c r="C25" s="11">
        <v>0</v>
      </c>
      <c r="D25" s="18" t="s">
        <v>22</v>
      </c>
      <c r="E25" s="18" t="str">
        <f t="shared" si="4"/>
        <v/>
      </c>
      <c r="F25" s="19" t="str">
        <f t="shared" si="5"/>
        <v/>
      </c>
      <c r="G25" s="73" t="s">
        <v>22</v>
      </c>
      <c r="H25" s="20" t="str">
        <f t="shared" si="6"/>
        <v/>
      </c>
      <c r="I25" s="19" t="str">
        <f t="shared" si="7"/>
        <v/>
      </c>
      <c r="J25" s="47" t="s">
        <v>39</v>
      </c>
      <c r="K25" s="74" t="s">
        <v>40</v>
      </c>
      <c r="L25" s="80" t="s">
        <v>60</v>
      </c>
      <c r="M25" s="79"/>
      <c r="N25" s="79"/>
    </row>
    <row r="26" spans="1:14" ht="28.9">
      <c r="A26" s="28" t="str">
        <v>Chandler - B of A Campus Bldg D</v>
      </c>
      <c r="B26" s="29" t="str">
        <v>AZ</v>
      </c>
      <c r="C26" s="24">
        <v>0</v>
      </c>
      <c r="D26" s="13" t="s">
        <v>22</v>
      </c>
      <c r="E26" s="13" t="str">
        <f t="shared" si="4"/>
        <v/>
      </c>
      <c r="F26" s="14" t="str">
        <f t="shared" si="5"/>
        <v/>
      </c>
      <c r="G26" s="72" t="s">
        <v>22</v>
      </c>
      <c r="H26" s="15" t="str">
        <f t="shared" si="6"/>
        <v/>
      </c>
      <c r="I26" s="16" t="str">
        <f t="shared" si="7"/>
        <v/>
      </c>
      <c r="J26" s="41" t="s">
        <v>39</v>
      </c>
      <c r="K26" s="77" t="s">
        <v>40</v>
      </c>
      <c r="L26" s="80" t="s">
        <v>60</v>
      </c>
      <c r="M26" s="79"/>
      <c r="N26" s="79"/>
    </row>
    <row r="27" spans="1:14" ht="43.15">
      <c r="A27" s="30" t="str">
        <v>Tampa - BoA Ekman</v>
      </c>
      <c r="B27" s="31" t="str">
        <v>FL</v>
      </c>
      <c r="C27" s="11">
        <v>0</v>
      </c>
      <c r="D27" s="18" t="s">
        <v>22</v>
      </c>
      <c r="E27" s="18" t="str">
        <f t="shared" si="4"/>
        <v/>
      </c>
      <c r="F27" s="19" t="str">
        <f t="shared" si="5"/>
        <v/>
      </c>
      <c r="G27" s="73" t="s">
        <v>22</v>
      </c>
      <c r="H27" s="20" t="str">
        <f t="shared" si="6"/>
        <v/>
      </c>
      <c r="I27" s="19" t="str">
        <f t="shared" si="7"/>
        <v/>
      </c>
      <c r="J27" s="47" t="s">
        <v>77</v>
      </c>
      <c r="K27" s="78" t="s">
        <v>78</v>
      </c>
      <c r="L27" s="79"/>
      <c r="M27" s="79"/>
      <c r="N27" s="79"/>
    </row>
    <row r="28" spans="1:14" ht="28.9">
      <c r="A28" s="28" t="str">
        <v>Charlotte - B of A - Sherrill</v>
      </c>
      <c r="B28" s="29" t="str">
        <v>NC</v>
      </c>
      <c r="C28" s="24"/>
      <c r="D28" s="13"/>
      <c r="E28" s="13" t="str">
        <f t="shared" si="4"/>
        <v/>
      </c>
      <c r="F28" s="14" t="str">
        <f t="shared" si="5"/>
        <v/>
      </c>
      <c r="G28" s="72"/>
      <c r="H28" s="15" t="str">
        <f t="shared" si="6"/>
        <v/>
      </c>
      <c r="I28" s="16" t="str">
        <f t="shared" si="7"/>
        <v/>
      </c>
      <c r="J28" s="41" t="s">
        <v>43</v>
      </c>
      <c r="K28" s="77" t="s">
        <v>44</v>
      </c>
      <c r="L28" s="79"/>
      <c r="M28" s="79"/>
      <c r="N28" s="79"/>
    </row>
    <row r="29" spans="1:14" ht="14.45">
      <c r="A29" s="21"/>
      <c r="B29" s="33"/>
      <c r="C29" s="21"/>
      <c r="D29" s="21"/>
      <c r="E29" s="21"/>
      <c r="F29" s="21"/>
      <c r="G29" s="21"/>
      <c r="H29" s="21"/>
      <c r="I29" s="21"/>
      <c r="J29" s="21"/>
      <c r="K29" s="21"/>
    </row>
    <row r="30" spans="1:14" ht="14.45">
      <c r="A30" s="21"/>
      <c r="B30" s="33"/>
      <c r="C30" s="21"/>
      <c r="D30" s="21"/>
      <c r="E30" s="21"/>
      <c r="F30" s="21"/>
      <c r="G30" s="21"/>
      <c r="H30" s="21"/>
      <c r="I30" s="21"/>
      <c r="J30" s="21"/>
      <c r="K30" s="21"/>
    </row>
    <row r="31" spans="1:14" ht="14.45">
      <c r="A31" s="21"/>
      <c r="B31" s="33"/>
      <c r="C31" s="21"/>
      <c r="D31" s="21"/>
      <c r="E31" s="21"/>
      <c r="F31" s="22"/>
      <c r="G31" s="21"/>
      <c r="H31" s="21"/>
      <c r="I31" s="22"/>
      <c r="J31" s="21"/>
      <c r="K31" s="21"/>
    </row>
    <row r="32" spans="1:14"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conditionalFormatting sqref="F2 I2">
    <cfRule type="cellIs" dxfId="24" priority="5" stopIfTrue="1" operator="lessThanOrEqual">
      <formula>-0.1</formula>
    </cfRule>
    <cfRule type="expression" dxfId="23" priority="6">
      <formula>AND(ISNUMBER(F2), F2&gt;=0.1)</formula>
    </cfRule>
  </conditionalFormatting>
  <conditionalFormatting sqref="F4:F98 I4:I98">
    <cfRule type="cellIs" dxfId="22" priority="1" stopIfTrue="1" operator="lessThanOrEqual">
      <formula>-0.1</formula>
    </cfRule>
    <cfRule type="expression" dxfId="21" priority="2">
      <formula>AND(ISNUMBER(F4), F4&gt;=0.1)</formula>
    </cfRule>
  </conditionalFormatting>
  <hyperlinks>
    <hyperlink ref="K5" r:id="rId1" display="https://us3.assetplanner.com/service_request?ID=097705" xr:uid="{647B4CBB-4161-4265-8C1F-9BC24F16CF74}"/>
    <hyperlink ref="K6" r:id="rId2" display="https://us3.assetplanner.com/service_request?ID=099003" xr:uid="{F59498F0-AC3E-47C1-B528-4902B1315B3F}"/>
    <hyperlink ref="K7" r:id="rId3" display="https://us3.assetplanner.com/service_request?ID=090283" xr:uid="{53671613-A00F-4106-B3BA-C4B5AB00525B}"/>
    <hyperlink ref="K12" r:id="rId4" display="https://us3.assetplanner.com/service_request?ID=095856" xr:uid="{21C83C7C-559A-4EF2-BC54-2BDF94B8ABFA}"/>
    <hyperlink ref="L12" r:id="rId5" display="https://us3.assetplanner.com/service_request?ID=099294" xr:uid="{D0835782-5EBB-48A0-A55B-B8B4052F1B58}"/>
    <hyperlink ref="K13" r:id="rId6" display="https://us3.assetplanner.com/service_request?ID=099197" xr:uid="{3249704C-3F10-4780-8DE4-2578B12DB567}"/>
    <hyperlink ref="K14" r:id="rId7" display="https://us3.assetplanner.com/service_request?ID=087006" xr:uid="{E6C15700-D775-46B3-A4B7-F6566128C538}"/>
    <hyperlink ref="K16" r:id="rId8" display="https://us3.assetplanner.com/service_request?ID=097570" xr:uid="{73280549-9A52-434D-B58F-F2E6AE183170}"/>
    <hyperlink ref="L16" r:id="rId9" display="https://us3.assetplanner.com/service_request?ID=099372" xr:uid="{51FBCFBC-A719-4F29-9DB3-57058F087544}"/>
    <hyperlink ref="L20" r:id="rId10" display="https://us3.assetplanner.com/service_request?ID=097692" xr:uid="{2952F7E0-2364-43D1-A460-8A69B8672759}"/>
    <hyperlink ref="K21" r:id="rId11" display="https://us3.assetplanner.com/service_request?ID=086583" xr:uid="{2E29CDBD-496F-4B9E-9EBC-812FD39A5F41}"/>
    <hyperlink ref="K22" r:id="rId12" display="https://us3.assetplanner.com/service_request?ID=086583" xr:uid="{583A60AC-22CC-47FA-9342-69057564C552}"/>
    <hyperlink ref="K23" r:id="rId13" display="https://us3.assetplanner.com/service_request?ID=095935" xr:uid="{8F461D7C-0AA2-417A-A4A3-1E01C3764CDF}"/>
    <hyperlink ref="L23" r:id="rId14" display="https://us3.assetplanner.com/service_request?ID=095456" xr:uid="{0EF63757-AA93-4652-B144-53F8DD5F216F}"/>
    <hyperlink ref="K24" r:id="rId15" display="https://us3.assetplanner.com/service_request?ID=095935" xr:uid="{D2BA3AFA-CB79-4D40-B82C-EB565726527A}"/>
    <hyperlink ref="L24" r:id="rId16" display="https://us3.assetplanner.com/service_request?ID=095456" xr:uid="{CE8DA7CA-1112-435D-AF5E-04D8C24A7DEA}"/>
    <hyperlink ref="K25" r:id="rId17" display="https://us3.assetplanner.com/service_request?ID=095935" xr:uid="{0BF71902-B3A7-49A6-B4A2-ECCD5EB0E6C7}"/>
    <hyperlink ref="L25" r:id="rId18" display="https://us3.assetplanner.com/service_request?ID=095456" xr:uid="{CAC637C1-4865-42BD-B53A-936171A01EFE}"/>
    <hyperlink ref="K26" r:id="rId19" display="https://us3.assetplanner.com/service_request?ID=095935" xr:uid="{183163AE-2E3E-464F-B11B-3A3E5A00C608}"/>
    <hyperlink ref="L26" r:id="rId20" display="https://us3.assetplanner.com/service_request?ID=095456" xr:uid="{6B412DCE-A53C-4E40-8944-D8F58FE39E3D}"/>
    <hyperlink ref="K27" r:id="rId21" display="https://us3.assetplanner.com/service_request?ID=096384" xr:uid="{E91A947E-3158-4233-905C-D6785A2465B2}"/>
    <hyperlink ref="K28" r:id="rId22" display="https://us3.assetplanner.com/service_request?ID=086585" xr:uid="{A60D47B4-A413-4456-834A-22E270F5CFE7}"/>
    <hyperlink ref="K20" r:id="rId23" display="https://us3.assetplanner.com/service_request?ID=094284" xr:uid="{8288D7C0-B41A-4046-BF48-42CFCA71DE3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0"/>
  <sheetViews>
    <sheetView zoomScale="80" zoomScaleNormal="80" workbookViewId="0">
      <pane xSplit="2" ySplit="3" topLeftCell="C4" activePane="bottomRight" state="frozen"/>
      <selection pane="bottomRight" activeCell="J35" sqref="J35"/>
      <selection pane="bottomLeft" activeCell="F26" sqref="F26"/>
      <selection pane="topRight" activeCell="F26" sqref="F2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91" t="str" cm="1">
        <f t="array" ref="A1">portfolio</f>
        <v>JLL</v>
      </c>
      <c r="B1" s="91"/>
      <c r="C1" s="91"/>
      <c r="D1" s="92" t="s">
        <v>79</v>
      </c>
      <c r="E1" s="92"/>
      <c r="F1" s="92"/>
      <c r="G1" s="90" t="s">
        <v>80</v>
      </c>
      <c r="H1" s="90"/>
      <c r="I1" s="90"/>
      <c r="J1" s="4"/>
      <c r="K1" s="4"/>
    </row>
    <row r="2" spans="1:12" ht="19.5" customHeight="1">
      <c r="A2" s="93" t="s">
        <v>2</v>
      </c>
      <c r="B2" s="93"/>
      <c r="C2" s="5">
        <f>SUM(C4:C98)</f>
        <v>49082.34</v>
      </c>
      <c r="D2" s="5">
        <f>SUM(D4:D98)</f>
        <v>0</v>
      </c>
      <c r="E2" s="5">
        <f>C2-D2</f>
        <v>49082.34</v>
      </c>
      <c r="F2" s="6">
        <f>IFERROR(E2/D2, 0)</f>
        <v>0</v>
      </c>
      <c r="G2" s="5">
        <f>SUM(G4:G98)</f>
        <v>0</v>
      </c>
      <c r="H2" s="7">
        <f>C2-G2</f>
        <v>49082.34</v>
      </c>
      <c r="I2" s="6">
        <f>IFERROR(H2/G2, 0)</f>
        <v>0</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38" t="s">
        <v>7</v>
      </c>
      <c r="I3" s="39" t="s">
        <v>8</v>
      </c>
      <c r="J3" s="25" t="s">
        <v>20</v>
      </c>
      <c r="K3" s="25" t="s">
        <v>21</v>
      </c>
    </row>
    <row r="4" spans="1:12" ht="15.6">
      <c r="A4" s="32" t="str" cm="1">
        <f t="array" ref="A4:A28">Sites[Site]</f>
        <v>Bullhead</v>
      </c>
      <c r="B4" s="29" t="str" cm="1">
        <f t="array" ref="B4:B28">Sites[State]</f>
        <v>AZ</v>
      </c>
      <c r="C4" s="24">
        <v>137.80000000000001</v>
      </c>
      <c r="D4" s="13" t="s">
        <v>22</v>
      </c>
      <c r="E4" s="13" t="str">
        <f>IF(AND(ISNUMBER(C4),ISNUMBER(D4)), C4-D4, "")</f>
        <v/>
      </c>
      <c r="F4" s="14" t="str">
        <f>IFERROR(E4/D4, "")</f>
        <v/>
      </c>
      <c r="G4" s="72" t="s">
        <v>22</v>
      </c>
      <c r="H4" s="15" t="str">
        <f>IF(AND(ISNUMBER(C4),ISNUMBER(G4)), C4-G4, "")</f>
        <v/>
      </c>
      <c r="I4" s="16" t="str">
        <f>IFERROR(H4/G4, "")</f>
        <v/>
      </c>
      <c r="J4" s="41"/>
      <c r="K4" s="41"/>
      <c r="L4" s="46"/>
    </row>
    <row r="5" spans="1:12" ht="15.6">
      <c r="A5" s="30" t="str">
        <v>Peoria</v>
      </c>
      <c r="B5" s="31" t="str">
        <v>AZ</v>
      </c>
      <c r="C5" s="11">
        <v>0</v>
      </c>
      <c r="D5" s="18" t="s">
        <v>22</v>
      </c>
      <c r="E5" s="18" t="str">
        <f t="shared" ref="E5:E17" si="0">IF(AND(ISNUMBER(C5),ISNUMBER(D5)), C5-D5, "")</f>
        <v/>
      </c>
      <c r="F5" s="19" t="str">
        <f>IFERROR(E5/D5, "")</f>
        <v/>
      </c>
      <c r="G5" s="73" t="s">
        <v>22</v>
      </c>
      <c r="H5" s="20" t="str">
        <f t="shared" ref="H5:H17" si="1">IF(AND(ISNUMBER(C5),ISNUMBER(G5)), C5-G5, "")</f>
        <v/>
      </c>
      <c r="I5" s="19" t="str">
        <f t="shared" ref="I5:I17" si="2">IFERROR(H5/G5, "")</f>
        <v/>
      </c>
      <c r="J5" s="42" t="s">
        <v>47</v>
      </c>
      <c r="K5" s="74" t="s">
        <v>48</v>
      </c>
      <c r="L5" s="46"/>
    </row>
    <row r="6" spans="1:12" ht="28.9">
      <c r="A6" s="28" t="str">
        <v>Tucson</v>
      </c>
      <c r="B6" s="29" t="str">
        <v>AZ</v>
      </c>
      <c r="C6" s="24">
        <v>0</v>
      </c>
      <c r="D6" s="13" t="s">
        <v>22</v>
      </c>
      <c r="E6" s="13" t="str">
        <f t="shared" si="0"/>
        <v/>
      </c>
      <c r="F6" s="14" t="str">
        <f t="shared" ref="F6:F17" si="3">IFERROR(E6/D6, "")</f>
        <v/>
      </c>
      <c r="G6" s="72" t="s">
        <v>22</v>
      </c>
      <c r="H6" s="15" t="str">
        <f t="shared" si="1"/>
        <v/>
      </c>
      <c r="I6" s="16" t="str">
        <f t="shared" si="2"/>
        <v/>
      </c>
      <c r="J6" s="41" t="s">
        <v>67</v>
      </c>
      <c r="K6" s="77" t="s">
        <v>68</v>
      </c>
      <c r="L6" s="46"/>
    </row>
    <row r="7" spans="1:12" ht="43.15">
      <c r="A7" s="30" t="str">
        <v>Hialeah</v>
      </c>
      <c r="B7" s="31" t="str">
        <v>FL</v>
      </c>
      <c r="C7" s="11">
        <v>-353.61</v>
      </c>
      <c r="D7" s="18" t="s">
        <v>22</v>
      </c>
      <c r="E7" s="18" t="str">
        <f t="shared" si="0"/>
        <v/>
      </c>
      <c r="F7" s="19" t="str">
        <f t="shared" si="3"/>
        <v/>
      </c>
      <c r="G7" s="73" t="s">
        <v>22</v>
      </c>
      <c r="H7" s="20" t="str">
        <f t="shared" si="1"/>
        <v/>
      </c>
      <c r="I7" s="19" t="str">
        <f t="shared" si="2"/>
        <v/>
      </c>
      <c r="J7" s="42" t="s">
        <v>23</v>
      </c>
      <c r="K7" s="84" t="s">
        <v>24</v>
      </c>
      <c r="L7" s="46"/>
    </row>
    <row r="8" spans="1:12" ht="15.6">
      <c r="A8" s="28" t="str">
        <v>Jacksonville</v>
      </c>
      <c r="B8" s="29" t="str">
        <v>FL</v>
      </c>
      <c r="C8" s="24">
        <v>121.8</v>
      </c>
      <c r="D8" s="13" t="s">
        <v>22</v>
      </c>
      <c r="E8" s="13" t="str">
        <f t="shared" si="0"/>
        <v/>
      </c>
      <c r="F8" s="14" t="str">
        <f t="shared" si="3"/>
        <v/>
      </c>
      <c r="G8" s="72" t="s">
        <v>22</v>
      </c>
      <c r="H8" s="15" t="str">
        <f t="shared" si="1"/>
        <v/>
      </c>
      <c r="I8" s="16" t="str">
        <f t="shared" si="2"/>
        <v/>
      </c>
      <c r="J8" s="41"/>
      <c r="K8" s="41"/>
      <c r="L8" s="46"/>
    </row>
    <row r="9" spans="1:12" ht="15.6">
      <c r="A9" s="30" t="str">
        <v>Miami Gardens</v>
      </c>
      <c r="B9" s="31" t="str">
        <v>FL</v>
      </c>
      <c r="C9" s="11">
        <v>123.1</v>
      </c>
      <c r="D9" s="18" t="s">
        <v>22</v>
      </c>
      <c r="E9" s="18" t="str">
        <f t="shared" si="0"/>
        <v/>
      </c>
      <c r="F9" s="19" t="str">
        <f t="shared" si="3"/>
        <v/>
      </c>
      <c r="G9" s="73" t="s">
        <v>22</v>
      </c>
      <c r="H9" s="20" t="str">
        <f t="shared" si="1"/>
        <v/>
      </c>
      <c r="I9" s="19" t="str">
        <f t="shared" si="2"/>
        <v/>
      </c>
      <c r="J9" s="42"/>
      <c r="K9" s="43"/>
      <c r="L9" s="46"/>
    </row>
    <row r="10" spans="1:12" ht="43.15">
      <c r="A10" s="28" t="str">
        <v>Fort Myers</v>
      </c>
      <c r="B10" s="29" t="str">
        <v>FL</v>
      </c>
      <c r="C10" s="24">
        <v>7463.7</v>
      </c>
      <c r="D10" s="13" t="s">
        <v>22</v>
      </c>
      <c r="E10" s="13" t="str">
        <f t="shared" si="0"/>
        <v/>
      </c>
      <c r="F10" s="14" t="str">
        <f t="shared" si="3"/>
        <v/>
      </c>
      <c r="G10" s="72" t="s">
        <v>22</v>
      </c>
      <c r="H10" s="15" t="str">
        <f t="shared" si="1"/>
        <v/>
      </c>
      <c r="I10" s="16" t="str">
        <f t="shared" si="2"/>
        <v/>
      </c>
      <c r="J10" s="41" t="s">
        <v>81</v>
      </c>
      <c r="K10" s="77" t="s">
        <v>82</v>
      </c>
      <c r="L10" s="46"/>
    </row>
    <row r="11" spans="1:12" ht="15.6">
      <c r="A11" s="30" t="str">
        <v>Orlando</v>
      </c>
      <c r="B11" s="31" t="str">
        <v>FL</v>
      </c>
      <c r="C11" s="11">
        <v>5943.75</v>
      </c>
      <c r="D11" s="18" t="s">
        <v>22</v>
      </c>
      <c r="E11" s="18" t="str">
        <f t="shared" si="0"/>
        <v/>
      </c>
      <c r="F11" s="19" t="str">
        <f t="shared" si="3"/>
        <v/>
      </c>
      <c r="G11" s="73" t="s">
        <v>22</v>
      </c>
      <c r="H11" s="20" t="str">
        <f t="shared" si="1"/>
        <v/>
      </c>
      <c r="I11" s="19" t="str">
        <f t="shared" si="2"/>
        <v/>
      </c>
      <c r="J11" s="42"/>
      <c r="K11" s="43"/>
      <c r="L11" s="46"/>
    </row>
    <row r="12" spans="1:12" ht="60.75">
      <c r="A12" s="28" t="str">
        <v>Port St. Lucie</v>
      </c>
      <c r="B12" s="29" t="str">
        <v>FL</v>
      </c>
      <c r="C12" s="24">
        <v>11075.4</v>
      </c>
      <c r="D12" s="13" t="s">
        <v>22</v>
      </c>
      <c r="E12" s="13" t="str">
        <f t="shared" si="0"/>
        <v/>
      </c>
      <c r="F12" s="14" t="str">
        <f t="shared" si="3"/>
        <v/>
      </c>
      <c r="G12" s="72" t="s">
        <v>22</v>
      </c>
      <c r="H12" s="15" t="str">
        <f t="shared" si="1"/>
        <v/>
      </c>
      <c r="I12" s="16" t="str">
        <f t="shared" si="2"/>
        <v/>
      </c>
      <c r="J12" s="41" t="s">
        <v>83</v>
      </c>
      <c r="K12" s="77" t="s">
        <v>84</v>
      </c>
      <c r="L12" s="88" t="s">
        <v>85</v>
      </c>
    </row>
    <row r="13" spans="1:12" ht="15.6">
      <c r="A13" s="30" t="str">
        <v>Tampa</v>
      </c>
      <c r="B13" s="31" t="str">
        <v>FL</v>
      </c>
      <c r="C13" s="11">
        <v>2119.6</v>
      </c>
      <c r="D13" s="18" t="s">
        <v>22</v>
      </c>
      <c r="E13" s="18" t="str">
        <f t="shared" si="0"/>
        <v/>
      </c>
      <c r="F13" s="19" t="str">
        <f t="shared" si="3"/>
        <v/>
      </c>
      <c r="G13" s="73" t="s">
        <v>22</v>
      </c>
      <c r="H13" s="20" t="str">
        <f t="shared" si="1"/>
        <v/>
      </c>
      <c r="I13" s="19" t="str">
        <f t="shared" si="2"/>
        <v/>
      </c>
      <c r="J13" s="42"/>
      <c r="K13" s="43"/>
      <c r="L13" s="46"/>
    </row>
    <row r="14" spans="1:12" ht="61.5" customHeight="1">
      <c r="A14" s="28" t="str">
        <v>Roswell</v>
      </c>
      <c r="B14" s="29" t="str">
        <v>GA</v>
      </c>
      <c r="C14" s="24">
        <v>6565.7</v>
      </c>
      <c r="D14" s="13" t="s">
        <v>22</v>
      </c>
      <c r="E14" s="13" t="str">
        <f t="shared" si="0"/>
        <v/>
      </c>
      <c r="F14" s="14" t="str">
        <f t="shared" si="3"/>
        <v/>
      </c>
      <c r="G14" s="72" t="s">
        <v>22</v>
      </c>
      <c r="H14" s="15" t="str">
        <f t="shared" si="1"/>
        <v/>
      </c>
      <c r="I14" s="16" t="str">
        <f t="shared" si="2"/>
        <v/>
      </c>
      <c r="J14" s="41" t="s">
        <v>86</v>
      </c>
      <c r="K14" s="77" t="s">
        <v>28</v>
      </c>
      <c r="L14" s="46"/>
    </row>
    <row r="15" spans="1:12" ht="15.6">
      <c r="A15" s="30" t="str">
        <v>Charlotte</v>
      </c>
      <c r="B15" s="31" t="str">
        <v>NC</v>
      </c>
      <c r="C15" s="11">
        <v>2476.1</v>
      </c>
      <c r="D15" s="18" t="s">
        <v>22</v>
      </c>
      <c r="E15" s="18" t="str">
        <f t="shared" si="0"/>
        <v/>
      </c>
      <c r="F15" s="19" t="str">
        <f t="shared" si="3"/>
        <v/>
      </c>
      <c r="G15" s="73" t="s">
        <v>22</v>
      </c>
      <c r="H15" s="20" t="str">
        <f t="shared" si="1"/>
        <v/>
      </c>
      <c r="I15" s="19" t="str">
        <f t="shared" si="2"/>
        <v/>
      </c>
      <c r="J15" s="42"/>
      <c r="K15" s="43"/>
      <c r="L15" s="46"/>
    </row>
    <row r="16" spans="1:12" ht="28.9">
      <c r="A16" s="28" t="str">
        <v>Raleigh</v>
      </c>
      <c r="B16" s="29" t="str">
        <v>NC</v>
      </c>
      <c r="C16" s="24">
        <v>3441.2</v>
      </c>
      <c r="D16" s="13" t="s">
        <v>22</v>
      </c>
      <c r="E16" s="13" t="str">
        <f t="shared" si="0"/>
        <v/>
      </c>
      <c r="F16" s="14" t="str">
        <f t="shared" si="3"/>
        <v/>
      </c>
      <c r="G16" s="72" t="s">
        <v>22</v>
      </c>
      <c r="H16" s="15" t="str">
        <f t="shared" si="1"/>
        <v/>
      </c>
      <c r="I16" s="16" t="str">
        <f t="shared" si="2"/>
        <v/>
      </c>
      <c r="J16" s="41" t="s">
        <v>87</v>
      </c>
      <c r="K16" s="77" t="s">
        <v>88</v>
      </c>
      <c r="L16" s="46"/>
    </row>
    <row r="17" spans="1:13" ht="15.6">
      <c r="A17" s="30" t="str">
        <v>Cordova</v>
      </c>
      <c r="B17" s="31" t="str">
        <v>TN</v>
      </c>
      <c r="C17" s="11">
        <v>3846.5</v>
      </c>
      <c r="D17" s="18" t="s">
        <v>22</v>
      </c>
      <c r="E17" s="18" t="str">
        <f t="shared" si="0"/>
        <v/>
      </c>
      <c r="F17" s="19" t="str">
        <f t="shared" si="3"/>
        <v/>
      </c>
      <c r="G17" s="73" t="s">
        <v>22</v>
      </c>
      <c r="H17" s="20" t="str">
        <f t="shared" si="1"/>
        <v/>
      </c>
      <c r="I17" s="19" t="str">
        <f t="shared" si="2"/>
        <v/>
      </c>
      <c r="J17" s="42"/>
      <c r="K17" s="43"/>
      <c r="L17" s="46"/>
    </row>
    <row r="18" spans="1:13" ht="12.75" customHeight="1">
      <c r="A18" s="28" t="str">
        <v>Austin</v>
      </c>
      <c r="B18" s="29" t="str">
        <v>TX</v>
      </c>
      <c r="C18" s="24">
        <v>2067.9</v>
      </c>
      <c r="D18" s="13" t="s">
        <v>22</v>
      </c>
      <c r="E18" s="13" t="str">
        <f t="shared" ref="E18:E27" si="4">IF(AND(ISNUMBER(C18),ISNUMBER(D18)), C18-D18, "")</f>
        <v/>
      </c>
      <c r="F18" s="14" t="str">
        <f t="shared" ref="F18:F27" si="5">IFERROR(E18/D18, "")</f>
        <v/>
      </c>
      <c r="G18" s="72" t="s">
        <v>22</v>
      </c>
      <c r="H18" s="15" t="str">
        <f t="shared" ref="H18:H27" si="6">IF(AND(ISNUMBER(C18),ISNUMBER(G18)), C18-G18, "")</f>
        <v/>
      </c>
      <c r="I18" s="16" t="str">
        <f>IFERROR(H18/G18, "")</f>
        <v/>
      </c>
      <c r="J18" s="41"/>
      <c r="K18" s="41"/>
      <c r="L18" s="46"/>
    </row>
    <row r="19" spans="1:13" ht="15.6">
      <c r="A19" s="30" t="str">
        <v>Frisco</v>
      </c>
      <c r="B19" s="31" t="str">
        <v>TX</v>
      </c>
      <c r="C19" s="11">
        <v>2532.4</v>
      </c>
      <c r="D19" s="18" t="s">
        <v>22</v>
      </c>
      <c r="E19" s="18" t="str">
        <f t="shared" si="4"/>
        <v/>
      </c>
      <c r="F19" s="19" t="str">
        <f t="shared" si="5"/>
        <v/>
      </c>
      <c r="G19" s="73" t="s">
        <v>22</v>
      </c>
      <c r="H19" s="20" t="str">
        <f t="shared" si="6"/>
        <v/>
      </c>
      <c r="I19" s="19" t="str">
        <f>IFERROR(H19/G19, "")</f>
        <v/>
      </c>
      <c r="J19" s="42"/>
      <c r="K19" s="43"/>
      <c r="L19" s="46"/>
    </row>
    <row r="20" spans="1:13" ht="76.5">
      <c r="A20" s="28" t="str">
        <v>Copperfield</v>
      </c>
      <c r="B20" s="29" t="str">
        <v>TX</v>
      </c>
      <c r="C20" s="24">
        <v>1521</v>
      </c>
      <c r="D20" s="13" t="s">
        <v>22</v>
      </c>
      <c r="E20" s="13" t="str">
        <f t="shared" si="4"/>
        <v/>
      </c>
      <c r="F20" s="14" t="str">
        <f t="shared" si="5"/>
        <v/>
      </c>
      <c r="G20" s="72" t="s">
        <v>22</v>
      </c>
      <c r="H20" s="15" t="str">
        <f t="shared" si="6"/>
        <v/>
      </c>
      <c r="I20" s="16" t="str">
        <f>IFERROR(H20/G20, "")</f>
        <v/>
      </c>
      <c r="J20" s="41" t="s">
        <v>57</v>
      </c>
      <c r="K20" s="77" t="s">
        <v>89</v>
      </c>
      <c r="L20" s="88" t="s">
        <v>59</v>
      </c>
      <c r="M20" s="89" t="s">
        <v>90</v>
      </c>
    </row>
    <row r="21" spans="1:13" ht="28.9">
      <c r="A21" s="30" t="str">
        <v>Charlotte - B of A - 1 BAC</v>
      </c>
      <c r="B21" s="31" t="str">
        <v>NC</v>
      </c>
      <c r="C21" s="11">
        <v>0</v>
      </c>
      <c r="D21" s="18" t="s">
        <v>22</v>
      </c>
      <c r="E21" s="18" t="str">
        <f t="shared" si="4"/>
        <v/>
      </c>
      <c r="F21" s="19" t="str">
        <f t="shared" si="5"/>
        <v/>
      </c>
      <c r="G21" s="73" t="s">
        <v>22</v>
      </c>
      <c r="H21" s="20" t="str">
        <f t="shared" si="6"/>
        <v/>
      </c>
      <c r="I21" s="19" t="str">
        <f>IFERROR(H21/G21, "")</f>
        <v/>
      </c>
      <c r="J21" s="81" t="s">
        <v>91</v>
      </c>
      <c r="K21" s="87" t="s">
        <v>92</v>
      </c>
      <c r="L21" s="46"/>
    </row>
    <row r="22" spans="1:13" ht="28.9">
      <c r="A22" s="28" t="str">
        <v>Charlotte - B of A - 401 N Tryon</v>
      </c>
      <c r="B22" s="29" t="str">
        <v>NC</v>
      </c>
      <c r="C22" s="24">
        <v>0</v>
      </c>
      <c r="D22" s="13" t="s">
        <v>22</v>
      </c>
      <c r="E22" s="13" t="str">
        <f t="shared" si="4"/>
        <v/>
      </c>
      <c r="F22" s="14" t="str">
        <f t="shared" si="5"/>
        <v/>
      </c>
      <c r="G22" s="72" t="s">
        <v>22</v>
      </c>
      <c r="H22" s="15" t="str">
        <f t="shared" si="6"/>
        <v/>
      </c>
      <c r="I22" s="16" t="str">
        <f t="shared" ref="I22:I28" si="7">IFERROR(H22/G22, "")</f>
        <v/>
      </c>
      <c r="J22" s="81" t="s">
        <v>91</v>
      </c>
      <c r="K22" s="87" t="s">
        <v>93</v>
      </c>
    </row>
    <row r="23" spans="1:13" ht="29.25">
      <c r="A23" s="30" t="str">
        <v>Chandler - B of A Campus Bldg A</v>
      </c>
      <c r="B23" s="31" t="str">
        <v>AZ</v>
      </c>
      <c r="C23" s="11">
        <v>0</v>
      </c>
      <c r="D23" s="18" t="s">
        <v>22</v>
      </c>
      <c r="E23" s="18" t="str">
        <f t="shared" si="4"/>
        <v/>
      </c>
      <c r="F23" s="19" t="str">
        <f t="shared" si="5"/>
        <v/>
      </c>
      <c r="G23" s="73" t="s">
        <v>22</v>
      </c>
      <c r="H23" s="20" t="str">
        <f t="shared" si="6"/>
        <v/>
      </c>
      <c r="I23" s="19" t="str">
        <f t="shared" si="7"/>
        <v/>
      </c>
      <c r="J23" s="81" t="s">
        <v>94</v>
      </c>
      <c r="K23" s="87" t="s">
        <v>95</v>
      </c>
      <c r="L23" s="89" t="s">
        <v>60</v>
      </c>
    </row>
    <row r="24" spans="1:13" ht="29.25">
      <c r="A24" s="28" t="str">
        <v>Chandler - B of A Campus Bldg B</v>
      </c>
      <c r="B24" s="29" t="str">
        <v>AZ</v>
      </c>
      <c r="C24" s="24">
        <v>0</v>
      </c>
      <c r="D24" s="13" t="s">
        <v>22</v>
      </c>
      <c r="E24" s="13" t="str">
        <f t="shared" si="4"/>
        <v/>
      </c>
      <c r="F24" s="14" t="str">
        <f t="shared" si="5"/>
        <v/>
      </c>
      <c r="G24" s="72" t="s">
        <v>22</v>
      </c>
      <c r="H24" s="15" t="str">
        <f t="shared" si="6"/>
        <v/>
      </c>
      <c r="I24" s="16" t="str">
        <f t="shared" si="7"/>
        <v/>
      </c>
      <c r="J24" s="81" t="s">
        <v>94</v>
      </c>
      <c r="K24" s="77" t="s">
        <v>95</v>
      </c>
      <c r="L24" s="89" t="s">
        <v>60</v>
      </c>
    </row>
    <row r="25" spans="1:13" ht="29.25">
      <c r="A25" s="30" t="str">
        <v>Chandler - B of A Campus Bldg C</v>
      </c>
      <c r="B25" s="31" t="str">
        <v>AZ</v>
      </c>
      <c r="C25" s="11">
        <v>0</v>
      </c>
      <c r="D25" s="18" t="s">
        <v>22</v>
      </c>
      <c r="E25" s="18" t="str">
        <f t="shared" si="4"/>
        <v/>
      </c>
      <c r="F25" s="19" t="str">
        <f t="shared" si="5"/>
        <v/>
      </c>
      <c r="G25" s="73" t="s">
        <v>22</v>
      </c>
      <c r="H25" s="20" t="str">
        <f t="shared" si="6"/>
        <v/>
      </c>
      <c r="I25" s="19" t="str">
        <f t="shared" si="7"/>
        <v/>
      </c>
      <c r="J25" s="81" t="s">
        <v>94</v>
      </c>
      <c r="K25" s="87" t="s">
        <v>95</v>
      </c>
      <c r="L25" s="89" t="s">
        <v>60</v>
      </c>
    </row>
    <row r="26" spans="1:13" ht="30.75">
      <c r="A26" s="28" t="str">
        <v>Chandler - B of A Campus Bldg D</v>
      </c>
      <c r="B26" s="29" t="str">
        <v>AZ</v>
      </c>
      <c r="C26" s="24">
        <v>0</v>
      </c>
      <c r="D26" s="13" t="s">
        <v>22</v>
      </c>
      <c r="E26" s="13" t="str">
        <f t="shared" si="4"/>
        <v/>
      </c>
      <c r="F26" s="14" t="str">
        <f t="shared" si="5"/>
        <v/>
      </c>
      <c r="G26" s="72" t="s">
        <v>22</v>
      </c>
      <c r="H26" s="15" t="str">
        <f t="shared" si="6"/>
        <v/>
      </c>
      <c r="I26" s="16" t="str">
        <f t="shared" si="7"/>
        <v/>
      </c>
      <c r="J26" s="41" t="s">
        <v>94</v>
      </c>
      <c r="K26" s="77" t="s">
        <v>95</v>
      </c>
      <c r="L26" s="89" t="s">
        <v>60</v>
      </c>
    </row>
    <row r="27" spans="1:13" ht="28.9">
      <c r="A27" s="30" t="str">
        <v>Tampa - BoA Ekman</v>
      </c>
      <c r="B27" s="31" t="str">
        <v>FL</v>
      </c>
      <c r="C27" s="11">
        <v>0</v>
      </c>
      <c r="D27" s="18" t="s">
        <v>22</v>
      </c>
      <c r="E27" s="18" t="str">
        <f t="shared" si="4"/>
        <v/>
      </c>
      <c r="F27" s="19" t="str">
        <f t="shared" si="5"/>
        <v/>
      </c>
      <c r="G27" s="73" t="s">
        <v>22</v>
      </c>
      <c r="H27" s="20" t="str">
        <f t="shared" si="6"/>
        <v/>
      </c>
      <c r="I27" s="19" t="str">
        <f t="shared" si="7"/>
        <v/>
      </c>
      <c r="J27" s="42" t="s">
        <v>96</v>
      </c>
      <c r="K27" s="84" t="s">
        <v>97</v>
      </c>
    </row>
    <row r="28" spans="1:13" ht="28.9">
      <c r="A28" s="28" t="str">
        <v>Charlotte - B of A - Sherrill</v>
      </c>
      <c r="B28" s="29" t="str">
        <v>NC</v>
      </c>
      <c r="C28" s="24"/>
      <c r="D28" s="13" t="s">
        <v>22</v>
      </c>
      <c r="E28" s="13"/>
      <c r="F28" s="14"/>
      <c r="G28" s="72" t="s">
        <v>22</v>
      </c>
      <c r="H28" s="15"/>
      <c r="I28" s="16" t="str">
        <f t="shared" si="7"/>
        <v/>
      </c>
      <c r="J28" s="41" t="s">
        <v>43</v>
      </c>
      <c r="K28" s="77" t="s">
        <v>44</v>
      </c>
    </row>
    <row r="29" spans="1:13" ht="14.45">
      <c r="A29" s="21"/>
      <c r="B29" s="33"/>
      <c r="C29" s="21"/>
      <c r="D29" s="21"/>
      <c r="E29" s="21"/>
      <c r="F29" s="21"/>
      <c r="G29" s="21"/>
      <c r="H29" s="21"/>
      <c r="I29" s="21"/>
      <c r="J29" s="21"/>
      <c r="K29" s="21"/>
    </row>
    <row r="30" spans="1:13" ht="14.45">
      <c r="A30" s="21"/>
      <c r="B30" s="33"/>
      <c r="C30" s="21" t="str">
        <f t="shared" ref="C30" si="8">IF(AND(ISNUMBER(A30),ISNUMBER(B30)), A30-B30, "")</f>
        <v/>
      </c>
      <c r="D30" s="21"/>
      <c r="E30" s="21"/>
      <c r="F30" s="21"/>
      <c r="G30" s="21"/>
      <c r="H30" s="21"/>
      <c r="I30" s="21"/>
      <c r="J30" s="21"/>
      <c r="K30" s="21"/>
    </row>
    <row r="31" spans="1:13" ht="14.45">
      <c r="A31" s="21"/>
      <c r="B31" s="33"/>
      <c r="C31" s="21"/>
      <c r="D31" s="21"/>
      <c r="E31" s="21"/>
      <c r="F31" s="22"/>
      <c r="G31" s="21"/>
      <c r="H31" s="21"/>
      <c r="I31" s="22"/>
      <c r="J31" s="21"/>
      <c r="K31" s="21"/>
    </row>
    <row r="32" spans="1:13"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conditionalFormatting sqref="F2 I2 F4:F98 I4:I98">
    <cfRule type="cellIs" dxfId="20" priority="3" stopIfTrue="1" operator="lessThanOrEqual">
      <formula>-0.1</formula>
    </cfRule>
    <cfRule type="expression" dxfId="19" priority="4">
      <formula>AND(ISNUMBER(F2), F2&gt;=0.1)</formula>
    </cfRule>
  </conditionalFormatting>
  <hyperlinks>
    <hyperlink ref="K5" r:id="rId1" display="https://us3.assetplanner.com/service_request?ID=097705" xr:uid="{6DB5CB5D-F7A7-4F45-BBDF-335A31B890B4}"/>
    <hyperlink ref="K6" r:id="rId2" display="https://us3.assetplanner.com/service_request?ID=099003" xr:uid="{F8E990D2-C254-4925-A9C6-C34546D16C86}"/>
    <hyperlink ref="K7" r:id="rId3" display="https://us3.assetplanner.com/service_request?ID=090283" xr:uid="{E791D74C-CB9A-417C-BF24-B93708AFF828}"/>
    <hyperlink ref="K10" r:id="rId4" display="https://us3.assetplanner.com/service_request?ID=100345" xr:uid="{18A155EA-C6F6-4FB3-8BED-A82DA1A14ECA}"/>
    <hyperlink ref="K12" r:id="rId5" display="https://us3.assetplanner.com/service_request?ID=099294" xr:uid="{A6FBE2F7-CBF6-449F-8DE5-0F8F3183C2EE}"/>
    <hyperlink ref="L12" r:id="rId6" display="https://us3.assetplanner.com/service_request?ID=095856" xr:uid="{AB7805B3-C6DF-4CF3-BE5A-8B6D9978C082}"/>
    <hyperlink ref="K14" r:id="rId7" display="https://us3.assetplanner.com/service_request?ID=087006" xr:uid="{5C8CDE30-71D1-4F6E-8136-C3856A13FDAC}"/>
    <hyperlink ref="K16" r:id="rId8" display="https://us3.assetplanner.com/service_request?ID=099372" xr:uid="{33224603-4C2B-40A7-B56B-2A98474BC311}"/>
    <hyperlink ref="K20" r:id="rId9" display="https://us3.assetplanner.com/service_request?ID=094284" xr:uid="{5971CEDD-B546-4A87-B9C2-7298FCB38765}"/>
    <hyperlink ref="L20" r:id="rId10" display="https://us3.assetplanner.com/service_request?ID=097692" xr:uid="{BD536382-FDAC-4F62-807E-21E0E00E6781}"/>
    <hyperlink ref="M20" r:id="rId11" display="https://us3.assetplanner.com/service_request?ID=101677" xr:uid="{001A4D9D-82DD-4907-BE81-6AD2225DF85A}"/>
    <hyperlink ref="K21" r:id="rId12" display="https://us3.assetplanner.com/service_request?ID=086583" xr:uid="{614AB556-CB7F-462E-A34D-FA160CC62897}"/>
    <hyperlink ref="K22" r:id="rId13" display="https://us3.assetplanner.com/service_request?ID=086584" xr:uid="{3E6E1407-A7E1-4EB3-8DC0-4E85E42422F7}"/>
    <hyperlink ref="K23" r:id="rId14" display="https://us3.assetplanner.com/service_request?ID=095935" xr:uid="{9F256707-8A8A-476A-9EFB-251243858812}"/>
    <hyperlink ref="L23" r:id="rId15" display="https://us3.assetplanner.com/service_request?ID=095456" xr:uid="{CDD5EE18-DADA-4F2F-9129-292801DA31CA}"/>
    <hyperlink ref="K24" r:id="rId16" display="https://us3.assetplanner.com/service_request?ID=095935" xr:uid="{54AA4C03-428C-4FDE-AE76-DC11820C91AF}"/>
    <hyperlink ref="L24" r:id="rId17" display="https://us3.assetplanner.com/service_request?ID=095456" xr:uid="{C4B04A79-39D6-4C93-9356-B961D5C4A370}"/>
    <hyperlink ref="K25" r:id="rId18" display="https://us3.assetplanner.com/service_request?ID=095935" xr:uid="{48CC0E74-F6C1-4915-BCB0-654A65B16DF6}"/>
    <hyperlink ref="L25" r:id="rId19" display="https://us3.assetplanner.com/service_request?ID=095456" xr:uid="{A3FBD8AB-07EE-4E5B-AD64-D3ADA837169E}"/>
    <hyperlink ref="K26" r:id="rId20" display="https://us3.assetplanner.com/service_request?ID=095935" xr:uid="{FA751301-2B43-437B-B205-2C1139607033}"/>
    <hyperlink ref="L26" r:id="rId21" display="https://us3.assetplanner.com/service_request?ID=095456" xr:uid="{1F664626-AF08-434E-BD15-011F2E1348FF}"/>
    <hyperlink ref="K27" r:id="rId22" display="https://us3.assetplanner.com/service_request?ID=096384" xr:uid="{4BEAD575-D2A4-4C68-B5B8-C5B062221E10}"/>
    <hyperlink ref="K28" r:id="rId23" display="https://us3.assetplanner.com/service_request?ID=086585" xr:uid="{F1FC70A5-6DE5-4CF6-B497-267D557C695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M340"/>
  <sheetViews>
    <sheetView tabSelected="1" zoomScale="70" zoomScaleNormal="70" workbookViewId="0">
      <pane xSplit="2" ySplit="3" topLeftCell="C12" activePane="bottomRight" state="frozen"/>
      <selection pane="bottomRight" activeCell="M6" sqref="M6"/>
      <selection pane="bottomLeft" activeCell="F26" sqref="F26"/>
      <selection pane="topRight" activeCell="F26" sqref="F2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91" t="str" cm="1">
        <f t="array" ref="A1">portfolio</f>
        <v>JLL</v>
      </c>
      <c r="B1" s="91"/>
      <c r="C1" s="91"/>
      <c r="D1" s="92" t="s">
        <v>98</v>
      </c>
      <c r="E1" s="92"/>
      <c r="F1" s="92"/>
      <c r="G1" s="90" t="s">
        <v>99</v>
      </c>
      <c r="H1" s="90"/>
      <c r="I1" s="90"/>
      <c r="J1" s="4"/>
      <c r="K1" s="4"/>
    </row>
    <row r="2" spans="1:12" ht="19.5" customHeight="1">
      <c r="A2" s="93" t="s">
        <v>2</v>
      </c>
      <c r="B2" s="93"/>
      <c r="C2" s="5">
        <f>SUM(C4:C98)</f>
        <v>44001.999999999993</v>
      </c>
      <c r="D2" s="5">
        <f>SUM(D4:D98)</f>
        <v>0</v>
      </c>
      <c r="E2" s="5">
        <f>C2-D2</f>
        <v>44001.999999999993</v>
      </c>
      <c r="F2" s="6">
        <f>IFERROR(E2/D2, 0)</f>
        <v>0</v>
      </c>
      <c r="G2" s="5">
        <f>SUM(G4:G98)</f>
        <v>0</v>
      </c>
      <c r="H2" s="7">
        <f>C2-G2</f>
        <v>44001.999999999993</v>
      </c>
      <c r="I2" s="6">
        <f>IFERROR(H2/G2, 0)</f>
        <v>0</v>
      </c>
      <c r="J2" s="26" t="str">
        <f ca="1">IF(AND(TODAY()&gt;DATE(2024, 5, 1), COUNTA(Sites[Site])&lt;&gt;(COUNT(C:C)-1)), "Some sites are missing actual data; if new sites were added, make sure they are aligned correctly (including prior months!)", "")</f>
        <v/>
      </c>
      <c r="K2" s="4"/>
    </row>
    <row r="3" spans="1:12" ht="14.25" customHeight="1">
      <c r="A3" s="8" t="s">
        <v>3</v>
      </c>
      <c r="B3" s="8" t="s">
        <v>4</v>
      </c>
      <c r="C3" s="23" t="s">
        <v>5</v>
      </c>
      <c r="D3" s="35" t="s">
        <v>6</v>
      </c>
      <c r="E3" s="35" t="s">
        <v>7</v>
      </c>
      <c r="F3" s="36" t="s">
        <v>8</v>
      </c>
      <c r="G3" s="37" t="s">
        <v>9</v>
      </c>
      <c r="H3" s="38" t="s">
        <v>7</v>
      </c>
      <c r="I3" s="39" t="s">
        <v>8</v>
      </c>
      <c r="J3" s="25" t="s">
        <v>20</v>
      </c>
      <c r="K3" s="25" t="s">
        <v>21</v>
      </c>
    </row>
    <row r="4" spans="1:12" ht="15.6">
      <c r="A4" s="32" t="str" cm="1">
        <f t="array" ref="A4:A28">Sites[Site]</f>
        <v>Bullhead</v>
      </c>
      <c r="B4" s="29" t="str" cm="1">
        <f t="array" ref="B4:B28">Sites[State]</f>
        <v>AZ</v>
      </c>
      <c r="C4" s="24">
        <v>154.1</v>
      </c>
      <c r="D4" s="13" t="s">
        <v>22</v>
      </c>
      <c r="E4" s="13" t="str">
        <f>IF(AND(ISNUMBER(C4),ISNUMBER(D4)), C4-D4, "")</f>
        <v/>
      </c>
      <c r="F4" s="14" t="str">
        <f>IFERROR(E4/D4, "")</f>
        <v/>
      </c>
      <c r="G4" s="82" t="s">
        <v>22</v>
      </c>
      <c r="H4" s="15" t="str">
        <f>IF(AND(ISNUMBER(C4),ISNUMBER(G4)), C4-G4, "")</f>
        <v/>
      </c>
      <c r="I4" s="16" t="str">
        <f>IFERROR(H4/G4, "")</f>
        <v/>
      </c>
      <c r="J4" s="41"/>
      <c r="K4" s="41"/>
      <c r="L4" s="46"/>
    </row>
    <row r="5" spans="1:12" ht="33.75" customHeight="1">
      <c r="A5" s="30" t="str">
        <v>Peoria</v>
      </c>
      <c r="B5" s="31" t="str">
        <v>AZ</v>
      </c>
      <c r="C5" s="11">
        <v>0</v>
      </c>
      <c r="D5" s="18" t="s">
        <v>22</v>
      </c>
      <c r="E5" s="18" t="str">
        <f t="shared" ref="E5:E17" si="0">IF(AND(ISNUMBER(C5),ISNUMBER(D5)), C5-D5, "")</f>
        <v/>
      </c>
      <c r="F5" s="19" t="str">
        <f>IFERROR(E5/D5, "")</f>
        <v/>
      </c>
      <c r="G5" s="83" t="s">
        <v>22</v>
      </c>
      <c r="H5" s="20" t="str">
        <f t="shared" ref="H5:H17" si="1">IF(AND(ISNUMBER(C5),ISNUMBER(G5)), C5-G5, "")</f>
        <v/>
      </c>
      <c r="I5" s="19" t="str">
        <f t="shared" ref="I5:I17" si="2">IFERROR(H5/G5, "")</f>
        <v/>
      </c>
      <c r="J5" s="53" t="s">
        <v>100</v>
      </c>
      <c r="K5" s="74" t="s">
        <v>48</v>
      </c>
      <c r="L5" s="46"/>
    </row>
    <row r="6" spans="1:12" ht="15.75">
      <c r="A6" s="28" t="str">
        <v>Tucson</v>
      </c>
      <c r="B6" s="29" t="str">
        <v>AZ</v>
      </c>
      <c r="C6" s="24">
        <v>0</v>
      </c>
      <c r="D6" s="13" t="s">
        <v>22</v>
      </c>
      <c r="E6" s="13" t="str">
        <f t="shared" si="0"/>
        <v/>
      </c>
      <c r="F6" s="14" t="str">
        <f t="shared" ref="F6:F17" si="3">IFERROR(E6/D6, "")</f>
        <v/>
      </c>
      <c r="G6" s="82" t="s">
        <v>22</v>
      </c>
      <c r="H6" s="15" t="str">
        <f t="shared" si="1"/>
        <v/>
      </c>
      <c r="I6" s="16" t="str">
        <f t="shared" si="2"/>
        <v/>
      </c>
      <c r="J6" s="41" t="s">
        <v>101</v>
      </c>
      <c r="K6" s="77" t="s">
        <v>68</v>
      </c>
      <c r="L6" s="46"/>
    </row>
    <row r="7" spans="1:12" ht="43.15">
      <c r="A7" s="30" t="str">
        <v>Hialeah</v>
      </c>
      <c r="B7" s="31" t="str">
        <v>FL</v>
      </c>
      <c r="C7" s="11">
        <v>-3571.9</v>
      </c>
      <c r="D7" s="18" t="s">
        <v>22</v>
      </c>
      <c r="E7" s="18" t="str">
        <f t="shared" si="0"/>
        <v/>
      </c>
      <c r="F7" s="19" t="str">
        <f t="shared" si="3"/>
        <v/>
      </c>
      <c r="G7" s="83" t="s">
        <v>22</v>
      </c>
      <c r="H7" s="20" t="str">
        <f t="shared" si="1"/>
        <v/>
      </c>
      <c r="I7" s="19" t="str">
        <f t="shared" si="2"/>
        <v/>
      </c>
      <c r="J7" s="42" t="s">
        <v>23</v>
      </c>
      <c r="K7" s="84" t="s">
        <v>24</v>
      </c>
      <c r="L7" s="46"/>
    </row>
    <row r="8" spans="1:12" ht="15.6">
      <c r="A8" s="28" t="str">
        <v>Jacksonville</v>
      </c>
      <c r="B8" s="29" t="str">
        <v>FL</v>
      </c>
      <c r="C8" s="24">
        <v>119.7</v>
      </c>
      <c r="D8" s="13" t="s">
        <v>22</v>
      </c>
      <c r="E8" s="13" t="str">
        <f t="shared" si="0"/>
        <v/>
      </c>
      <c r="F8" s="14" t="str">
        <f t="shared" si="3"/>
        <v/>
      </c>
      <c r="G8" s="82" t="s">
        <v>22</v>
      </c>
      <c r="H8" s="15" t="str">
        <f t="shared" si="1"/>
        <v/>
      </c>
      <c r="I8" s="16" t="str">
        <f t="shared" si="2"/>
        <v/>
      </c>
      <c r="J8" s="41"/>
      <c r="K8" s="41"/>
      <c r="L8" s="46"/>
    </row>
    <row r="9" spans="1:12" ht="15.6">
      <c r="A9" s="30" t="str">
        <v>Miami Gardens</v>
      </c>
      <c r="B9" s="31" t="str">
        <v>FL</v>
      </c>
      <c r="C9" s="11">
        <v>126</v>
      </c>
      <c r="D9" s="18" t="s">
        <v>22</v>
      </c>
      <c r="E9" s="18" t="str">
        <f t="shared" si="0"/>
        <v/>
      </c>
      <c r="F9" s="19" t="str">
        <f t="shared" si="3"/>
        <v/>
      </c>
      <c r="G9" s="83" t="s">
        <v>22</v>
      </c>
      <c r="H9" s="20" t="str">
        <f t="shared" si="1"/>
        <v/>
      </c>
      <c r="I9" s="19" t="str">
        <f t="shared" si="2"/>
        <v/>
      </c>
      <c r="J9" s="42"/>
      <c r="K9" s="43"/>
      <c r="L9" s="46"/>
    </row>
    <row r="10" spans="1:12" ht="43.15">
      <c r="A10" s="28" t="str">
        <v>Fort Myers</v>
      </c>
      <c r="B10" s="29" t="str">
        <v>FL</v>
      </c>
      <c r="C10" s="24">
        <v>7300.5</v>
      </c>
      <c r="D10" s="13" t="s">
        <v>22</v>
      </c>
      <c r="E10" s="13" t="str">
        <f t="shared" si="0"/>
        <v/>
      </c>
      <c r="F10" s="14" t="str">
        <f t="shared" si="3"/>
        <v/>
      </c>
      <c r="G10" s="82" t="s">
        <v>22</v>
      </c>
      <c r="H10" s="15" t="str">
        <f t="shared" si="1"/>
        <v/>
      </c>
      <c r="I10" s="16" t="str">
        <f t="shared" si="2"/>
        <v/>
      </c>
      <c r="J10" s="41" t="s">
        <v>81</v>
      </c>
      <c r="K10" s="77" t="s">
        <v>82</v>
      </c>
      <c r="L10" s="46"/>
    </row>
    <row r="11" spans="1:12" ht="15.6">
      <c r="A11" s="30" t="str">
        <v>Orlando</v>
      </c>
      <c r="B11" s="31" t="str">
        <v>FL</v>
      </c>
      <c r="C11" s="11">
        <v>5806.3</v>
      </c>
      <c r="D11" s="18" t="s">
        <v>22</v>
      </c>
      <c r="E11" s="18" t="str">
        <f t="shared" si="0"/>
        <v/>
      </c>
      <c r="F11" s="19" t="str">
        <f t="shared" si="3"/>
        <v/>
      </c>
      <c r="G11" s="83" t="s">
        <v>22</v>
      </c>
      <c r="H11" s="20" t="str">
        <f t="shared" si="1"/>
        <v/>
      </c>
      <c r="I11" s="19" t="str">
        <f t="shared" si="2"/>
        <v/>
      </c>
      <c r="J11" s="42"/>
      <c r="K11" s="43"/>
      <c r="L11" s="46"/>
    </row>
    <row r="12" spans="1:12" ht="60.75">
      <c r="A12" s="28" t="str">
        <v>Port St. Lucie</v>
      </c>
      <c r="B12" s="29" t="str">
        <v>FL</v>
      </c>
      <c r="C12" s="24">
        <v>9773.2999999999993</v>
      </c>
      <c r="D12" s="13" t="s">
        <v>22</v>
      </c>
      <c r="E12" s="13" t="str">
        <f t="shared" si="0"/>
        <v/>
      </c>
      <c r="F12" s="14" t="str">
        <f t="shared" si="3"/>
        <v/>
      </c>
      <c r="G12" s="82" t="s">
        <v>22</v>
      </c>
      <c r="H12" s="15" t="str">
        <f t="shared" si="1"/>
        <v/>
      </c>
      <c r="I12" s="16" t="str">
        <f t="shared" si="2"/>
        <v/>
      </c>
      <c r="J12" s="41" t="s">
        <v>102</v>
      </c>
      <c r="K12" s="77" t="s">
        <v>103</v>
      </c>
      <c r="L12" s="88" t="s">
        <v>104</v>
      </c>
    </row>
    <row r="13" spans="1:12" ht="15.6">
      <c r="A13" s="30" t="str">
        <v>Tampa</v>
      </c>
      <c r="B13" s="31" t="str">
        <v>FL</v>
      </c>
      <c r="C13" s="11">
        <v>2046.5</v>
      </c>
      <c r="D13" s="18" t="s">
        <v>22</v>
      </c>
      <c r="E13" s="18" t="str">
        <f t="shared" si="0"/>
        <v/>
      </c>
      <c r="F13" s="19" t="str">
        <f t="shared" si="3"/>
        <v/>
      </c>
      <c r="G13" s="83" t="s">
        <v>22</v>
      </c>
      <c r="H13" s="20" t="str">
        <f t="shared" si="1"/>
        <v/>
      </c>
      <c r="I13" s="19" t="str">
        <f t="shared" si="2"/>
        <v/>
      </c>
      <c r="J13" s="42"/>
      <c r="K13" s="43"/>
      <c r="L13" s="46"/>
    </row>
    <row r="14" spans="1:12" ht="15.6">
      <c r="A14" s="28" t="str">
        <v>Roswell</v>
      </c>
      <c r="B14" s="29" t="str">
        <v>GA</v>
      </c>
      <c r="C14" s="24">
        <v>6280.2</v>
      </c>
      <c r="D14" s="13" t="s">
        <v>22</v>
      </c>
      <c r="E14" s="13" t="str">
        <f t="shared" si="0"/>
        <v/>
      </c>
      <c r="F14" s="14" t="str">
        <f t="shared" si="3"/>
        <v/>
      </c>
      <c r="G14" s="82" t="s">
        <v>22</v>
      </c>
      <c r="H14" s="15" t="str">
        <f t="shared" si="1"/>
        <v/>
      </c>
      <c r="I14" s="16" t="str">
        <f t="shared" si="2"/>
        <v/>
      </c>
      <c r="J14" s="41" t="s">
        <v>105</v>
      </c>
      <c r="K14" s="77" t="s">
        <v>28</v>
      </c>
      <c r="L14" s="46"/>
    </row>
    <row r="15" spans="1:12" ht="15.6">
      <c r="A15" s="30" t="str">
        <v>Charlotte</v>
      </c>
      <c r="B15" s="31" t="str">
        <v>NC</v>
      </c>
      <c r="C15" s="11">
        <v>2322</v>
      </c>
      <c r="D15" s="18" t="s">
        <v>22</v>
      </c>
      <c r="E15" s="18" t="str">
        <f t="shared" si="0"/>
        <v/>
      </c>
      <c r="F15" s="19" t="str">
        <f t="shared" si="3"/>
        <v/>
      </c>
      <c r="G15" s="83" t="s">
        <v>22</v>
      </c>
      <c r="H15" s="20" t="str">
        <f t="shared" si="1"/>
        <v/>
      </c>
      <c r="I15" s="19" t="str">
        <f t="shared" si="2"/>
        <v/>
      </c>
      <c r="J15" s="42"/>
      <c r="K15" s="43"/>
      <c r="L15" s="46"/>
    </row>
    <row r="16" spans="1:12" ht="28.9">
      <c r="A16" s="28" t="str">
        <v>Raleigh</v>
      </c>
      <c r="B16" s="29" t="str">
        <v>NC</v>
      </c>
      <c r="C16" s="24">
        <v>3235.5</v>
      </c>
      <c r="D16" s="13" t="s">
        <v>22</v>
      </c>
      <c r="E16" s="13" t="str">
        <f t="shared" si="0"/>
        <v/>
      </c>
      <c r="F16" s="14" t="str">
        <f t="shared" si="3"/>
        <v/>
      </c>
      <c r="G16" s="82" t="s">
        <v>22</v>
      </c>
      <c r="H16" s="15" t="str">
        <f t="shared" si="1"/>
        <v/>
      </c>
      <c r="I16" s="16" t="str">
        <f t="shared" si="2"/>
        <v/>
      </c>
      <c r="J16" s="41" t="s">
        <v>87</v>
      </c>
      <c r="K16" s="77" t="s">
        <v>88</v>
      </c>
      <c r="L16" s="46"/>
    </row>
    <row r="17" spans="1:13" ht="15.6">
      <c r="A17" s="30" t="str">
        <v>Cordova</v>
      </c>
      <c r="B17" s="31" t="str">
        <v>TN</v>
      </c>
      <c r="C17" s="11">
        <v>3486.7</v>
      </c>
      <c r="D17" s="18" t="s">
        <v>22</v>
      </c>
      <c r="E17" s="18" t="str">
        <f t="shared" si="0"/>
        <v/>
      </c>
      <c r="F17" s="19" t="str">
        <f t="shared" si="3"/>
        <v/>
      </c>
      <c r="G17" s="83" t="s">
        <v>22</v>
      </c>
      <c r="H17" s="20" t="str">
        <f t="shared" si="1"/>
        <v/>
      </c>
      <c r="I17" s="19" t="str">
        <f t="shared" si="2"/>
        <v/>
      </c>
      <c r="J17" s="42"/>
      <c r="K17" s="43"/>
      <c r="L17" s="46"/>
    </row>
    <row r="18" spans="1:13" ht="12.75" customHeight="1">
      <c r="A18" s="28" t="str">
        <v>Austin</v>
      </c>
      <c r="B18" s="29" t="str">
        <v>TX</v>
      </c>
      <c r="C18" s="24">
        <v>2296.1999999999998</v>
      </c>
      <c r="D18" s="13" t="s">
        <v>22</v>
      </c>
      <c r="E18" s="13" t="str">
        <f t="shared" ref="E18:E23" si="4">IF(AND(ISNUMBER(C18),ISNUMBER(D18)), C18-D18, "")</f>
        <v/>
      </c>
      <c r="F18" s="14" t="str">
        <f t="shared" ref="F18:F28" si="5">IFERROR(E18/D18, "")</f>
        <v/>
      </c>
      <c r="G18" s="82" t="s">
        <v>22</v>
      </c>
      <c r="H18" s="15" t="str">
        <f t="shared" ref="H18:H24" si="6">IF(AND(ISNUMBER(C18),ISNUMBER(G18)), C18-G18, "")</f>
        <v/>
      </c>
      <c r="I18" s="16" t="str">
        <f>IFERROR(H18/G18, "")</f>
        <v/>
      </c>
      <c r="J18" s="41"/>
      <c r="K18" s="41"/>
      <c r="L18" s="46"/>
    </row>
    <row r="19" spans="1:13" ht="15.6">
      <c r="A19" s="30" t="str">
        <v>Frisco</v>
      </c>
      <c r="B19" s="31" t="str">
        <v>TX</v>
      </c>
      <c r="C19" s="11">
        <v>2969.8</v>
      </c>
      <c r="D19" s="18" t="s">
        <v>22</v>
      </c>
      <c r="E19" s="18" t="str">
        <f t="shared" si="4"/>
        <v/>
      </c>
      <c r="F19" s="19" t="str">
        <f t="shared" si="5"/>
        <v/>
      </c>
      <c r="G19" s="83" t="s">
        <v>22</v>
      </c>
      <c r="H19" s="20" t="str">
        <f t="shared" si="6"/>
        <v/>
      </c>
      <c r="I19" s="19" t="str">
        <f>IFERROR(H19/G19, "")</f>
        <v/>
      </c>
      <c r="J19" s="42"/>
      <c r="K19" s="43"/>
      <c r="L19" s="46"/>
    </row>
    <row r="20" spans="1:13" ht="72">
      <c r="A20" s="28" t="str">
        <v>Copperfield</v>
      </c>
      <c r="B20" s="29" t="str">
        <v>TX</v>
      </c>
      <c r="C20" s="24">
        <v>1657.1</v>
      </c>
      <c r="D20" s="13" t="s">
        <v>22</v>
      </c>
      <c r="E20" s="13" t="str">
        <f t="shared" si="4"/>
        <v/>
      </c>
      <c r="F20" s="14" t="str">
        <f t="shared" si="5"/>
        <v/>
      </c>
      <c r="G20" s="82" t="s">
        <v>22</v>
      </c>
      <c r="H20" s="15" t="str">
        <f t="shared" si="6"/>
        <v/>
      </c>
      <c r="I20" s="16" t="str">
        <f>IFERROR(H20/G20, "")</f>
        <v/>
      </c>
      <c r="J20" s="41" t="s">
        <v>57</v>
      </c>
      <c r="K20" s="77" t="s">
        <v>106</v>
      </c>
      <c r="L20" s="85" t="s">
        <v>59</v>
      </c>
      <c r="M20" s="86" t="s">
        <v>90</v>
      </c>
    </row>
    <row r="21" spans="1:13" ht="28.9">
      <c r="A21" s="30" t="str">
        <v>Charlotte - B of A - 1 BAC</v>
      </c>
      <c r="B21" s="31" t="str">
        <v>NC</v>
      </c>
      <c r="C21" s="11">
        <v>0</v>
      </c>
      <c r="D21" s="18" t="s">
        <v>22</v>
      </c>
      <c r="E21" s="18" t="str">
        <f t="shared" si="4"/>
        <v/>
      </c>
      <c r="F21" s="19" t="str">
        <f t="shared" si="5"/>
        <v/>
      </c>
      <c r="G21" s="83" t="s">
        <v>22</v>
      </c>
      <c r="H21" s="20" t="str">
        <f t="shared" si="6"/>
        <v/>
      </c>
      <c r="I21" s="19" t="str">
        <f>IFERROR(H21/G21, "")</f>
        <v/>
      </c>
      <c r="J21" s="42" t="s">
        <v>91</v>
      </c>
      <c r="K21" s="84" t="s">
        <v>92</v>
      </c>
      <c r="L21" s="46"/>
    </row>
    <row r="22" spans="1:13" ht="28.9">
      <c r="A22" s="28" t="str">
        <v>Charlotte - B of A - 401 N Tryon</v>
      </c>
      <c r="B22" s="29" t="str">
        <v>NC</v>
      </c>
      <c r="C22" s="24">
        <v>0</v>
      </c>
      <c r="D22" s="13" t="s">
        <v>22</v>
      </c>
      <c r="E22" s="13" t="str">
        <f t="shared" si="4"/>
        <v/>
      </c>
      <c r="F22" s="14" t="str">
        <f t="shared" si="5"/>
        <v/>
      </c>
      <c r="G22" s="82" t="s">
        <v>22</v>
      </c>
      <c r="H22" s="15" t="str">
        <f t="shared" si="6"/>
        <v/>
      </c>
      <c r="I22" s="16" t="str">
        <f t="shared" ref="I22:I28" si="7">IFERROR(H22/G22, "")</f>
        <v/>
      </c>
      <c r="J22" s="41" t="s">
        <v>91</v>
      </c>
      <c r="K22" s="77" t="s">
        <v>93</v>
      </c>
    </row>
    <row r="23" spans="1:13" ht="28.9">
      <c r="A23" s="30" t="str">
        <v>Chandler - B of A Campus Bldg A</v>
      </c>
      <c r="B23" s="31" t="str">
        <v>AZ</v>
      </c>
      <c r="C23" s="11">
        <v>0</v>
      </c>
      <c r="D23" s="18" t="s">
        <v>22</v>
      </c>
      <c r="E23" s="18" t="str">
        <f t="shared" si="4"/>
        <v/>
      </c>
      <c r="F23" s="19" t="str">
        <f t="shared" si="5"/>
        <v/>
      </c>
      <c r="G23" s="83" t="s">
        <v>22</v>
      </c>
      <c r="H23" s="20" t="str">
        <f t="shared" si="6"/>
        <v/>
      </c>
      <c r="I23" s="19" t="str">
        <f t="shared" si="7"/>
        <v/>
      </c>
      <c r="J23" s="42" t="s">
        <v>94</v>
      </c>
      <c r="K23" s="84" t="s">
        <v>95</v>
      </c>
      <c r="L23" s="86" t="s">
        <v>60</v>
      </c>
    </row>
    <row r="24" spans="1:13" ht="28.9">
      <c r="A24" s="28" t="str">
        <v>Chandler - B of A Campus Bldg B</v>
      </c>
      <c r="B24" s="29" t="str">
        <v>AZ</v>
      </c>
      <c r="C24" s="24">
        <v>0</v>
      </c>
      <c r="D24" s="13" t="s">
        <v>22</v>
      </c>
      <c r="E24" s="13" t="str">
        <f t="shared" ref="E24:E28" si="8">IF(AND(ISNUMBER(C24),ISNUMBER(D24)), C24-D24, "")</f>
        <v/>
      </c>
      <c r="F24" s="14" t="str">
        <f t="shared" si="5"/>
        <v/>
      </c>
      <c r="G24" s="82" t="s">
        <v>22</v>
      </c>
      <c r="H24" s="15" t="str">
        <f t="shared" si="6"/>
        <v/>
      </c>
      <c r="I24" s="16" t="str">
        <f t="shared" si="7"/>
        <v/>
      </c>
      <c r="J24" s="41" t="s">
        <v>94</v>
      </c>
      <c r="K24" s="77" t="s">
        <v>95</v>
      </c>
      <c r="L24" s="86" t="s">
        <v>60</v>
      </c>
    </row>
    <row r="25" spans="1:13" ht="28.9">
      <c r="A25" s="30" t="str">
        <v>Chandler - B of A Campus Bldg C</v>
      </c>
      <c r="B25" s="31" t="str">
        <v>AZ</v>
      </c>
      <c r="C25" s="11">
        <v>0</v>
      </c>
      <c r="D25" s="18" t="s">
        <v>22</v>
      </c>
      <c r="E25" s="18" t="str">
        <f t="shared" si="8"/>
        <v/>
      </c>
      <c r="F25" s="19" t="str">
        <f t="shared" si="5"/>
        <v/>
      </c>
      <c r="G25" s="83" t="s">
        <v>22</v>
      </c>
      <c r="H25" s="20" t="str">
        <f t="shared" ref="H25:H28" si="9">IF(AND(ISNUMBER(C25),ISNUMBER(G25)), C25-G25, "")</f>
        <v/>
      </c>
      <c r="I25" s="19" t="str">
        <f t="shared" si="7"/>
        <v/>
      </c>
      <c r="J25" s="42" t="s">
        <v>94</v>
      </c>
      <c r="K25" s="84" t="s">
        <v>95</v>
      </c>
      <c r="L25" s="86" t="s">
        <v>60</v>
      </c>
    </row>
    <row r="26" spans="1:13" ht="28.9">
      <c r="A26" s="28" t="str">
        <v>Chandler - B of A Campus Bldg D</v>
      </c>
      <c r="B26" s="29" t="str">
        <v>AZ</v>
      </c>
      <c r="C26" s="24">
        <v>0</v>
      </c>
      <c r="D26" s="13" t="s">
        <v>22</v>
      </c>
      <c r="E26" s="13" t="str">
        <f t="shared" si="8"/>
        <v/>
      </c>
      <c r="F26" s="14" t="str">
        <f t="shared" si="5"/>
        <v/>
      </c>
      <c r="G26" s="82" t="s">
        <v>22</v>
      </c>
      <c r="H26" s="15" t="str">
        <f t="shared" si="9"/>
        <v/>
      </c>
      <c r="I26" s="16" t="str">
        <f t="shared" si="7"/>
        <v/>
      </c>
      <c r="J26" s="41" t="s">
        <v>94</v>
      </c>
      <c r="K26" s="77" t="s">
        <v>95</v>
      </c>
      <c r="L26" s="86" t="s">
        <v>60</v>
      </c>
    </row>
    <row r="27" spans="1:13" ht="28.9">
      <c r="A27" s="30" t="str">
        <v>Tampa - BoA Ekman</v>
      </c>
      <c r="B27" s="31" t="str">
        <v>FL</v>
      </c>
      <c r="C27" s="11">
        <v>0</v>
      </c>
      <c r="D27" s="18" t="s">
        <v>22</v>
      </c>
      <c r="E27" s="18" t="str">
        <f t="shared" si="8"/>
        <v/>
      </c>
      <c r="F27" s="19" t="str">
        <f t="shared" si="5"/>
        <v/>
      </c>
      <c r="G27" s="83" t="s">
        <v>22</v>
      </c>
      <c r="H27" s="20" t="str">
        <f t="shared" si="9"/>
        <v/>
      </c>
      <c r="I27" s="19" t="str">
        <f t="shared" si="7"/>
        <v/>
      </c>
      <c r="J27" s="42" t="s">
        <v>96</v>
      </c>
      <c r="K27" s="84" t="s">
        <v>97</v>
      </c>
    </row>
    <row r="28" spans="1:13" ht="28.9">
      <c r="A28" s="28" t="str">
        <v>Charlotte - B of A - Sherrill</v>
      </c>
      <c r="B28" s="29" t="str">
        <v>NC</v>
      </c>
      <c r="C28" s="24">
        <v>0</v>
      </c>
      <c r="D28" s="13" t="s">
        <v>22</v>
      </c>
      <c r="E28" s="13" t="str">
        <f t="shared" si="8"/>
        <v/>
      </c>
      <c r="F28" s="14" t="str">
        <f t="shared" si="5"/>
        <v/>
      </c>
      <c r="G28" s="82" t="s">
        <v>22</v>
      </c>
      <c r="H28" s="15" t="str">
        <f t="shared" si="9"/>
        <v/>
      </c>
      <c r="I28" s="16" t="str">
        <f t="shared" si="7"/>
        <v/>
      </c>
      <c r="J28" s="41" t="s">
        <v>43</v>
      </c>
      <c r="K28" s="77" t="s">
        <v>44</v>
      </c>
    </row>
    <row r="29" spans="1:13" ht="14.45">
      <c r="A29" s="21"/>
      <c r="B29" s="33"/>
      <c r="C29" s="21"/>
      <c r="D29" s="21"/>
      <c r="E29" s="21"/>
      <c r="F29" s="21"/>
      <c r="G29" s="21"/>
      <c r="H29" s="21"/>
      <c r="I29" s="21"/>
      <c r="J29" s="21"/>
      <c r="K29" s="21"/>
    </row>
    <row r="30" spans="1:13" ht="14.45">
      <c r="A30" s="21"/>
      <c r="B30" s="33"/>
      <c r="C30" s="21"/>
      <c r="D30" s="21"/>
      <c r="E30" s="21"/>
      <c r="F30" s="21"/>
      <c r="G30" s="21"/>
      <c r="H30" s="21"/>
      <c r="I30" s="21"/>
      <c r="J30" s="21"/>
      <c r="K30" s="21"/>
    </row>
    <row r="31" spans="1:13" ht="14.45">
      <c r="A31" s="21"/>
      <c r="B31" s="33"/>
      <c r="C31" s="21"/>
      <c r="D31" s="21"/>
      <c r="E31" s="21"/>
      <c r="F31" s="22"/>
      <c r="G31" s="21"/>
      <c r="H31" s="21"/>
      <c r="I31" s="22"/>
      <c r="J31" s="21"/>
      <c r="K31" s="21"/>
    </row>
    <row r="32" spans="1:13"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conditionalFormatting sqref="F2 I2 F4:F98 I4:I98">
    <cfRule type="cellIs" dxfId="18" priority="3" stopIfTrue="1" operator="lessThanOrEqual">
      <formula>-0.1</formula>
    </cfRule>
    <cfRule type="expression" dxfId="17" priority="4">
      <formula>AND(ISNUMBER(F2), F2&gt;=0.1)</formula>
    </cfRule>
  </conditionalFormatting>
  <hyperlinks>
    <hyperlink ref="K5" r:id="rId1" display="https://us3.assetplanner.com/service_request?ID=097705" xr:uid="{5E126CDE-E85B-4A75-B647-94AC9C3A37E0}"/>
    <hyperlink ref="K6" r:id="rId2" display="https://us3.assetplanner.com/service_request?ID=099003" xr:uid="{B9E9D2BB-4F0C-4A34-BF4F-5271365F49BE}"/>
    <hyperlink ref="K7" r:id="rId3" display="https://us3.assetplanner.com/service_request?ID=090283" xr:uid="{82C10B11-3636-41C1-9CE7-80D2ECBF7A9C}"/>
    <hyperlink ref="K10" r:id="rId4" display="https://us3.assetplanner.com/service_request?ID=100345" xr:uid="{D34994CD-12E1-45C2-9AB1-163C44B6F8E6}"/>
    <hyperlink ref="K12" r:id="rId5" display="https://us3.assetplanner.com/service_request?ID=095856" xr:uid="{28F6A6D5-9C27-4BED-AE4E-06779DFAA974}"/>
    <hyperlink ref="L12" r:id="rId6" display="https://us3.assetplanner.com/service_request?ID=101165" xr:uid="{A32595E1-77CB-49BD-9EC0-9AD831290FCF}"/>
    <hyperlink ref="K14" r:id="rId7" display="https://us3.assetplanner.com/service_request?ID=087006" xr:uid="{A510BE86-BDF9-434A-B58C-23B441EBE378}"/>
    <hyperlink ref="K16" r:id="rId8" display="https://us3.assetplanner.com/service_request?ID=099372" xr:uid="{584E8A03-BEBE-4D39-8567-C573AFBF3605}"/>
    <hyperlink ref="K20" r:id="rId9" display="https://us3.assetplanner.com/service_request?ID=094284" xr:uid="{CBDD5052-2901-49B7-80A2-61E7A638E3D9}"/>
    <hyperlink ref="L20" r:id="rId10" display="https://us3.assetplanner.com/service_request?ID=097692" xr:uid="{0E5D22A1-F65B-4752-BD07-F7A51E803228}"/>
    <hyperlink ref="M20" r:id="rId11" display="https://us3.assetplanner.com/service_request?ID=101677" xr:uid="{C34754F2-F6AA-472A-B832-BD316FDFC842}"/>
    <hyperlink ref="K21" r:id="rId12" display="https://us3.assetplanner.com/service_request?ID=086583" xr:uid="{B677AB3D-AFF3-4BD8-A5DF-0CAB11D086D8}"/>
    <hyperlink ref="K22" r:id="rId13" display="https://us3.assetplanner.com/service_request?ID=086584" xr:uid="{1CD50B82-4E15-4ECC-9086-687A536E50B0}"/>
    <hyperlink ref="K23" r:id="rId14" display="https://us3.assetplanner.com/service_request?ID=095935" xr:uid="{48D10D1D-2C56-4888-9B35-DB231EEAA9CF}"/>
    <hyperlink ref="L23" r:id="rId15" display="https://us3.assetplanner.com/service_request?ID=095456" xr:uid="{487379FC-0CB1-4C5C-929B-673F5D4A6B95}"/>
    <hyperlink ref="K24" r:id="rId16" display="https://us3.assetplanner.com/service_request?ID=095935" xr:uid="{CCE27942-7E6D-4376-B091-BCC82ED9C01C}"/>
    <hyperlink ref="L24" r:id="rId17" display="https://us3.assetplanner.com/service_request?ID=095456" xr:uid="{4D52BA4A-5D4F-4F94-AEB3-278C6C306E6B}"/>
    <hyperlink ref="K25" r:id="rId18" display="https://us3.assetplanner.com/service_request?ID=095935" xr:uid="{D613EAC2-FE83-43C2-BBBD-CD377ADAF71D}"/>
    <hyperlink ref="L25" r:id="rId19" display="https://us3.assetplanner.com/service_request?ID=095456" xr:uid="{9561A360-29F1-4D4E-B33A-6BCB5F0026D4}"/>
    <hyperlink ref="K26" r:id="rId20" display="https://us3.assetplanner.com/service_request?ID=095935" xr:uid="{6238DDE7-4A78-4EF7-A7DF-45D489E4BE3B}"/>
    <hyperlink ref="L26" r:id="rId21" display="https://us3.assetplanner.com/service_request?ID=095456" xr:uid="{09AB9BE0-BC0B-4FE9-8001-157B5B73AA14}"/>
    <hyperlink ref="K27" r:id="rId22" display="https://us3.assetplanner.com/service_request?ID=096384" xr:uid="{B62D59CF-AC96-4BA7-B74D-42D56420CBAD}"/>
    <hyperlink ref="K28" r:id="rId23" display="https://us3.assetplanner.com/service_request?ID=086585" xr:uid="{1FDFBAFE-AED0-4EB3-92FC-48A18BD45419}"/>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340"/>
  <sheetViews>
    <sheetView zoomScale="80" zoomScaleNormal="80" workbookViewId="0">
      <pane xSplit="2" ySplit="3" topLeftCell="J21" activePane="bottomRight" state="frozen"/>
      <selection pane="bottomRight" activeCell="J21" sqref="J21"/>
      <selection pane="bottomLeft" activeCell="F26" sqref="F26"/>
      <selection pane="topRight" activeCell="F26" sqref="F26"/>
    </sheetView>
  </sheetViews>
  <sheetFormatPr defaultRowHeight="13.9"/>
  <cols>
    <col min="1" max="1" width="35.85546875" bestFit="1" customWidth="1"/>
    <col min="2" max="2" width="8.42578125" style="34" customWidth="1"/>
    <col min="3" max="3" width="15.285156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91" t="str" cm="1">
        <f t="array" ref="A1">portfolio</f>
        <v>JLL</v>
      </c>
      <c r="B1" s="91"/>
      <c r="C1" s="91"/>
      <c r="D1" s="92" t="s">
        <v>107</v>
      </c>
      <c r="E1" s="92"/>
      <c r="F1" s="92"/>
      <c r="G1" s="90" t="s">
        <v>108</v>
      </c>
      <c r="H1" s="90"/>
      <c r="I1" s="90"/>
      <c r="J1" s="4"/>
      <c r="K1" s="4"/>
    </row>
    <row r="2" spans="1:12" ht="19.5" customHeight="1">
      <c r="A2" s="93" t="s">
        <v>2</v>
      </c>
      <c r="B2" s="93"/>
      <c r="C2" s="5">
        <f>SUM(C4:C98)</f>
        <v>0</v>
      </c>
      <c r="D2" s="5">
        <f>SUM(D4:D98)</f>
        <v>0</v>
      </c>
      <c r="E2" s="5">
        <f>C2-D2</f>
        <v>0</v>
      </c>
      <c r="F2" s="6">
        <f>IFERROR(E2/D2, 0)</f>
        <v>0</v>
      </c>
      <c r="G2" s="5">
        <f>SUM(G4:G98)</f>
        <v>0</v>
      </c>
      <c r="H2" s="7">
        <f>C2-G2</f>
        <v>0</v>
      </c>
      <c r="I2" s="6">
        <f>IFERROR(H2/G2, 0)</f>
        <v>0</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38" t="s">
        <v>7</v>
      </c>
      <c r="I3" s="39" t="s">
        <v>8</v>
      </c>
      <c r="J3" s="25" t="s">
        <v>20</v>
      </c>
      <c r="K3" s="25" t="s">
        <v>21</v>
      </c>
    </row>
    <row r="4" spans="1:12" ht="15.6">
      <c r="A4" s="32" t="str" cm="1">
        <f t="array" ref="A4:A28">Sites[Site]</f>
        <v>Bullhead</v>
      </c>
      <c r="B4" s="29" t="str" cm="1">
        <f t="array" ref="B4:B28">Sites[State]</f>
        <v>AZ</v>
      </c>
      <c r="C4" s="24"/>
      <c r="D4" s="13">
        <v>0</v>
      </c>
      <c r="E4" s="13" t="str">
        <f>IF(AND(ISNUMBER(C4),ISNUMBER(D4)), C4-D4, "")</f>
        <v/>
      </c>
      <c r="F4" s="14" t="str">
        <f>IFERROR(E4/D4, "")</f>
        <v/>
      </c>
      <c r="G4" s="15">
        <v>0</v>
      </c>
      <c r="H4" s="15" t="str">
        <f>IF(AND(ISNUMBER(C4),ISNUMBER(G4)), C4-G4, "")</f>
        <v/>
      </c>
      <c r="I4" s="16" t="str">
        <f>IFERROR(H4/G4, "")</f>
        <v/>
      </c>
      <c r="J4" s="41"/>
      <c r="K4" s="41"/>
      <c r="L4" s="46"/>
    </row>
    <row r="5" spans="1:12" ht="15.6">
      <c r="A5" s="30" t="str">
        <v>Peoria</v>
      </c>
      <c r="B5" s="31" t="str">
        <v>AZ</v>
      </c>
      <c r="C5" s="11"/>
      <c r="D5" s="18">
        <v>0</v>
      </c>
      <c r="E5" s="18" t="str">
        <f t="shared" ref="E5:E17" si="0">IF(AND(ISNUMBER(C5),ISNUMBER(D5)), C5-D5, "")</f>
        <v/>
      </c>
      <c r="F5" s="19" t="str">
        <f>IFERROR(E5/D5, "")</f>
        <v/>
      </c>
      <c r="G5" s="20">
        <v>0</v>
      </c>
      <c r="H5" s="20" t="str">
        <f t="shared" ref="H5:H17" si="1">IF(AND(ISNUMBER(C5),ISNUMBER(G5)), C5-G5, "")</f>
        <v/>
      </c>
      <c r="I5" s="19" t="str">
        <f t="shared" ref="I5:I17" si="2">IFERROR(H5/G5, "")</f>
        <v/>
      </c>
      <c r="J5" s="42" t="s">
        <v>109</v>
      </c>
      <c r="K5" s="42"/>
      <c r="L5" s="46"/>
    </row>
    <row r="6" spans="1:12" ht="15.6">
      <c r="A6" s="28" t="str">
        <v>Tucson</v>
      </c>
      <c r="B6" s="29" t="str">
        <v>AZ</v>
      </c>
      <c r="C6" s="24"/>
      <c r="D6" s="13">
        <v>0</v>
      </c>
      <c r="E6" s="13" t="str">
        <f t="shared" si="0"/>
        <v/>
      </c>
      <c r="F6" s="14" t="str">
        <f t="shared" ref="F6:F17" si="3">IFERROR(E6/D6, "")</f>
        <v/>
      </c>
      <c r="G6" s="15">
        <v>0</v>
      </c>
      <c r="H6" s="15" t="str">
        <f t="shared" si="1"/>
        <v/>
      </c>
      <c r="I6" s="16" t="str">
        <f t="shared" si="2"/>
        <v/>
      </c>
      <c r="J6" s="41" t="s">
        <v>109</v>
      </c>
      <c r="K6" s="41"/>
      <c r="L6" s="46"/>
    </row>
    <row r="7" spans="1:12" ht="15.6">
      <c r="A7" s="30" t="str">
        <v>Hialeah</v>
      </c>
      <c r="B7" s="31" t="str">
        <v>FL</v>
      </c>
      <c r="C7" s="11"/>
      <c r="D7" s="18"/>
      <c r="E7" s="18" t="str">
        <f t="shared" si="0"/>
        <v/>
      </c>
      <c r="F7" s="19" t="str">
        <f t="shared" si="3"/>
        <v/>
      </c>
      <c r="G7" s="20"/>
      <c r="H7" s="20" t="str">
        <f t="shared" si="1"/>
        <v/>
      </c>
      <c r="I7" s="19" t="str">
        <f t="shared" si="2"/>
        <v/>
      </c>
      <c r="J7" s="42"/>
      <c r="K7" s="42"/>
      <c r="L7" s="46"/>
    </row>
    <row r="8" spans="1:12" ht="15.6">
      <c r="A8" s="28" t="str">
        <v>Jacksonville</v>
      </c>
      <c r="B8" s="29" t="str">
        <v>FL</v>
      </c>
      <c r="C8" s="24"/>
      <c r="D8" s="13"/>
      <c r="E8" s="13" t="str">
        <f t="shared" si="0"/>
        <v/>
      </c>
      <c r="F8" s="14" t="str">
        <f t="shared" si="3"/>
        <v/>
      </c>
      <c r="G8" s="15"/>
      <c r="H8" s="15" t="str">
        <f t="shared" si="1"/>
        <v/>
      </c>
      <c r="I8" s="16" t="str">
        <f t="shared" si="2"/>
        <v/>
      </c>
      <c r="J8" s="41"/>
      <c r="K8" s="41"/>
      <c r="L8" s="46"/>
    </row>
    <row r="9" spans="1:12" ht="15.6">
      <c r="A9" s="30" t="str">
        <v>Miami Gardens</v>
      </c>
      <c r="B9" s="31" t="str">
        <v>FL</v>
      </c>
      <c r="C9" s="11"/>
      <c r="D9" s="18"/>
      <c r="E9" s="18" t="str">
        <f t="shared" si="0"/>
        <v/>
      </c>
      <c r="F9" s="19" t="str">
        <f t="shared" si="3"/>
        <v/>
      </c>
      <c r="G9" s="20"/>
      <c r="H9" s="20" t="str">
        <f t="shared" si="1"/>
        <v/>
      </c>
      <c r="I9" s="19" t="str">
        <f t="shared" si="2"/>
        <v/>
      </c>
      <c r="J9" s="42"/>
      <c r="K9" s="42"/>
      <c r="L9" s="46"/>
    </row>
    <row r="10" spans="1:12" ht="15.6">
      <c r="A10" s="28" t="str">
        <v>Fort Myers</v>
      </c>
      <c r="B10" s="29" t="str">
        <v>FL</v>
      </c>
      <c r="C10" s="24"/>
      <c r="D10" s="13"/>
      <c r="E10" s="13" t="str">
        <f t="shared" si="0"/>
        <v/>
      </c>
      <c r="F10" s="14" t="str">
        <f t="shared" si="3"/>
        <v/>
      </c>
      <c r="G10" s="15"/>
      <c r="H10" s="15" t="str">
        <f t="shared" si="1"/>
        <v/>
      </c>
      <c r="I10" s="16" t="str">
        <f t="shared" si="2"/>
        <v/>
      </c>
      <c r="J10" s="41"/>
      <c r="K10" s="41"/>
      <c r="L10" s="46"/>
    </row>
    <row r="11" spans="1:12" ht="15.6">
      <c r="A11" s="30" t="str">
        <v>Orlando</v>
      </c>
      <c r="B11" s="31" t="str">
        <v>FL</v>
      </c>
      <c r="C11" s="11"/>
      <c r="D11" s="18"/>
      <c r="E11" s="18" t="str">
        <f t="shared" si="0"/>
        <v/>
      </c>
      <c r="F11" s="19" t="str">
        <f t="shared" si="3"/>
        <v/>
      </c>
      <c r="G11" s="20"/>
      <c r="H11" s="20" t="str">
        <f t="shared" si="1"/>
        <v/>
      </c>
      <c r="I11" s="19" t="str">
        <f t="shared" si="2"/>
        <v/>
      </c>
      <c r="J11" s="42"/>
      <c r="K11" s="42"/>
      <c r="L11" s="46"/>
    </row>
    <row r="12" spans="1:12" ht="15.6">
      <c r="A12" s="28" t="str">
        <v>Port St. Lucie</v>
      </c>
      <c r="B12" s="29" t="str">
        <v>FL</v>
      </c>
      <c r="C12" s="24"/>
      <c r="D12" s="13"/>
      <c r="E12" s="13" t="str">
        <f t="shared" si="0"/>
        <v/>
      </c>
      <c r="F12" s="14" t="str">
        <f t="shared" si="3"/>
        <v/>
      </c>
      <c r="G12" s="15"/>
      <c r="H12" s="15" t="str">
        <f t="shared" si="1"/>
        <v/>
      </c>
      <c r="I12" s="16" t="str">
        <f t="shared" si="2"/>
        <v/>
      </c>
      <c r="J12" s="41"/>
      <c r="K12" s="41"/>
      <c r="L12" s="46"/>
    </row>
    <row r="13" spans="1:12" ht="15.6">
      <c r="A13" s="30" t="str">
        <v>Tampa</v>
      </c>
      <c r="B13" s="31" t="str">
        <v>FL</v>
      </c>
      <c r="C13" s="11"/>
      <c r="D13" s="18"/>
      <c r="E13" s="18" t="str">
        <f t="shared" si="0"/>
        <v/>
      </c>
      <c r="F13" s="19" t="str">
        <f t="shared" si="3"/>
        <v/>
      </c>
      <c r="G13" s="20"/>
      <c r="H13" s="20" t="str">
        <f t="shared" si="1"/>
        <v/>
      </c>
      <c r="I13" s="19" t="str">
        <f t="shared" si="2"/>
        <v/>
      </c>
      <c r="J13" s="42"/>
      <c r="K13" s="42"/>
      <c r="L13" s="46"/>
    </row>
    <row r="14" spans="1:12" ht="15.6">
      <c r="A14" s="28" t="str">
        <v>Roswell</v>
      </c>
      <c r="B14" s="29" t="str">
        <v>GA</v>
      </c>
      <c r="C14" s="24"/>
      <c r="D14" s="13"/>
      <c r="E14" s="13" t="str">
        <f t="shared" si="0"/>
        <v/>
      </c>
      <c r="F14" s="14" t="str">
        <f t="shared" si="3"/>
        <v/>
      </c>
      <c r="G14" s="15"/>
      <c r="H14" s="15" t="str">
        <f t="shared" si="1"/>
        <v/>
      </c>
      <c r="I14" s="16" t="str">
        <f t="shared" si="2"/>
        <v/>
      </c>
      <c r="J14" s="41"/>
      <c r="K14" s="41"/>
      <c r="L14" s="46"/>
    </row>
    <row r="15" spans="1:12" ht="15.6">
      <c r="A15" s="30" t="str">
        <v>Charlotte</v>
      </c>
      <c r="B15" s="31" t="str">
        <v>NC</v>
      </c>
      <c r="C15" s="11"/>
      <c r="D15" s="18"/>
      <c r="E15" s="18" t="str">
        <f t="shared" si="0"/>
        <v/>
      </c>
      <c r="F15" s="19" t="str">
        <f t="shared" si="3"/>
        <v/>
      </c>
      <c r="G15" s="20"/>
      <c r="H15" s="20" t="str">
        <f t="shared" si="1"/>
        <v/>
      </c>
      <c r="I15" s="19" t="str">
        <f t="shared" si="2"/>
        <v/>
      </c>
      <c r="J15" s="42"/>
      <c r="K15" s="42"/>
      <c r="L15" s="46"/>
    </row>
    <row r="16" spans="1:12" ht="15.6">
      <c r="A16" s="28" t="str">
        <v>Raleigh</v>
      </c>
      <c r="B16" s="29" t="str">
        <v>NC</v>
      </c>
      <c r="C16" s="24"/>
      <c r="D16" s="13"/>
      <c r="E16" s="13" t="str">
        <f t="shared" si="0"/>
        <v/>
      </c>
      <c r="F16" s="14" t="str">
        <f t="shared" si="3"/>
        <v/>
      </c>
      <c r="G16" s="15"/>
      <c r="H16" s="15" t="str">
        <f t="shared" si="1"/>
        <v/>
      </c>
      <c r="I16" s="16" t="str">
        <f t="shared" si="2"/>
        <v/>
      </c>
      <c r="J16" s="41"/>
      <c r="K16" s="41"/>
      <c r="L16" s="46"/>
    </row>
    <row r="17" spans="1:12" ht="15.6">
      <c r="A17" s="30" t="str">
        <v>Cordova</v>
      </c>
      <c r="B17" s="31" t="str">
        <v>TN</v>
      </c>
      <c r="C17" s="11"/>
      <c r="D17" s="18"/>
      <c r="E17" s="18" t="str">
        <f t="shared" si="0"/>
        <v/>
      </c>
      <c r="F17" s="19" t="str">
        <f t="shared" si="3"/>
        <v/>
      </c>
      <c r="G17" s="20"/>
      <c r="H17" s="20" t="str">
        <f t="shared" si="1"/>
        <v/>
      </c>
      <c r="I17" s="19" t="str">
        <f t="shared" si="2"/>
        <v/>
      </c>
      <c r="J17" s="42"/>
      <c r="K17" s="42"/>
      <c r="L17" s="46"/>
    </row>
    <row r="18" spans="1:12" ht="30" customHeight="1">
      <c r="A18" s="28" t="str">
        <v>Austin</v>
      </c>
      <c r="B18" s="29" t="str">
        <v>TX</v>
      </c>
      <c r="C18" s="24"/>
      <c r="D18" s="13"/>
      <c r="E18" s="13" t="str">
        <f>IF(AND(ISNUMBER(C18),ISNUMBER(D18)), C18-D18, "")</f>
        <v/>
      </c>
      <c r="F18" s="14" t="str">
        <f t="shared" ref="F18:F28" si="4">IFERROR(E18/D18, "")</f>
        <v/>
      </c>
      <c r="G18" s="15"/>
      <c r="H18" s="15" t="str">
        <f t="shared" ref="H18:H23" si="5">IF(AND(ISNUMBER(C18),ISNUMBER(G18)), C18-G18, "")</f>
        <v/>
      </c>
      <c r="I18" s="16" t="str">
        <f>IFERROR(H18/G18, "")</f>
        <v/>
      </c>
      <c r="J18" s="41"/>
      <c r="K18" s="41"/>
      <c r="L18" s="46"/>
    </row>
    <row r="19" spans="1:12" ht="15.6">
      <c r="A19" s="30" t="str">
        <v>Frisco</v>
      </c>
      <c r="B19" s="31" t="str">
        <v>TX</v>
      </c>
      <c r="C19" s="11"/>
      <c r="D19" s="18"/>
      <c r="E19" s="18" t="str">
        <f>IF(AND(ISNUMBER(C19),ISNUMBER(D19)), C19-D19, "")</f>
        <v/>
      </c>
      <c r="F19" s="19" t="str">
        <f t="shared" si="4"/>
        <v/>
      </c>
      <c r="G19" s="20"/>
      <c r="H19" s="20" t="str">
        <f t="shared" si="5"/>
        <v/>
      </c>
      <c r="I19" s="19" t="str">
        <f>IFERROR(H19/G19, "")</f>
        <v/>
      </c>
      <c r="J19" s="42"/>
      <c r="K19" s="42"/>
      <c r="L19" s="46"/>
    </row>
    <row r="20" spans="1:12" ht="15.6">
      <c r="A20" s="28" t="str">
        <v>Copperfield</v>
      </c>
      <c r="B20" s="29" t="str">
        <v>TX</v>
      </c>
      <c r="C20" s="24"/>
      <c r="D20" s="13"/>
      <c r="E20" s="13" t="str">
        <f>IF(AND(ISNUMBER(C20),ISNUMBER(D20)), C20-D20, "")</f>
        <v/>
      </c>
      <c r="F20" s="14" t="str">
        <f t="shared" si="4"/>
        <v/>
      </c>
      <c r="G20" s="15"/>
      <c r="H20" s="15" t="str">
        <f t="shared" si="5"/>
        <v/>
      </c>
      <c r="I20" s="16" t="str">
        <f>IFERROR(H20/G20, "")</f>
        <v/>
      </c>
      <c r="J20" s="41"/>
      <c r="K20" s="41"/>
      <c r="L20" s="46"/>
    </row>
    <row r="21" spans="1:12" ht="15.6">
      <c r="A21" s="30" t="str">
        <v>Charlotte - B of A - 1 BAC</v>
      </c>
      <c r="B21" s="31" t="str">
        <v>NC</v>
      </c>
      <c r="C21" s="11"/>
      <c r="D21" s="18"/>
      <c r="E21" s="18" t="str">
        <f>IF(AND(ISNUMBER(C21),ISNUMBER(D21)), C21-D21, "")</f>
        <v/>
      </c>
      <c r="F21" s="19" t="str">
        <f t="shared" si="4"/>
        <v/>
      </c>
      <c r="G21" s="20"/>
      <c r="H21" s="20" t="str">
        <f t="shared" si="5"/>
        <v/>
      </c>
      <c r="I21" s="19" t="str">
        <f>IFERROR(H21/G21, "")</f>
        <v/>
      </c>
      <c r="J21" s="42"/>
      <c r="K21" s="42"/>
      <c r="L21" s="46"/>
    </row>
    <row r="22" spans="1:12" ht="15.6">
      <c r="A22" s="28" t="str">
        <v>Charlotte - B of A - 401 N Tryon</v>
      </c>
      <c r="B22" s="29" t="str">
        <v>NC</v>
      </c>
      <c r="C22" s="24"/>
      <c r="D22" s="13"/>
      <c r="E22" s="13" t="str">
        <f>IF(AND(ISNUMBER(C22),ISNUMBER(D22)), C22-D22, "")</f>
        <v/>
      </c>
      <c r="F22" s="14" t="str">
        <f t="shared" si="4"/>
        <v/>
      </c>
      <c r="G22" s="15"/>
      <c r="H22" s="15" t="str">
        <f t="shared" si="5"/>
        <v/>
      </c>
      <c r="I22" s="16" t="str">
        <f t="shared" ref="I22:I28" si="6">IFERROR(H22/G22, "")</f>
        <v/>
      </c>
      <c r="J22" s="41"/>
      <c r="K22" s="41"/>
    </row>
    <row r="23" spans="1:12" ht="15.6">
      <c r="A23" s="30" t="str">
        <v>Chandler - B of A Campus Bldg A</v>
      </c>
      <c r="B23" s="31" t="str">
        <v>AZ</v>
      </c>
      <c r="C23" s="11"/>
      <c r="D23" s="18"/>
      <c r="E23" s="18" t="str">
        <f t="shared" ref="E23:E28" si="7">IF(AND(ISNUMBER(C23),ISNUMBER(D23)), C23-D23, "")</f>
        <v/>
      </c>
      <c r="F23" s="19" t="str">
        <f t="shared" si="4"/>
        <v/>
      </c>
      <c r="G23" s="20"/>
      <c r="H23" s="20" t="str">
        <f t="shared" si="5"/>
        <v/>
      </c>
      <c r="I23" s="19" t="str">
        <f t="shared" si="6"/>
        <v/>
      </c>
      <c r="J23" s="42"/>
      <c r="K23" s="42"/>
    </row>
    <row r="24" spans="1:12" ht="15.6">
      <c r="A24" s="28" t="str">
        <v>Chandler - B of A Campus Bldg B</v>
      </c>
      <c r="B24" s="29" t="str">
        <v>AZ</v>
      </c>
      <c r="C24" s="24"/>
      <c r="D24" s="13"/>
      <c r="E24" s="13" t="str">
        <f t="shared" si="7"/>
        <v/>
      </c>
      <c r="F24" s="14" t="str">
        <f t="shared" si="4"/>
        <v/>
      </c>
      <c r="G24" s="15"/>
      <c r="H24" s="15" t="str">
        <f t="shared" ref="H24:H28" si="8">IF(AND(ISNUMBER(C24),ISNUMBER(G24)), C24-G24, "")</f>
        <v/>
      </c>
      <c r="I24" s="16" t="str">
        <f t="shared" si="6"/>
        <v/>
      </c>
      <c r="J24" s="41"/>
      <c r="K24" s="41"/>
    </row>
    <row r="25" spans="1:12" ht="15.6">
      <c r="A25" s="30" t="str">
        <v>Chandler - B of A Campus Bldg C</v>
      </c>
      <c r="B25" s="31" t="str">
        <v>AZ</v>
      </c>
      <c r="C25" s="11"/>
      <c r="D25" s="18"/>
      <c r="E25" s="18" t="str">
        <f t="shared" si="7"/>
        <v/>
      </c>
      <c r="F25" s="19" t="str">
        <f t="shared" si="4"/>
        <v/>
      </c>
      <c r="G25" s="20"/>
      <c r="H25" s="20" t="str">
        <f t="shared" si="8"/>
        <v/>
      </c>
      <c r="I25" s="19" t="str">
        <f t="shared" si="6"/>
        <v/>
      </c>
      <c r="J25" s="42"/>
      <c r="K25" s="42"/>
    </row>
    <row r="26" spans="1:12" ht="15.6">
      <c r="A26" s="28" t="str">
        <v>Chandler - B of A Campus Bldg D</v>
      </c>
      <c r="B26" s="29" t="str">
        <v>AZ</v>
      </c>
      <c r="C26" s="24"/>
      <c r="D26" s="13"/>
      <c r="E26" s="13" t="str">
        <f t="shared" si="7"/>
        <v/>
      </c>
      <c r="F26" s="14" t="str">
        <f t="shared" si="4"/>
        <v/>
      </c>
      <c r="G26" s="15"/>
      <c r="H26" s="15" t="str">
        <f t="shared" si="8"/>
        <v/>
      </c>
      <c r="I26" s="16" t="str">
        <f t="shared" si="6"/>
        <v/>
      </c>
      <c r="J26" s="41"/>
      <c r="K26" s="41"/>
    </row>
    <row r="27" spans="1:12" ht="15.6">
      <c r="A27" s="30" t="str">
        <v>Tampa - BoA Ekman</v>
      </c>
      <c r="B27" s="31" t="str">
        <v>FL</v>
      </c>
      <c r="C27" s="11"/>
      <c r="D27" s="18"/>
      <c r="E27" s="18" t="str">
        <f t="shared" si="7"/>
        <v/>
      </c>
      <c r="F27" s="19" t="str">
        <f t="shared" si="4"/>
        <v/>
      </c>
      <c r="G27" s="20"/>
      <c r="H27" s="20" t="str">
        <f t="shared" si="8"/>
        <v/>
      </c>
      <c r="I27" s="19" t="str">
        <f t="shared" si="6"/>
        <v/>
      </c>
      <c r="J27" s="42"/>
      <c r="K27" s="42"/>
    </row>
    <row r="28" spans="1:12" ht="15.6">
      <c r="A28" s="28" t="str">
        <v>Charlotte - B of A - Sherrill</v>
      </c>
      <c r="B28" s="29" t="str">
        <v>NC</v>
      </c>
      <c r="C28" s="24"/>
      <c r="D28" s="13"/>
      <c r="E28" s="13" t="str">
        <f t="shared" si="7"/>
        <v/>
      </c>
      <c r="F28" s="14" t="str">
        <f t="shared" si="4"/>
        <v/>
      </c>
      <c r="G28" s="15"/>
      <c r="H28" s="15" t="str">
        <f t="shared" si="8"/>
        <v/>
      </c>
      <c r="I28" s="16" t="str">
        <f t="shared" si="6"/>
        <v/>
      </c>
      <c r="J28" s="41"/>
      <c r="K28" s="41"/>
    </row>
    <row r="29" spans="1:12" ht="14.45">
      <c r="A29" s="21"/>
      <c r="B29" s="33"/>
      <c r="C29" s="21"/>
      <c r="D29" s="21"/>
      <c r="E29" s="21"/>
      <c r="F29" s="21"/>
      <c r="G29" s="21"/>
      <c r="H29" s="21"/>
      <c r="I29" s="21"/>
      <c r="J29" s="21"/>
      <c r="K29" s="21"/>
    </row>
    <row r="30" spans="1:12" ht="14.45">
      <c r="A30" s="21"/>
      <c r="B30" s="33"/>
      <c r="C30" s="21"/>
      <c r="D30" s="21"/>
      <c r="E30" s="21"/>
      <c r="F30" s="21"/>
      <c r="G30" s="21"/>
      <c r="H30" s="21"/>
      <c r="I30" s="21"/>
      <c r="J30" s="21"/>
      <c r="K30" s="21"/>
    </row>
    <row r="31" spans="1:12" ht="14.45">
      <c r="A31" s="21"/>
      <c r="B31" s="33"/>
      <c r="C31" s="21"/>
      <c r="D31" s="21"/>
      <c r="E31" s="21"/>
      <c r="F31" s="22"/>
      <c r="G31" s="21"/>
      <c r="H31" s="21"/>
      <c r="I31" s="22"/>
      <c r="J31" s="21"/>
      <c r="K31" s="21"/>
    </row>
    <row r="32" spans="1:12"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conditionalFormatting sqref="F2 I2 F4:F98 I4:I98">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0"/>
  <sheetViews>
    <sheetView zoomScale="70" zoomScaleNormal="70" workbookViewId="0">
      <pane xSplit="2" ySplit="3" topLeftCell="J21"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JLL</v>
      </c>
      <c r="B1" s="91"/>
      <c r="C1" s="91"/>
      <c r="D1" s="92" t="s">
        <v>110</v>
      </c>
      <c r="E1" s="92"/>
      <c r="F1" s="92"/>
      <c r="G1" s="90" t="s">
        <v>111</v>
      </c>
      <c r="H1" s="90"/>
      <c r="I1" s="90"/>
      <c r="J1" s="4"/>
      <c r="K1" s="4"/>
    </row>
    <row r="2" spans="1:11" ht="19.5" customHeight="1">
      <c r="A2" s="93" t="s">
        <v>2</v>
      </c>
      <c r="B2" s="93"/>
      <c r="C2" s="5">
        <f>SUM(C4:C98)</f>
        <v>0</v>
      </c>
      <c r="D2" s="5">
        <f>SUM(D4:D98)</f>
        <v>0</v>
      </c>
      <c r="E2" s="5">
        <f>C2-D2</f>
        <v>0</v>
      </c>
      <c r="F2" s="6">
        <f>IFERROR(E2/D2, 0)</f>
        <v>0</v>
      </c>
      <c r="G2" s="5">
        <f>SUM(G4:G98)</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IF(AND(ISNUMBER(C4),ISNUMBER(D4)), C4-D4, "")</f>
        <v/>
      </c>
      <c r="F4" s="14" t="str">
        <f>IFERROR(E4/D4, "")</f>
        <v/>
      </c>
      <c r="G4" s="15">
        <v>0</v>
      </c>
      <c r="H4" s="15" t="str">
        <f>IF(AND(ISNUMBER(C4),ISNUMBER(G4)), C4-G4, "")</f>
        <v/>
      </c>
      <c r="I4" s="16" t="str">
        <f>IFERROR(H4/G4, "")</f>
        <v/>
      </c>
      <c r="J4" s="50"/>
      <c r="K4" s="50"/>
    </row>
    <row r="5" spans="1:11" ht="15.6">
      <c r="A5" s="30" t="str">
        <v>Peoria</v>
      </c>
      <c r="B5" s="31" t="str">
        <v>AZ</v>
      </c>
      <c r="C5" s="11"/>
      <c r="D5" s="18">
        <v>0</v>
      </c>
      <c r="E5" s="18" t="str">
        <f t="shared" ref="E5:E17" si="0">IF(AND(ISNUMBER(C5),ISNUMBER(D5)), C5-D5, "")</f>
        <v/>
      </c>
      <c r="F5" s="19" t="str">
        <f>IFERROR(E5/D5, "")</f>
        <v/>
      </c>
      <c r="G5" s="20">
        <v>0</v>
      </c>
      <c r="H5" s="20" t="str">
        <f t="shared" ref="H5:H17" si="1">IF(AND(ISNUMBER(C5),ISNUMBER(G5)), C5-G5, "")</f>
        <v/>
      </c>
      <c r="I5" s="19" t="str">
        <f t="shared" ref="I5:I17" si="2">IFERROR(H5/G5, "")</f>
        <v/>
      </c>
      <c r="J5" s="47"/>
      <c r="K5" s="47"/>
    </row>
    <row r="6" spans="1:11" ht="15.6">
      <c r="A6" s="28" t="str">
        <v>Tucson</v>
      </c>
      <c r="B6" s="29" t="str">
        <v>AZ</v>
      </c>
      <c r="C6" s="24"/>
      <c r="D6" s="13">
        <v>0</v>
      </c>
      <c r="E6" s="13" t="str">
        <f t="shared" si="0"/>
        <v/>
      </c>
      <c r="F6" s="14" t="str">
        <f t="shared" ref="F6:F17" si="3">IFERROR(E6/D6, "")</f>
        <v/>
      </c>
      <c r="G6" s="15">
        <v>0</v>
      </c>
      <c r="H6" s="15" t="str">
        <f t="shared" si="1"/>
        <v/>
      </c>
      <c r="I6" s="16" t="str">
        <f t="shared" si="2"/>
        <v/>
      </c>
      <c r="J6" s="50" t="s">
        <v>112</v>
      </c>
      <c r="K6" s="50" t="s">
        <v>113</v>
      </c>
    </row>
    <row r="7" spans="1:11" ht="15.6">
      <c r="A7" s="30" t="str">
        <v>Hialeah</v>
      </c>
      <c r="B7" s="31" t="str">
        <v>FL</v>
      </c>
      <c r="C7" s="11"/>
      <c r="D7" s="18"/>
      <c r="E7" s="18" t="str">
        <f t="shared" si="0"/>
        <v/>
      </c>
      <c r="F7" s="19" t="str">
        <f t="shared" si="3"/>
        <v/>
      </c>
      <c r="G7" s="20"/>
      <c r="H7" s="20" t="str">
        <f t="shared" si="1"/>
        <v/>
      </c>
      <c r="I7" s="19" t="str">
        <f t="shared" si="2"/>
        <v/>
      </c>
      <c r="J7" s="47"/>
      <c r="K7" s="48"/>
    </row>
    <row r="8" spans="1:11" ht="15.6">
      <c r="A8" s="28" t="str">
        <v>Jacksonville</v>
      </c>
      <c r="B8" s="29" t="str">
        <v>FL</v>
      </c>
      <c r="C8" s="24"/>
      <c r="D8" s="13"/>
      <c r="E8" s="13" t="str">
        <f t="shared" si="0"/>
        <v/>
      </c>
      <c r="F8" s="14" t="str">
        <f t="shared" si="3"/>
        <v/>
      </c>
      <c r="G8" s="15"/>
      <c r="H8" s="15" t="str">
        <f t="shared" si="1"/>
        <v/>
      </c>
      <c r="I8" s="16" t="str">
        <f t="shared" si="2"/>
        <v/>
      </c>
      <c r="J8" s="50"/>
      <c r="K8" s="50"/>
    </row>
    <row r="9" spans="1:11" ht="15.6">
      <c r="A9" s="30" t="str">
        <v>Miami Gardens</v>
      </c>
      <c r="B9" s="31" t="str">
        <v>FL</v>
      </c>
      <c r="C9" s="11"/>
      <c r="D9" s="18"/>
      <c r="E9" s="18" t="str">
        <f t="shared" si="0"/>
        <v/>
      </c>
      <c r="F9" s="19" t="str">
        <f t="shared" si="3"/>
        <v/>
      </c>
      <c r="G9" s="20"/>
      <c r="H9" s="20" t="str">
        <f t="shared" si="1"/>
        <v/>
      </c>
      <c r="I9" s="19" t="str">
        <f t="shared" si="2"/>
        <v/>
      </c>
      <c r="J9" s="47"/>
      <c r="K9" s="47"/>
    </row>
    <row r="10" spans="1:11" ht="15.6">
      <c r="A10" s="28" t="str">
        <v>Fort Myers</v>
      </c>
      <c r="B10" s="29" t="str">
        <v>FL</v>
      </c>
      <c r="C10" s="24"/>
      <c r="D10" s="13"/>
      <c r="E10" s="13" t="str">
        <f t="shared" si="0"/>
        <v/>
      </c>
      <c r="F10" s="14" t="str">
        <f t="shared" si="3"/>
        <v/>
      </c>
      <c r="G10" s="15"/>
      <c r="H10" s="15" t="str">
        <f t="shared" si="1"/>
        <v/>
      </c>
      <c r="I10" s="16" t="str">
        <f t="shared" si="2"/>
        <v/>
      </c>
      <c r="J10" s="50"/>
      <c r="K10" s="50"/>
    </row>
    <row r="11" spans="1:11" ht="15.6">
      <c r="A11" s="30" t="str">
        <v>Orlando</v>
      </c>
      <c r="B11" s="31" t="str">
        <v>FL</v>
      </c>
      <c r="C11" s="11"/>
      <c r="D11" s="18"/>
      <c r="E11" s="18" t="str">
        <f t="shared" si="0"/>
        <v/>
      </c>
      <c r="F11" s="19" t="str">
        <f t="shared" si="3"/>
        <v/>
      </c>
      <c r="G11" s="20"/>
      <c r="H11" s="20" t="str">
        <f t="shared" si="1"/>
        <v/>
      </c>
      <c r="I11" s="19" t="str">
        <f t="shared" si="2"/>
        <v/>
      </c>
      <c r="J11" s="47"/>
      <c r="K11" s="48"/>
    </row>
    <row r="12" spans="1:11" ht="15.6">
      <c r="A12" s="28" t="str">
        <v>Port St. Lucie</v>
      </c>
      <c r="B12" s="29" t="str">
        <v>FL</v>
      </c>
      <c r="C12" s="24"/>
      <c r="D12" s="13"/>
      <c r="E12" s="13" t="str">
        <f t="shared" si="0"/>
        <v/>
      </c>
      <c r="F12" s="14" t="str">
        <f t="shared" si="3"/>
        <v/>
      </c>
      <c r="G12" s="15"/>
      <c r="H12" s="15" t="str">
        <f t="shared" si="1"/>
        <v/>
      </c>
      <c r="I12" s="16" t="str">
        <f t="shared" si="2"/>
        <v/>
      </c>
      <c r="J12" s="50"/>
      <c r="K12" s="50"/>
    </row>
    <row r="13" spans="1:11" ht="15.6">
      <c r="A13" s="30" t="str">
        <v>Tampa</v>
      </c>
      <c r="B13" s="31" t="str">
        <v>FL</v>
      </c>
      <c r="C13" s="11"/>
      <c r="D13" s="18"/>
      <c r="E13" s="18" t="str">
        <f t="shared" si="0"/>
        <v/>
      </c>
      <c r="F13" s="19" t="str">
        <f t="shared" si="3"/>
        <v/>
      </c>
      <c r="G13" s="20"/>
      <c r="H13" s="20" t="str">
        <f t="shared" si="1"/>
        <v/>
      </c>
      <c r="I13" s="19" t="str">
        <f t="shared" si="2"/>
        <v/>
      </c>
      <c r="J13" s="47"/>
      <c r="K13" s="48"/>
    </row>
    <row r="14" spans="1:11" ht="15.6">
      <c r="A14" s="28" t="str">
        <v>Roswell</v>
      </c>
      <c r="B14" s="29" t="str">
        <v>GA</v>
      </c>
      <c r="C14" s="24"/>
      <c r="D14" s="13"/>
      <c r="E14" s="13" t="str">
        <f t="shared" si="0"/>
        <v/>
      </c>
      <c r="F14" s="14" t="str">
        <f t="shared" si="3"/>
        <v/>
      </c>
      <c r="G14" s="15"/>
      <c r="H14" s="15" t="str">
        <f t="shared" si="1"/>
        <v/>
      </c>
      <c r="I14" s="16" t="str">
        <f t="shared" si="2"/>
        <v/>
      </c>
      <c r="J14" s="50"/>
      <c r="K14" s="50"/>
    </row>
    <row r="15" spans="1:11" ht="15.6">
      <c r="A15" s="30" t="str">
        <v>Charlotte</v>
      </c>
      <c r="B15" s="31" t="str">
        <v>NC</v>
      </c>
      <c r="C15" s="11"/>
      <c r="D15" s="18"/>
      <c r="E15" s="18" t="str">
        <f t="shared" si="0"/>
        <v/>
      </c>
      <c r="F15" s="19" t="str">
        <f t="shared" si="3"/>
        <v/>
      </c>
      <c r="G15" s="20"/>
      <c r="H15" s="20" t="str">
        <f t="shared" si="1"/>
        <v/>
      </c>
      <c r="I15" s="19" t="str">
        <f t="shared" si="2"/>
        <v/>
      </c>
      <c r="J15" s="47"/>
      <c r="K15" s="48"/>
    </row>
    <row r="16" spans="1:11" ht="15.6">
      <c r="A16" s="28" t="str">
        <v>Raleigh</v>
      </c>
      <c r="B16" s="29" t="str">
        <v>NC</v>
      </c>
      <c r="C16" s="24"/>
      <c r="D16" s="13"/>
      <c r="E16" s="13" t="str">
        <f t="shared" si="0"/>
        <v/>
      </c>
      <c r="F16" s="14" t="str">
        <f t="shared" si="3"/>
        <v/>
      </c>
      <c r="G16" s="15"/>
      <c r="H16" s="15" t="str">
        <f t="shared" si="1"/>
        <v/>
      </c>
      <c r="I16" s="16" t="str">
        <f t="shared" si="2"/>
        <v/>
      </c>
      <c r="J16" s="50"/>
      <c r="K16" s="50"/>
    </row>
    <row r="17" spans="1:11" ht="15.6">
      <c r="A17" s="30" t="str">
        <v>Cordova</v>
      </c>
      <c r="B17" s="31" t="str">
        <v>TN</v>
      </c>
      <c r="C17" s="11"/>
      <c r="D17" s="18"/>
      <c r="E17" s="18" t="str">
        <f t="shared" si="0"/>
        <v/>
      </c>
      <c r="F17" s="19" t="str">
        <f t="shared" si="3"/>
        <v/>
      </c>
      <c r="G17" s="20"/>
      <c r="H17" s="20" t="str">
        <f t="shared" si="1"/>
        <v/>
      </c>
      <c r="I17" s="19" t="str">
        <f t="shared" si="2"/>
        <v/>
      </c>
      <c r="J17" s="47"/>
      <c r="K17" s="48"/>
    </row>
    <row r="18" spans="1:11" ht="12.75" customHeight="1">
      <c r="A18" s="28" t="str">
        <v>Austin</v>
      </c>
      <c r="B18" s="29" t="str">
        <v>TX</v>
      </c>
      <c r="C18" s="24"/>
      <c r="D18" s="13"/>
      <c r="E18" s="13" t="str">
        <f t="shared" ref="E18:E23" si="4">IF(AND(ISNUMBER(C18),ISNUMBER(D18)), C18-D18, "")</f>
        <v/>
      </c>
      <c r="F18" s="14" t="str">
        <f t="shared" ref="F18:F28" si="5">IFERROR(E18/D18, "")</f>
        <v/>
      </c>
      <c r="G18" s="15"/>
      <c r="H18" s="15" t="str">
        <f t="shared" ref="H18:H23" si="6">IF(AND(ISNUMBER(C18),ISNUMBER(G18)), C18-G18, "")</f>
        <v/>
      </c>
      <c r="I18" s="16" t="str">
        <f t="shared" ref="I18:I28" si="7">IFERROR(H18/G18, "")</f>
        <v/>
      </c>
      <c r="J18" s="50"/>
      <c r="K18" s="50"/>
    </row>
    <row r="19" spans="1:11" ht="15.6">
      <c r="A19" s="30" t="str">
        <v>Frisco</v>
      </c>
      <c r="B19" s="31" t="str">
        <v>TX</v>
      </c>
      <c r="C19" s="11"/>
      <c r="D19" s="18"/>
      <c r="E19" s="18" t="str">
        <f t="shared" si="4"/>
        <v/>
      </c>
      <c r="F19" s="19" t="str">
        <f t="shared" si="5"/>
        <v/>
      </c>
      <c r="G19" s="20"/>
      <c r="H19" s="20" t="str">
        <f t="shared" si="6"/>
        <v/>
      </c>
      <c r="I19" s="19" t="str">
        <f t="shared" si="7"/>
        <v/>
      </c>
      <c r="J19" s="47"/>
      <c r="K19" s="49"/>
    </row>
    <row r="20" spans="1:11" ht="15.6">
      <c r="A20" s="28" t="str">
        <v>Copperfield</v>
      </c>
      <c r="B20" s="29" t="str">
        <v>TX</v>
      </c>
      <c r="C20" s="24"/>
      <c r="D20" s="13"/>
      <c r="E20" s="13" t="str">
        <f t="shared" si="4"/>
        <v/>
      </c>
      <c r="F20" s="14" t="str">
        <f t="shared" si="5"/>
        <v/>
      </c>
      <c r="G20" s="15"/>
      <c r="H20" s="15" t="str">
        <f t="shared" si="6"/>
        <v/>
      </c>
      <c r="I20" s="16" t="str">
        <f t="shared" si="7"/>
        <v/>
      </c>
      <c r="J20" s="50"/>
      <c r="K20" s="50"/>
    </row>
    <row r="21" spans="1:11" ht="15.6">
      <c r="A21" s="30" t="str">
        <v>Charlotte - B of A - 1 BAC</v>
      </c>
      <c r="B21" s="31" t="str">
        <v>NC</v>
      </c>
      <c r="C21" s="11"/>
      <c r="D21" s="18"/>
      <c r="E21" s="18" t="str">
        <f t="shared" si="4"/>
        <v/>
      </c>
      <c r="F21" s="19" t="str">
        <f t="shared" si="5"/>
        <v/>
      </c>
      <c r="G21" s="20"/>
      <c r="H21" s="20" t="str">
        <f t="shared" si="6"/>
        <v/>
      </c>
      <c r="I21" s="19" t="str">
        <f t="shared" si="7"/>
        <v/>
      </c>
      <c r="J21" s="42"/>
      <c r="K21" s="43"/>
    </row>
    <row r="22" spans="1:11" ht="15.6">
      <c r="A22" s="28" t="str">
        <v>Charlotte - B of A - 401 N Tryon</v>
      </c>
      <c r="B22" s="29" t="str">
        <v>NC</v>
      </c>
      <c r="C22" s="24"/>
      <c r="D22" s="13"/>
      <c r="E22" s="13" t="str">
        <f t="shared" si="4"/>
        <v/>
      </c>
      <c r="F22" s="14" t="str">
        <f t="shared" si="5"/>
        <v/>
      </c>
      <c r="G22" s="15"/>
      <c r="H22" s="15" t="str">
        <f t="shared" si="6"/>
        <v/>
      </c>
      <c r="I22" s="16" t="str">
        <f t="shared" si="7"/>
        <v/>
      </c>
      <c r="J22" s="50"/>
      <c r="K22" s="50"/>
    </row>
    <row r="23" spans="1:11" ht="15.6">
      <c r="A23" s="30" t="str">
        <v>Chandler - B of A Campus Bldg A</v>
      </c>
      <c r="B23" s="31" t="str">
        <v>AZ</v>
      </c>
      <c r="C23" s="11"/>
      <c r="D23" s="18"/>
      <c r="E23" s="18" t="str">
        <f t="shared" si="4"/>
        <v/>
      </c>
      <c r="F23" s="19" t="str">
        <f t="shared" si="5"/>
        <v/>
      </c>
      <c r="G23" s="20"/>
      <c r="H23" s="20" t="str">
        <f t="shared" si="6"/>
        <v/>
      </c>
      <c r="I23" s="19" t="str">
        <f t="shared" si="7"/>
        <v/>
      </c>
      <c r="J23" s="42"/>
      <c r="K23" s="43"/>
    </row>
    <row r="24" spans="1:11" ht="15.6">
      <c r="A24" s="28" t="str">
        <v>Chandler - B of A Campus Bldg B</v>
      </c>
      <c r="B24" s="29" t="str">
        <v>AZ</v>
      </c>
      <c r="C24" s="24"/>
      <c r="D24" s="13"/>
      <c r="E24" s="13" t="str">
        <f t="shared" ref="E24:E28" si="8">IF(AND(ISNUMBER(C24),ISNUMBER(D24)), C24-D24, "")</f>
        <v/>
      </c>
      <c r="F24" s="14" t="str">
        <f t="shared" si="5"/>
        <v/>
      </c>
      <c r="G24" s="15"/>
      <c r="H24" s="15" t="str">
        <f t="shared" ref="H24:H28" si="9">IF(AND(ISNUMBER(C24),ISNUMBER(G24)), C24-G24, "")</f>
        <v/>
      </c>
      <c r="I24" s="16" t="str">
        <f t="shared" si="7"/>
        <v/>
      </c>
      <c r="J24" s="50"/>
      <c r="K24" s="50"/>
    </row>
    <row r="25" spans="1:11" ht="15.6">
      <c r="A25" s="30" t="str">
        <v>Chandler - B of A Campus Bldg C</v>
      </c>
      <c r="B25" s="31" t="str">
        <v>AZ</v>
      </c>
      <c r="C25" s="11"/>
      <c r="D25" s="18"/>
      <c r="E25" s="18" t="str">
        <f t="shared" si="8"/>
        <v/>
      </c>
      <c r="F25" s="19" t="str">
        <f t="shared" si="5"/>
        <v/>
      </c>
      <c r="G25" s="20"/>
      <c r="H25" s="20" t="str">
        <f t="shared" si="9"/>
        <v/>
      </c>
      <c r="I25" s="19" t="str">
        <f t="shared" si="7"/>
        <v/>
      </c>
      <c r="J25" s="42"/>
      <c r="K25" s="54"/>
    </row>
    <row r="26" spans="1:11" ht="15.6">
      <c r="A26" s="28" t="str">
        <v>Chandler - B of A Campus Bldg D</v>
      </c>
      <c r="B26" s="29" t="str">
        <v>AZ</v>
      </c>
      <c r="C26" s="24"/>
      <c r="D26" s="13"/>
      <c r="E26" s="13" t="str">
        <f t="shared" si="8"/>
        <v/>
      </c>
      <c r="F26" s="14" t="str">
        <f t="shared" si="5"/>
        <v/>
      </c>
      <c r="G26" s="15"/>
      <c r="H26" s="15" t="str">
        <f t="shared" si="9"/>
        <v/>
      </c>
      <c r="I26" s="16" t="str">
        <f t="shared" si="7"/>
        <v/>
      </c>
      <c r="J26" s="50"/>
      <c r="K26" s="50"/>
    </row>
    <row r="27" spans="1:11" ht="15.6">
      <c r="A27" s="30" t="str">
        <v>Tampa - BoA Ekman</v>
      </c>
      <c r="B27" s="31" t="str">
        <v>FL</v>
      </c>
      <c r="C27" s="11"/>
      <c r="D27" s="18"/>
      <c r="E27" s="18" t="str">
        <f t="shared" si="8"/>
        <v/>
      </c>
      <c r="F27" s="19" t="str">
        <f t="shared" si="5"/>
        <v/>
      </c>
      <c r="G27" s="20"/>
      <c r="H27" s="20" t="str">
        <f t="shared" si="9"/>
        <v/>
      </c>
      <c r="I27" s="19" t="str">
        <f t="shared" si="7"/>
        <v/>
      </c>
      <c r="J27" s="42"/>
      <c r="K27" s="54"/>
    </row>
    <row r="28" spans="1:11" ht="15.6">
      <c r="A28" s="28" t="str">
        <v>Charlotte - B of A - Sherrill</v>
      </c>
      <c r="B28" s="29" t="str">
        <v>NC</v>
      </c>
      <c r="C28" s="24"/>
      <c r="D28" s="13"/>
      <c r="E28" s="13" t="str">
        <f t="shared" si="8"/>
        <v/>
      </c>
      <c r="F28" s="14" t="str">
        <f t="shared" si="5"/>
        <v/>
      </c>
      <c r="G28" s="15"/>
      <c r="H28" s="15" t="str">
        <f t="shared" si="9"/>
        <v/>
      </c>
      <c r="I28" s="16" t="str">
        <f t="shared" si="7"/>
        <v/>
      </c>
      <c r="J28" s="50"/>
      <c r="K28" s="50"/>
    </row>
    <row r="29" spans="1:11" ht="14.45">
      <c r="A29" s="21"/>
      <c r="B29" s="33"/>
      <c r="C29" s="21"/>
      <c r="D29" s="21"/>
      <c r="E29" s="21"/>
      <c r="F29" s="21"/>
      <c r="G29" s="21"/>
      <c r="H29" s="21"/>
      <c r="I29" s="21"/>
      <c r="J29" s="21"/>
      <c r="K29" s="21"/>
    </row>
    <row r="30" spans="1:11" ht="14.45">
      <c r="A30" s="21"/>
      <c r="B30" s="33"/>
      <c r="C30" s="21"/>
      <c r="D30" s="21"/>
      <c r="E30" s="21"/>
      <c r="F30" s="21"/>
      <c r="G30" s="21"/>
      <c r="H30" s="21"/>
      <c r="I30" s="21"/>
      <c r="J30" s="21"/>
      <c r="K30" s="21"/>
    </row>
    <row r="31" spans="1:11" ht="14.45">
      <c r="A31" s="21"/>
      <c r="B31" s="33"/>
      <c r="C31" s="21"/>
      <c r="D31" s="21"/>
      <c r="E31" s="21"/>
      <c r="F31" s="22"/>
      <c r="G31" s="21"/>
      <c r="H31" s="21"/>
      <c r="I31" s="22"/>
      <c r="J31" s="21"/>
      <c r="K31" s="21"/>
    </row>
    <row r="32" spans="1:11"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sortState xmlns:xlrd2="http://schemas.microsoft.com/office/spreadsheetml/2017/richdata2" ref="A3:K15">
    <sortCondition ref="A3:A15"/>
  </sortState>
  <mergeCells count="4">
    <mergeCell ref="G1:I1"/>
    <mergeCell ref="A1:C1"/>
    <mergeCell ref="D1:F1"/>
    <mergeCell ref="A2:B2"/>
  </mergeCells>
  <phoneticPr fontId="37" type="noConversion"/>
  <conditionalFormatting sqref="F2 I2 F4:F98 I4:I98">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0"/>
  <sheetViews>
    <sheetView zoomScale="90" zoomScaleNormal="90" workbookViewId="0">
      <pane xSplit="2" ySplit="3" topLeftCell="G1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JLL</v>
      </c>
      <c r="B1" s="91"/>
      <c r="C1" s="91"/>
      <c r="D1" s="92" t="s">
        <v>114</v>
      </c>
      <c r="E1" s="92"/>
      <c r="F1" s="92"/>
      <c r="G1" s="90" t="s">
        <v>115</v>
      </c>
      <c r="H1" s="90"/>
      <c r="I1" s="90"/>
      <c r="J1" s="4"/>
      <c r="K1" s="4"/>
    </row>
    <row r="2" spans="1:11" ht="19.5" customHeight="1">
      <c r="A2" s="93" t="s">
        <v>2</v>
      </c>
      <c r="B2" s="93"/>
      <c r="C2" s="5">
        <f>SUM(C4:C98)</f>
        <v>0</v>
      </c>
      <c r="D2" s="5">
        <f>SUM(D4:D98)</f>
        <v>0</v>
      </c>
      <c r="E2" s="5">
        <f>C2-D2</f>
        <v>0</v>
      </c>
      <c r="F2" s="6">
        <f>IFERROR(E2/D2, 0)</f>
        <v>0</v>
      </c>
      <c r="G2" s="5">
        <f>SUM(G4:G98)</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IF(AND(ISNUMBER(C4),ISNUMBER(D4)), C4-D4, "")</f>
        <v/>
      </c>
      <c r="F4" s="14" t="str">
        <f>IFERROR(E4/D4, "")</f>
        <v/>
      </c>
      <c r="G4" s="15">
        <v>0</v>
      </c>
      <c r="H4" s="15" t="str">
        <f>IF(AND(ISNUMBER(C4),ISNUMBER(G4)), C4-G4, "")</f>
        <v/>
      </c>
      <c r="I4" s="16" t="str">
        <f>IFERROR(H4/G4, "")</f>
        <v/>
      </c>
      <c r="J4" s="50"/>
      <c r="K4" s="50"/>
    </row>
    <row r="5" spans="1:11" ht="15.6">
      <c r="A5" s="30" t="str">
        <v>Peoria</v>
      </c>
      <c r="B5" s="31" t="str">
        <v>AZ</v>
      </c>
      <c r="C5" s="11"/>
      <c r="D5" s="18">
        <v>0</v>
      </c>
      <c r="E5" s="18" t="str">
        <f t="shared" ref="E5:E17" si="0">IF(AND(ISNUMBER(C5),ISNUMBER(D5)), C5-D5, "")</f>
        <v/>
      </c>
      <c r="F5" s="19" t="str">
        <f>IFERROR(E5/D5, "")</f>
        <v/>
      </c>
      <c r="G5" s="20">
        <v>0</v>
      </c>
      <c r="H5" s="20" t="str">
        <f t="shared" ref="H5:H17" si="1">IF(AND(ISNUMBER(C5),ISNUMBER(G5)), C5-G5, "")</f>
        <v/>
      </c>
      <c r="I5" s="19" t="str">
        <f t="shared" ref="I5:I17" si="2">IFERROR(H5/G5, "")</f>
        <v/>
      </c>
      <c r="J5" s="47"/>
      <c r="K5" s="47"/>
    </row>
    <row r="6" spans="1:11" ht="15.6">
      <c r="A6" s="28" t="str">
        <v>Tucson</v>
      </c>
      <c r="B6" s="29" t="str">
        <v>AZ</v>
      </c>
      <c r="C6" s="24"/>
      <c r="D6" s="13">
        <v>0</v>
      </c>
      <c r="E6" s="13" t="str">
        <f t="shared" si="0"/>
        <v/>
      </c>
      <c r="F6" s="14" t="str">
        <f t="shared" ref="F6:F17" si="3">IFERROR(E6/D6, "")</f>
        <v/>
      </c>
      <c r="G6" s="15">
        <v>0</v>
      </c>
      <c r="H6" s="15" t="str">
        <f t="shared" si="1"/>
        <v/>
      </c>
      <c r="I6" s="16" t="str">
        <f t="shared" si="2"/>
        <v/>
      </c>
      <c r="J6" s="50" t="s">
        <v>112</v>
      </c>
      <c r="K6" s="50" t="s">
        <v>113</v>
      </c>
    </row>
    <row r="7" spans="1:11" ht="15.6">
      <c r="A7" s="30" t="str">
        <v>Hialeah</v>
      </c>
      <c r="B7" s="31" t="str">
        <v>FL</v>
      </c>
      <c r="C7" s="11"/>
      <c r="D7" s="18"/>
      <c r="E7" s="18" t="str">
        <f t="shared" si="0"/>
        <v/>
      </c>
      <c r="F7" s="19" t="str">
        <f t="shared" si="3"/>
        <v/>
      </c>
      <c r="G7" s="20"/>
      <c r="H7" s="20" t="str">
        <f t="shared" si="1"/>
        <v/>
      </c>
      <c r="I7" s="19" t="str">
        <f t="shared" si="2"/>
        <v/>
      </c>
      <c r="J7" s="47"/>
      <c r="K7" s="49"/>
    </row>
    <row r="8" spans="1:11" ht="15.6">
      <c r="A8" s="28" t="str">
        <v>Jacksonville</v>
      </c>
      <c r="B8" s="29" t="str">
        <v>FL</v>
      </c>
      <c r="C8" s="24"/>
      <c r="D8" s="13"/>
      <c r="E8" s="13" t="str">
        <f t="shared" si="0"/>
        <v/>
      </c>
      <c r="F8" s="14" t="str">
        <f t="shared" si="3"/>
        <v/>
      </c>
      <c r="G8" s="15"/>
      <c r="H8" s="15" t="str">
        <f t="shared" si="1"/>
        <v/>
      </c>
      <c r="I8" s="16" t="str">
        <f t="shared" si="2"/>
        <v/>
      </c>
      <c r="J8" s="50"/>
      <c r="K8" s="50"/>
    </row>
    <row r="9" spans="1:11" ht="15.6">
      <c r="A9" s="30" t="str">
        <v>Miami Gardens</v>
      </c>
      <c r="B9" s="31" t="str">
        <v>FL</v>
      </c>
      <c r="C9" s="11"/>
      <c r="D9" s="18"/>
      <c r="E9" s="18" t="str">
        <f t="shared" si="0"/>
        <v/>
      </c>
      <c r="F9" s="19" t="str">
        <f t="shared" si="3"/>
        <v/>
      </c>
      <c r="G9" s="20"/>
      <c r="H9" s="20" t="str">
        <f t="shared" si="1"/>
        <v/>
      </c>
      <c r="I9" s="19" t="str">
        <f t="shared" si="2"/>
        <v/>
      </c>
      <c r="J9" s="47"/>
      <c r="K9" s="47"/>
    </row>
    <row r="10" spans="1:11" ht="15.6">
      <c r="A10" s="28" t="str">
        <v>Fort Myers</v>
      </c>
      <c r="B10" s="29" t="str">
        <v>FL</v>
      </c>
      <c r="C10" s="24"/>
      <c r="D10" s="13"/>
      <c r="E10" s="13" t="str">
        <f t="shared" si="0"/>
        <v/>
      </c>
      <c r="F10" s="14" t="str">
        <f t="shared" si="3"/>
        <v/>
      </c>
      <c r="G10" s="15"/>
      <c r="H10" s="15" t="str">
        <f t="shared" si="1"/>
        <v/>
      </c>
      <c r="I10" s="16" t="str">
        <f t="shared" si="2"/>
        <v/>
      </c>
      <c r="J10" s="50"/>
      <c r="K10" s="50"/>
    </row>
    <row r="11" spans="1:11" ht="15.6">
      <c r="A11" s="30" t="str">
        <v>Orlando</v>
      </c>
      <c r="B11" s="31" t="str">
        <v>FL</v>
      </c>
      <c r="C11" s="11"/>
      <c r="D11" s="18"/>
      <c r="E11" s="18" t="str">
        <f t="shared" si="0"/>
        <v/>
      </c>
      <c r="F11" s="19" t="str">
        <f t="shared" si="3"/>
        <v/>
      </c>
      <c r="G11" s="20"/>
      <c r="H11" s="20" t="str">
        <f t="shared" si="1"/>
        <v/>
      </c>
      <c r="I11" s="19" t="str">
        <f t="shared" si="2"/>
        <v/>
      </c>
      <c r="J11" s="47"/>
      <c r="K11" s="48"/>
    </row>
    <row r="12" spans="1:11" ht="15.6">
      <c r="A12" s="28" t="str">
        <v>Port St. Lucie</v>
      </c>
      <c r="B12" s="29" t="str">
        <v>FL</v>
      </c>
      <c r="C12" s="24"/>
      <c r="D12" s="13"/>
      <c r="E12" s="13" t="str">
        <f t="shared" si="0"/>
        <v/>
      </c>
      <c r="F12" s="14" t="str">
        <f t="shared" si="3"/>
        <v/>
      </c>
      <c r="G12" s="15"/>
      <c r="H12" s="15" t="str">
        <f t="shared" si="1"/>
        <v/>
      </c>
      <c r="I12" s="16" t="str">
        <f t="shared" si="2"/>
        <v/>
      </c>
      <c r="J12" s="50"/>
      <c r="K12" s="50"/>
    </row>
    <row r="13" spans="1:11" ht="15.6">
      <c r="A13" s="30" t="str">
        <v>Tampa</v>
      </c>
      <c r="B13" s="31" t="str">
        <v>FL</v>
      </c>
      <c r="C13" s="11"/>
      <c r="D13" s="18"/>
      <c r="E13" s="18" t="str">
        <f t="shared" si="0"/>
        <v/>
      </c>
      <c r="F13" s="19" t="str">
        <f t="shared" si="3"/>
        <v/>
      </c>
      <c r="G13" s="20"/>
      <c r="H13" s="20" t="str">
        <f t="shared" si="1"/>
        <v/>
      </c>
      <c r="I13" s="19" t="str">
        <f t="shared" si="2"/>
        <v/>
      </c>
      <c r="J13" s="47"/>
      <c r="K13" s="48"/>
    </row>
    <row r="14" spans="1:11" ht="15.6">
      <c r="A14" s="28" t="str">
        <v>Roswell</v>
      </c>
      <c r="B14" s="29" t="str">
        <v>GA</v>
      </c>
      <c r="C14" s="24"/>
      <c r="D14" s="13"/>
      <c r="E14" s="13" t="str">
        <f t="shared" si="0"/>
        <v/>
      </c>
      <c r="F14" s="14" t="str">
        <f t="shared" si="3"/>
        <v/>
      </c>
      <c r="G14" s="15"/>
      <c r="H14" s="15" t="str">
        <f t="shared" si="1"/>
        <v/>
      </c>
      <c r="I14" s="16" t="str">
        <f t="shared" si="2"/>
        <v/>
      </c>
      <c r="J14" s="50"/>
      <c r="K14" s="50"/>
    </row>
    <row r="15" spans="1:11" ht="15.6">
      <c r="A15" s="30" t="str">
        <v>Charlotte</v>
      </c>
      <c r="B15" s="31" t="str">
        <v>NC</v>
      </c>
      <c r="C15" s="11"/>
      <c r="D15" s="18"/>
      <c r="E15" s="18" t="str">
        <f t="shared" si="0"/>
        <v/>
      </c>
      <c r="F15" s="19" t="str">
        <f t="shared" si="3"/>
        <v/>
      </c>
      <c r="G15" s="20"/>
      <c r="H15" s="20" t="str">
        <f t="shared" si="1"/>
        <v/>
      </c>
      <c r="I15" s="19" t="str">
        <f t="shared" si="2"/>
        <v/>
      </c>
      <c r="J15" s="47"/>
      <c r="K15" s="48"/>
    </row>
    <row r="16" spans="1:11" ht="15.6">
      <c r="A16" s="28" t="str">
        <v>Raleigh</v>
      </c>
      <c r="B16" s="29" t="str">
        <v>NC</v>
      </c>
      <c r="C16" s="24"/>
      <c r="D16" s="13"/>
      <c r="E16" s="13" t="str">
        <f t="shared" si="0"/>
        <v/>
      </c>
      <c r="F16" s="14" t="str">
        <f t="shared" si="3"/>
        <v/>
      </c>
      <c r="G16" s="15"/>
      <c r="H16" s="15" t="str">
        <f t="shared" si="1"/>
        <v/>
      </c>
      <c r="I16" s="16" t="str">
        <f t="shared" si="2"/>
        <v/>
      </c>
      <c r="J16" s="50"/>
      <c r="K16" s="50"/>
    </row>
    <row r="17" spans="1:11" ht="15.6">
      <c r="A17" s="30" t="str">
        <v>Cordova</v>
      </c>
      <c r="B17" s="31" t="str">
        <v>TN</v>
      </c>
      <c r="C17" s="11"/>
      <c r="D17" s="18"/>
      <c r="E17" s="18" t="str">
        <f t="shared" si="0"/>
        <v/>
      </c>
      <c r="F17" s="19" t="str">
        <f t="shared" si="3"/>
        <v/>
      </c>
      <c r="G17" s="20"/>
      <c r="H17" s="20" t="str">
        <f t="shared" si="1"/>
        <v/>
      </c>
      <c r="I17" s="19" t="str">
        <f t="shared" si="2"/>
        <v/>
      </c>
      <c r="J17" s="47"/>
      <c r="K17" s="48"/>
    </row>
    <row r="18" spans="1:11" ht="12.75" customHeight="1">
      <c r="A18" s="28" t="str">
        <v>Austin</v>
      </c>
      <c r="B18" s="29" t="str">
        <v>TX</v>
      </c>
      <c r="C18" s="24"/>
      <c r="D18" s="13"/>
      <c r="E18" s="13" t="str">
        <f t="shared" ref="E18:E23" si="4">IF(AND(ISNUMBER(C18),ISNUMBER(D18)), C18-D18, "")</f>
        <v/>
      </c>
      <c r="F18" s="14" t="str">
        <f t="shared" ref="F18:F28" si="5">IFERROR(E18/D18, "")</f>
        <v/>
      </c>
      <c r="G18" s="15"/>
      <c r="H18" s="15" t="str">
        <f>IF(AND(ISNUMBER(C18),ISNUMBER(G18)), C18-G18, "")</f>
        <v/>
      </c>
      <c r="I18" s="16" t="str">
        <f t="shared" ref="I18:I28" si="6">IFERROR(H18/G18, "")</f>
        <v/>
      </c>
      <c r="J18" s="50"/>
      <c r="K18" s="50"/>
    </row>
    <row r="19" spans="1:11" ht="15.6">
      <c r="A19" s="30" t="str">
        <v>Frisco</v>
      </c>
      <c r="B19" s="31" t="str">
        <v>TX</v>
      </c>
      <c r="C19" s="11"/>
      <c r="D19" s="18"/>
      <c r="E19" s="18" t="str">
        <f t="shared" si="4"/>
        <v/>
      </c>
      <c r="F19" s="19" t="str">
        <f t="shared" si="5"/>
        <v/>
      </c>
      <c r="G19" s="20"/>
      <c r="H19" s="20" t="str">
        <f>IF(AND(ISNUMBER(C19),ISNUMBER(G19)), C19-G19, "")</f>
        <v/>
      </c>
      <c r="I19" s="19" t="str">
        <f t="shared" si="6"/>
        <v/>
      </c>
      <c r="J19" s="47"/>
      <c r="K19" s="49"/>
    </row>
    <row r="20" spans="1:11" ht="15.6">
      <c r="A20" s="28" t="str">
        <v>Copperfield</v>
      </c>
      <c r="B20" s="29" t="str">
        <v>TX</v>
      </c>
      <c r="C20" s="24"/>
      <c r="D20" s="13"/>
      <c r="E20" s="13" t="str">
        <f t="shared" si="4"/>
        <v/>
      </c>
      <c r="F20" s="14" t="str">
        <f t="shared" si="5"/>
        <v/>
      </c>
      <c r="G20" s="15"/>
      <c r="H20" s="15" t="str">
        <f>IF(AND(ISNUMBER(C20),ISNUMBER(G20)), C20-G20, "")</f>
        <v/>
      </c>
      <c r="I20" s="16" t="str">
        <f t="shared" si="6"/>
        <v/>
      </c>
      <c r="J20" s="50"/>
      <c r="K20" s="50"/>
    </row>
    <row r="21" spans="1:11" ht="15.6">
      <c r="A21" s="30" t="str">
        <v>Charlotte - B of A - 1 BAC</v>
      </c>
      <c r="B21" s="31" t="str">
        <v>NC</v>
      </c>
      <c r="C21" s="11"/>
      <c r="D21" s="18"/>
      <c r="E21" s="18" t="str">
        <f t="shared" si="4"/>
        <v/>
      </c>
      <c r="F21" s="19" t="str">
        <f t="shared" si="5"/>
        <v/>
      </c>
      <c r="G21" s="20"/>
      <c r="H21" s="18" t="str">
        <f>IF(AND(ISNUMBER(C21),ISNUMBER(G21)), C21-G21, "")</f>
        <v/>
      </c>
      <c r="I21" s="18" t="str">
        <f t="shared" si="6"/>
        <v/>
      </c>
      <c r="J21" s="42"/>
      <c r="K21" s="48"/>
    </row>
    <row r="22" spans="1:11" ht="15.6">
      <c r="A22" s="28" t="str">
        <v>Charlotte - B of A - 401 N Tryon</v>
      </c>
      <c r="B22" s="29" t="str">
        <v>NC</v>
      </c>
      <c r="C22" s="24"/>
      <c r="D22" s="13"/>
      <c r="E22" s="13" t="str">
        <f t="shared" si="4"/>
        <v/>
      </c>
      <c r="F22" s="14" t="str">
        <f t="shared" si="5"/>
        <v/>
      </c>
      <c r="G22" s="15"/>
      <c r="H22" s="15" t="str">
        <f t="shared" ref="H22:H28" si="7">IF(AND(ISNUMBER(C22),ISNUMBER(G22)), C22-G22, "")</f>
        <v/>
      </c>
      <c r="I22" s="16" t="str">
        <f t="shared" si="6"/>
        <v/>
      </c>
      <c r="J22" s="50"/>
      <c r="K22" s="50"/>
    </row>
    <row r="23" spans="1:11" ht="15.6">
      <c r="A23" s="30" t="str">
        <v>Chandler - B of A Campus Bldg A</v>
      </c>
      <c r="B23" s="31" t="str">
        <v>AZ</v>
      </c>
      <c r="C23" s="11"/>
      <c r="D23" s="18"/>
      <c r="E23" s="18" t="str">
        <f t="shared" si="4"/>
        <v/>
      </c>
      <c r="F23" s="19" t="str">
        <f t="shared" si="5"/>
        <v/>
      </c>
      <c r="G23" s="20"/>
      <c r="H23" s="18" t="str">
        <f t="shared" si="7"/>
        <v/>
      </c>
      <c r="I23" s="18" t="str">
        <f t="shared" si="6"/>
        <v/>
      </c>
      <c r="J23" s="42"/>
      <c r="K23" s="47"/>
    </row>
    <row r="24" spans="1:11" ht="15.6">
      <c r="A24" s="28" t="str">
        <v>Chandler - B of A Campus Bldg B</v>
      </c>
      <c r="B24" s="29" t="str">
        <v>AZ</v>
      </c>
      <c r="C24" s="24"/>
      <c r="D24" s="13"/>
      <c r="E24" s="13" t="str">
        <f t="shared" ref="E24:E28" si="8">IF(AND(ISNUMBER(C24),ISNUMBER(D24)), C24-D24, "")</f>
        <v/>
      </c>
      <c r="F24" s="14" t="str">
        <f t="shared" si="5"/>
        <v/>
      </c>
      <c r="G24" s="15"/>
      <c r="H24" s="15" t="str">
        <f t="shared" si="7"/>
        <v/>
      </c>
      <c r="I24" s="16" t="str">
        <f t="shared" si="6"/>
        <v/>
      </c>
      <c r="J24" s="50"/>
      <c r="K24" s="50"/>
    </row>
    <row r="25" spans="1:11" ht="15.6">
      <c r="A25" s="30" t="str">
        <v>Chandler - B of A Campus Bldg C</v>
      </c>
      <c r="B25" s="31" t="str">
        <v>AZ</v>
      </c>
      <c r="C25" s="11"/>
      <c r="D25" s="18"/>
      <c r="E25" s="18" t="str">
        <f t="shared" si="8"/>
        <v/>
      </c>
      <c r="F25" s="19" t="str">
        <f t="shared" si="5"/>
        <v/>
      </c>
      <c r="G25" s="20"/>
      <c r="H25" s="18" t="str">
        <f t="shared" si="7"/>
        <v/>
      </c>
      <c r="I25" s="58" t="str">
        <f t="shared" si="6"/>
        <v/>
      </c>
      <c r="J25" s="42"/>
      <c r="K25" s="47"/>
    </row>
    <row r="26" spans="1:11" ht="15.6">
      <c r="A26" s="28" t="str">
        <v>Chandler - B of A Campus Bldg D</v>
      </c>
      <c r="B26" s="29" t="str">
        <v>AZ</v>
      </c>
      <c r="C26" s="24"/>
      <c r="D26" s="13"/>
      <c r="E26" s="13" t="str">
        <f t="shared" si="8"/>
        <v/>
      </c>
      <c r="F26" s="14" t="str">
        <f t="shared" si="5"/>
        <v/>
      </c>
      <c r="G26" s="15"/>
      <c r="H26" s="15" t="str">
        <f t="shared" si="7"/>
        <v/>
      </c>
      <c r="I26" s="16" t="str">
        <f t="shared" si="6"/>
        <v/>
      </c>
      <c r="J26" s="50"/>
      <c r="K26" s="50"/>
    </row>
    <row r="27" spans="1:11" ht="15.6">
      <c r="A27" s="30" t="str">
        <v>Tampa - BoA Ekman</v>
      </c>
      <c r="B27" s="31" t="str">
        <v>FL</v>
      </c>
      <c r="C27" s="11"/>
      <c r="D27" s="18"/>
      <c r="E27" s="18" t="str">
        <f t="shared" si="8"/>
        <v/>
      </c>
      <c r="F27" s="19" t="str">
        <f t="shared" si="5"/>
        <v/>
      </c>
      <c r="G27" s="20"/>
      <c r="H27" s="18" t="str">
        <f t="shared" si="7"/>
        <v/>
      </c>
      <c r="I27" s="58" t="str">
        <f t="shared" si="6"/>
        <v/>
      </c>
      <c r="J27" s="53"/>
      <c r="K27" s="47"/>
    </row>
    <row r="28" spans="1:11" ht="15.6">
      <c r="A28" s="28" t="str">
        <v>Charlotte - B of A - Sherrill</v>
      </c>
      <c r="B28" s="29" t="str">
        <v>NC</v>
      </c>
      <c r="C28" s="24"/>
      <c r="D28" s="13"/>
      <c r="E28" s="13" t="str">
        <f t="shared" si="8"/>
        <v/>
      </c>
      <c r="F28" s="14" t="str">
        <f t="shared" si="5"/>
        <v/>
      </c>
      <c r="G28" s="15"/>
      <c r="H28" s="15" t="str">
        <f t="shared" si="7"/>
        <v/>
      </c>
      <c r="I28" s="16" t="str">
        <f t="shared" si="6"/>
        <v/>
      </c>
      <c r="J28" s="50"/>
      <c r="K28" s="50"/>
    </row>
    <row r="29" spans="1:11" ht="14.45">
      <c r="A29" s="21"/>
      <c r="B29" s="33"/>
      <c r="C29" s="21"/>
      <c r="D29" s="21"/>
      <c r="E29" s="21"/>
      <c r="F29" s="21"/>
      <c r="G29" s="21"/>
      <c r="H29" s="21"/>
      <c r="I29" s="21"/>
      <c r="J29" s="21"/>
      <c r="K29" s="21"/>
    </row>
    <row r="30" spans="1:11" ht="14.45">
      <c r="A30" s="21"/>
      <c r="B30" s="33"/>
      <c r="C30" s="21"/>
      <c r="D30" s="21"/>
      <c r="E30" s="21"/>
      <c r="F30" s="21"/>
      <c r="G30" s="21"/>
      <c r="H30" s="21"/>
      <c r="I30" s="21"/>
      <c r="J30" s="21"/>
      <c r="K30" s="21"/>
    </row>
    <row r="31" spans="1:11" ht="14.45">
      <c r="A31" s="21"/>
      <c r="B31" s="33"/>
      <c r="C31" s="21"/>
      <c r="D31" s="21"/>
      <c r="E31" s="21"/>
      <c r="F31" s="22"/>
      <c r="G31" s="21"/>
      <c r="H31" s="21"/>
      <c r="I31" s="22"/>
      <c r="J31" s="21"/>
      <c r="K31" s="21"/>
    </row>
    <row r="32" spans="1:11"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phoneticPr fontId="37" type="noConversion"/>
  <conditionalFormatting sqref="F2 I2 I4:I20 F4:F98 I22 I24 I26 I28:I98">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0"/>
  <sheetViews>
    <sheetView zoomScale="70" zoomScaleNormal="70" workbookViewId="0">
      <pane xSplit="2" ySplit="3" topLeftCell="D6"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JLL</v>
      </c>
      <c r="B1" s="91"/>
      <c r="C1" s="91"/>
      <c r="D1" s="92" t="s">
        <v>116</v>
      </c>
      <c r="E1" s="92"/>
      <c r="F1" s="92"/>
      <c r="G1" s="90" t="s">
        <v>117</v>
      </c>
      <c r="H1" s="90"/>
      <c r="I1" s="90"/>
      <c r="J1" s="4"/>
      <c r="K1" s="4"/>
    </row>
    <row r="2" spans="1:11" ht="19.5" customHeight="1">
      <c r="A2" s="93" t="s">
        <v>2</v>
      </c>
      <c r="B2" s="93"/>
      <c r="C2" s="5">
        <f>SUM(C4:C98)</f>
        <v>0</v>
      </c>
      <c r="D2" s="5">
        <f>SUM(D4:D98)</f>
        <v>0</v>
      </c>
      <c r="E2" s="5">
        <f>C2-D2</f>
        <v>0</v>
      </c>
      <c r="F2" s="6">
        <f>IFERROR(E2/D2, 0)</f>
        <v>0</v>
      </c>
      <c r="G2" s="5">
        <f>SUM(G4:G98)</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IF(AND(ISNUMBER(C4),ISNUMBER(D4)), C4-D4, "")</f>
        <v/>
      </c>
      <c r="F4" s="14" t="str">
        <f>IFERROR(E4/D4, "")</f>
        <v/>
      </c>
      <c r="G4" s="15">
        <v>0</v>
      </c>
      <c r="H4" s="15" t="str">
        <f>IF(AND(ISNUMBER(C4),ISNUMBER(G4)), C4-G4, "")</f>
        <v/>
      </c>
      <c r="I4" s="16" t="str">
        <f>IFERROR(H4/G4, "")</f>
        <v/>
      </c>
      <c r="J4" s="50"/>
      <c r="K4" s="50"/>
    </row>
    <row r="5" spans="1:11" ht="15.6">
      <c r="A5" s="30" t="str">
        <v>Peoria</v>
      </c>
      <c r="B5" s="31" t="str">
        <v>AZ</v>
      </c>
      <c r="C5" s="11"/>
      <c r="D5" s="18">
        <v>0</v>
      </c>
      <c r="E5" s="18" t="str">
        <f t="shared" ref="E5:E17" si="0">IF(AND(ISNUMBER(C5),ISNUMBER(D5)), C5-D5, "")</f>
        <v/>
      </c>
      <c r="F5" s="19" t="str">
        <f>IFERROR(E5/D5, "")</f>
        <v/>
      </c>
      <c r="G5" s="20">
        <v>0</v>
      </c>
      <c r="H5" s="20" t="str">
        <f t="shared" ref="H5:H17" si="1">IF(AND(ISNUMBER(C5),ISNUMBER(G5)), C5-G5, "")</f>
        <v/>
      </c>
      <c r="I5" s="19" t="str">
        <f t="shared" ref="I5:I17" si="2">IFERROR(H5/G5, "")</f>
        <v/>
      </c>
      <c r="J5" s="47"/>
      <c r="K5" s="47"/>
    </row>
    <row r="6" spans="1:11" ht="15.6">
      <c r="A6" s="28" t="str">
        <v>Tucson</v>
      </c>
      <c r="B6" s="29" t="str">
        <v>AZ</v>
      </c>
      <c r="C6" s="24"/>
      <c r="D6" s="13">
        <v>0</v>
      </c>
      <c r="E6" s="13" t="str">
        <f t="shared" si="0"/>
        <v/>
      </c>
      <c r="F6" s="14" t="str">
        <f t="shared" ref="F6:F17" si="3">IFERROR(E6/D6, "")</f>
        <v/>
      </c>
      <c r="G6" s="15">
        <v>0</v>
      </c>
      <c r="H6" s="15" t="str">
        <f t="shared" si="1"/>
        <v/>
      </c>
      <c r="I6" s="16" t="str">
        <f t="shared" si="2"/>
        <v/>
      </c>
      <c r="J6" s="50" t="s">
        <v>112</v>
      </c>
      <c r="K6" s="50" t="s">
        <v>113</v>
      </c>
    </row>
    <row r="7" spans="1:11" ht="15.6">
      <c r="A7" s="30" t="str">
        <v>Hialeah</v>
      </c>
      <c r="B7" s="31" t="str">
        <v>FL</v>
      </c>
      <c r="C7" s="11"/>
      <c r="D7" s="18"/>
      <c r="E7" s="18" t="str">
        <f t="shared" si="0"/>
        <v/>
      </c>
      <c r="F7" s="19" t="str">
        <f t="shared" si="3"/>
        <v/>
      </c>
      <c r="G7" s="20"/>
      <c r="H7" s="20" t="str">
        <f t="shared" si="1"/>
        <v/>
      </c>
      <c r="I7" s="19" t="str">
        <f t="shared" si="2"/>
        <v/>
      </c>
      <c r="J7" s="47"/>
      <c r="K7" s="49"/>
    </row>
    <row r="8" spans="1:11" ht="15.6">
      <c r="A8" s="28" t="str">
        <v>Jacksonville</v>
      </c>
      <c r="B8" s="29" t="str">
        <v>FL</v>
      </c>
      <c r="C8" s="24"/>
      <c r="D8" s="13"/>
      <c r="E8" s="13" t="str">
        <f t="shared" si="0"/>
        <v/>
      </c>
      <c r="F8" s="14" t="str">
        <f t="shared" si="3"/>
        <v/>
      </c>
      <c r="G8" s="15"/>
      <c r="H8" s="15" t="str">
        <f t="shared" si="1"/>
        <v/>
      </c>
      <c r="I8" s="16" t="str">
        <f t="shared" si="2"/>
        <v/>
      </c>
      <c r="J8" s="50"/>
      <c r="K8" s="50"/>
    </row>
    <row r="9" spans="1:11" ht="15.6">
      <c r="A9" s="30" t="str">
        <v>Miami Gardens</v>
      </c>
      <c r="B9" s="31" t="str">
        <v>FL</v>
      </c>
      <c r="C9" s="11"/>
      <c r="D9" s="18"/>
      <c r="E9" s="18" t="str">
        <f t="shared" si="0"/>
        <v/>
      </c>
      <c r="F9" s="19" t="str">
        <f t="shared" si="3"/>
        <v/>
      </c>
      <c r="G9" s="20"/>
      <c r="H9" s="20" t="str">
        <f t="shared" si="1"/>
        <v/>
      </c>
      <c r="I9" s="19" t="str">
        <f t="shared" si="2"/>
        <v/>
      </c>
      <c r="J9" s="47"/>
      <c r="K9" s="47"/>
    </row>
    <row r="10" spans="1:11" ht="15.6">
      <c r="A10" s="28" t="str">
        <v>Fort Myers</v>
      </c>
      <c r="B10" s="29" t="str">
        <v>FL</v>
      </c>
      <c r="C10" s="24"/>
      <c r="D10" s="13"/>
      <c r="E10" s="13" t="str">
        <f t="shared" si="0"/>
        <v/>
      </c>
      <c r="F10" s="14" t="str">
        <f t="shared" si="3"/>
        <v/>
      </c>
      <c r="G10" s="15"/>
      <c r="H10" s="15" t="str">
        <f t="shared" si="1"/>
        <v/>
      </c>
      <c r="I10" s="16" t="str">
        <f t="shared" si="2"/>
        <v/>
      </c>
      <c r="J10" s="50"/>
      <c r="K10" s="50"/>
    </row>
    <row r="11" spans="1:11" ht="15.6">
      <c r="A11" s="30" t="str">
        <v>Orlando</v>
      </c>
      <c r="B11" s="31" t="str">
        <v>FL</v>
      </c>
      <c r="C11" s="11"/>
      <c r="D11" s="18"/>
      <c r="E11" s="18" t="str">
        <f t="shared" si="0"/>
        <v/>
      </c>
      <c r="F11" s="19" t="str">
        <f t="shared" si="3"/>
        <v/>
      </c>
      <c r="G11" s="20"/>
      <c r="H11" s="20" t="str">
        <f t="shared" si="1"/>
        <v/>
      </c>
      <c r="I11" s="19" t="str">
        <f t="shared" si="2"/>
        <v/>
      </c>
      <c r="J11" s="47"/>
      <c r="K11" s="48"/>
    </row>
    <row r="12" spans="1:11" ht="15.6">
      <c r="A12" s="28" t="str">
        <v>Port St. Lucie</v>
      </c>
      <c r="B12" s="29" t="str">
        <v>FL</v>
      </c>
      <c r="C12" s="24"/>
      <c r="D12" s="13"/>
      <c r="E12" s="13" t="str">
        <f t="shared" si="0"/>
        <v/>
      </c>
      <c r="F12" s="14" t="str">
        <f t="shared" si="3"/>
        <v/>
      </c>
      <c r="G12" s="15"/>
      <c r="H12" s="15" t="str">
        <f t="shared" si="1"/>
        <v/>
      </c>
      <c r="I12" s="16" t="str">
        <f t="shared" si="2"/>
        <v/>
      </c>
      <c r="J12" s="50"/>
      <c r="K12" s="50"/>
    </row>
    <row r="13" spans="1:11" ht="15.6">
      <c r="A13" s="30" t="str">
        <v>Tampa</v>
      </c>
      <c r="B13" s="31" t="str">
        <v>FL</v>
      </c>
      <c r="C13" s="11"/>
      <c r="D13" s="18"/>
      <c r="E13" s="18" t="str">
        <f t="shared" si="0"/>
        <v/>
      </c>
      <c r="F13" s="19" t="str">
        <f t="shared" si="3"/>
        <v/>
      </c>
      <c r="G13" s="20"/>
      <c r="H13" s="20" t="str">
        <f t="shared" si="1"/>
        <v/>
      </c>
      <c r="I13" s="19" t="str">
        <f t="shared" si="2"/>
        <v/>
      </c>
      <c r="J13" s="47"/>
      <c r="K13" s="48"/>
    </row>
    <row r="14" spans="1:11" ht="15.6">
      <c r="A14" s="28" t="str">
        <v>Roswell</v>
      </c>
      <c r="B14" s="29" t="str">
        <v>GA</v>
      </c>
      <c r="C14" s="24"/>
      <c r="D14" s="13"/>
      <c r="E14" s="13" t="str">
        <f t="shared" si="0"/>
        <v/>
      </c>
      <c r="F14" s="14" t="str">
        <f t="shared" si="3"/>
        <v/>
      </c>
      <c r="G14" s="15"/>
      <c r="H14" s="15" t="str">
        <f t="shared" si="1"/>
        <v/>
      </c>
      <c r="I14" s="16" t="str">
        <f t="shared" si="2"/>
        <v/>
      </c>
      <c r="J14" s="50"/>
      <c r="K14" s="50"/>
    </row>
    <row r="15" spans="1:11" ht="15.6">
      <c r="A15" s="30" t="str">
        <v>Charlotte</v>
      </c>
      <c r="B15" s="31" t="str">
        <v>NC</v>
      </c>
      <c r="C15" s="11"/>
      <c r="D15" s="18"/>
      <c r="E15" s="18" t="str">
        <f t="shared" si="0"/>
        <v/>
      </c>
      <c r="F15" s="19" t="str">
        <f t="shared" si="3"/>
        <v/>
      </c>
      <c r="G15" s="20"/>
      <c r="H15" s="20" t="str">
        <f t="shared" si="1"/>
        <v/>
      </c>
      <c r="I15" s="19" t="str">
        <f t="shared" si="2"/>
        <v/>
      </c>
      <c r="J15" s="47"/>
      <c r="K15" s="48"/>
    </row>
    <row r="16" spans="1:11" ht="15.6">
      <c r="A16" s="28" t="str">
        <v>Raleigh</v>
      </c>
      <c r="B16" s="29" t="str">
        <v>NC</v>
      </c>
      <c r="C16" s="24"/>
      <c r="D16" s="13"/>
      <c r="E16" s="13" t="str">
        <f t="shared" si="0"/>
        <v/>
      </c>
      <c r="F16" s="14" t="str">
        <f t="shared" si="3"/>
        <v/>
      </c>
      <c r="G16" s="15"/>
      <c r="H16" s="15" t="str">
        <f t="shared" si="1"/>
        <v/>
      </c>
      <c r="I16" s="16" t="str">
        <f t="shared" si="2"/>
        <v/>
      </c>
      <c r="J16" s="50"/>
      <c r="K16" s="50"/>
    </row>
    <row r="17" spans="1:11" ht="15.6">
      <c r="A17" s="30" t="str">
        <v>Cordova</v>
      </c>
      <c r="B17" s="31" t="str">
        <v>TN</v>
      </c>
      <c r="C17" s="11"/>
      <c r="D17" s="18"/>
      <c r="E17" s="18" t="str">
        <f t="shared" si="0"/>
        <v/>
      </c>
      <c r="F17" s="19" t="str">
        <f t="shared" si="3"/>
        <v/>
      </c>
      <c r="G17" s="20"/>
      <c r="H17" s="20" t="str">
        <f t="shared" si="1"/>
        <v/>
      </c>
      <c r="I17" s="19" t="str">
        <f t="shared" si="2"/>
        <v/>
      </c>
      <c r="J17" s="47"/>
      <c r="K17" s="51"/>
    </row>
    <row r="18" spans="1:11" ht="12.75" customHeight="1">
      <c r="A18" s="28" t="str">
        <v>Austin</v>
      </c>
      <c r="B18" s="29" t="str">
        <v>TX</v>
      </c>
      <c r="C18" s="24"/>
      <c r="D18" s="13"/>
      <c r="E18" s="13" t="str">
        <f t="shared" ref="E18:E23" si="4">IF(AND(ISNUMBER(C18),ISNUMBER(D18)), C18-D18, "")</f>
        <v/>
      </c>
      <c r="F18" s="14" t="str">
        <f t="shared" ref="F18:F28" si="5">IFERROR(E18/D18, "")</f>
        <v/>
      </c>
      <c r="G18" s="15"/>
      <c r="H18" s="15" t="str">
        <f t="shared" ref="H18:H23" si="6">IF(AND(ISNUMBER(C18),ISNUMBER(G18)), C18-G18, "")</f>
        <v/>
      </c>
      <c r="I18" s="16" t="str">
        <f t="shared" ref="I18:I28" si="7">IFERROR(H18/G18, "")</f>
        <v/>
      </c>
      <c r="J18" s="50"/>
      <c r="K18" s="50"/>
    </row>
    <row r="19" spans="1:11" ht="15.6">
      <c r="A19" s="30" t="str">
        <v>Frisco</v>
      </c>
      <c r="B19" s="31" t="str">
        <v>TX</v>
      </c>
      <c r="C19" s="11"/>
      <c r="D19" s="18"/>
      <c r="E19" s="18" t="str">
        <f t="shared" si="4"/>
        <v/>
      </c>
      <c r="F19" s="19" t="str">
        <f t="shared" si="5"/>
        <v/>
      </c>
      <c r="G19" s="20"/>
      <c r="H19" s="20" t="str">
        <f t="shared" si="6"/>
        <v/>
      </c>
      <c r="I19" s="19" t="str">
        <f t="shared" si="7"/>
        <v/>
      </c>
      <c r="J19" s="47"/>
      <c r="K19" s="52"/>
    </row>
    <row r="20" spans="1:11" ht="15.6">
      <c r="A20" s="28" t="str">
        <v>Copperfield</v>
      </c>
      <c r="B20" s="29" t="str">
        <v>TX</v>
      </c>
      <c r="C20" s="24"/>
      <c r="D20" s="13"/>
      <c r="E20" s="13" t="str">
        <f t="shared" si="4"/>
        <v/>
      </c>
      <c r="F20" s="14" t="str">
        <f t="shared" si="5"/>
        <v/>
      </c>
      <c r="G20" s="15"/>
      <c r="H20" s="15" t="str">
        <f t="shared" si="6"/>
        <v/>
      </c>
      <c r="I20" s="16" t="str">
        <f t="shared" si="7"/>
        <v/>
      </c>
      <c r="J20" s="50"/>
      <c r="K20" s="50"/>
    </row>
    <row r="21" spans="1:11" ht="15.6">
      <c r="A21" s="30" t="str">
        <v>Charlotte - B of A - 1 BAC</v>
      </c>
      <c r="B21" s="31" t="str">
        <v>NC</v>
      </c>
      <c r="C21" s="11"/>
      <c r="D21" s="18"/>
      <c r="E21" s="18" t="str">
        <f t="shared" si="4"/>
        <v/>
      </c>
      <c r="F21" s="19" t="str">
        <f t="shared" si="5"/>
        <v/>
      </c>
      <c r="G21" s="20"/>
      <c r="H21" s="20" t="str">
        <f t="shared" si="6"/>
        <v/>
      </c>
      <c r="I21" s="19" t="str">
        <f t="shared" si="7"/>
        <v/>
      </c>
      <c r="J21" s="47"/>
      <c r="K21" s="43"/>
    </row>
    <row r="22" spans="1:11" ht="15.6">
      <c r="A22" s="28" t="str">
        <v>Charlotte - B of A - 401 N Tryon</v>
      </c>
      <c r="B22" s="29" t="str">
        <v>NC</v>
      </c>
      <c r="C22" s="24"/>
      <c r="D22" s="13"/>
      <c r="E22" s="13" t="str">
        <f t="shared" si="4"/>
        <v/>
      </c>
      <c r="F22" s="14" t="str">
        <f t="shared" si="5"/>
        <v/>
      </c>
      <c r="G22" s="15"/>
      <c r="H22" s="15" t="str">
        <f t="shared" si="6"/>
        <v/>
      </c>
      <c r="I22" s="16" t="str">
        <f t="shared" si="7"/>
        <v/>
      </c>
      <c r="J22" s="50"/>
      <c r="K22" s="50"/>
    </row>
    <row r="23" spans="1:11" ht="15.6">
      <c r="A23" s="30" t="str">
        <v>Chandler - B of A Campus Bldg A</v>
      </c>
      <c r="B23" s="31" t="str">
        <v>AZ</v>
      </c>
      <c r="C23" s="11"/>
      <c r="D23" s="18"/>
      <c r="E23" s="18" t="str">
        <f t="shared" si="4"/>
        <v/>
      </c>
      <c r="F23" s="19" t="str">
        <f t="shared" si="5"/>
        <v/>
      </c>
      <c r="G23" s="20"/>
      <c r="H23" s="20" t="str">
        <f t="shared" si="6"/>
        <v/>
      </c>
      <c r="I23" s="19" t="str">
        <f t="shared" si="7"/>
        <v/>
      </c>
      <c r="J23" s="47"/>
      <c r="K23" s="42"/>
    </row>
    <row r="24" spans="1:11" ht="15.6">
      <c r="A24" s="28" t="str">
        <v>Chandler - B of A Campus Bldg B</v>
      </c>
      <c r="B24" s="29" t="str">
        <v>AZ</v>
      </c>
      <c r="C24" s="24"/>
      <c r="D24" s="13"/>
      <c r="E24" s="13" t="str">
        <f t="shared" ref="E24:E28" si="8">IF(AND(ISNUMBER(C24),ISNUMBER(D24)), C24-D24, "")</f>
        <v/>
      </c>
      <c r="F24" s="14" t="str">
        <f t="shared" si="5"/>
        <v/>
      </c>
      <c r="G24" s="15"/>
      <c r="H24" s="15" t="str">
        <f t="shared" ref="H24:H28" si="9">IF(AND(ISNUMBER(C24),ISNUMBER(G24)), C24-G24, "")</f>
        <v/>
      </c>
      <c r="I24" s="16" t="str">
        <f t="shared" si="7"/>
        <v/>
      </c>
      <c r="J24" s="50"/>
      <c r="K24" s="50"/>
    </row>
    <row r="25" spans="1:11" ht="15.6">
      <c r="A25" s="30" t="str">
        <v>Chandler - B of A Campus Bldg C</v>
      </c>
      <c r="B25" s="31" t="str">
        <v>AZ</v>
      </c>
      <c r="C25" s="11"/>
      <c r="D25" s="18"/>
      <c r="E25" s="18" t="str">
        <f t="shared" si="8"/>
        <v/>
      </c>
      <c r="F25" s="19" t="str">
        <f t="shared" si="5"/>
        <v/>
      </c>
      <c r="G25" s="20"/>
      <c r="H25" s="20" t="str">
        <f t="shared" si="9"/>
        <v/>
      </c>
      <c r="I25" s="19" t="str">
        <f t="shared" si="7"/>
        <v/>
      </c>
      <c r="J25" s="47"/>
      <c r="K25" s="59"/>
    </row>
    <row r="26" spans="1:11" ht="15.6">
      <c r="A26" s="28" t="str">
        <v>Chandler - B of A Campus Bldg D</v>
      </c>
      <c r="B26" s="29" t="str">
        <v>AZ</v>
      </c>
      <c r="C26" s="24"/>
      <c r="D26" s="13"/>
      <c r="E26" s="13" t="str">
        <f t="shared" si="8"/>
        <v/>
      </c>
      <c r="F26" s="14" t="str">
        <f t="shared" si="5"/>
        <v/>
      </c>
      <c r="G26" s="15"/>
      <c r="H26" s="15" t="str">
        <f t="shared" si="9"/>
        <v/>
      </c>
      <c r="I26" s="16" t="str">
        <f t="shared" si="7"/>
        <v/>
      </c>
      <c r="J26" s="50"/>
      <c r="K26" s="50"/>
    </row>
    <row r="27" spans="1:11" ht="15.6">
      <c r="A27" s="30" t="str">
        <v>Tampa - BoA Ekman</v>
      </c>
      <c r="B27" s="31" t="str">
        <v>FL</v>
      </c>
      <c r="C27" s="11"/>
      <c r="D27" s="18"/>
      <c r="E27" s="18" t="str">
        <f t="shared" si="8"/>
        <v/>
      </c>
      <c r="F27" s="19" t="str">
        <f t="shared" si="5"/>
        <v/>
      </c>
      <c r="G27" s="20"/>
      <c r="H27" s="20" t="str">
        <f t="shared" si="9"/>
        <v/>
      </c>
      <c r="I27" s="19" t="str">
        <f t="shared" si="7"/>
        <v/>
      </c>
      <c r="J27" s="53"/>
      <c r="K27" s="47"/>
    </row>
    <row r="28" spans="1:11" ht="15.6">
      <c r="A28" s="28" t="str">
        <v>Charlotte - B of A - Sherrill</v>
      </c>
      <c r="B28" s="29" t="str">
        <v>NC</v>
      </c>
      <c r="C28" s="24"/>
      <c r="D28" s="13"/>
      <c r="E28" s="13" t="str">
        <f t="shared" si="8"/>
        <v/>
      </c>
      <c r="F28" s="14" t="str">
        <f t="shared" si="5"/>
        <v/>
      </c>
      <c r="G28" s="15"/>
      <c r="H28" s="15" t="str">
        <f t="shared" si="9"/>
        <v/>
      </c>
      <c r="I28" s="16" t="str">
        <f t="shared" si="7"/>
        <v/>
      </c>
      <c r="J28" s="50"/>
      <c r="K28" s="50"/>
    </row>
    <row r="29" spans="1:11" ht="14.45">
      <c r="A29" s="21"/>
      <c r="B29" s="33"/>
      <c r="C29" s="21"/>
      <c r="D29" s="21"/>
      <c r="E29" s="21"/>
      <c r="F29" s="21"/>
      <c r="G29" s="21"/>
      <c r="H29" s="21"/>
      <c r="I29" s="21"/>
      <c r="J29" s="21"/>
      <c r="K29" s="21"/>
    </row>
    <row r="30" spans="1:11" ht="14.45">
      <c r="A30" s="21"/>
      <c r="B30" s="33"/>
      <c r="C30" s="21"/>
      <c r="D30" s="21"/>
      <c r="E30" s="21"/>
      <c r="F30" s="21"/>
      <c r="G30" s="21"/>
      <c r="H30" s="21"/>
      <c r="I30" s="21"/>
      <c r="J30" s="21"/>
      <c r="K30" s="21"/>
    </row>
    <row r="31" spans="1:11" ht="14.45">
      <c r="A31" s="21"/>
      <c r="B31" s="33"/>
      <c r="C31" s="21"/>
      <c r="D31" s="21"/>
      <c r="E31" s="21"/>
      <c r="F31" s="22"/>
      <c r="G31" s="21"/>
      <c r="H31" s="21"/>
      <c r="I31" s="22"/>
      <c r="J31" s="21"/>
      <c r="K31" s="21"/>
    </row>
    <row r="32" spans="1:11"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phoneticPr fontId="37" type="noConversion"/>
  <conditionalFormatting sqref="F2 I2 F4:F98 I4:I98 Q22 T22 AB22 AE22 AM22 AP22 AX22 BA22 BI22 BL22 BT22 BW22 CE22 CH22 CP22 CS22 DA22 DD22 DL22 DO22 DW22 DZ22 EH22 EK22 ES22 EV22 FD22 FG22 FO22 FR22 FZ22 GC22 GK22 GN22 GV22 GY22 HG22 HJ22 HR22 HU22 IC22 IF22 IN22 IQ22 IY22 JB22 JJ22 JM22 JU22 JX22 KF22 KI22 KQ22 KT22 LB22 LE22 LM22 LP22 LX22 MA22 MI22 ML22 MT22 MW22 NE22 NH22 NP22 NS22 OA22 OD22 OL22 OO22 OW22 OZ22 PH22 PK22 PS22 PV22 QD22 QG22 QO22 QR22 QZ22 RC22 RK22 RN22 RV22 RY22 SG22 SJ22 SR22 SU22 TC22 TF22 TN22 TQ22 TY22 UB22 UJ22 UM22 UU22 UX22 VF22 VI22 VQ22 VT22 WB22 WE22 WM22 WP22 WX22 XA22 XI22 XL22 XT22 XW22 YE22 YH22 YP22 YS22 ZA22 ZD22 ZL22 ZO22 ZW22 ZZ22 AAH22 AAK22 AAS22 AAV22 ABD22 ABG22 ABO22 ABR22 ABZ22 ACC22 ACK22 ACN22 ACV22 ACY22 ADG22 ADJ22 ADR22 ADU22 AEC22 AEF22 AEN22 AEQ22 AEY22 AFB22 AFJ22 AFM22 AFU22 AFX22 AGF22 AGI22 AGQ22 AGT22 AHB22 AHE22 AHM22 AHP22 AHX22 AIA22 AII22 AIL22 AIT22 AIW22 AJE22 AJH22 AJP22 AJS22 AKA22 AKD22 AKL22 AKO22 AKW22 AKZ22 ALH22 ALK22 ALS22 ALV22 AMD22 AMG22 AMO22 AMR22 AMZ22 ANC22 ANK22 ANN22 ANV22 ANY22 AOG22 AOJ22 AOR22 AOU22 APC22 APF22 APN22 APQ22 APY22 AQB22 AQJ22 AQM22 AQU22 AQX22 ARF22 ARI22 ARQ22 ART22 ASB22 ASE22 ASM22 ASP22 ASX22 ATA22 ATI22 ATL22 ATT22 ATW22 AUE22 AUH22 AUP22 AUS22 AVA22 AVD22 AVL22 AVO22 AVW22 AVZ22 AWH22 AWK22 AWS22 AWV22 AXD22 AXG22 AXO22 AXR22 AXZ22 AYC22 AYK22 AYN22 AYV22 AYY22 AZG22 AZJ22 AZR22 AZU22 BAC22 BAF22 BAN22 BAQ22 BAY22 BBB22 BBJ22 BBM22 BBU22 BBX22 BCF22 BCI22 BCQ22 BCT22 BDB22 BDE22 BDM22 BDP22 BDX22 BEA22 BEI22 BEL22 BET22 BEW22 BFE22 BFH22 BFP22 BFS22 BGA22 BGD22 BGL22 BGO22 BGW22 BGZ22 BHH22 BHK22 BHS22 BHV22 BID22 BIG22 BIO22 BIR22 BIZ22 BJC22 BJK22 BJN22 BJV22 BJY22 BKG22 BKJ22 BKR22 BKU22 BLC22 BLF22 BLN22 BLQ22 BLY22 BMB22 BMJ22 BMM22 BMU22 BMX22 BNF22 BNI22 BNQ22 BNT22 BOB22 BOE22 BOM22 BOP22 BOX22 BPA22 BPI22 BPL22 BPT22 BPW22 BQE22 BQH22 BQP22 BQS22 BRA22 BRD22 BRL22 BRO22 BRW22 BRZ22 BSH22 BSK22 BSS22 BSV22 BTD22 BTG22 BTO22 BTR22 BTZ22 BUC22 BUK22 BUN22 BUV22 BUY22 BVG22 BVJ22 BVR22 BVU22 BWC22 BWF22 BWN22 BWQ22 BWY22 BXB22 BXJ22 BXM22 BXU22 BXX22 BYF22 BYI22 BYQ22 BYT22 BZB22 BZE22 BZM22 BZP22 BZX22 CAA22 CAI22 CAL22 CAT22 CAW22 CBE22 CBH22 CBP22 CBS22 CCA22 CCD22 CCL22 CCO22 CCW22 CCZ22 CDH22 CDK22 CDS22 CDV22 CED22 CEG22 CEO22 CER22 CEZ22 CFC22 CFK22 CFN22 CFV22 CFY22 CGG22 CGJ22 CGR22 CGU22 CHC22 CHF22 CHN22 CHQ22 CHY22 CIB22 CIJ22 CIM22 CIU22 CIX22 CJF22 CJI22 CJQ22 CJT22 CKB22 CKE22 CKM22 CKP22 CKX22 CLA22 CLI22 CLL22 CLT22 CLW22 CME22 CMH22 CMP22 CMS22 CNA22 CND22 CNL22 CNO22 CNW22 CNZ22 COH22 COK22 COS22 COV22 CPD22 CPG22 CPO22 CPR22 CPZ22 CQC22 CQK22 CQN22 CQV22 CQY22 CRG22 CRJ22 CRR22 CRU22 CSC22 CSF22 CSN22 CSQ22 CSY22 CTB22 CTJ22 CTM22 CTU22 CTX22 CUF22 CUI22 CUQ22 CUT22 CVB22 CVE22 CVM22 CVP22 CVX22 CWA22 CWI22 CWL22 CWT22 CWW22 CXE22 CXH22 CXP22 CXS22 CYA22 CYD22 CYL22 CYO22 CYW22 CYZ22 CZH22 CZK22 CZS22 CZV22 DAD22 DAG22 DAO22 DAR22 DAZ22 DBC22 DBK22 DBN22 DBV22 DBY22 DCG22 DCJ22 DCR22 DCU22 DDC22 DDF22 DDN22 DDQ22 DDY22 DEB22 DEJ22 DEM22 DEU22 DEX22 DFF22 DFI22 DFQ22 DFT22 DGB22 DGE22 DGM22 DGP22 DGX22 DHA22 DHI22 DHL22 DHT22 DHW22 DIE22 DIH22 DIP22 DIS22 DJA22 DJD22 DJL22 DJO22 DJW22 DJZ22 DKH22 DKK22 DKS22 DKV22 DLD22 DLG22 DLO22 DLR22 DLZ22 DMC22 DMK22 DMN22 DMV22 DMY22 DNG22 DNJ22 DNR22 DNU22 DOC22 DOF22 DON22 DOQ22 DOY22 DPB22 DPJ22 DPM22 DPU22 DPX22 DQF22 DQI22 DQQ22 DQT22 DRB22 DRE22 DRM22 DRP22 DRX22 DSA22 DSI22 DSL22 DST22 DSW22 DTE22 DTH22 DTP22 DTS22 DUA22 DUD22 DUL22 DUO22 DUW22 DUZ22 DVH22 DVK22 DVS22 DVV22 DWD22 DWG22 DWO22 DWR22 DWZ22 DXC22 DXK22 DXN22 DXV22 DXY22 DYG22 DYJ22 DYR22 DYU22 DZC22 DZF22 DZN22 DZQ22 DZY22 EAB22 EAJ22 EAM22 EAU22 EAX22 EBF22 EBI22 EBQ22 EBT22 ECB22 ECE22 ECM22 ECP22 ECX22 EDA22 EDI22 EDL22 EDT22 EDW22 EEE22 EEH22 EEP22 EES22 EFA22 EFD22 EFL22 EFO22 EFW22 EFZ22 EGH22 EGK22 EGS22 EGV22 EHD22 EHG22 EHO22 EHR22 EHZ22 EIC22 EIK22 EIN22 EIV22 EIY22 EJG22 EJJ22 EJR22 EJU22 EKC22 EKF22 EKN22 EKQ22 EKY22 ELB22 ELJ22 ELM22 ELU22 ELX22 EMF22 EMI22 EMQ22 EMT22 ENB22 ENE22 ENM22 ENP22 ENX22 EOA22 EOI22 EOL22 EOT22 EOW22 EPE22 EPH22 EPP22 EPS22 EQA22 EQD22 EQL22 EQO22 EQW22 EQZ22 ERH22 ERK22 ERS22 ERV22 ESD22 ESG22 ESO22 ESR22 ESZ22 ETC22 ETK22 ETN22 ETV22 ETY22 EUG22 EUJ22 EUR22 EUU22 EVC22 EVF22 EVN22 EVQ22 EVY22 EWB22 EWJ22 EWM22 EWU22 EWX22 EXF22 EXI22 EXQ22 EXT22 EYB22 EYE22 EYM22 EYP22 EYX22 EZA22 EZI22 EZL22 EZT22 EZW22 FAE22 FAH22 FAP22 FAS22 FBA22 FBD22 FBL22 FBO22 FBW22 FBZ22 FCH22 FCK22 FCS22 FCV22 FDD22 FDG22 FDO22 FDR22 FDZ22 FEC22 FEK22 FEN22 FEV22 FEY22 FFG22 FFJ22 FFR22 FFU22 FGC22 FGF22 FGN22 FGQ22 FGY22 FHB22 FHJ22 FHM22 FHU22 FHX22 FIF22 FII22 FIQ22 FIT22 FJB22 FJE22 FJM22 FJP22 FJX22 FKA22 FKI22 FKL22 FKT22 FKW22 FLE22 FLH22 FLP22 FLS22 FMA22 FMD22 FML22 FMO22 FMW22 FMZ22 FNH22 FNK22 FNS22 FNV22 FOD22 FOG22 FOO22 FOR22 FOZ22 FPC22 FPK22 FPN22 FPV22 FPY22 FQG22 FQJ22 FQR22 FQU22 FRC22 FRF22 FRN22 FRQ22 FRY22 FSB22 FSJ22 FSM22 FSU22 FSX22 FTF22 FTI22 FTQ22 FTT22 FUB22 FUE22 FUM22 FUP22 FUX22 FVA22 FVI22 FVL22 FVT22 FVW22 FWE22 FWH22 FWP22 FWS22 FXA22 FXD22 FXL22 FXO22 FXW22 FXZ22 FYH22 FYK22 FYS22 FYV22 FZD22 FZG22 FZO22 FZR22 FZZ22 GAC22 GAK22 GAN22 GAV22 GAY22 GBG22 GBJ22 GBR22 GBU22 GCC22 GCF22 GCN22 GCQ22 GCY22 GDB22 GDJ22 GDM22 GDU22 GDX22 GEF22 GEI22 GEQ22 GET22 GFB22 GFE22 GFM22 GFP22 GFX22 GGA22 GGI22 GGL22 GGT22 GGW22 GHE22 GHH22 GHP22 GHS22 GIA22 GID22 GIL22 GIO22 GIW22 GIZ22 GJH22 GJK22 GJS22 GJV22 GKD22 GKG22 GKO22 GKR22 GKZ22 GLC22 GLK22 GLN22 GLV22 GLY22 GMG22 GMJ22 GMR22 GMU22 GNC22 GNF22 GNN22 GNQ22 GNY22 GOB22 GOJ22 GOM22 GOU22 GOX22 GPF22 GPI22 GPQ22 GPT22 GQB22 GQE22 GQM22 GQP22 GQX22 GRA22 GRI22 GRL22 GRT22 GRW22 GSE22 GSH22 GSP22 GSS22 GTA22 GTD22 GTL22 GTO22 GTW22 GTZ22 GUH22 GUK22 GUS22 GUV22 GVD22 GVG22 GVO22 GVR22 GVZ22 GWC22 GWK22 GWN22 GWV22 GWY22 GXG22 GXJ22 GXR22 GXU22 GYC22 GYF22 GYN22 GYQ22 GYY22 GZB22 GZJ22 GZM22 GZU22 GZX22 HAF22 HAI22 HAQ22 HAT22 HBB22 HBE22 HBM22 HBP22 HBX22 HCA22 HCI22 HCL22 HCT22 HCW22 HDE22 HDH22 HDP22 HDS22 HEA22 HED22 HEL22 HEO22 HEW22 HEZ22 HFH22 HFK22 HFS22 HFV22 HGD22 HGG22 HGO22 HGR22 HGZ22 HHC22 HHK22 HHN22 HHV22 HHY22 HIG22 HIJ22 HIR22 HIU22 HJC22 HJF22 HJN22 HJQ22 HJY22 HKB22 HKJ22 HKM22 HKU22 HKX22 HLF22 HLI22 HLQ22 HLT22 HMB22 HME22 HMM22 HMP22 HMX22 HNA22 HNI22 HNL22 HNT22 HNW22 HOE22 HOH22 HOP22 HOS22 HPA22 HPD22 HPL22 HPO22 HPW22 HPZ22 HQH22 HQK22 HQS22 HQV22 HRD22 HRG22 HRO22 HRR22 HRZ22 HSC22 HSK22 HSN22 HSV22 HSY22 HTG22 HTJ22 HTR22 HTU22 HUC22 HUF22 HUN22 HUQ22 HUY22 HVB22 HVJ22 HVM22 HVU22 HVX22 HWF22 HWI22 HWQ22 HWT22 HXB22 HXE22 HXM22 HXP22 HXX22 HYA22 HYI22 HYL22 HYT22 HYW22 HZE22 HZH22 HZP22 HZS22 IAA22 IAD22 IAL22 IAO22 IAW22 IAZ22 IBH22 IBK22 IBS22 IBV22 ICD22 ICG22 ICO22 ICR22 ICZ22 IDC22 IDK22 IDN22 IDV22 IDY22 IEG22 IEJ22 IER22 IEU22 IFC22 IFF22 IFN22 IFQ22 IFY22 IGB22 IGJ22 IGM22 IGU22 IGX22 IHF22 IHI22 IHQ22 IHT22 IIB22 IIE22 IIM22 IIP22 IIX22 IJA22 IJI22 IJL22 IJT22 IJW22 IKE22 IKH22 IKP22 IKS22 ILA22 ILD22 ILL22 ILO22 ILW22 ILZ22 IMH22 IMK22 IMS22 IMV22 IND22 ING22 INO22 INR22 INZ22 IOC22 IOK22 ION22 IOV22 IOY22 IPG22 IPJ22 IPR22 IPU22 IQC22 IQF22 IQN22 IQQ22 IQY22 IRB22 IRJ22 IRM22 IRU22 IRX22 ISF22 ISI22 ISQ22 IST22 ITB22 ITE22 ITM22 ITP22 ITX22 IUA22 IUI22 IUL22 IUT22 IUW22 IVE22 IVH22 IVP22 IVS22 IWA22 IWD22 IWL22 IWO22 IWW22 IWZ22 IXH22 IXK22 IXS22 IXV22 IYD22 IYG22 IYO22 IYR22 IYZ22 IZC22 IZK22 IZN22 IZV22 IZY22 JAG22 JAJ22 JAR22 JAU22 JBC22 JBF22 JBN22 JBQ22 JBY22 JCB22 JCJ22 JCM22 JCU22 JCX22 JDF22 JDI22 JDQ22 JDT22 JEB22 JEE22 JEM22 JEP22 JEX22 JFA22 JFI22 JFL22 JFT22 JFW22 JGE22 JGH22 JGP22 JGS22 JHA22 JHD22 JHL22 JHO22 JHW22 JHZ22 JIH22 JIK22 JIS22 JIV22 JJD22 JJG22 JJO22 JJR22 JJZ22 JKC22 JKK22 JKN22 JKV22 JKY22 JLG22 JLJ22 JLR22 JLU22 JMC22 JMF22 JMN22 JMQ22 JMY22 JNB22 JNJ22 JNM22 JNU22 JNX22 JOF22 JOI22 JOQ22 JOT22 JPB22 JPE22 JPM22 JPP22 JPX22 JQA22 JQI22 JQL22 JQT22 JQW22 JRE22 JRH22 JRP22 JRS22 JSA22 JSD22 JSL22 JSO22 JSW22 JSZ22 JTH22 JTK22 JTS22 JTV22 JUD22 JUG22 JUO22 JUR22 JUZ22 JVC22 JVK22 JVN22 JVV22 JVY22 JWG22 JWJ22 JWR22 JWU22 JXC22 JXF22 JXN22 JXQ22 JXY22 JYB22 JYJ22 JYM22 JYU22 JYX22 JZF22 JZI22 JZQ22 JZT22 KAB22 KAE22 KAM22 KAP22 KAX22 KBA22 KBI22 KBL22 KBT22 KBW22 KCE22 KCH22 KCP22 KCS22 KDA22 KDD22 KDL22 KDO22 KDW22 KDZ22 KEH22 KEK22 KES22 KEV22 KFD22 KFG22 KFO22 KFR22 KFZ22 KGC22 KGK22 KGN22 KGV22 KGY22 KHG22 KHJ22 KHR22 KHU22 KIC22 KIF22 KIN22 KIQ22 KIY22 KJB22 KJJ22 KJM22 KJU22 KJX22 KKF22 KKI22 KKQ22 KKT22 KLB22 KLE22 KLM22 KLP22 KLX22 KMA22 KMI22 KML22 KMT22 KMW22 KNE22 KNH22 KNP22 KNS22 KOA22 KOD22 KOL22 KOO22 KOW22 KOZ22 KPH22 KPK22 KPS22 KPV22 KQD22 KQG22 KQO22 KQR22 KQZ22 KRC22 KRK22 KRN22 KRV22 KRY22 KSG22 KSJ22 KSR22 KSU22 KTC22 KTF22 KTN22 KTQ22 KTY22 KUB22 KUJ22 KUM22 KUU22 KUX22 KVF22 KVI22 KVQ22 KVT22 KWB22 KWE22 KWM22 KWP22 KWX22 KXA22 KXI22 KXL22 KXT22 KXW22 KYE22 KYH22 KYP22 KYS22 KZA22 KZD22 KZL22 KZO22 KZW22 KZZ22 LAH22 LAK22 LAS22 LAV22 LBD22 LBG22 LBO22 LBR22 LBZ22 LCC22 LCK22 LCN22 LCV22 LCY22 LDG22 LDJ22 LDR22 LDU22 LEC22 LEF22 LEN22 LEQ22 LEY22 LFB22 LFJ22 LFM22 LFU22 LFX22 LGF22 LGI22 LGQ22 LGT22 LHB22 LHE22 LHM22 LHP22 LHX22 LIA22 LII22 LIL22 LIT22 LIW22 LJE22 LJH22 LJP22 LJS22 LKA22 LKD22 LKL22 LKO22 LKW22 LKZ22 LLH22 LLK22 LLS22 LLV22 LMD22 LMG22 LMO22 LMR22 LMZ22 LNC22 LNK22 LNN22 LNV22 LNY22 LOG22 LOJ22 LOR22 LOU22 LPC22 LPF22 LPN22 LPQ22 LPY22 LQB22 LQJ22 LQM22 LQU22 LQX22 LRF22 LRI22 LRQ22 LRT22 LSB22 LSE22 LSM22 LSP22 LSX22 LTA22 LTI22 LTL22 LTT22 LTW22 LUE22 LUH22 LUP22 LUS22 LVA22 LVD22 LVL22 LVO22 LVW22 LVZ22 LWH22 LWK22 LWS22 LWV22 LXD22 LXG22 LXO22 LXR22 LXZ22 LYC22 LYK22 LYN22 LYV22 LYY22 LZG22 LZJ22 LZR22 LZU22 MAC22 MAF22 MAN22 MAQ22 MAY22 MBB22 MBJ22 MBM22 MBU22 MBX22 MCF22 MCI22 MCQ22 MCT22 MDB22 MDE22 MDM22 MDP22 MDX22 MEA22 MEI22 MEL22 MET22 MEW22 MFE22 MFH22 MFP22 MFS22 MGA22 MGD22 MGL22 MGO22 MGW22 MGZ22 MHH22 MHK22 MHS22 MHV22 MID22 MIG22 MIO22 MIR22 MIZ22 MJC22 MJK22 MJN22 MJV22 MJY22 MKG22 MKJ22 MKR22 MKU22 MLC22 MLF22 MLN22 MLQ22 MLY22 MMB22 MMJ22 MMM22 MMU22 MMX22 MNF22 MNI22 MNQ22 MNT22 MOB22 MOE22 MOM22 MOP22 MOX22 MPA22 MPI22 MPL22 MPT22 MPW22 MQE22 MQH22 MQP22 MQS22 MRA22 MRD22 MRL22 MRO22 MRW22 MRZ22 MSH22 MSK22 MSS22 MSV22 MTD22 MTG22 MTO22 MTR22 MTZ22 MUC22 MUK22 MUN22 MUV22 MUY22 MVG22 MVJ22 MVR22 MVU22 MWC22 MWF22 MWN22 MWQ22 MWY22 MXB22 MXJ22 MXM22 MXU22 MXX22 MYF22 MYI22 MYQ22 MYT22 MZB22 MZE22 MZM22 MZP22 MZX22 NAA22 NAI22 NAL22 NAT22 NAW22 NBE22 NBH22 NBP22 NBS22 NCA22 NCD22 NCL22 NCO22 NCW22 NCZ22 NDH22 NDK22 NDS22 NDV22 NED22 NEG22 NEO22 NER22 NEZ22 NFC22 NFK22 NFN22 NFV22 NFY22 NGG22 NGJ22 NGR22 NGU22 NHC22 NHF22 NHN22 NHQ22 NHY22 NIB22 NIJ22 NIM22 NIU22 NIX22 NJF22 NJI22 NJQ22 NJT22 NKB22 NKE22 NKM22 NKP22 NKX22 NLA22 NLI22 NLL22 NLT22 NLW22 NME22 NMH22 NMP22 NMS22 NNA22 NND22 NNL22 NNO22 NNW22 NNZ22 NOH22 NOK22 NOS22 NOV22 NPD22 NPG22 NPO22 NPR22 NPZ22 NQC22 NQK22 NQN22 NQV22 NQY22 NRG22 NRJ22 NRR22 NRU22 NSC22 NSF22 NSN22 NSQ22 NSY22 NTB22 NTJ22 NTM22 NTU22 NTX22 NUF22 NUI22 NUQ22 NUT22 NVB22 NVE22 NVM22 NVP22 NVX22 NWA22 NWI22 NWL22 NWT22 NWW22 NXE22 NXH22 NXP22 NXS22 NYA22 NYD22 NYL22 NYO22 NYW22 NYZ22 NZH22 NZK22 NZS22 NZV22 OAD22 OAG22 OAO22 OAR22 OAZ22 OBC22 OBK22 OBN22 OBV22 OBY22 OCG22 OCJ22 OCR22 OCU22 ODC22 ODF22 ODN22 ODQ22 ODY22 OEB22 OEJ22 OEM22 OEU22 OEX22 OFF22 OFI22 OFQ22 OFT22 OGB22 OGE22 OGM22 OGP22 OGX22 OHA22 OHI22 OHL22 OHT22 OHW22 OIE22 OIH22 OIP22 OIS22 OJA22 OJD22 OJL22 OJO22 OJW22 OJZ22 OKH22 OKK22 OKS22 OKV22 OLD22 OLG22 OLO22 OLR22 OLZ22 OMC22 OMK22 OMN22 OMV22 OMY22 ONG22 ONJ22 ONR22 ONU22 OOC22 OOF22 OON22 OOQ22 OOY22 OPB22 OPJ22 OPM22 OPU22 OPX22 OQF22 OQI22 OQQ22 OQT22 ORB22 ORE22 ORM22 ORP22 ORX22 OSA22 OSI22 OSL22 OST22 OSW22 OTE22 OTH22 OTP22 OTS22 OUA22 OUD22 OUL22 OUO22 OUW22 OUZ22 OVH22 OVK22 OVS22 OVV22 OWD22 OWG22 OWO22 OWR22 OWZ22 OXC22 OXK22 OXN22 OXV22 OXY22 OYG22 OYJ22 OYR22 OYU22 OZC22 OZF22 OZN22 OZQ22 OZY22 PAB22 PAJ22 PAM22 PAU22 PAX22 PBF22 PBI22 PBQ22 PBT22 PCB22 PCE22 PCM22 PCP22 PCX22 PDA22 PDI22 PDL22 PDT22 PDW22 PEE22 PEH22 PEP22 PES22 PFA22 PFD22 PFL22 PFO22 PFW22 PFZ22 PGH22 PGK22 PGS22 PGV22 PHD22 PHG22 PHO22 PHR22 PHZ22 PIC22 PIK22 PIN22 PIV22 PIY22 PJG22 PJJ22 PJR22 PJU22 PKC22 PKF22 PKN22 PKQ22 PKY22 PLB22 PLJ22 PLM22 PLU22 PLX22 PMF22 PMI22 PMQ22 PMT22 PNB22 PNE22 PNM22 PNP22 PNX22 POA22 POI22 POL22 POT22 POW22 PPE22 PPH22 PPP22 PPS22 PQA22 PQD22 PQL22 PQO22 PQW22 PQZ22 PRH22 PRK22 PRS22 PRV22 PSD22 PSG22 PSO22 PSR22 PSZ22 PTC22 PTK22 PTN22 PTV22 PTY22 PUG22 PUJ22 PUR22 PUU22 PVC22 PVF22 PVN22 PVQ22 PVY22 PWB22 PWJ22 PWM22 PWU22 PWX22 PXF22 PXI22 PXQ22 PXT22 PYB22 PYE22 PYM22 PYP22 PYX22 PZA22 PZI22 PZL22 PZT22 PZW22 QAE22 QAH22 QAP22 QAS22 QBA22 QBD22 QBL22 QBO22 QBW22 QBZ22 QCH22 QCK22 QCS22 QCV22 QDD22 QDG22 QDO22 QDR22 QDZ22 QEC22 QEK22 QEN22 QEV22 QEY22 QFG22 QFJ22 QFR22 QFU22 QGC22 QGF22 QGN22 QGQ22 QGY22 QHB22 QHJ22 QHM22 QHU22 QHX22 QIF22 QII22 QIQ22 QIT22 QJB22 QJE22 QJM22 QJP22 QJX22 QKA22 QKI22 QKL22 QKT22 QKW22 QLE22 QLH22 QLP22 QLS22 QMA22 QMD22 QML22 QMO22 QMW22 QMZ22 QNH22 QNK22 QNS22 QNV22 QOD22 QOG22 QOO22 QOR22 QOZ22 QPC22 QPK22 QPN22 QPV22 QPY22 QQG22 QQJ22 QQR22 QQU22 QRC22 QRF22 QRN22 QRQ22 QRY22 QSB22 QSJ22 QSM22 QSU22 QSX22 QTF22 QTI22 QTQ22 QTT22 QUB22 QUE22 QUM22 QUP22 QUX22 QVA22 QVI22 QVL22 QVT22 QVW22 QWE22 QWH22 QWP22 QWS22 QXA22 QXD22 QXL22 QXO22 QXW22 QXZ22 QYH22 QYK22 QYS22 QYV22 QZD22 QZG22 QZO22 QZR22 QZZ22 RAC22 RAK22 RAN22 RAV22 RAY22 RBG22 RBJ22 RBR22 RBU22 RCC22 RCF22 RCN22 RCQ22 RCY22 RDB22 RDJ22 RDM22 RDU22 RDX22 REF22 REI22 REQ22 RET22 RFB22 RFE22 RFM22 RFP22 RFX22 RGA22 RGI22 RGL22 RGT22 RGW22 RHE22 RHH22 RHP22 RHS22 RIA22 RID22 RIL22 RIO22 RIW22 RIZ22 RJH22 RJK22 RJS22 RJV22 RKD22 RKG22 RKO22 RKR22 RKZ22 RLC22 RLK22 RLN22 RLV22 RLY22 RMG22 RMJ22 RMR22 RMU22 RNC22 RNF22 RNN22 RNQ22 RNY22 ROB22 ROJ22 ROM22 ROU22 ROX22 RPF22 RPI22 RPQ22 RPT22 RQB22 RQE22 RQM22 RQP22 RQX22 RRA22 RRI22 RRL22 RRT22 RRW22 RSE22 RSH22 RSP22 RSS22 RTA22 RTD22 RTL22 RTO22 RTW22 RTZ22 RUH22 RUK22 RUS22 RUV22 RVD22 RVG22 RVO22 RVR22 RVZ22 RWC22 RWK22 RWN22 RWV22 RWY22 RXG22 RXJ22 RXR22 RXU22 RYC22 RYF22 RYN22 RYQ22 RYY22 RZB22 RZJ22 RZM22 RZU22 RZX22 SAF22 SAI22 SAQ22 SAT22 SBB22 SBE22 SBM22 SBP22 SBX22 SCA22 SCI22 SCL22 SCT22 SCW22 SDE22 SDH22 SDP22 SDS22 SEA22 SED22 SEL22 SEO22 SEW22 SEZ22 SFH22 SFK22 SFS22 SFV22 SGD22 SGG22 SGO22 SGR22 SGZ22 SHC22 SHK22 SHN22 SHV22 SHY22 SIG22 SIJ22 SIR22 SIU22 SJC22 SJF22 SJN22 SJQ22 SJY22 SKB22 SKJ22 SKM22 SKU22 SKX22 SLF22 SLI22 SLQ22 SLT22 SMB22 SME22 SMM22 SMP22 SMX22 SNA22 SNI22 SNL22 SNT22 SNW22 SOE22 SOH22 SOP22 SOS22 SPA22 SPD22 SPL22 SPO22 SPW22 SPZ22 SQH22 SQK22 SQS22 SQV22 SRD22 SRG22 SRO22 SRR22 SRZ22 SSC22 SSK22 SSN22 SSV22 SSY22 STG22 STJ22 STR22 STU22 SUC22 SUF22 SUN22 SUQ22 SUY22 SVB22 SVJ22 SVM22 SVU22 SVX22 SWF22 SWI22 SWQ22 SWT22 SXB22 SXE22 SXM22 SXP22 SXX22 SYA22 SYI22 SYL22 SYT22 SYW22 SZE22 SZH22 SZP22 SZS22 TAA22 TAD22 TAL22 TAO22 TAW22 TAZ22 TBH22 TBK22 TBS22 TBV22 TCD22 TCG22 TCO22 TCR22 TCZ22 TDC22 TDK22 TDN22 TDV22 TDY22 TEG22 TEJ22 TER22 TEU22 TFC22 TFF22 TFN22 TFQ22 TFY22 TGB22 TGJ22 TGM22 TGU22 TGX22 THF22 THI22 THQ22 THT22 TIB22 TIE22 TIM22 TIP22 TIX22 TJA22 TJI22 TJL22 TJT22 TJW22 TKE22 TKH22 TKP22 TKS22 TLA22 TLD22 TLL22 TLO22 TLW22 TLZ22 TMH22 TMK22 TMS22 TMV22 TND22 TNG22 TNO22 TNR22 TNZ22 TOC22 TOK22 TON22 TOV22 TOY22 TPG22 TPJ22 TPR22 TPU22 TQC22 TQF22 TQN22 TQQ22 TQY22 TRB22 TRJ22 TRM22 TRU22 TRX22 TSF22 TSI22 TSQ22 TST22 TTB22 TTE22 TTM22 TTP22 TTX22 TUA22 TUI22 TUL22 TUT22 TUW22 TVE22 TVH22 TVP22 TVS22 TWA22 TWD22 TWL22 TWO22 TWW22 TWZ22 TXH22 TXK22 TXS22 TXV22 TYD22 TYG22 TYO22 TYR22 TYZ22 TZC22 TZK22 TZN22 TZV22 TZY22 UAG22 UAJ22 UAR22 UAU22 UBC22 UBF22 UBN22 UBQ22 UBY22 UCB22 UCJ22 UCM22 UCU22 UCX22 UDF22 UDI22 UDQ22 UDT22 UEB22 UEE22 UEM22 UEP22 UEX22 UFA22 UFI22 UFL22 UFT22 UFW22 UGE22 UGH22 UGP22 UGS22 UHA22 UHD22 UHL22 UHO22 UHW22 UHZ22 UIH22 UIK22 UIS22 UIV22 UJD22 UJG22 UJO22 UJR22 UJZ22 UKC22 UKK22 UKN22 UKV22 UKY22 ULG22 ULJ22 ULR22 ULU22 UMC22 UMF22 UMN22 UMQ22 UMY22 UNB22 UNJ22 UNM22 UNU22 UNX22 UOF22 UOI22 UOQ22 UOT22 UPB22 UPE22 UPM22 UPP22 UPX22 UQA22 UQI22 UQL22 UQT22 UQW22 URE22 URH22 URP22 URS22 USA22 USD22 USL22 USO22 USW22 USZ22 UTH22 UTK22 UTS22 UTV22 UUD22 UUG22 UUO22 UUR22 UUZ22 UVC22 UVK22 UVN22 UVV22 UVY22 UWG22 UWJ22 UWR22 UWU22 UXC22 UXF22 UXN22 UXQ22 UXY22 UYB22 UYJ22 UYM22 UYU22 UYX22 UZF22 UZI22 UZQ22 UZT22 VAB22 VAE22 VAM22 VAP22 VAX22 VBA22 VBI22 VBL22 VBT22 VBW22 VCE22 VCH22 VCP22 VCS22 VDA22 VDD22 VDL22 VDO22 VDW22 VDZ22 VEH22 VEK22 VES22 VEV22 VFD22 VFG22 VFO22 VFR22 VFZ22 VGC22 VGK22 VGN22 VGV22 VGY22 VHG22 VHJ22 VHR22 VHU22 VIC22 VIF22 VIN22 VIQ22 VIY22 VJB22 VJJ22 VJM22 VJU22 VJX22 VKF22 VKI22 VKQ22 VKT22 VLB22 VLE22 VLM22 VLP22 VLX22 VMA22 VMI22 VML22 VMT22 VMW22 VNE22 VNH22 VNP22 VNS22 VOA22 VOD22 VOL22 VOO22 VOW22 VOZ22 VPH22 VPK22 VPS22 VPV22 VQD22 VQG22 VQO22 VQR22 VQZ22 VRC22 VRK22 VRN22 VRV22 VRY22 VSG22 VSJ22 VSR22 VSU22 VTC22 VTF22 VTN22 VTQ22 VTY22 VUB22 VUJ22 VUM22 VUU22 VUX22 VVF22 VVI22 VVQ22 VVT22 VWB22 VWE22 VWM22 VWP22 VWX22 VXA22 VXI22 VXL22 VXT22 VXW22 VYE22 VYH22 VYP22 VYS22 VZA22 VZD22 VZL22 VZO22 VZW22 VZZ22 WAH22 WAK22 WAS22 WAV22 WBD22 WBG22 WBO22 WBR22 WBZ22 WCC22 WCK22 WCN22 WCV22 WCY22 WDG22 WDJ22 WDR22 WDU22 WEC22 WEF22 WEN22 WEQ22 WEY22 WFB22 WFJ22 WFM22 WFU22 WFX22 WGF22 WGI22 WGQ22 WGT22 WHB22 WHE22 WHM22 WHP22 WHX22 WIA22 WII22 WIL22 WIT22 WIW22 WJE22 WJH22 WJP22 WJS22 WKA22 WKD22 WKL22 WKO22 WKW22 WKZ22 WLH22 WLK22 WLS22 WLV22 WMD22 WMG22 WMO22 WMR22 WMZ22 WNC22 WNK22 WNN22 WNV22 WNY22 WOG22 WOJ22 WOR22 WOU22 WPC22 WPF22 WPN22 WPQ22 WPY22 WQB22 WQJ22 WQM22 WQU22 WQX22 WRF22 WRI22 WRQ22 WRT22 WSB22 WSE22 WSM22 WSP22 WSX22 WTA22 WTI22 WTL22 WTT22 WTW22 WUE22 WUH22 WUP22 WUS22 WVA22 WVD22 WVL22 WVO22 WVW22 WVZ22 WWH22 WWK22 WWS22 WWV22 WXD22 WXG22 WXO22 WXR22 WXZ22 WYC22 WYK22 WYN22 WYV22 WYY22 WZG22 WZJ22 WZR22 WZU22 XAC22 XAF22 XAN22 XAQ22 XAY22 XBB22 XBJ22 XBM22 XBU22 XBX22 XCF22 XCI22 XCQ22 XCT22 XDB22 XDE22 XDM22 XDP22 XDX22 XEA22 XEI22 XEL22 XET22 XEW22">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0"/>
  <sheetViews>
    <sheetView zoomScale="90" zoomScaleNormal="90" workbookViewId="0">
      <pane xSplit="2" ySplit="3" topLeftCell="G13"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JLL</v>
      </c>
      <c r="B1" s="91"/>
      <c r="C1" s="91"/>
      <c r="D1" s="92" t="s">
        <v>118</v>
      </c>
      <c r="E1" s="92"/>
      <c r="F1" s="92"/>
      <c r="G1" s="90" t="s">
        <v>119</v>
      </c>
      <c r="H1" s="90"/>
      <c r="I1" s="90"/>
      <c r="J1" s="4"/>
      <c r="K1" s="4"/>
    </row>
    <row r="2" spans="1:11" ht="19.5" customHeight="1">
      <c r="A2" s="93" t="s">
        <v>2</v>
      </c>
      <c r="B2" s="93"/>
      <c r="C2" s="5">
        <f>SUM(C4:C98)</f>
        <v>0</v>
      </c>
      <c r="D2" s="5">
        <f>SUM(D4:D98)</f>
        <v>0</v>
      </c>
      <c r="E2" s="5">
        <f>C2-D2</f>
        <v>0</v>
      </c>
      <c r="F2" s="6">
        <f>IFERROR(E2/D2, 0)</f>
        <v>0</v>
      </c>
      <c r="G2" s="5">
        <f>SUM(G4:G98)</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IF(AND(ISNUMBER(C4),ISNUMBER(D4)), C4-D4, "")</f>
        <v/>
      </c>
      <c r="F4" s="14" t="str">
        <f>IFERROR(E4/D4, "")</f>
        <v/>
      </c>
      <c r="G4" s="15">
        <v>0</v>
      </c>
      <c r="H4" s="15" t="str">
        <f>IF(AND(ISNUMBER(C4),ISNUMBER(G4)), C4-G4, "")</f>
        <v/>
      </c>
      <c r="I4" s="16" t="str">
        <f>IFERROR(H4/G4, "")</f>
        <v/>
      </c>
      <c r="J4" s="41"/>
      <c r="K4" s="41"/>
    </row>
    <row r="5" spans="1:11" ht="15.6">
      <c r="A5" s="30" t="str">
        <v>Peoria</v>
      </c>
      <c r="B5" s="31" t="str">
        <v>AZ</v>
      </c>
      <c r="C5" s="11"/>
      <c r="D5" s="18">
        <v>0</v>
      </c>
      <c r="E5" s="18" t="str">
        <f t="shared" ref="E5:E17" si="0">IF(AND(ISNUMBER(C5),ISNUMBER(D5)), C5-D5, "")</f>
        <v/>
      </c>
      <c r="F5" s="19" t="str">
        <f>IFERROR(E5/D5, "")</f>
        <v/>
      </c>
      <c r="G5" s="20">
        <v>0</v>
      </c>
      <c r="H5" s="20" t="str">
        <f t="shared" ref="H5:H17" si="1">IF(AND(ISNUMBER(C5),ISNUMBER(G5)), C5-G5, "")</f>
        <v/>
      </c>
      <c r="I5" s="19" t="str">
        <f t="shared" ref="I5:I17" si="2">IFERROR(H5/G5, "")</f>
        <v/>
      </c>
      <c r="J5" s="42"/>
      <c r="K5" s="42"/>
    </row>
    <row r="6" spans="1:11" ht="43.15">
      <c r="A6" s="28" t="str">
        <v>Tucson</v>
      </c>
      <c r="B6" s="29" t="str">
        <v>AZ</v>
      </c>
      <c r="C6" s="24"/>
      <c r="D6" s="13">
        <v>0</v>
      </c>
      <c r="E6" s="13" t="str">
        <f t="shared" si="0"/>
        <v/>
      </c>
      <c r="F6" s="14" t="str">
        <f t="shared" ref="F6:F17" si="3">IFERROR(E6/D6, "")</f>
        <v/>
      </c>
      <c r="G6" s="15">
        <v>0</v>
      </c>
      <c r="H6" s="15" t="str">
        <f t="shared" si="1"/>
        <v/>
      </c>
      <c r="I6" s="16" t="str">
        <f t="shared" si="2"/>
        <v/>
      </c>
      <c r="J6" s="41" t="s">
        <v>120</v>
      </c>
      <c r="K6" s="41" t="s">
        <v>121</v>
      </c>
    </row>
    <row r="7" spans="1:11" ht="15.6">
      <c r="A7" s="30" t="str">
        <v>Hialeah</v>
      </c>
      <c r="B7" s="31" t="str">
        <v>FL</v>
      </c>
      <c r="C7" s="11"/>
      <c r="D7" s="18"/>
      <c r="E7" s="18" t="str">
        <f t="shared" si="0"/>
        <v/>
      </c>
      <c r="F7" s="19" t="str">
        <f t="shared" si="3"/>
        <v/>
      </c>
      <c r="G7" s="20"/>
      <c r="H7" s="20" t="str">
        <f t="shared" si="1"/>
        <v/>
      </c>
      <c r="I7" s="19" t="str">
        <f t="shared" si="2"/>
        <v/>
      </c>
      <c r="J7" s="42"/>
      <c r="K7" s="42"/>
    </row>
    <row r="8" spans="1:11" ht="15.6">
      <c r="A8" s="28" t="str">
        <v>Jacksonville</v>
      </c>
      <c r="B8" s="29" t="str">
        <v>FL</v>
      </c>
      <c r="C8" s="24"/>
      <c r="D8" s="13"/>
      <c r="E8" s="13" t="str">
        <f t="shared" si="0"/>
        <v/>
      </c>
      <c r="F8" s="14" t="str">
        <f t="shared" si="3"/>
        <v/>
      </c>
      <c r="G8" s="15"/>
      <c r="H8" s="15" t="str">
        <f t="shared" si="1"/>
        <v/>
      </c>
      <c r="I8" s="16" t="str">
        <f t="shared" si="2"/>
        <v/>
      </c>
      <c r="J8" s="41"/>
      <c r="K8" s="41"/>
    </row>
    <row r="9" spans="1:11" ht="15.6">
      <c r="A9" s="30" t="str">
        <v>Miami Gardens</v>
      </c>
      <c r="B9" s="31" t="str">
        <v>FL</v>
      </c>
      <c r="C9" s="11"/>
      <c r="D9" s="18"/>
      <c r="E9" s="18" t="str">
        <f t="shared" si="0"/>
        <v/>
      </c>
      <c r="F9" s="19" t="str">
        <f t="shared" si="3"/>
        <v/>
      </c>
      <c r="G9" s="20"/>
      <c r="H9" s="20" t="str">
        <f t="shared" si="1"/>
        <v/>
      </c>
      <c r="I9" s="19" t="str">
        <f t="shared" si="2"/>
        <v/>
      </c>
      <c r="J9" s="42"/>
      <c r="K9" s="42"/>
    </row>
    <row r="10" spans="1:11" ht="15.6">
      <c r="A10" s="28" t="str">
        <v>Fort Myers</v>
      </c>
      <c r="B10" s="29" t="str">
        <v>FL</v>
      </c>
      <c r="C10" s="24"/>
      <c r="D10" s="13"/>
      <c r="E10" s="13" t="str">
        <f t="shared" si="0"/>
        <v/>
      </c>
      <c r="F10" s="14" t="str">
        <f t="shared" si="3"/>
        <v/>
      </c>
      <c r="G10" s="15"/>
      <c r="H10" s="15" t="str">
        <f t="shared" si="1"/>
        <v/>
      </c>
      <c r="I10" s="16" t="str">
        <f t="shared" si="2"/>
        <v/>
      </c>
      <c r="J10" s="41"/>
      <c r="K10" s="41"/>
    </row>
    <row r="11" spans="1:11" ht="15.6">
      <c r="A11" s="30" t="str">
        <v>Orlando</v>
      </c>
      <c r="B11" s="31" t="str">
        <v>FL</v>
      </c>
      <c r="C11" s="11"/>
      <c r="D11" s="18"/>
      <c r="E11" s="18" t="str">
        <f t="shared" si="0"/>
        <v/>
      </c>
      <c r="F11" s="19" t="str">
        <f t="shared" si="3"/>
        <v/>
      </c>
      <c r="G11" s="20"/>
      <c r="H11" s="20" t="str">
        <f t="shared" si="1"/>
        <v/>
      </c>
      <c r="I11" s="19" t="str">
        <f t="shared" si="2"/>
        <v/>
      </c>
      <c r="J11" s="42"/>
      <c r="K11" s="42"/>
    </row>
    <row r="12" spans="1:11" ht="15.6">
      <c r="A12" s="28" t="str">
        <v>Port St. Lucie</v>
      </c>
      <c r="B12" s="29" t="str">
        <v>FL</v>
      </c>
      <c r="C12" s="24"/>
      <c r="D12" s="13"/>
      <c r="E12" s="13" t="str">
        <f t="shared" si="0"/>
        <v/>
      </c>
      <c r="F12" s="14" t="str">
        <f t="shared" si="3"/>
        <v/>
      </c>
      <c r="G12" s="15"/>
      <c r="H12" s="15" t="str">
        <f t="shared" si="1"/>
        <v/>
      </c>
      <c r="I12" s="16" t="str">
        <f t="shared" si="2"/>
        <v/>
      </c>
      <c r="J12" s="41"/>
      <c r="K12" s="41"/>
    </row>
    <row r="13" spans="1:11" ht="15.6">
      <c r="A13" s="30" t="str">
        <v>Tampa</v>
      </c>
      <c r="B13" s="31" t="str">
        <v>FL</v>
      </c>
      <c r="C13" s="11"/>
      <c r="D13" s="18"/>
      <c r="E13" s="18" t="str">
        <f t="shared" si="0"/>
        <v/>
      </c>
      <c r="F13" s="19" t="str">
        <f t="shared" si="3"/>
        <v/>
      </c>
      <c r="G13" s="20"/>
      <c r="H13" s="20" t="str">
        <f t="shared" si="1"/>
        <v/>
      </c>
      <c r="I13" s="19" t="str">
        <f t="shared" si="2"/>
        <v/>
      </c>
      <c r="J13" s="42"/>
      <c r="K13" s="42"/>
    </row>
    <row r="14" spans="1:11" ht="15.6">
      <c r="A14" s="28" t="str">
        <v>Roswell</v>
      </c>
      <c r="B14" s="29" t="str">
        <v>GA</v>
      </c>
      <c r="C14" s="24"/>
      <c r="D14" s="13"/>
      <c r="E14" s="13" t="str">
        <f t="shared" si="0"/>
        <v/>
      </c>
      <c r="F14" s="14" t="str">
        <f t="shared" si="3"/>
        <v/>
      </c>
      <c r="G14" s="15"/>
      <c r="H14" s="15" t="str">
        <f t="shared" si="1"/>
        <v/>
      </c>
      <c r="I14" s="16" t="str">
        <f t="shared" si="2"/>
        <v/>
      </c>
      <c r="J14" s="41"/>
      <c r="K14" s="41"/>
    </row>
    <row r="15" spans="1:11" ht="15.6">
      <c r="A15" s="30" t="str">
        <v>Charlotte</v>
      </c>
      <c r="B15" s="31" t="str">
        <v>NC</v>
      </c>
      <c r="C15" s="11"/>
      <c r="D15" s="18"/>
      <c r="E15" s="18" t="str">
        <f t="shared" si="0"/>
        <v/>
      </c>
      <c r="F15" s="19" t="str">
        <f t="shared" si="3"/>
        <v/>
      </c>
      <c r="G15" s="20"/>
      <c r="H15" s="20" t="str">
        <f t="shared" si="1"/>
        <v/>
      </c>
      <c r="I15" s="19" t="str">
        <f t="shared" si="2"/>
        <v/>
      </c>
      <c r="J15" s="42"/>
      <c r="K15" s="43"/>
    </row>
    <row r="16" spans="1:11" ht="15.6">
      <c r="A16" s="28" t="str">
        <v>Raleigh</v>
      </c>
      <c r="B16" s="29" t="str">
        <v>NC</v>
      </c>
      <c r="C16" s="24"/>
      <c r="D16" s="13"/>
      <c r="E16" s="13" t="str">
        <f t="shared" si="0"/>
        <v/>
      </c>
      <c r="F16" s="14" t="str">
        <f t="shared" si="3"/>
        <v/>
      </c>
      <c r="G16" s="15"/>
      <c r="H16" s="15" t="str">
        <f t="shared" si="1"/>
        <v/>
      </c>
      <c r="I16" s="16" t="str">
        <f t="shared" si="2"/>
        <v/>
      </c>
      <c r="J16" s="41"/>
      <c r="K16" s="41"/>
    </row>
    <row r="17" spans="1:11" ht="15.6">
      <c r="A17" s="30" t="str">
        <v>Cordova</v>
      </c>
      <c r="B17" s="31" t="str">
        <v>TN</v>
      </c>
      <c r="C17" s="11"/>
      <c r="D17" s="18"/>
      <c r="E17" s="18" t="str">
        <f t="shared" si="0"/>
        <v/>
      </c>
      <c r="F17" s="19" t="str">
        <f t="shared" si="3"/>
        <v/>
      </c>
      <c r="G17" s="20"/>
      <c r="H17" s="20" t="str">
        <f t="shared" si="1"/>
        <v/>
      </c>
      <c r="I17" s="19" t="str">
        <f t="shared" si="2"/>
        <v/>
      </c>
      <c r="J17" s="42"/>
      <c r="K17" s="43"/>
    </row>
    <row r="18" spans="1:11" ht="12.75" customHeight="1">
      <c r="A18" s="28" t="str">
        <v>Austin</v>
      </c>
      <c r="B18" s="29" t="str">
        <v>TX</v>
      </c>
      <c r="C18" s="24"/>
      <c r="D18" s="13"/>
      <c r="E18" s="13" t="str">
        <f>IF(AND(ISNUMBER(C18),ISNUMBER(D18)), C18-D18, "")</f>
        <v/>
      </c>
      <c r="F18" s="14" t="str">
        <f t="shared" ref="F18:F28" si="4">IFERROR(E18/D18, "")</f>
        <v/>
      </c>
      <c r="G18" s="15"/>
      <c r="H18" s="15" t="str">
        <f t="shared" ref="H18:H23" si="5">IF(AND(ISNUMBER(C18),ISNUMBER(G18)), C18-G18, "")</f>
        <v/>
      </c>
      <c r="I18" s="16" t="str">
        <f t="shared" ref="I18:I28" si="6">IFERROR(H18/G18, "")</f>
        <v/>
      </c>
      <c r="J18" s="41"/>
      <c r="K18" s="41"/>
    </row>
    <row r="19" spans="1:11" ht="15.6">
      <c r="A19" s="30" t="str">
        <v>Frisco</v>
      </c>
      <c r="B19" s="31" t="str">
        <v>TX</v>
      </c>
      <c r="C19" s="11"/>
      <c r="D19" s="18"/>
      <c r="E19" s="18" t="str">
        <f>IF(AND(ISNUMBER(C19),ISNUMBER(D19)), C19-D19, "")</f>
        <v/>
      </c>
      <c r="F19" s="19" t="str">
        <f t="shared" si="4"/>
        <v/>
      </c>
      <c r="G19" s="20"/>
      <c r="H19" s="20" t="str">
        <f t="shared" si="5"/>
        <v/>
      </c>
      <c r="I19" s="19" t="str">
        <f t="shared" si="6"/>
        <v/>
      </c>
      <c r="J19" s="42"/>
      <c r="K19" s="43"/>
    </row>
    <row r="20" spans="1:11" ht="17.649999999999999" customHeight="1">
      <c r="A20" s="28" t="str">
        <v>Copperfield</v>
      </c>
      <c r="B20" s="29" t="str">
        <v>TX</v>
      </c>
      <c r="C20" s="24"/>
      <c r="D20" s="13"/>
      <c r="E20" s="13" t="str">
        <f>IF(AND(ISNUMBER(C20),ISNUMBER(D20)), C20-D20, "")</f>
        <v/>
      </c>
      <c r="F20" s="14" t="str">
        <f t="shared" si="4"/>
        <v/>
      </c>
      <c r="G20" s="15"/>
      <c r="H20" s="15" t="str">
        <f t="shared" si="5"/>
        <v/>
      </c>
      <c r="I20" s="16" t="str">
        <f t="shared" si="6"/>
        <v/>
      </c>
      <c r="J20" s="41"/>
      <c r="K20" s="41"/>
    </row>
    <row r="21" spans="1:11" ht="15.6">
      <c r="A21" s="30" t="str">
        <v>Charlotte - B of A - 1 BAC</v>
      </c>
      <c r="B21" s="31" t="str">
        <v>NC</v>
      </c>
      <c r="C21" s="11"/>
      <c r="D21" s="18"/>
      <c r="E21" s="18" t="str">
        <f>IF(AND(ISNUMBER(C21),ISNUMBER(D21)), C21-D21, "")</f>
        <v/>
      </c>
      <c r="F21" s="19" t="str">
        <f t="shared" si="4"/>
        <v/>
      </c>
      <c r="G21" s="20"/>
      <c r="H21" s="20" t="str">
        <f t="shared" si="5"/>
        <v/>
      </c>
      <c r="I21" s="19" t="str">
        <f t="shared" si="6"/>
        <v/>
      </c>
      <c r="J21" s="42"/>
      <c r="K21" s="43"/>
    </row>
    <row r="22" spans="1:11" ht="17.649999999999999" customHeight="1">
      <c r="A22" s="28" t="str">
        <v>Charlotte - B of A - 401 N Tryon</v>
      </c>
      <c r="B22" s="29" t="str">
        <v>NC</v>
      </c>
      <c r="C22" s="24"/>
      <c r="D22" s="13"/>
      <c r="E22" s="13" t="str">
        <f>IF(AND(ISNUMBER(C22),ISNUMBER(D22)), C22-D22, "")</f>
        <v/>
      </c>
      <c r="F22" s="14" t="str">
        <f t="shared" si="4"/>
        <v/>
      </c>
      <c r="G22" s="15"/>
      <c r="H22" s="15" t="str">
        <f t="shared" si="5"/>
        <v/>
      </c>
      <c r="I22" s="16" t="str">
        <f t="shared" si="6"/>
        <v/>
      </c>
      <c r="J22" s="41"/>
      <c r="K22" s="41"/>
    </row>
    <row r="23" spans="1:11" ht="15.6">
      <c r="A23" s="30" t="str">
        <v>Chandler - B of A Campus Bldg A</v>
      </c>
      <c r="B23" s="31" t="str">
        <v>AZ</v>
      </c>
      <c r="C23" s="11"/>
      <c r="D23" s="18"/>
      <c r="E23" s="18" t="str">
        <f t="shared" ref="E23:E28" si="7">IF(AND(ISNUMBER(C23),ISNUMBER(D23)), C23-D23, "")</f>
        <v/>
      </c>
      <c r="F23" s="19" t="str">
        <f t="shared" si="4"/>
        <v/>
      </c>
      <c r="G23" s="20"/>
      <c r="H23" s="20" t="str">
        <f t="shared" si="5"/>
        <v/>
      </c>
      <c r="I23" s="19" t="str">
        <f t="shared" si="6"/>
        <v/>
      </c>
      <c r="J23" s="42"/>
      <c r="K23" s="42"/>
    </row>
    <row r="24" spans="1:11" ht="15.6">
      <c r="A24" s="28" t="str">
        <v>Chandler - B of A Campus Bldg B</v>
      </c>
      <c r="B24" s="29" t="str">
        <v>AZ</v>
      </c>
      <c r="C24" s="24"/>
      <c r="D24" s="13"/>
      <c r="E24" s="13" t="str">
        <f t="shared" si="7"/>
        <v/>
      </c>
      <c r="F24" s="14" t="str">
        <f t="shared" si="4"/>
        <v/>
      </c>
      <c r="G24" s="15"/>
      <c r="H24" s="15" t="str">
        <f t="shared" ref="H24:H28" si="8">IF(AND(ISNUMBER(C24),ISNUMBER(G24)), C24-G24, "")</f>
        <v/>
      </c>
      <c r="I24" s="16" t="str">
        <f t="shared" si="6"/>
        <v/>
      </c>
      <c r="J24" s="41"/>
      <c r="K24" s="41"/>
    </row>
    <row r="25" spans="1:11" ht="15.6">
      <c r="A25" s="30" t="str">
        <v>Chandler - B of A Campus Bldg C</v>
      </c>
      <c r="B25" s="31" t="str">
        <v>AZ</v>
      </c>
      <c r="C25" s="11"/>
      <c r="D25" s="18"/>
      <c r="E25" s="18" t="str">
        <f t="shared" si="7"/>
        <v/>
      </c>
      <c r="F25" s="19" t="str">
        <f t="shared" si="4"/>
        <v/>
      </c>
      <c r="G25" s="20"/>
      <c r="H25" s="20" t="str">
        <f t="shared" si="8"/>
        <v/>
      </c>
      <c r="I25" s="19" t="str">
        <f t="shared" si="6"/>
        <v/>
      </c>
      <c r="J25" s="59"/>
      <c r="K25" s="59"/>
    </row>
    <row r="26" spans="1:11" ht="15.6">
      <c r="A26" s="28" t="str">
        <v>Chandler - B of A Campus Bldg D</v>
      </c>
      <c r="B26" s="29" t="str">
        <v>AZ</v>
      </c>
      <c r="C26" s="24"/>
      <c r="D26" s="13"/>
      <c r="E26" s="13" t="str">
        <f t="shared" si="7"/>
        <v/>
      </c>
      <c r="F26" s="14" t="str">
        <f t="shared" si="4"/>
        <v/>
      </c>
      <c r="G26" s="15"/>
      <c r="H26" s="15" t="str">
        <f t="shared" si="8"/>
        <v/>
      </c>
      <c r="I26" s="16" t="str">
        <f t="shared" si="6"/>
        <v/>
      </c>
      <c r="J26" s="50"/>
      <c r="K26" s="50"/>
    </row>
    <row r="27" spans="1:11" ht="15.6">
      <c r="A27" s="30" t="str">
        <v>Tampa - BoA Ekman</v>
      </c>
      <c r="B27" s="31" t="str">
        <v>FL</v>
      </c>
      <c r="C27" s="11"/>
      <c r="D27" s="18"/>
      <c r="E27" s="18" t="str">
        <f t="shared" si="7"/>
        <v/>
      </c>
      <c r="F27" s="19" t="str">
        <f t="shared" si="4"/>
        <v/>
      </c>
      <c r="G27" s="20"/>
      <c r="H27" s="20" t="str">
        <f t="shared" si="8"/>
        <v/>
      </c>
      <c r="I27" s="19" t="str">
        <f t="shared" si="6"/>
        <v/>
      </c>
      <c r="J27" s="53"/>
      <c r="K27" s="47"/>
    </row>
    <row r="28" spans="1:11" ht="15.6">
      <c r="A28" s="28" t="str">
        <v>Charlotte - B of A - Sherrill</v>
      </c>
      <c r="B28" s="29" t="str">
        <v>NC</v>
      </c>
      <c r="C28" s="24"/>
      <c r="D28" s="13"/>
      <c r="E28" s="13" t="str">
        <f t="shared" si="7"/>
        <v/>
      </c>
      <c r="F28" s="14" t="str">
        <f t="shared" si="4"/>
        <v/>
      </c>
      <c r="G28" s="15"/>
      <c r="H28" s="15" t="str">
        <f t="shared" si="8"/>
        <v/>
      </c>
      <c r="I28" s="16" t="str">
        <f t="shared" si="6"/>
        <v/>
      </c>
      <c r="J28" s="41"/>
      <c r="K28" s="41"/>
    </row>
    <row r="29" spans="1:11" ht="14.45">
      <c r="A29" s="21"/>
      <c r="B29" s="33"/>
      <c r="C29" s="21"/>
      <c r="D29" s="21"/>
      <c r="E29" s="21"/>
      <c r="F29" s="21"/>
      <c r="G29" s="21"/>
      <c r="H29" s="21"/>
      <c r="I29" s="21"/>
      <c r="J29" s="21"/>
      <c r="K29" s="21"/>
    </row>
    <row r="30" spans="1:11" ht="14.45">
      <c r="A30" s="21"/>
      <c r="B30" s="33"/>
      <c r="C30" s="21"/>
      <c r="D30" s="21"/>
      <c r="E30" s="21"/>
      <c r="F30" s="21"/>
      <c r="G30" s="21"/>
      <c r="H30" s="21"/>
      <c r="I30" s="21"/>
      <c r="J30" s="21"/>
      <c r="K30" s="21"/>
    </row>
    <row r="31" spans="1:11" ht="14.45">
      <c r="A31" s="21"/>
      <c r="B31" s="33"/>
      <c r="C31" s="21"/>
      <c r="D31" s="21"/>
      <c r="E31" s="21"/>
      <c r="F31" s="22"/>
      <c r="G31" s="21"/>
      <c r="H31" s="21"/>
      <c r="I31" s="22"/>
      <c r="J31" s="21"/>
      <c r="K31" s="21"/>
    </row>
    <row r="32" spans="1:11"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phoneticPr fontId="37" type="noConversion"/>
  <conditionalFormatting sqref="F2 I2 F4:F98 I4:I98">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XDE340"/>
  <sheetViews>
    <sheetView zoomScale="70" zoomScaleNormal="70" workbookViewId="0">
      <pane xSplit="2" ySplit="3" topLeftCell="C7" activePane="bottomRight" state="frozen"/>
      <selection pane="bottomRight" activeCell="J21" sqref="J21"/>
      <selection pane="bottomLeft" activeCell="J21" sqref="J21"/>
      <selection pane="topRight" activeCell="J21" sqref="J21"/>
    </sheetView>
  </sheetViews>
  <sheetFormatPr defaultRowHeight="14.25" customHeight="1"/>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JLL</v>
      </c>
      <c r="B1" s="91"/>
      <c r="C1" s="91"/>
      <c r="D1" s="92" t="s">
        <v>122</v>
      </c>
      <c r="E1" s="92"/>
      <c r="F1" s="92"/>
      <c r="G1" s="90" t="s">
        <v>123</v>
      </c>
      <c r="H1" s="90"/>
      <c r="I1" s="90"/>
      <c r="J1" s="4"/>
      <c r="K1" s="4"/>
    </row>
    <row r="2" spans="1:11" ht="19.5" customHeight="1">
      <c r="A2" s="93" t="s">
        <v>2</v>
      </c>
      <c r="B2" s="93"/>
      <c r="C2" s="5">
        <f>SUM(C4:C98)</f>
        <v>0</v>
      </c>
      <c r="D2" s="5">
        <f>SUM(D4:D98)</f>
        <v>0</v>
      </c>
      <c r="E2" s="5">
        <f>C2-D2</f>
        <v>0</v>
      </c>
      <c r="F2" s="6">
        <f>IFERROR(E2/D2, 0)</f>
        <v>0</v>
      </c>
      <c r="G2" s="5">
        <f>SUM(G4:G98)</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 t="shared" ref="E4:E28" si="0">IF(AND(ISNUMBER(C4),ISNUMBER(D4)), C4-D4, "")</f>
        <v/>
      </c>
      <c r="F4" s="14" t="str">
        <f>IFERROR(E4/D4, "")</f>
        <v/>
      </c>
      <c r="G4" s="15">
        <v>0</v>
      </c>
      <c r="H4" s="15" t="str">
        <f t="shared" ref="H4:H28" si="1">IF(AND(ISNUMBER(C4),ISNUMBER(G4)), C4-G4, "")</f>
        <v/>
      </c>
      <c r="I4" s="16" t="str">
        <f>IFERROR(H4/G4, "")</f>
        <v/>
      </c>
      <c r="J4" s="41"/>
      <c r="K4" s="41"/>
    </row>
    <row r="5" spans="1:11" ht="15.6">
      <c r="A5" s="30" t="str">
        <v>Peoria</v>
      </c>
      <c r="B5" s="31" t="str">
        <v>AZ</v>
      </c>
      <c r="C5" s="11"/>
      <c r="D5" s="18">
        <v>0</v>
      </c>
      <c r="E5" s="18" t="str">
        <f t="shared" si="0"/>
        <v/>
      </c>
      <c r="F5" s="19" t="str">
        <f>IFERROR(E5/D5, "")</f>
        <v/>
      </c>
      <c r="G5" s="20">
        <v>0</v>
      </c>
      <c r="H5" s="20" t="str">
        <f t="shared" si="1"/>
        <v/>
      </c>
      <c r="I5" s="19" t="str">
        <f t="shared" ref="I5:I17" si="2">IFERROR(H5/G5, "")</f>
        <v/>
      </c>
      <c r="J5" s="42"/>
      <c r="K5" s="42"/>
    </row>
    <row r="6" spans="1:11" ht="15.6">
      <c r="A6" s="28" t="str">
        <v>Tucson</v>
      </c>
      <c r="B6" s="29" t="str">
        <v>AZ</v>
      </c>
      <c r="C6" s="24"/>
      <c r="D6" s="13">
        <v>0</v>
      </c>
      <c r="E6" s="13" t="str">
        <f t="shared" si="0"/>
        <v/>
      </c>
      <c r="F6" s="14" t="str">
        <f t="shared" ref="F6:F17" si="3">IFERROR(E6/D6, "")</f>
        <v/>
      </c>
      <c r="G6" s="15">
        <v>0</v>
      </c>
      <c r="H6" s="15" t="str">
        <f t="shared" si="1"/>
        <v/>
      </c>
      <c r="I6" s="16" t="str">
        <f t="shared" si="2"/>
        <v/>
      </c>
      <c r="J6" s="41" t="s">
        <v>124</v>
      </c>
      <c r="K6" s="41" t="s">
        <v>125</v>
      </c>
    </row>
    <row r="7" spans="1:11" ht="15.6">
      <c r="A7" s="30" t="str">
        <v>Hialeah</v>
      </c>
      <c r="B7" s="31" t="str">
        <v>FL</v>
      </c>
      <c r="C7" s="11"/>
      <c r="D7" s="18"/>
      <c r="E7" s="18" t="str">
        <f t="shared" si="0"/>
        <v/>
      </c>
      <c r="F7" s="19" t="str">
        <f t="shared" si="3"/>
        <v/>
      </c>
      <c r="G7" s="20"/>
      <c r="H7" s="20" t="str">
        <f t="shared" si="1"/>
        <v/>
      </c>
      <c r="I7" s="19" t="str">
        <f t="shared" si="2"/>
        <v/>
      </c>
      <c r="J7" s="42"/>
      <c r="K7" s="53"/>
    </row>
    <row r="8" spans="1:11" ht="15.6">
      <c r="A8" s="28" t="str">
        <v>Jacksonville</v>
      </c>
      <c r="B8" s="29" t="str">
        <v>FL</v>
      </c>
      <c r="C8" s="24"/>
      <c r="D8" s="13"/>
      <c r="E8" s="13" t="str">
        <f t="shared" si="0"/>
        <v/>
      </c>
      <c r="F8" s="14" t="str">
        <f t="shared" si="3"/>
        <v/>
      </c>
      <c r="G8" s="15"/>
      <c r="H8" s="15" t="str">
        <f t="shared" si="1"/>
        <v/>
      </c>
      <c r="I8" s="16" t="str">
        <f t="shared" si="2"/>
        <v/>
      </c>
      <c r="J8" s="41"/>
      <c r="K8" s="41"/>
    </row>
    <row r="9" spans="1:11" ht="15.6">
      <c r="A9" s="30" t="str">
        <v>Miami Gardens</v>
      </c>
      <c r="B9" s="31" t="str">
        <v>FL</v>
      </c>
      <c r="C9" s="11"/>
      <c r="D9" s="18"/>
      <c r="E9" s="18" t="str">
        <f t="shared" si="0"/>
        <v/>
      </c>
      <c r="F9" s="19" t="str">
        <f t="shared" si="3"/>
        <v/>
      </c>
      <c r="G9" s="20"/>
      <c r="H9" s="20" t="str">
        <f t="shared" si="1"/>
        <v/>
      </c>
      <c r="I9" s="19" t="str">
        <f t="shared" si="2"/>
        <v/>
      </c>
      <c r="J9" s="42"/>
      <c r="K9" s="42"/>
    </row>
    <row r="10" spans="1:11" ht="15.6">
      <c r="A10" s="28" t="str">
        <v>Fort Myers</v>
      </c>
      <c r="B10" s="29" t="str">
        <v>FL</v>
      </c>
      <c r="C10" s="24"/>
      <c r="D10" s="13"/>
      <c r="E10" s="13" t="str">
        <f t="shared" si="0"/>
        <v/>
      </c>
      <c r="F10" s="14" t="str">
        <f t="shared" si="3"/>
        <v/>
      </c>
      <c r="G10" s="15"/>
      <c r="H10" s="15" t="str">
        <f t="shared" si="1"/>
        <v/>
      </c>
      <c r="I10" s="16" t="str">
        <f t="shared" si="2"/>
        <v/>
      </c>
      <c r="J10" s="41"/>
      <c r="K10" s="41"/>
    </row>
    <row r="11" spans="1:11" ht="15.6">
      <c r="A11" s="30" t="str">
        <v>Orlando</v>
      </c>
      <c r="B11" s="31" t="str">
        <v>FL</v>
      </c>
      <c r="C11" s="11"/>
      <c r="D11" s="18"/>
      <c r="E11" s="18" t="str">
        <f t="shared" si="0"/>
        <v/>
      </c>
      <c r="F11" s="19" t="str">
        <f t="shared" si="3"/>
        <v/>
      </c>
      <c r="G11" s="20"/>
      <c r="H11" s="20" t="str">
        <f t="shared" si="1"/>
        <v/>
      </c>
      <c r="I11" s="19" t="str">
        <f t="shared" si="2"/>
        <v/>
      </c>
      <c r="J11" s="42"/>
      <c r="K11" s="42"/>
    </row>
    <row r="12" spans="1:11" ht="15.6">
      <c r="A12" s="28" t="str">
        <v>Port St. Lucie</v>
      </c>
      <c r="B12" s="29" t="str">
        <v>FL</v>
      </c>
      <c r="C12" s="24"/>
      <c r="D12" s="13"/>
      <c r="E12" s="13" t="str">
        <f t="shared" si="0"/>
        <v/>
      </c>
      <c r="F12" s="14" t="str">
        <f t="shared" si="3"/>
        <v/>
      </c>
      <c r="G12" s="15"/>
      <c r="H12" s="15" t="str">
        <f t="shared" si="1"/>
        <v/>
      </c>
      <c r="I12" s="16" t="str">
        <f t="shared" si="2"/>
        <v/>
      </c>
      <c r="J12" s="41"/>
      <c r="K12" s="41"/>
    </row>
    <row r="13" spans="1:11" ht="15.6">
      <c r="A13" s="30" t="str">
        <v>Tampa</v>
      </c>
      <c r="B13" s="31" t="str">
        <v>FL</v>
      </c>
      <c r="C13" s="11"/>
      <c r="D13" s="18"/>
      <c r="E13" s="18" t="str">
        <f t="shared" si="0"/>
        <v/>
      </c>
      <c r="F13" s="19" t="str">
        <f t="shared" si="3"/>
        <v/>
      </c>
      <c r="G13" s="20"/>
      <c r="H13" s="20" t="str">
        <f t="shared" si="1"/>
        <v/>
      </c>
      <c r="I13" s="19" t="str">
        <f t="shared" si="2"/>
        <v/>
      </c>
      <c r="J13" s="47"/>
      <c r="K13" s="42"/>
    </row>
    <row r="14" spans="1:11" ht="15.6">
      <c r="A14" s="28" t="str">
        <v>Roswell</v>
      </c>
      <c r="B14" s="29" t="str">
        <v>GA</v>
      </c>
      <c r="C14" s="24"/>
      <c r="D14" s="13"/>
      <c r="E14" s="13" t="str">
        <f t="shared" si="0"/>
        <v/>
      </c>
      <c r="F14" s="14" t="str">
        <f t="shared" si="3"/>
        <v/>
      </c>
      <c r="G14" s="15"/>
      <c r="H14" s="15" t="str">
        <f t="shared" si="1"/>
        <v/>
      </c>
      <c r="I14" s="16" t="str">
        <f t="shared" si="2"/>
        <v/>
      </c>
      <c r="J14" s="41"/>
      <c r="K14" s="41"/>
    </row>
    <row r="15" spans="1:11" ht="15.6">
      <c r="A15" s="30" t="str">
        <v>Charlotte</v>
      </c>
      <c r="B15" s="31" t="str">
        <v>NC</v>
      </c>
      <c r="C15" s="11"/>
      <c r="D15" s="18"/>
      <c r="E15" s="18" t="str">
        <f t="shared" si="0"/>
        <v/>
      </c>
      <c r="F15" s="19" t="str">
        <f t="shared" si="3"/>
        <v/>
      </c>
      <c r="G15" s="20"/>
      <c r="H15" s="20" t="str">
        <f t="shared" si="1"/>
        <v/>
      </c>
      <c r="I15" s="19" t="str">
        <f t="shared" si="2"/>
        <v/>
      </c>
      <c r="J15" s="42"/>
      <c r="K15" s="43"/>
    </row>
    <row r="16" spans="1:11" ht="15.6">
      <c r="A16" s="28" t="str">
        <v>Raleigh</v>
      </c>
      <c r="B16" s="29" t="str">
        <v>NC</v>
      </c>
      <c r="C16" s="24"/>
      <c r="D16" s="13"/>
      <c r="E16" s="13" t="str">
        <f t="shared" si="0"/>
        <v/>
      </c>
      <c r="F16" s="14" t="str">
        <f t="shared" si="3"/>
        <v/>
      </c>
      <c r="G16" s="15"/>
      <c r="H16" s="15" t="str">
        <f t="shared" si="1"/>
        <v/>
      </c>
      <c r="I16" s="16" t="str">
        <f t="shared" si="2"/>
        <v/>
      </c>
      <c r="J16" s="41"/>
      <c r="K16" s="41"/>
    </row>
    <row r="17" spans="1:16333" ht="15.6">
      <c r="A17" s="30" t="str">
        <v>Cordova</v>
      </c>
      <c r="B17" s="31" t="str">
        <v>TN</v>
      </c>
      <c r="C17" s="11"/>
      <c r="D17" s="18"/>
      <c r="E17" s="18" t="str">
        <f t="shared" si="0"/>
        <v/>
      </c>
      <c r="F17" s="19" t="str">
        <f t="shared" si="3"/>
        <v/>
      </c>
      <c r="G17" s="20"/>
      <c r="H17" s="20" t="str">
        <f t="shared" si="1"/>
        <v/>
      </c>
      <c r="I17" s="19" t="str">
        <f t="shared" si="2"/>
        <v/>
      </c>
      <c r="J17" s="42"/>
      <c r="K17" s="43"/>
    </row>
    <row r="18" spans="1:16333" ht="12.75" customHeight="1">
      <c r="A18" s="28" t="str">
        <v>Austin</v>
      </c>
      <c r="B18" s="29" t="str">
        <v>TX</v>
      </c>
      <c r="C18" s="24"/>
      <c r="D18" s="13"/>
      <c r="E18" s="13" t="str">
        <f t="shared" si="0"/>
        <v/>
      </c>
      <c r="F18" s="14" t="str">
        <f>IFERROR(E18/D18, "")</f>
        <v/>
      </c>
      <c r="G18" s="15"/>
      <c r="H18" s="15" t="str">
        <f t="shared" si="1"/>
        <v/>
      </c>
      <c r="I18" s="16" t="str">
        <f>IFERROR(H18/G18, "")</f>
        <v/>
      </c>
      <c r="J18" s="41"/>
      <c r="K18" s="41"/>
    </row>
    <row r="19" spans="1:16333" ht="15.6">
      <c r="A19" s="30" t="str">
        <v>Frisco</v>
      </c>
      <c r="B19" s="31" t="str">
        <v>TX</v>
      </c>
      <c r="C19" s="11"/>
      <c r="D19" s="18"/>
      <c r="E19" s="18" t="str">
        <f t="shared" si="0"/>
        <v/>
      </c>
      <c r="F19" s="19" t="str">
        <f>IFERROR(E19/D19, "")</f>
        <v/>
      </c>
      <c r="G19" s="20"/>
      <c r="H19" s="20" t="str">
        <f t="shared" si="1"/>
        <v/>
      </c>
      <c r="I19" s="19" t="str">
        <f>IFERROR(H19/G19, "")</f>
        <v/>
      </c>
      <c r="J19" s="42"/>
      <c r="K19" s="43"/>
    </row>
    <row r="20" spans="1:16333" ht="15.6">
      <c r="A20" s="28" t="str">
        <v>Copperfield</v>
      </c>
      <c r="B20" s="29" t="str">
        <v>TX</v>
      </c>
      <c r="C20" s="24"/>
      <c r="D20" s="13"/>
      <c r="E20" s="13" t="str">
        <f t="shared" si="0"/>
        <v/>
      </c>
      <c r="F20" s="14" t="str">
        <f>IFERROR(E20/D20, "")</f>
        <v/>
      </c>
      <c r="G20" s="15"/>
      <c r="H20" s="15" t="str">
        <f t="shared" si="1"/>
        <v/>
      </c>
      <c r="I20" s="16" t="str">
        <f>IFERROR(H20/G20, "")</f>
        <v/>
      </c>
      <c r="J20" s="41"/>
      <c r="K20" s="41"/>
    </row>
    <row r="21" spans="1:16333" ht="15.6">
      <c r="A21" s="30" t="str">
        <v>Charlotte - B of A - 1 BAC</v>
      </c>
      <c r="B21" s="31" t="str">
        <v>NC</v>
      </c>
      <c r="C21" s="11"/>
      <c r="D21" s="18"/>
      <c r="E21" s="18" t="str">
        <f t="shared" si="0"/>
        <v/>
      </c>
      <c r="F21" s="19" t="str">
        <f>IFERROR(E21/D21, "")</f>
        <v/>
      </c>
      <c r="G21" s="20"/>
      <c r="H21" s="20" t="str">
        <f t="shared" si="1"/>
        <v/>
      </c>
      <c r="I21" s="19" t="str">
        <f>IFERROR(H21/G21, "")</f>
        <v/>
      </c>
      <c r="J21" s="42"/>
      <c r="K21" s="43"/>
    </row>
    <row r="22" spans="1:16333" ht="15.6">
      <c r="A22" s="28" t="str">
        <v>Charlotte - B of A - 401 N Tryon</v>
      </c>
      <c r="B22" s="29" t="str">
        <v>NC</v>
      </c>
      <c r="C22" s="24"/>
      <c r="D22" s="13"/>
      <c r="E22" s="13" t="str">
        <f t="shared" si="0"/>
        <v/>
      </c>
      <c r="F22" s="14" t="str">
        <f>IFERROR(E22/D22, "")</f>
        <v/>
      </c>
      <c r="G22" s="15"/>
      <c r="H22" s="15" t="str">
        <f t="shared" si="1"/>
        <v/>
      </c>
      <c r="I22" s="16" t="str">
        <f>IFERROR(H22/G22, "")</f>
        <v/>
      </c>
      <c r="J22" s="41"/>
      <c r="K22" s="41"/>
      <c r="AY22" s="24"/>
      <c r="AZ22" s="13"/>
      <c r="BA22" s="13"/>
      <c r="BB22" s="14"/>
      <c r="BC22" s="15"/>
      <c r="BD22" s="15"/>
      <c r="BE22" s="16"/>
      <c r="BF22" s="41"/>
      <c r="BG22" s="41"/>
      <c r="BH22" s="28"/>
      <c r="BI22" s="29"/>
      <c r="BJ22" s="24"/>
      <c r="BK22" s="13"/>
      <c r="BL22" s="13"/>
      <c r="BM22" s="14"/>
      <c r="BN22" s="15"/>
      <c r="BO22" s="15"/>
      <c r="BP22" s="16"/>
      <c r="BQ22" s="41"/>
      <c r="BR22" s="41"/>
      <c r="BS22" s="28"/>
      <c r="BT22" s="29"/>
      <c r="BU22" s="24"/>
      <c r="BV22" s="13"/>
      <c r="BW22" s="13"/>
      <c r="BX22" s="14"/>
      <c r="BY22" s="15"/>
      <c r="BZ22" s="15"/>
      <c r="CA22" s="16"/>
      <c r="CB22" s="41"/>
      <c r="CC22" s="41"/>
      <c r="CD22" s="28"/>
      <c r="CE22" s="29"/>
      <c r="CF22" s="24"/>
      <c r="CG22" s="13"/>
      <c r="CH22" s="13"/>
      <c r="CI22" s="14"/>
      <c r="CJ22" s="15"/>
      <c r="CK22" s="15"/>
      <c r="CL22" s="16"/>
      <c r="CM22" s="41"/>
      <c r="CN22" s="41"/>
      <c r="CO22" s="28"/>
      <c r="CP22" s="29"/>
      <c r="CQ22" s="24"/>
      <c r="CR22" s="13"/>
      <c r="CS22" s="13"/>
      <c r="CT22" s="14"/>
      <c r="CU22" s="15"/>
      <c r="CV22" s="15"/>
      <c r="CW22" s="16"/>
      <c r="CX22" s="41"/>
      <c r="CY22" s="41"/>
      <c r="CZ22" s="28"/>
      <c r="DA22" s="29"/>
      <c r="DB22" s="24"/>
      <c r="DC22" s="13"/>
      <c r="DD22" s="13"/>
      <c r="DE22" s="14"/>
      <c r="DF22" s="15"/>
      <c r="DG22" s="15"/>
      <c r="DH22" s="16"/>
      <c r="DI22" s="41"/>
      <c r="DJ22" s="41"/>
      <c r="DK22" s="28"/>
      <c r="DL22" s="29"/>
      <c r="DM22" s="24"/>
      <c r="DN22" s="13"/>
      <c r="DO22" s="13"/>
      <c r="DP22" s="14"/>
      <c r="DQ22" s="15"/>
      <c r="DR22" s="15"/>
      <c r="DS22" s="16"/>
      <c r="DT22" s="41"/>
      <c r="DU22" s="41"/>
      <c r="DV22" s="28"/>
      <c r="DW22" s="29"/>
      <c r="DX22" s="24"/>
      <c r="DY22" s="13"/>
      <c r="DZ22" s="13"/>
      <c r="EA22" s="14"/>
      <c r="EB22" s="15"/>
      <c r="EC22" s="15"/>
      <c r="ED22" s="16"/>
      <c r="EE22" s="41"/>
      <c r="EF22" s="41"/>
      <c r="EG22" s="28"/>
      <c r="EH22" s="29"/>
      <c r="EI22" s="24"/>
      <c r="EJ22" s="13"/>
      <c r="EK22" s="13"/>
      <c r="EL22" s="14"/>
      <c r="EM22" s="15"/>
      <c r="EN22" s="15"/>
      <c r="EO22" s="16"/>
      <c r="EP22" s="41"/>
      <c r="EQ22" s="41"/>
      <c r="ER22" s="28"/>
      <c r="ES22" s="29"/>
      <c r="ET22" s="24"/>
      <c r="EU22" s="13"/>
      <c r="EV22" s="13"/>
      <c r="EW22" s="14"/>
      <c r="EX22" s="15"/>
      <c r="EY22" s="15"/>
      <c r="EZ22" s="16"/>
      <c r="FA22" s="41"/>
      <c r="FB22" s="41"/>
      <c r="FC22" s="28"/>
      <c r="FD22" s="29"/>
      <c r="FE22" s="24"/>
      <c r="FF22" s="13"/>
      <c r="FG22" s="13"/>
      <c r="FH22" s="14"/>
      <c r="FI22" s="15"/>
      <c r="FJ22" s="15"/>
      <c r="FK22" s="16"/>
      <c r="FL22" s="41"/>
      <c r="FM22" s="41"/>
      <c r="FN22" s="28"/>
      <c r="FO22" s="29"/>
      <c r="FP22" s="24"/>
      <c r="FQ22" s="13"/>
      <c r="FR22" s="13"/>
      <c r="FS22" s="14"/>
      <c r="FT22" s="15"/>
      <c r="FU22" s="15"/>
      <c r="FV22" s="16"/>
      <c r="FW22" s="41"/>
      <c r="FX22" s="41"/>
      <c r="FY22" s="28"/>
      <c r="FZ22" s="29"/>
      <c r="GA22" s="24"/>
      <c r="GB22" s="13"/>
      <c r="GC22" s="13"/>
      <c r="GD22" s="14"/>
      <c r="GE22" s="15"/>
      <c r="GF22" s="15"/>
      <c r="GG22" s="16"/>
      <c r="GH22" s="41"/>
      <c r="GI22" s="41"/>
      <c r="GJ22" s="28"/>
      <c r="GK22" s="29"/>
      <c r="GL22" s="24"/>
      <c r="GM22" s="13"/>
      <c r="GN22" s="13"/>
      <c r="GO22" s="14"/>
      <c r="GP22" s="15"/>
      <c r="GQ22" s="15"/>
      <c r="GR22" s="16"/>
      <c r="GS22" s="41"/>
      <c r="GT22" s="41"/>
      <c r="GU22" s="28"/>
      <c r="GV22" s="29"/>
      <c r="GW22" s="24"/>
      <c r="GX22" s="13"/>
      <c r="GY22" s="13"/>
      <c r="GZ22" s="14"/>
      <c r="HA22" s="15"/>
      <c r="HB22" s="15"/>
      <c r="HC22" s="16"/>
      <c r="HD22" s="41"/>
      <c r="HE22" s="41"/>
      <c r="HF22" s="28"/>
      <c r="HG22" s="29"/>
      <c r="HH22" s="24"/>
      <c r="HI22" s="13"/>
      <c r="HJ22" s="13"/>
      <c r="HK22" s="14"/>
      <c r="HL22" s="15"/>
      <c r="HM22" s="15"/>
      <c r="HN22" s="16"/>
      <c r="HO22" s="41"/>
      <c r="HP22" s="41"/>
      <c r="HQ22" s="28"/>
      <c r="HR22" s="29"/>
      <c r="HS22" s="24"/>
      <c r="HT22" s="13"/>
      <c r="HU22" s="13"/>
      <c r="HV22" s="14"/>
      <c r="HW22" s="15"/>
      <c r="HX22" s="15"/>
      <c r="HY22" s="16"/>
      <c r="HZ22" s="41"/>
      <c r="IA22" s="41"/>
      <c r="IB22" s="28"/>
      <c r="IC22" s="29"/>
      <c r="ID22" s="24"/>
      <c r="IE22" s="13"/>
      <c r="IF22" s="13"/>
      <c r="IG22" s="14"/>
      <c r="IH22" s="15"/>
      <c r="II22" s="15"/>
      <c r="IJ22" s="16"/>
      <c r="IK22" s="41"/>
      <c r="IL22" s="41"/>
      <c r="IM22" s="28"/>
      <c r="IN22" s="29"/>
      <c r="IO22" s="24"/>
      <c r="IP22" s="13"/>
      <c r="IQ22" s="13"/>
      <c r="IR22" s="14"/>
      <c r="IS22" s="15"/>
      <c r="IT22" s="15"/>
      <c r="IU22" s="16"/>
      <c r="IV22" s="41"/>
      <c r="IW22" s="41"/>
      <c r="IX22" s="28"/>
      <c r="IY22" s="29"/>
      <c r="IZ22" s="24"/>
      <c r="JA22" s="13"/>
      <c r="JB22" s="13"/>
      <c r="JC22" s="14"/>
      <c r="JD22" s="15"/>
      <c r="JE22" s="15"/>
      <c r="JF22" s="16"/>
      <c r="JG22" s="41"/>
      <c r="JH22" s="41"/>
      <c r="JI22" s="28"/>
      <c r="JJ22" s="29"/>
      <c r="JK22" s="24"/>
      <c r="JL22" s="13"/>
      <c r="JM22" s="13"/>
      <c r="JN22" s="14"/>
      <c r="JO22" s="15"/>
      <c r="JP22" s="15"/>
      <c r="JQ22" s="16"/>
      <c r="JR22" s="41"/>
      <c r="JS22" s="41"/>
      <c r="JT22" s="28"/>
      <c r="JU22" s="29"/>
      <c r="JV22" s="24"/>
      <c r="JW22" s="13"/>
      <c r="JX22" s="13"/>
      <c r="JY22" s="14"/>
      <c r="JZ22" s="15"/>
      <c r="KA22" s="15"/>
      <c r="KB22" s="16"/>
      <c r="KC22" s="41"/>
      <c r="KD22" s="41"/>
      <c r="KE22" s="28"/>
      <c r="KF22" s="29"/>
      <c r="KG22" s="24"/>
      <c r="KH22" s="13"/>
      <c r="KI22" s="13"/>
      <c r="KJ22" s="14"/>
      <c r="KK22" s="15"/>
      <c r="KL22" s="15"/>
      <c r="KM22" s="16"/>
      <c r="KN22" s="41"/>
      <c r="KO22" s="41"/>
      <c r="KP22" s="28"/>
      <c r="KQ22" s="29"/>
      <c r="KR22" s="24"/>
      <c r="KS22" s="13"/>
      <c r="KT22" s="13"/>
      <c r="KU22" s="14"/>
      <c r="KV22" s="15"/>
      <c r="KW22" s="15"/>
      <c r="KX22" s="16"/>
      <c r="KY22" s="41"/>
      <c r="KZ22" s="41"/>
      <c r="LA22" s="28"/>
      <c r="LB22" s="29"/>
      <c r="LC22" s="24"/>
      <c r="LD22" s="13"/>
      <c r="LE22" s="13"/>
      <c r="LF22" s="14"/>
      <c r="LG22" s="15"/>
      <c r="LH22" s="15"/>
      <c r="LI22" s="16"/>
      <c r="LJ22" s="41"/>
      <c r="LK22" s="41"/>
      <c r="LL22" s="28"/>
      <c r="LM22" s="29"/>
      <c r="LN22" s="24"/>
      <c r="LO22" s="13"/>
      <c r="LP22" s="13"/>
      <c r="LQ22" s="14"/>
      <c r="LR22" s="15"/>
      <c r="LS22" s="15"/>
      <c r="LT22" s="16"/>
      <c r="LU22" s="41"/>
      <c r="LV22" s="41"/>
      <c r="LW22" s="28"/>
      <c r="LX22" s="29"/>
      <c r="LY22" s="24"/>
      <c r="LZ22" s="13"/>
      <c r="MA22" s="13"/>
      <c r="MB22" s="14"/>
      <c r="MC22" s="15"/>
      <c r="MD22" s="15"/>
      <c r="ME22" s="16"/>
      <c r="MF22" s="41"/>
      <c r="MG22" s="41"/>
      <c r="MH22" s="28"/>
      <c r="MI22" s="29"/>
      <c r="MJ22" s="24"/>
      <c r="MK22" s="13"/>
      <c r="ML22" s="13"/>
      <c r="MM22" s="14"/>
      <c r="MN22" s="15"/>
      <c r="MO22" s="15"/>
      <c r="MP22" s="16"/>
      <c r="MQ22" s="41"/>
      <c r="MR22" s="41"/>
      <c r="MS22" s="28"/>
      <c r="MT22" s="29"/>
      <c r="MU22" s="24"/>
      <c r="MV22" s="13"/>
      <c r="MW22" s="13"/>
      <c r="MX22" s="14"/>
      <c r="MY22" s="15"/>
      <c r="MZ22" s="15"/>
      <c r="NA22" s="16"/>
      <c r="NB22" s="41"/>
      <c r="NC22" s="41"/>
      <c r="ND22" s="28"/>
      <c r="NE22" s="29"/>
      <c r="NF22" s="24"/>
      <c r="NG22" s="13"/>
      <c r="NH22" s="13"/>
      <c r="NI22" s="14"/>
      <c r="NJ22" s="15"/>
      <c r="NK22" s="15"/>
      <c r="NL22" s="16"/>
      <c r="NM22" s="41"/>
      <c r="NN22" s="41"/>
      <c r="NO22" s="28"/>
      <c r="NP22" s="29"/>
      <c r="NQ22" s="24"/>
      <c r="NR22" s="13"/>
      <c r="NS22" s="13"/>
      <c r="NT22" s="14"/>
      <c r="NU22" s="15"/>
      <c r="NV22" s="15"/>
      <c r="NW22" s="16"/>
      <c r="NX22" s="41"/>
      <c r="NY22" s="41"/>
      <c r="NZ22" s="28"/>
      <c r="OA22" s="29"/>
      <c r="OB22" s="24"/>
      <c r="OC22" s="13"/>
      <c r="OD22" s="13"/>
      <c r="OE22" s="14"/>
      <c r="OF22" s="15"/>
      <c r="OG22" s="15"/>
      <c r="OH22" s="16"/>
      <c r="OI22" s="41"/>
      <c r="OJ22" s="41"/>
      <c r="OK22" s="28"/>
      <c r="OL22" s="29"/>
      <c r="OM22" s="24"/>
      <c r="ON22" s="13"/>
      <c r="OO22" s="13"/>
      <c r="OP22" s="14"/>
      <c r="OQ22" s="15"/>
      <c r="OR22" s="15"/>
      <c r="OS22" s="16"/>
      <c r="OT22" s="41"/>
      <c r="OU22" s="41"/>
      <c r="OV22" s="28"/>
      <c r="OW22" s="29"/>
      <c r="OX22" s="24"/>
      <c r="OY22" s="13"/>
      <c r="OZ22" s="13"/>
      <c r="PA22" s="14"/>
      <c r="PB22" s="15"/>
      <c r="PC22" s="15"/>
      <c r="PD22" s="16"/>
      <c r="PE22" s="41"/>
      <c r="PF22" s="41"/>
      <c r="PG22" s="28"/>
      <c r="PH22" s="29"/>
      <c r="PI22" s="24"/>
      <c r="PJ22" s="13"/>
      <c r="PK22" s="13"/>
      <c r="PL22" s="14"/>
      <c r="PM22" s="15"/>
      <c r="PN22" s="15"/>
      <c r="PO22" s="16"/>
      <c r="PP22" s="41"/>
      <c r="PQ22" s="41"/>
      <c r="PR22" s="28"/>
      <c r="PS22" s="29"/>
      <c r="PT22" s="24"/>
      <c r="PU22" s="13"/>
      <c r="PV22" s="13"/>
      <c r="PW22" s="14"/>
      <c r="PX22" s="15"/>
      <c r="PY22" s="15"/>
      <c r="PZ22" s="16"/>
      <c r="QA22" s="41"/>
      <c r="QB22" s="41"/>
      <c r="QC22" s="28"/>
      <c r="QD22" s="29"/>
      <c r="QE22" s="24"/>
      <c r="QF22" s="13"/>
      <c r="QG22" s="13"/>
      <c r="QH22" s="14"/>
      <c r="QI22" s="15"/>
      <c r="QJ22" s="15"/>
      <c r="QK22" s="16"/>
      <c r="QL22" s="41"/>
      <c r="QM22" s="41"/>
      <c r="QN22" s="28"/>
      <c r="QO22" s="29"/>
      <c r="QP22" s="24"/>
      <c r="QQ22" s="13"/>
      <c r="QR22" s="13"/>
      <c r="QS22" s="14"/>
      <c r="QT22" s="15"/>
      <c r="QU22" s="15"/>
      <c r="QV22" s="16"/>
      <c r="QW22" s="41"/>
      <c r="QX22" s="41"/>
      <c r="QY22" s="28"/>
      <c r="QZ22" s="29"/>
      <c r="RA22" s="24"/>
      <c r="RB22" s="13"/>
      <c r="RC22" s="13"/>
      <c r="RD22" s="14"/>
      <c r="RE22" s="15"/>
      <c r="RF22" s="15"/>
      <c r="RG22" s="16"/>
      <c r="RH22" s="41"/>
      <c r="RI22" s="41"/>
      <c r="RJ22" s="28"/>
      <c r="RK22" s="29"/>
      <c r="RL22" s="24"/>
      <c r="RM22" s="13"/>
      <c r="RN22" s="13"/>
      <c r="RO22" s="14"/>
      <c r="RP22" s="15"/>
      <c r="RQ22" s="15"/>
      <c r="RR22" s="16"/>
      <c r="RS22" s="41"/>
      <c r="RT22" s="41"/>
      <c r="RU22" s="28"/>
      <c r="RV22" s="29"/>
      <c r="RW22" s="24"/>
      <c r="RX22" s="13"/>
      <c r="RY22" s="13"/>
      <c r="RZ22" s="14"/>
      <c r="SA22" s="15"/>
      <c r="SB22" s="15"/>
      <c r="SC22" s="16"/>
      <c r="SD22" s="41"/>
      <c r="SE22" s="41"/>
      <c r="SF22" s="28"/>
      <c r="SG22" s="29"/>
      <c r="SH22" s="24"/>
      <c r="SI22" s="13"/>
      <c r="SJ22" s="13"/>
      <c r="SK22" s="14"/>
      <c r="SL22" s="15"/>
      <c r="SM22" s="15"/>
      <c r="SN22" s="16"/>
      <c r="SO22" s="41"/>
      <c r="SP22" s="41"/>
      <c r="SQ22" s="28"/>
      <c r="SR22" s="29"/>
      <c r="SS22" s="24"/>
      <c r="ST22" s="13"/>
      <c r="SU22" s="13"/>
      <c r="SV22" s="14"/>
      <c r="SW22" s="15"/>
      <c r="SX22" s="15"/>
      <c r="SY22" s="16"/>
      <c r="SZ22" s="41"/>
      <c r="TA22" s="41"/>
      <c r="TB22" s="28"/>
      <c r="TC22" s="29"/>
      <c r="TD22" s="24"/>
      <c r="TE22" s="13"/>
      <c r="TF22" s="13"/>
      <c r="TG22" s="14"/>
      <c r="TH22" s="15"/>
      <c r="TI22" s="15"/>
      <c r="TJ22" s="16"/>
      <c r="TK22" s="41"/>
      <c r="TL22" s="41"/>
      <c r="TM22" s="28"/>
      <c r="TN22" s="29"/>
      <c r="TO22" s="24"/>
      <c r="TP22" s="13"/>
      <c r="TQ22" s="13"/>
      <c r="TR22" s="14"/>
      <c r="TS22" s="15"/>
      <c r="TT22" s="15"/>
      <c r="TU22" s="16"/>
      <c r="TV22" s="41"/>
      <c r="TW22" s="41"/>
      <c r="TX22" s="28"/>
      <c r="TY22" s="29"/>
      <c r="TZ22" s="24"/>
      <c r="UA22" s="13"/>
      <c r="UB22" s="13"/>
      <c r="UC22" s="14"/>
      <c r="UD22" s="15"/>
      <c r="UE22" s="15"/>
      <c r="UF22" s="16"/>
      <c r="UG22" s="41"/>
      <c r="UH22" s="41"/>
      <c r="UI22" s="28"/>
      <c r="UJ22" s="29"/>
      <c r="UK22" s="24"/>
      <c r="UL22" s="13"/>
      <c r="UM22" s="13"/>
      <c r="UN22" s="14"/>
      <c r="UO22" s="15"/>
      <c r="UP22" s="15"/>
      <c r="UQ22" s="16"/>
      <c r="UR22" s="41"/>
      <c r="US22" s="41"/>
      <c r="UT22" s="28"/>
      <c r="UU22" s="29"/>
      <c r="UV22" s="24"/>
      <c r="UW22" s="13"/>
      <c r="UX22" s="13"/>
      <c r="UY22" s="14"/>
      <c r="UZ22" s="15"/>
      <c r="VA22" s="15"/>
      <c r="VB22" s="16"/>
      <c r="VC22" s="41"/>
      <c r="VD22" s="41"/>
      <c r="VE22" s="28"/>
      <c r="VF22" s="29"/>
      <c r="VG22" s="24"/>
      <c r="VH22" s="13"/>
      <c r="VI22" s="13"/>
      <c r="VJ22" s="14"/>
      <c r="VK22" s="15"/>
      <c r="VL22" s="15"/>
      <c r="VM22" s="16"/>
      <c r="VN22" s="41"/>
      <c r="VO22" s="41"/>
      <c r="VP22" s="28"/>
      <c r="VQ22" s="29"/>
      <c r="VR22" s="24"/>
      <c r="VS22" s="13"/>
      <c r="VT22" s="13"/>
      <c r="VU22" s="14"/>
      <c r="VV22" s="15"/>
      <c r="VW22" s="15"/>
      <c r="VX22" s="16"/>
      <c r="VY22" s="41"/>
      <c r="VZ22" s="41"/>
      <c r="WA22" s="28"/>
      <c r="WB22" s="29"/>
      <c r="WC22" s="24"/>
      <c r="WD22" s="13"/>
      <c r="WE22" s="13"/>
      <c r="WF22" s="14"/>
      <c r="WG22" s="15"/>
      <c r="WH22" s="15"/>
      <c r="WI22" s="16"/>
      <c r="WJ22" s="41"/>
      <c r="WK22" s="41"/>
      <c r="WL22" s="28"/>
      <c r="WM22" s="29"/>
      <c r="WN22" s="24"/>
      <c r="WO22" s="13"/>
      <c r="WP22" s="13"/>
      <c r="WQ22" s="14"/>
      <c r="WR22" s="15"/>
      <c r="WS22" s="15"/>
      <c r="WT22" s="16"/>
      <c r="WU22" s="41"/>
      <c r="WV22" s="41"/>
      <c r="WW22" s="28"/>
      <c r="WX22" s="29"/>
      <c r="WY22" s="24"/>
      <c r="WZ22" s="13"/>
      <c r="XA22" s="13"/>
      <c r="XB22" s="14"/>
      <c r="XC22" s="15"/>
      <c r="XD22" s="15"/>
      <c r="XE22" s="16"/>
      <c r="XF22" s="41"/>
      <c r="XG22" s="41"/>
      <c r="XH22" s="28"/>
      <c r="XI22" s="29"/>
      <c r="XJ22" s="24"/>
      <c r="XK22" s="13"/>
      <c r="XL22" s="13"/>
      <c r="XM22" s="14"/>
      <c r="XN22" s="15"/>
      <c r="XO22" s="15"/>
      <c r="XP22" s="16"/>
      <c r="XQ22" s="41"/>
      <c r="XR22" s="41"/>
      <c r="XS22" s="28"/>
      <c r="XT22" s="29"/>
      <c r="XU22" s="24"/>
      <c r="XV22" s="13"/>
      <c r="XW22" s="13"/>
      <c r="XX22" s="14"/>
      <c r="XY22" s="15"/>
      <c r="XZ22" s="15"/>
      <c r="YA22" s="16"/>
      <c r="YB22" s="41"/>
      <c r="YC22" s="41"/>
      <c r="YD22" s="28"/>
      <c r="YE22" s="29"/>
      <c r="YF22" s="24"/>
      <c r="YG22" s="13"/>
      <c r="YH22" s="13"/>
      <c r="YI22" s="14"/>
      <c r="YJ22" s="15"/>
      <c r="YK22" s="15"/>
      <c r="YL22" s="16"/>
      <c r="YM22" s="41"/>
      <c r="YN22" s="41"/>
      <c r="YO22" s="28"/>
      <c r="YP22" s="29"/>
      <c r="YQ22" s="24"/>
      <c r="YR22" s="13"/>
      <c r="YS22" s="13"/>
      <c r="YT22" s="14"/>
      <c r="YU22" s="15"/>
      <c r="YV22" s="15"/>
      <c r="YW22" s="16"/>
      <c r="YX22" s="41"/>
      <c r="YY22" s="41"/>
      <c r="YZ22" s="28"/>
      <c r="ZA22" s="29"/>
      <c r="ZB22" s="24"/>
      <c r="ZC22" s="13"/>
      <c r="ZD22" s="13"/>
      <c r="ZE22" s="14"/>
      <c r="ZF22" s="15"/>
      <c r="ZG22" s="15"/>
      <c r="ZH22" s="16"/>
      <c r="ZI22" s="41"/>
      <c r="ZJ22" s="41"/>
      <c r="ZK22" s="28"/>
      <c r="ZL22" s="29"/>
      <c r="ZM22" s="24"/>
      <c r="ZN22" s="13"/>
      <c r="ZO22" s="13"/>
      <c r="ZP22" s="14"/>
      <c r="ZQ22" s="15"/>
      <c r="ZR22" s="15"/>
      <c r="ZS22" s="16"/>
      <c r="ZT22" s="41"/>
      <c r="ZU22" s="41"/>
      <c r="ZV22" s="28"/>
      <c r="ZW22" s="29"/>
      <c r="ZX22" s="24"/>
      <c r="ZY22" s="13"/>
      <c r="ZZ22" s="13"/>
      <c r="AAA22" s="14"/>
      <c r="AAB22" s="15"/>
      <c r="AAC22" s="15"/>
      <c r="AAD22" s="16"/>
      <c r="AAE22" s="41"/>
      <c r="AAF22" s="41"/>
      <c r="AAG22" s="28"/>
      <c r="AAH22" s="29"/>
      <c r="AAI22" s="24"/>
      <c r="AAJ22" s="13"/>
      <c r="AAK22" s="13"/>
      <c r="AAL22" s="14"/>
      <c r="AAM22" s="15"/>
      <c r="AAN22" s="15"/>
      <c r="AAO22" s="16"/>
      <c r="AAP22" s="41"/>
      <c r="AAQ22" s="41"/>
      <c r="AAR22" s="28"/>
      <c r="AAS22" s="29"/>
      <c r="AAT22" s="24"/>
      <c r="AAU22" s="13"/>
      <c r="AAV22" s="13"/>
      <c r="AAW22" s="14"/>
      <c r="AAX22" s="15"/>
      <c r="AAY22" s="15"/>
      <c r="AAZ22" s="16"/>
      <c r="ABA22" s="41"/>
      <c r="ABB22" s="41"/>
      <c r="ABC22" s="28"/>
      <c r="ABD22" s="29"/>
      <c r="ABE22" s="24"/>
      <c r="ABF22" s="13"/>
      <c r="ABG22" s="13"/>
      <c r="ABH22" s="14"/>
      <c r="ABI22" s="15"/>
      <c r="ABJ22" s="15"/>
      <c r="ABK22" s="16"/>
      <c r="ABL22" s="41"/>
      <c r="ABM22" s="41"/>
      <c r="ABN22" s="28"/>
      <c r="ABO22" s="29"/>
      <c r="ABP22" s="24"/>
      <c r="ABQ22" s="13"/>
      <c r="ABR22" s="13"/>
      <c r="ABS22" s="14"/>
      <c r="ABT22" s="15"/>
      <c r="ABU22" s="15"/>
      <c r="ABV22" s="16"/>
      <c r="ABW22" s="41"/>
      <c r="ABX22" s="41"/>
      <c r="ABY22" s="28"/>
      <c r="ABZ22" s="29"/>
      <c r="ACA22" s="24"/>
      <c r="ACB22" s="13"/>
      <c r="ACC22" s="13"/>
      <c r="ACD22" s="14"/>
      <c r="ACE22" s="15"/>
      <c r="ACF22" s="15"/>
      <c r="ACG22" s="16"/>
      <c r="ACH22" s="41"/>
      <c r="ACI22" s="41"/>
      <c r="ACJ22" s="28"/>
      <c r="ACK22" s="29"/>
      <c r="ACL22" s="24"/>
      <c r="ACM22" s="13"/>
      <c r="ACN22" s="13"/>
      <c r="ACO22" s="14"/>
      <c r="ACP22" s="15"/>
      <c r="ACQ22" s="15"/>
      <c r="ACR22" s="16"/>
      <c r="ACS22" s="41"/>
      <c r="ACT22" s="41"/>
      <c r="ACU22" s="28"/>
      <c r="ACV22" s="29"/>
      <c r="ACW22" s="24"/>
      <c r="ACX22" s="13"/>
      <c r="ACY22" s="13"/>
      <c r="ACZ22" s="14"/>
      <c r="ADA22" s="15"/>
      <c r="ADB22" s="15"/>
      <c r="ADC22" s="16"/>
      <c r="ADD22" s="41"/>
      <c r="ADE22" s="41"/>
      <c r="ADF22" s="28"/>
      <c r="ADG22" s="29"/>
      <c r="ADH22" s="24"/>
      <c r="ADI22" s="13"/>
      <c r="ADJ22" s="13"/>
      <c r="ADK22" s="14"/>
      <c r="ADL22" s="15"/>
      <c r="ADM22" s="15"/>
      <c r="ADN22" s="16"/>
      <c r="ADO22" s="41"/>
      <c r="ADP22" s="41"/>
      <c r="ADQ22" s="28"/>
      <c r="ADR22" s="29"/>
      <c r="ADS22" s="24"/>
      <c r="ADT22" s="13"/>
      <c r="ADU22" s="13"/>
      <c r="ADV22" s="14"/>
      <c r="ADW22" s="15"/>
      <c r="ADX22" s="15"/>
      <c r="ADY22" s="16"/>
      <c r="ADZ22" s="41"/>
      <c r="AEA22" s="41"/>
      <c r="AEB22" s="28"/>
      <c r="AEC22" s="29"/>
      <c r="AED22" s="24"/>
      <c r="AEE22" s="13"/>
      <c r="AEF22" s="13"/>
      <c r="AEG22" s="14"/>
      <c r="AEH22" s="15"/>
      <c r="AEI22" s="15"/>
      <c r="AEJ22" s="16"/>
      <c r="AEK22" s="41"/>
      <c r="AEL22" s="41"/>
      <c r="AEM22" s="28"/>
      <c r="AEN22" s="29"/>
      <c r="AEO22" s="24"/>
      <c r="AEP22" s="13"/>
      <c r="AEQ22" s="13"/>
      <c r="AER22" s="14"/>
      <c r="AES22" s="15"/>
      <c r="AET22" s="15"/>
      <c r="AEU22" s="16"/>
      <c r="AEV22" s="41"/>
      <c r="AEW22" s="41"/>
      <c r="AEX22" s="28"/>
      <c r="AEY22" s="29"/>
      <c r="AEZ22" s="24"/>
      <c r="AFA22" s="13"/>
      <c r="AFB22" s="13"/>
      <c r="AFC22" s="14"/>
      <c r="AFD22" s="15"/>
      <c r="AFE22" s="15"/>
      <c r="AFF22" s="16"/>
      <c r="AFG22" s="41"/>
      <c r="AFH22" s="41"/>
      <c r="AFI22" s="28"/>
      <c r="AFJ22" s="29"/>
      <c r="AFK22" s="24"/>
      <c r="AFL22" s="13"/>
      <c r="AFM22" s="13"/>
      <c r="AFN22" s="14"/>
      <c r="AFO22" s="15"/>
      <c r="AFP22" s="15"/>
      <c r="AFQ22" s="16"/>
      <c r="AFR22" s="41"/>
      <c r="AFS22" s="41"/>
      <c r="AFT22" s="28"/>
      <c r="AFU22" s="29"/>
      <c r="AFV22" s="24"/>
      <c r="AFW22" s="13"/>
      <c r="AFX22" s="13"/>
      <c r="AFY22" s="14"/>
      <c r="AFZ22" s="15"/>
      <c r="AGA22" s="15"/>
      <c r="AGB22" s="16"/>
      <c r="AGC22" s="41"/>
      <c r="AGD22" s="41"/>
      <c r="AGE22" s="28"/>
      <c r="AGF22" s="29"/>
      <c r="AGG22" s="24"/>
      <c r="AGH22" s="13"/>
      <c r="AGI22" s="13"/>
      <c r="AGJ22" s="14"/>
      <c r="AGK22" s="15"/>
      <c r="AGL22" s="15"/>
      <c r="AGM22" s="16"/>
      <c r="AGN22" s="41"/>
      <c r="AGO22" s="41"/>
      <c r="AGP22" s="28"/>
      <c r="AGQ22" s="29"/>
      <c r="AGR22" s="24"/>
      <c r="AGS22" s="13"/>
      <c r="AGT22" s="13"/>
      <c r="AGU22" s="14"/>
      <c r="AGV22" s="15"/>
      <c r="AGW22" s="15"/>
      <c r="AGX22" s="16"/>
      <c r="AGY22" s="41"/>
      <c r="AGZ22" s="41"/>
      <c r="AHA22" s="28"/>
      <c r="AHB22" s="29"/>
      <c r="AHC22" s="24"/>
      <c r="AHD22" s="13"/>
      <c r="AHE22" s="13"/>
      <c r="AHF22" s="14"/>
      <c r="AHG22" s="15"/>
      <c r="AHH22" s="15"/>
      <c r="AHI22" s="16"/>
      <c r="AHJ22" s="41"/>
      <c r="AHK22" s="41"/>
      <c r="AHL22" s="28"/>
      <c r="AHM22" s="29"/>
      <c r="AHN22" s="24"/>
      <c r="AHO22" s="13"/>
      <c r="AHP22" s="13"/>
      <c r="AHQ22" s="14"/>
      <c r="AHR22" s="15"/>
      <c r="AHS22" s="15"/>
      <c r="AHT22" s="16"/>
      <c r="AHU22" s="41"/>
      <c r="AHV22" s="41"/>
      <c r="AHW22" s="28"/>
      <c r="AHX22" s="29"/>
      <c r="AHY22" s="24"/>
      <c r="AHZ22" s="13"/>
      <c r="AIA22" s="13"/>
      <c r="AIB22" s="14"/>
      <c r="AIC22" s="15"/>
      <c r="AID22" s="15"/>
      <c r="AIE22" s="16"/>
      <c r="AIF22" s="41"/>
      <c r="AIG22" s="41"/>
      <c r="AIH22" s="28"/>
      <c r="AII22" s="29"/>
      <c r="AIJ22" s="24"/>
      <c r="AIK22" s="13"/>
      <c r="AIL22" s="13"/>
      <c r="AIM22" s="14"/>
      <c r="AIN22" s="15"/>
      <c r="AIO22" s="15"/>
      <c r="AIP22" s="16"/>
      <c r="AIQ22" s="41"/>
      <c r="AIR22" s="41"/>
      <c r="AIS22" s="28"/>
      <c r="AIT22" s="29"/>
      <c r="AIU22" s="24"/>
      <c r="AIV22" s="13"/>
      <c r="AIW22" s="13"/>
      <c r="AIX22" s="14"/>
      <c r="AIY22" s="15"/>
      <c r="AIZ22" s="15"/>
      <c r="AJA22" s="16"/>
      <c r="AJB22" s="41"/>
      <c r="AJC22" s="41"/>
      <c r="AJD22" s="28"/>
      <c r="AJE22" s="29"/>
      <c r="AJF22" s="24"/>
      <c r="AJG22" s="13"/>
      <c r="AJH22" s="13"/>
      <c r="AJI22" s="14"/>
      <c r="AJJ22" s="15"/>
      <c r="AJK22" s="15"/>
      <c r="AJL22" s="16"/>
      <c r="AJM22" s="41"/>
      <c r="AJN22" s="41"/>
      <c r="AJO22" s="28"/>
      <c r="AJP22" s="29"/>
      <c r="AJQ22" s="24"/>
      <c r="AJR22" s="13"/>
      <c r="AJS22" s="13"/>
      <c r="AJT22" s="14"/>
      <c r="AJU22" s="15"/>
      <c r="AJV22" s="15"/>
      <c r="AJW22" s="16"/>
      <c r="AJX22" s="41"/>
      <c r="AJY22" s="41"/>
      <c r="AJZ22" s="28"/>
      <c r="AKA22" s="29"/>
      <c r="AKB22" s="24"/>
      <c r="AKC22" s="13"/>
      <c r="AKD22" s="13"/>
      <c r="AKE22" s="14"/>
      <c r="AKF22" s="15"/>
      <c r="AKG22" s="15"/>
      <c r="AKH22" s="16"/>
      <c r="AKI22" s="41"/>
      <c r="AKJ22" s="41"/>
      <c r="AKK22" s="28"/>
      <c r="AKL22" s="29"/>
      <c r="AKM22" s="24"/>
      <c r="AKN22" s="13"/>
      <c r="AKO22" s="13"/>
      <c r="AKP22" s="14"/>
      <c r="AKQ22" s="15"/>
      <c r="AKR22" s="15"/>
      <c r="AKS22" s="16"/>
      <c r="AKT22" s="41"/>
      <c r="AKU22" s="41"/>
      <c r="AKV22" s="28"/>
      <c r="AKW22" s="29"/>
      <c r="AKX22" s="24"/>
      <c r="AKY22" s="13"/>
      <c r="AKZ22" s="13"/>
      <c r="ALA22" s="14"/>
      <c r="ALB22" s="15"/>
      <c r="ALC22" s="15"/>
      <c r="ALD22" s="16"/>
      <c r="ALE22" s="41"/>
      <c r="ALF22" s="41"/>
      <c r="ALG22" s="28"/>
      <c r="ALH22" s="29"/>
      <c r="ALI22" s="24"/>
      <c r="ALJ22" s="13"/>
      <c r="ALK22" s="13"/>
      <c r="ALL22" s="14"/>
      <c r="ALM22" s="15"/>
      <c r="ALN22" s="15"/>
      <c r="ALO22" s="16"/>
      <c r="ALP22" s="41"/>
      <c r="ALQ22" s="41"/>
      <c r="ALR22" s="28"/>
      <c r="ALS22" s="29"/>
      <c r="ALT22" s="24"/>
      <c r="ALU22" s="13"/>
      <c r="ALV22" s="13"/>
      <c r="ALW22" s="14"/>
      <c r="ALX22" s="15"/>
      <c r="ALY22" s="15"/>
      <c r="ALZ22" s="16"/>
      <c r="AMA22" s="41"/>
      <c r="AMB22" s="41"/>
      <c r="AMC22" s="28"/>
      <c r="AMD22" s="29"/>
      <c r="AME22" s="24"/>
      <c r="AMF22" s="13"/>
      <c r="AMG22" s="13"/>
      <c r="AMH22" s="14"/>
      <c r="AMI22" s="15"/>
      <c r="AMJ22" s="15"/>
      <c r="AMK22" s="16"/>
      <c r="AML22" s="41"/>
      <c r="AMM22" s="41"/>
      <c r="AMN22" s="28"/>
      <c r="AMO22" s="29"/>
      <c r="AMP22" s="24"/>
      <c r="AMQ22" s="13"/>
      <c r="AMR22" s="13"/>
      <c r="AMS22" s="14"/>
      <c r="AMT22" s="15"/>
      <c r="AMU22" s="15"/>
      <c r="AMV22" s="16"/>
      <c r="AMW22" s="41"/>
      <c r="AMX22" s="41"/>
      <c r="AMY22" s="28"/>
      <c r="AMZ22" s="29"/>
      <c r="ANA22" s="24"/>
      <c r="ANB22" s="13"/>
      <c r="ANC22" s="13"/>
      <c r="AND22" s="14"/>
      <c r="ANE22" s="15"/>
      <c r="ANF22" s="15"/>
      <c r="ANG22" s="16"/>
      <c r="ANH22" s="41"/>
      <c r="ANI22" s="41"/>
      <c r="ANJ22" s="28"/>
      <c r="ANK22" s="29"/>
      <c r="ANL22" s="24"/>
      <c r="ANM22" s="13"/>
      <c r="ANN22" s="13"/>
      <c r="ANO22" s="14"/>
      <c r="ANP22" s="15"/>
      <c r="ANQ22" s="15"/>
      <c r="ANR22" s="16"/>
      <c r="ANS22" s="41"/>
      <c r="ANT22" s="41"/>
      <c r="ANU22" s="28"/>
      <c r="ANV22" s="29"/>
      <c r="ANW22" s="24"/>
      <c r="ANX22" s="13"/>
      <c r="ANY22" s="13"/>
      <c r="ANZ22" s="14"/>
      <c r="AOA22" s="15"/>
      <c r="AOB22" s="15"/>
      <c r="AOC22" s="16"/>
      <c r="AOD22" s="41"/>
      <c r="AOE22" s="41"/>
      <c r="AOF22" s="28"/>
      <c r="AOG22" s="29"/>
      <c r="AOH22" s="24"/>
      <c r="AOI22" s="13"/>
      <c r="AOJ22" s="13"/>
      <c r="AOK22" s="14"/>
      <c r="AOL22" s="15"/>
      <c r="AOM22" s="15"/>
      <c r="AON22" s="16"/>
      <c r="AOO22" s="41"/>
      <c r="AOP22" s="41"/>
      <c r="AOQ22" s="28"/>
      <c r="AOR22" s="29"/>
      <c r="AOS22" s="24"/>
      <c r="AOT22" s="13"/>
      <c r="AOU22" s="13"/>
      <c r="AOV22" s="14"/>
      <c r="AOW22" s="15"/>
      <c r="AOX22" s="15"/>
      <c r="AOY22" s="16"/>
      <c r="AOZ22" s="41"/>
      <c r="APA22" s="41"/>
      <c r="APB22" s="28"/>
      <c r="APC22" s="29"/>
      <c r="APD22" s="24"/>
      <c r="APE22" s="13"/>
      <c r="APF22" s="13"/>
      <c r="APG22" s="14"/>
      <c r="APH22" s="15"/>
      <c r="API22" s="15"/>
      <c r="APJ22" s="16"/>
      <c r="APK22" s="41"/>
      <c r="APL22" s="41"/>
      <c r="APM22" s="28"/>
      <c r="APN22" s="29"/>
      <c r="APO22" s="24"/>
      <c r="APP22" s="13"/>
      <c r="APQ22" s="13"/>
      <c r="APR22" s="14"/>
      <c r="APS22" s="15"/>
      <c r="APT22" s="15"/>
      <c r="APU22" s="16"/>
      <c r="APV22" s="41"/>
      <c r="APW22" s="41"/>
      <c r="APX22" s="28"/>
      <c r="APY22" s="29"/>
      <c r="APZ22" s="24"/>
      <c r="AQA22" s="13"/>
      <c r="AQB22" s="13"/>
      <c r="AQC22" s="14"/>
      <c r="AQD22" s="15"/>
      <c r="AQE22" s="15"/>
      <c r="AQF22" s="16"/>
      <c r="AQG22" s="41"/>
      <c r="AQH22" s="41"/>
      <c r="AQI22" s="28"/>
      <c r="AQJ22" s="29"/>
      <c r="AQK22" s="24"/>
      <c r="AQL22" s="13"/>
      <c r="AQM22" s="13"/>
      <c r="AQN22" s="14"/>
      <c r="AQO22" s="15"/>
      <c r="AQP22" s="15"/>
      <c r="AQQ22" s="16"/>
      <c r="AQR22" s="41"/>
      <c r="AQS22" s="41"/>
      <c r="AQT22" s="28"/>
      <c r="AQU22" s="29"/>
      <c r="AQV22" s="24"/>
      <c r="AQW22" s="13"/>
      <c r="AQX22" s="13"/>
      <c r="AQY22" s="14"/>
      <c r="AQZ22" s="15"/>
      <c r="ARA22" s="15"/>
      <c r="ARB22" s="16"/>
      <c r="ARC22" s="41"/>
      <c r="ARD22" s="41"/>
      <c r="ARE22" s="28"/>
      <c r="ARF22" s="29"/>
      <c r="ARG22" s="24"/>
      <c r="ARH22" s="13"/>
      <c r="ARI22" s="13"/>
      <c r="ARJ22" s="14"/>
      <c r="ARK22" s="15"/>
      <c r="ARL22" s="15"/>
      <c r="ARM22" s="16"/>
      <c r="ARN22" s="41"/>
      <c r="ARO22" s="41"/>
      <c r="ARP22" s="28"/>
      <c r="ARQ22" s="29"/>
      <c r="ARR22" s="24"/>
      <c r="ARS22" s="13"/>
      <c r="ART22" s="13"/>
      <c r="ARU22" s="14"/>
      <c r="ARV22" s="15"/>
      <c r="ARW22" s="15"/>
      <c r="ARX22" s="16"/>
      <c r="ARY22" s="41"/>
      <c r="ARZ22" s="41"/>
      <c r="ASA22" s="28"/>
      <c r="ASB22" s="29"/>
      <c r="ASC22" s="24"/>
      <c r="ASD22" s="13"/>
      <c r="ASE22" s="13"/>
      <c r="ASF22" s="14"/>
      <c r="ASG22" s="15"/>
      <c r="ASH22" s="15"/>
      <c r="ASI22" s="16"/>
      <c r="ASJ22" s="41"/>
      <c r="ASK22" s="41"/>
      <c r="ASL22" s="28"/>
      <c r="ASM22" s="29"/>
      <c r="ASN22" s="24"/>
      <c r="ASO22" s="13"/>
      <c r="ASP22" s="13"/>
      <c r="ASQ22" s="14"/>
      <c r="ASR22" s="15"/>
      <c r="ASS22" s="15"/>
      <c r="AST22" s="16"/>
      <c r="ASU22" s="41"/>
      <c r="ASV22" s="41"/>
      <c r="ASW22" s="28"/>
      <c r="ASX22" s="29"/>
      <c r="ASY22" s="24"/>
      <c r="ASZ22" s="13"/>
      <c r="ATA22" s="13"/>
      <c r="ATB22" s="14"/>
      <c r="ATC22" s="15"/>
      <c r="ATD22" s="15"/>
      <c r="ATE22" s="16"/>
      <c r="ATF22" s="41"/>
      <c r="ATG22" s="41"/>
      <c r="ATH22" s="28"/>
      <c r="ATI22" s="29"/>
      <c r="ATJ22" s="24"/>
      <c r="ATK22" s="13"/>
      <c r="ATL22" s="13"/>
      <c r="ATM22" s="14"/>
      <c r="ATN22" s="15"/>
      <c r="ATO22" s="15"/>
      <c r="ATP22" s="16"/>
      <c r="ATQ22" s="41"/>
      <c r="ATR22" s="41"/>
      <c r="ATS22" s="28"/>
      <c r="ATT22" s="29"/>
      <c r="ATU22" s="24"/>
      <c r="ATV22" s="13"/>
      <c r="ATW22" s="13"/>
      <c r="ATX22" s="14"/>
      <c r="ATY22" s="15"/>
      <c r="ATZ22" s="15"/>
      <c r="AUA22" s="16"/>
      <c r="AUB22" s="41"/>
      <c r="AUC22" s="41"/>
      <c r="AUD22" s="28"/>
      <c r="AUE22" s="29"/>
      <c r="AUF22" s="24"/>
      <c r="AUG22" s="13"/>
      <c r="AUH22" s="13"/>
      <c r="AUI22" s="14"/>
      <c r="AUJ22" s="15"/>
      <c r="AUK22" s="15"/>
      <c r="AUL22" s="16"/>
      <c r="AUM22" s="41"/>
      <c r="AUN22" s="41"/>
      <c r="AUO22" s="28"/>
      <c r="AUP22" s="29"/>
      <c r="AUQ22" s="24"/>
      <c r="AUR22" s="13"/>
      <c r="AUS22" s="13"/>
      <c r="AUT22" s="14"/>
      <c r="AUU22" s="15"/>
      <c r="AUV22" s="15"/>
      <c r="AUW22" s="16"/>
      <c r="AUX22" s="41"/>
      <c r="AUY22" s="41"/>
      <c r="AUZ22" s="28"/>
      <c r="AVA22" s="29"/>
      <c r="AVB22" s="24"/>
      <c r="AVC22" s="13"/>
      <c r="AVD22" s="13"/>
      <c r="AVE22" s="14"/>
      <c r="AVF22" s="15"/>
      <c r="AVG22" s="15"/>
      <c r="AVH22" s="16"/>
      <c r="AVI22" s="41"/>
      <c r="AVJ22" s="41"/>
      <c r="AVK22" s="28"/>
      <c r="AVL22" s="29"/>
      <c r="AVM22" s="24"/>
      <c r="AVN22" s="13"/>
      <c r="AVO22" s="13"/>
      <c r="AVP22" s="14"/>
      <c r="AVQ22" s="15"/>
      <c r="AVR22" s="15"/>
      <c r="AVS22" s="16"/>
      <c r="AVT22" s="41"/>
      <c r="AVU22" s="41"/>
      <c r="AVV22" s="28"/>
      <c r="AVW22" s="29"/>
      <c r="AVX22" s="24"/>
      <c r="AVY22" s="13"/>
      <c r="AVZ22" s="13"/>
      <c r="AWA22" s="14"/>
      <c r="AWB22" s="15"/>
      <c r="AWC22" s="15"/>
      <c r="AWD22" s="16"/>
      <c r="AWE22" s="41"/>
      <c r="AWF22" s="41"/>
      <c r="AWG22" s="28"/>
      <c r="AWH22" s="29"/>
      <c r="AWI22" s="24"/>
      <c r="AWJ22" s="13"/>
      <c r="AWK22" s="13"/>
      <c r="AWL22" s="14"/>
      <c r="AWM22" s="15"/>
      <c r="AWN22" s="15"/>
      <c r="AWO22" s="16"/>
      <c r="AWP22" s="41"/>
      <c r="AWQ22" s="41"/>
      <c r="AWR22" s="28"/>
      <c r="AWS22" s="29"/>
      <c r="AWT22" s="24"/>
      <c r="AWU22" s="13"/>
      <c r="AWV22" s="13"/>
      <c r="AWW22" s="14"/>
      <c r="AWX22" s="15"/>
      <c r="AWY22" s="15"/>
      <c r="AWZ22" s="16"/>
      <c r="AXA22" s="41"/>
      <c r="AXB22" s="41"/>
      <c r="AXC22" s="28"/>
      <c r="AXD22" s="29"/>
      <c r="AXE22" s="24"/>
      <c r="AXF22" s="13"/>
      <c r="AXG22" s="13"/>
      <c r="AXH22" s="14"/>
      <c r="AXI22" s="15"/>
      <c r="AXJ22" s="15"/>
      <c r="AXK22" s="16"/>
      <c r="AXL22" s="41"/>
      <c r="AXM22" s="41"/>
      <c r="AXN22" s="28"/>
      <c r="AXO22" s="29"/>
      <c r="AXP22" s="24"/>
      <c r="AXQ22" s="13"/>
      <c r="AXR22" s="13"/>
      <c r="AXS22" s="14"/>
      <c r="AXT22" s="15"/>
      <c r="AXU22" s="15"/>
      <c r="AXV22" s="16"/>
      <c r="AXW22" s="41"/>
      <c r="AXX22" s="41"/>
      <c r="AXY22" s="28"/>
      <c r="AXZ22" s="29"/>
      <c r="AYA22" s="24"/>
      <c r="AYB22" s="13"/>
      <c r="AYC22" s="13"/>
      <c r="AYD22" s="14"/>
      <c r="AYE22" s="15"/>
      <c r="AYF22" s="15"/>
      <c r="AYG22" s="16"/>
      <c r="AYH22" s="41"/>
      <c r="AYI22" s="41"/>
      <c r="AYJ22" s="28"/>
      <c r="AYK22" s="29"/>
      <c r="AYL22" s="24"/>
      <c r="AYM22" s="13"/>
      <c r="AYN22" s="13"/>
      <c r="AYO22" s="14"/>
      <c r="AYP22" s="15"/>
      <c r="AYQ22" s="15"/>
      <c r="AYR22" s="16"/>
      <c r="AYS22" s="41"/>
      <c r="AYT22" s="41"/>
      <c r="AYU22" s="28"/>
      <c r="AYV22" s="29"/>
      <c r="AYW22" s="24"/>
      <c r="AYX22" s="13"/>
      <c r="AYY22" s="13"/>
      <c r="AYZ22" s="14"/>
      <c r="AZA22" s="15"/>
      <c r="AZB22" s="15"/>
      <c r="AZC22" s="16"/>
      <c r="AZD22" s="41"/>
      <c r="AZE22" s="41"/>
      <c r="AZF22" s="28"/>
      <c r="AZG22" s="29"/>
      <c r="AZH22" s="24"/>
      <c r="AZI22" s="13"/>
      <c r="AZJ22" s="13"/>
      <c r="AZK22" s="14"/>
      <c r="AZL22" s="15"/>
      <c r="AZM22" s="15"/>
      <c r="AZN22" s="16"/>
      <c r="AZO22" s="41"/>
      <c r="AZP22" s="41"/>
      <c r="AZQ22" s="28"/>
      <c r="AZR22" s="29"/>
      <c r="AZS22" s="24"/>
      <c r="AZT22" s="13"/>
      <c r="AZU22" s="13"/>
      <c r="AZV22" s="14"/>
      <c r="AZW22" s="15"/>
      <c r="AZX22" s="15"/>
      <c r="AZY22" s="16"/>
      <c r="AZZ22" s="41"/>
      <c r="BAA22" s="41"/>
      <c r="BAB22" s="28"/>
      <c r="BAC22" s="29"/>
      <c r="BAD22" s="24"/>
      <c r="BAE22" s="13"/>
      <c r="BAF22" s="13"/>
      <c r="BAG22" s="14"/>
      <c r="BAH22" s="15"/>
      <c r="BAI22" s="15"/>
      <c r="BAJ22" s="16"/>
      <c r="BAK22" s="41"/>
      <c r="BAL22" s="41"/>
      <c r="BAM22" s="28"/>
      <c r="BAN22" s="29"/>
      <c r="BAO22" s="24"/>
      <c r="BAP22" s="13"/>
      <c r="BAQ22" s="13"/>
      <c r="BAR22" s="14"/>
      <c r="BAS22" s="15"/>
      <c r="BAT22" s="15"/>
      <c r="BAU22" s="16"/>
      <c r="BAV22" s="41"/>
      <c r="BAW22" s="41"/>
      <c r="BAX22" s="28"/>
      <c r="BAY22" s="29"/>
      <c r="BAZ22" s="24"/>
      <c r="BBA22" s="13"/>
      <c r="BBB22" s="13"/>
      <c r="BBC22" s="14"/>
      <c r="BBD22" s="15"/>
      <c r="BBE22" s="15"/>
      <c r="BBF22" s="16"/>
      <c r="BBG22" s="41"/>
      <c r="BBH22" s="41"/>
      <c r="BBI22" s="28"/>
      <c r="BBJ22" s="29"/>
      <c r="BBK22" s="24"/>
      <c r="BBL22" s="13"/>
      <c r="BBM22" s="13"/>
      <c r="BBN22" s="14"/>
      <c r="BBO22" s="15"/>
      <c r="BBP22" s="15"/>
      <c r="BBQ22" s="16"/>
      <c r="BBR22" s="41"/>
      <c r="BBS22" s="41"/>
      <c r="BBT22" s="28"/>
      <c r="BBU22" s="29"/>
      <c r="BBV22" s="24"/>
      <c r="BBW22" s="13"/>
      <c r="BBX22" s="13"/>
      <c r="BBY22" s="14"/>
      <c r="BBZ22" s="15"/>
      <c r="BCA22" s="15"/>
      <c r="BCB22" s="16"/>
      <c r="BCC22" s="41"/>
      <c r="BCD22" s="41"/>
      <c r="BCE22" s="28"/>
      <c r="BCF22" s="29"/>
      <c r="BCG22" s="24"/>
      <c r="BCH22" s="13"/>
      <c r="BCI22" s="13"/>
      <c r="BCJ22" s="14"/>
      <c r="BCK22" s="15"/>
      <c r="BCL22" s="15"/>
      <c r="BCM22" s="16"/>
      <c r="BCN22" s="41"/>
      <c r="BCO22" s="41"/>
      <c r="BCP22" s="28"/>
      <c r="BCQ22" s="29"/>
      <c r="BCR22" s="24"/>
      <c r="BCS22" s="13"/>
      <c r="BCT22" s="13"/>
      <c r="BCU22" s="14"/>
      <c r="BCV22" s="15"/>
      <c r="BCW22" s="15"/>
      <c r="BCX22" s="16"/>
      <c r="BCY22" s="41"/>
      <c r="BCZ22" s="41"/>
      <c r="BDA22" s="28"/>
      <c r="BDB22" s="29"/>
      <c r="BDC22" s="24"/>
      <c r="BDD22" s="13"/>
      <c r="BDE22" s="13"/>
      <c r="BDF22" s="14"/>
      <c r="BDG22" s="15"/>
      <c r="BDH22" s="15"/>
      <c r="BDI22" s="16"/>
      <c r="BDJ22" s="41"/>
      <c r="BDK22" s="41"/>
      <c r="BDL22" s="28"/>
      <c r="BDM22" s="29"/>
      <c r="BDN22" s="24"/>
      <c r="BDO22" s="13"/>
      <c r="BDP22" s="13"/>
      <c r="BDQ22" s="14"/>
      <c r="BDR22" s="15"/>
      <c r="BDS22" s="15"/>
      <c r="BDT22" s="16"/>
      <c r="BDU22" s="41"/>
      <c r="BDV22" s="41"/>
      <c r="BDW22" s="28"/>
      <c r="BDX22" s="29"/>
      <c r="BDY22" s="24"/>
      <c r="BDZ22" s="13"/>
      <c r="BEA22" s="13"/>
      <c r="BEB22" s="14"/>
      <c r="BEC22" s="15"/>
      <c r="BED22" s="15"/>
      <c r="BEE22" s="16"/>
      <c r="BEF22" s="41"/>
      <c r="BEG22" s="41"/>
      <c r="BEH22" s="28"/>
      <c r="BEI22" s="29"/>
      <c r="BEJ22" s="24"/>
      <c r="BEK22" s="13"/>
      <c r="BEL22" s="13"/>
      <c r="BEM22" s="14"/>
      <c r="BEN22" s="15"/>
      <c r="BEO22" s="15"/>
      <c r="BEP22" s="16"/>
      <c r="BEQ22" s="41"/>
      <c r="BER22" s="41"/>
      <c r="BES22" s="28"/>
      <c r="BET22" s="29"/>
      <c r="BEU22" s="24"/>
      <c r="BEV22" s="13"/>
      <c r="BEW22" s="13"/>
      <c r="BEX22" s="14"/>
      <c r="BEY22" s="15"/>
      <c r="BEZ22" s="15"/>
      <c r="BFA22" s="16"/>
      <c r="BFB22" s="41"/>
      <c r="BFC22" s="41"/>
      <c r="BFD22" s="28"/>
      <c r="BFE22" s="29"/>
      <c r="BFF22" s="24"/>
      <c r="BFG22" s="13"/>
      <c r="BFH22" s="13"/>
      <c r="BFI22" s="14"/>
      <c r="BFJ22" s="15"/>
      <c r="BFK22" s="15"/>
      <c r="BFL22" s="16"/>
      <c r="BFM22" s="41"/>
      <c r="BFN22" s="41"/>
      <c r="BFO22" s="28"/>
      <c r="BFP22" s="29"/>
      <c r="BFQ22" s="24"/>
      <c r="BFR22" s="13"/>
      <c r="BFS22" s="13"/>
      <c r="BFT22" s="14"/>
      <c r="BFU22" s="15"/>
      <c r="BFV22" s="15"/>
      <c r="BFW22" s="16"/>
      <c r="BFX22" s="41"/>
      <c r="BFY22" s="41"/>
      <c r="BFZ22" s="28"/>
      <c r="BGA22" s="29"/>
      <c r="BGB22" s="24"/>
      <c r="BGC22" s="13"/>
      <c r="BGD22" s="13"/>
      <c r="BGE22" s="14"/>
      <c r="BGF22" s="15"/>
      <c r="BGG22" s="15"/>
      <c r="BGH22" s="16"/>
      <c r="BGI22" s="41"/>
      <c r="BGJ22" s="41"/>
      <c r="BGK22" s="28"/>
      <c r="BGL22" s="29"/>
      <c r="BGM22" s="24"/>
      <c r="BGN22" s="13"/>
      <c r="BGO22" s="13"/>
      <c r="BGP22" s="14"/>
      <c r="BGQ22" s="15"/>
      <c r="BGR22" s="15"/>
      <c r="BGS22" s="16"/>
      <c r="BGT22" s="41"/>
      <c r="BGU22" s="41"/>
      <c r="BGV22" s="28"/>
      <c r="BGW22" s="29"/>
      <c r="BGX22" s="24"/>
      <c r="BGY22" s="13"/>
      <c r="BGZ22" s="13"/>
      <c r="BHA22" s="14"/>
      <c r="BHB22" s="15"/>
      <c r="BHC22" s="15"/>
      <c r="BHD22" s="16"/>
      <c r="BHE22" s="41"/>
      <c r="BHF22" s="41"/>
      <c r="BHG22" s="28"/>
      <c r="BHH22" s="29"/>
      <c r="BHI22" s="24"/>
      <c r="BHJ22" s="13"/>
      <c r="BHK22" s="13"/>
      <c r="BHL22" s="14"/>
      <c r="BHM22" s="15"/>
      <c r="BHN22" s="15"/>
      <c r="BHO22" s="16"/>
      <c r="BHP22" s="41"/>
      <c r="BHQ22" s="41"/>
      <c r="BHR22" s="28"/>
      <c r="BHS22" s="29"/>
      <c r="BHT22" s="24"/>
      <c r="BHU22" s="13"/>
      <c r="BHV22" s="13"/>
      <c r="BHW22" s="14"/>
      <c r="BHX22" s="15"/>
      <c r="BHY22" s="15"/>
      <c r="BHZ22" s="16"/>
      <c r="BIA22" s="41"/>
      <c r="BIB22" s="41"/>
      <c r="BIC22" s="28"/>
      <c r="BID22" s="29"/>
      <c r="BIE22" s="24"/>
      <c r="BIF22" s="13"/>
      <c r="BIG22" s="13"/>
      <c r="BIH22" s="14"/>
      <c r="BII22" s="15"/>
      <c r="BIJ22" s="15"/>
      <c r="BIK22" s="16"/>
      <c r="BIL22" s="41"/>
      <c r="BIM22" s="41"/>
      <c r="BIN22" s="28"/>
      <c r="BIO22" s="29"/>
      <c r="BIP22" s="24"/>
      <c r="BIQ22" s="13"/>
      <c r="BIR22" s="13"/>
      <c r="BIS22" s="14"/>
      <c r="BIT22" s="15"/>
      <c r="BIU22" s="15"/>
      <c r="BIV22" s="16"/>
      <c r="BIW22" s="41"/>
      <c r="BIX22" s="41"/>
      <c r="BIY22" s="28"/>
      <c r="BIZ22" s="29"/>
      <c r="BJA22" s="24"/>
      <c r="BJB22" s="13"/>
      <c r="BJC22" s="13"/>
      <c r="BJD22" s="14"/>
      <c r="BJE22" s="15"/>
      <c r="BJF22" s="15"/>
      <c r="BJG22" s="16"/>
      <c r="BJH22" s="41"/>
      <c r="BJI22" s="41"/>
      <c r="BJJ22" s="28"/>
      <c r="BJK22" s="29"/>
      <c r="BJL22" s="24"/>
      <c r="BJM22" s="13"/>
      <c r="BJN22" s="13"/>
      <c r="BJO22" s="14"/>
      <c r="BJP22" s="15"/>
      <c r="BJQ22" s="15"/>
      <c r="BJR22" s="16"/>
      <c r="BJS22" s="41"/>
      <c r="BJT22" s="41"/>
      <c r="BJU22" s="28"/>
      <c r="BJV22" s="29"/>
      <c r="BJW22" s="24"/>
      <c r="BJX22" s="13"/>
      <c r="BJY22" s="13"/>
      <c r="BJZ22" s="14"/>
      <c r="BKA22" s="15"/>
      <c r="BKB22" s="15"/>
      <c r="BKC22" s="16"/>
      <c r="BKD22" s="41"/>
      <c r="BKE22" s="41"/>
      <c r="BKF22" s="28"/>
      <c r="BKG22" s="29"/>
      <c r="BKH22" s="24"/>
      <c r="BKI22" s="13"/>
      <c r="BKJ22" s="13"/>
      <c r="BKK22" s="14"/>
      <c r="BKL22" s="15"/>
      <c r="BKM22" s="15"/>
      <c r="BKN22" s="16"/>
      <c r="BKO22" s="41"/>
      <c r="BKP22" s="41"/>
      <c r="BKQ22" s="28"/>
      <c r="BKR22" s="29"/>
      <c r="BKS22" s="24"/>
      <c r="BKT22" s="13"/>
      <c r="BKU22" s="13"/>
      <c r="BKV22" s="14"/>
      <c r="BKW22" s="15"/>
      <c r="BKX22" s="15"/>
      <c r="BKY22" s="16"/>
      <c r="BKZ22" s="41"/>
      <c r="BLA22" s="41"/>
      <c r="BLB22" s="28"/>
      <c r="BLC22" s="29"/>
      <c r="BLD22" s="24"/>
      <c r="BLE22" s="13"/>
      <c r="BLF22" s="13"/>
      <c r="BLG22" s="14"/>
      <c r="BLH22" s="15"/>
      <c r="BLI22" s="15"/>
      <c r="BLJ22" s="16"/>
      <c r="BLK22" s="41"/>
      <c r="BLL22" s="41"/>
      <c r="BLM22" s="28"/>
      <c r="BLN22" s="29"/>
      <c r="BLO22" s="24"/>
      <c r="BLP22" s="13"/>
      <c r="BLQ22" s="13"/>
      <c r="BLR22" s="14"/>
      <c r="BLS22" s="15"/>
      <c r="BLT22" s="15"/>
      <c r="BLU22" s="16"/>
      <c r="BLV22" s="41"/>
      <c r="BLW22" s="41"/>
      <c r="BLX22" s="28"/>
      <c r="BLY22" s="29"/>
      <c r="BLZ22" s="24"/>
      <c r="BMA22" s="13"/>
      <c r="BMB22" s="13"/>
      <c r="BMC22" s="14"/>
      <c r="BMD22" s="15"/>
      <c r="BME22" s="15"/>
      <c r="BMF22" s="16"/>
      <c r="BMG22" s="41"/>
      <c r="BMH22" s="41"/>
      <c r="BMI22" s="28"/>
      <c r="BMJ22" s="29"/>
      <c r="BMK22" s="24"/>
      <c r="BML22" s="13"/>
      <c r="BMM22" s="13"/>
      <c r="BMN22" s="14"/>
      <c r="BMO22" s="15"/>
      <c r="BMP22" s="15"/>
      <c r="BMQ22" s="16"/>
      <c r="BMR22" s="41"/>
      <c r="BMS22" s="41"/>
      <c r="BMT22" s="28"/>
      <c r="BMU22" s="29"/>
      <c r="BMV22" s="24"/>
      <c r="BMW22" s="13"/>
      <c r="BMX22" s="13"/>
      <c r="BMY22" s="14"/>
      <c r="BMZ22" s="15"/>
      <c r="BNA22" s="15"/>
      <c r="BNB22" s="16"/>
      <c r="BNC22" s="41"/>
      <c r="BND22" s="41"/>
      <c r="BNE22" s="28"/>
      <c r="BNF22" s="29"/>
      <c r="BNG22" s="24"/>
      <c r="BNH22" s="13"/>
      <c r="BNI22" s="13"/>
      <c r="BNJ22" s="14"/>
      <c r="BNK22" s="15"/>
      <c r="BNL22" s="15"/>
      <c r="BNM22" s="16"/>
      <c r="BNN22" s="41"/>
      <c r="BNO22" s="41"/>
      <c r="BNP22" s="28"/>
      <c r="BNQ22" s="29"/>
      <c r="BNR22" s="24"/>
      <c r="BNS22" s="13"/>
      <c r="BNT22" s="13"/>
      <c r="BNU22" s="14"/>
      <c r="BNV22" s="15"/>
      <c r="BNW22" s="15"/>
      <c r="BNX22" s="16"/>
      <c r="BNY22" s="41"/>
      <c r="BNZ22" s="41"/>
      <c r="BOA22" s="28"/>
      <c r="BOB22" s="29"/>
      <c r="BOC22" s="24"/>
      <c r="BOD22" s="13"/>
      <c r="BOE22" s="13"/>
      <c r="BOF22" s="14"/>
      <c r="BOG22" s="15"/>
      <c r="BOH22" s="15"/>
      <c r="BOI22" s="16"/>
      <c r="BOJ22" s="41"/>
      <c r="BOK22" s="41"/>
      <c r="BOL22" s="28"/>
      <c r="BOM22" s="29"/>
      <c r="BON22" s="24"/>
      <c r="BOO22" s="13"/>
      <c r="BOP22" s="13"/>
      <c r="BOQ22" s="14"/>
      <c r="BOR22" s="15"/>
      <c r="BOS22" s="15"/>
      <c r="BOT22" s="16"/>
      <c r="BOU22" s="41"/>
      <c r="BOV22" s="41"/>
      <c r="BOW22" s="28"/>
      <c r="BOX22" s="29"/>
      <c r="BOY22" s="24"/>
      <c r="BOZ22" s="13"/>
      <c r="BPA22" s="13"/>
      <c r="BPB22" s="14"/>
      <c r="BPC22" s="15"/>
      <c r="BPD22" s="15"/>
      <c r="BPE22" s="16"/>
      <c r="BPF22" s="41"/>
      <c r="BPG22" s="41"/>
      <c r="BPH22" s="28"/>
      <c r="BPI22" s="29"/>
      <c r="BPJ22" s="24"/>
      <c r="BPK22" s="13"/>
      <c r="BPL22" s="13"/>
      <c r="BPM22" s="14"/>
      <c r="BPN22" s="15"/>
      <c r="BPO22" s="15"/>
      <c r="BPP22" s="16"/>
      <c r="BPQ22" s="41"/>
      <c r="BPR22" s="41"/>
      <c r="BPS22" s="28"/>
      <c r="BPT22" s="29"/>
      <c r="BPU22" s="24"/>
      <c r="BPV22" s="13"/>
      <c r="BPW22" s="13"/>
      <c r="BPX22" s="14"/>
      <c r="BPY22" s="15"/>
      <c r="BPZ22" s="15"/>
      <c r="BQA22" s="16"/>
      <c r="BQB22" s="41"/>
      <c r="BQC22" s="41"/>
      <c r="BQD22" s="28"/>
      <c r="BQE22" s="29"/>
      <c r="BQF22" s="24"/>
      <c r="BQG22" s="13"/>
      <c r="BQH22" s="13"/>
      <c r="BQI22" s="14"/>
      <c r="BQJ22" s="15"/>
      <c r="BQK22" s="15"/>
      <c r="BQL22" s="16"/>
      <c r="BQM22" s="41"/>
      <c r="BQN22" s="41"/>
      <c r="BQO22" s="28"/>
      <c r="BQP22" s="29"/>
      <c r="BQQ22" s="24"/>
      <c r="BQR22" s="13"/>
      <c r="BQS22" s="13"/>
      <c r="BQT22" s="14"/>
      <c r="BQU22" s="15"/>
      <c r="BQV22" s="15"/>
      <c r="BQW22" s="16"/>
      <c r="BQX22" s="41"/>
      <c r="BQY22" s="41"/>
      <c r="BQZ22" s="28"/>
      <c r="BRA22" s="29"/>
      <c r="BRB22" s="24"/>
      <c r="BRC22" s="13"/>
      <c r="BRD22" s="13"/>
      <c r="BRE22" s="14"/>
      <c r="BRF22" s="15"/>
      <c r="BRG22" s="15"/>
      <c r="BRH22" s="16"/>
      <c r="BRI22" s="41"/>
      <c r="BRJ22" s="41"/>
      <c r="BRK22" s="28"/>
      <c r="BRL22" s="29"/>
      <c r="BRM22" s="24"/>
      <c r="BRN22" s="13"/>
      <c r="BRO22" s="13"/>
      <c r="BRP22" s="14"/>
      <c r="BRQ22" s="15"/>
      <c r="BRR22" s="15"/>
      <c r="BRS22" s="16"/>
      <c r="BRT22" s="41"/>
      <c r="BRU22" s="41"/>
      <c r="BRV22" s="28"/>
      <c r="BRW22" s="29"/>
      <c r="BRX22" s="24"/>
      <c r="BRY22" s="13"/>
      <c r="BRZ22" s="13"/>
      <c r="BSA22" s="14"/>
      <c r="BSB22" s="15"/>
      <c r="BSC22" s="15"/>
      <c r="BSD22" s="16"/>
      <c r="BSE22" s="41"/>
      <c r="BSF22" s="41"/>
      <c r="BSG22" s="28"/>
      <c r="BSH22" s="29"/>
      <c r="BSI22" s="24"/>
      <c r="BSJ22" s="13"/>
      <c r="BSK22" s="13"/>
      <c r="BSL22" s="14"/>
      <c r="BSM22" s="15"/>
      <c r="BSN22" s="15"/>
      <c r="BSO22" s="16"/>
      <c r="BSP22" s="41"/>
      <c r="BSQ22" s="41"/>
      <c r="BSR22" s="28"/>
      <c r="BSS22" s="29"/>
      <c r="BST22" s="24"/>
      <c r="BSU22" s="13"/>
      <c r="BSV22" s="13"/>
      <c r="BSW22" s="14"/>
      <c r="BSX22" s="15"/>
      <c r="BSY22" s="15"/>
      <c r="BSZ22" s="16"/>
      <c r="BTA22" s="41"/>
      <c r="BTB22" s="41"/>
      <c r="BTC22" s="28"/>
      <c r="BTD22" s="29"/>
      <c r="BTE22" s="24"/>
      <c r="BTF22" s="13"/>
      <c r="BTG22" s="13"/>
      <c r="BTH22" s="14"/>
      <c r="BTI22" s="15"/>
      <c r="BTJ22" s="15"/>
      <c r="BTK22" s="16"/>
      <c r="BTL22" s="41"/>
      <c r="BTM22" s="41"/>
      <c r="BTN22" s="28"/>
      <c r="BTO22" s="29"/>
      <c r="BTP22" s="24"/>
      <c r="BTQ22" s="13"/>
      <c r="BTR22" s="13"/>
      <c r="BTS22" s="14"/>
      <c r="BTT22" s="15"/>
      <c r="BTU22" s="15"/>
      <c r="BTV22" s="16"/>
      <c r="BTW22" s="41"/>
      <c r="BTX22" s="41"/>
      <c r="BTY22" s="28"/>
      <c r="BTZ22" s="29"/>
      <c r="BUA22" s="24"/>
      <c r="BUB22" s="13"/>
      <c r="BUC22" s="13"/>
      <c r="BUD22" s="14"/>
      <c r="BUE22" s="15"/>
      <c r="BUF22" s="15"/>
      <c r="BUG22" s="16"/>
      <c r="BUH22" s="41"/>
      <c r="BUI22" s="41"/>
      <c r="BUJ22" s="28"/>
      <c r="BUK22" s="29"/>
      <c r="BUL22" s="24"/>
      <c r="BUM22" s="13"/>
      <c r="BUN22" s="13"/>
      <c r="BUO22" s="14"/>
      <c r="BUP22" s="15"/>
      <c r="BUQ22" s="15"/>
      <c r="BUR22" s="16"/>
      <c r="BUS22" s="41"/>
      <c r="BUT22" s="41"/>
      <c r="BUU22" s="28"/>
      <c r="BUV22" s="29"/>
      <c r="BUW22" s="24"/>
      <c r="BUX22" s="13"/>
      <c r="BUY22" s="13"/>
      <c r="BUZ22" s="14"/>
      <c r="BVA22" s="15"/>
      <c r="BVB22" s="15"/>
      <c r="BVC22" s="16"/>
      <c r="BVD22" s="41"/>
      <c r="BVE22" s="41"/>
      <c r="BVF22" s="28"/>
      <c r="BVG22" s="29"/>
      <c r="BVH22" s="24"/>
      <c r="BVI22" s="13"/>
      <c r="BVJ22" s="13"/>
      <c r="BVK22" s="14"/>
      <c r="BVL22" s="15"/>
      <c r="BVM22" s="15"/>
      <c r="BVN22" s="16"/>
      <c r="BVO22" s="41"/>
      <c r="BVP22" s="41"/>
      <c r="BVQ22" s="28"/>
      <c r="BVR22" s="29"/>
      <c r="BVS22" s="24"/>
      <c r="BVT22" s="13"/>
      <c r="BVU22" s="13"/>
      <c r="BVV22" s="14"/>
      <c r="BVW22" s="15"/>
      <c r="BVX22" s="15"/>
      <c r="BVY22" s="16"/>
      <c r="BVZ22" s="41"/>
      <c r="BWA22" s="41"/>
      <c r="BWB22" s="28"/>
      <c r="BWC22" s="29"/>
      <c r="BWD22" s="24"/>
      <c r="BWE22" s="13"/>
      <c r="BWF22" s="13"/>
      <c r="BWG22" s="14"/>
      <c r="BWH22" s="15"/>
      <c r="BWI22" s="15"/>
      <c r="BWJ22" s="16"/>
      <c r="BWK22" s="41"/>
      <c r="BWL22" s="41"/>
      <c r="BWM22" s="28"/>
      <c r="BWN22" s="29"/>
      <c r="BWO22" s="24"/>
      <c r="BWP22" s="13"/>
      <c r="BWQ22" s="13"/>
      <c r="BWR22" s="14"/>
      <c r="BWS22" s="15"/>
      <c r="BWT22" s="15"/>
      <c r="BWU22" s="16"/>
      <c r="BWV22" s="41"/>
      <c r="BWW22" s="41"/>
      <c r="BWX22" s="28"/>
      <c r="BWY22" s="29"/>
      <c r="BWZ22" s="24"/>
      <c r="BXA22" s="13"/>
      <c r="BXB22" s="13"/>
      <c r="BXC22" s="14"/>
      <c r="BXD22" s="15"/>
      <c r="BXE22" s="15"/>
      <c r="BXF22" s="16"/>
      <c r="BXG22" s="41"/>
      <c r="BXH22" s="41"/>
      <c r="BXI22" s="28"/>
      <c r="BXJ22" s="29"/>
      <c r="BXK22" s="24"/>
      <c r="BXL22" s="13"/>
      <c r="BXM22" s="13"/>
      <c r="BXN22" s="14"/>
      <c r="BXO22" s="15"/>
      <c r="BXP22" s="15"/>
      <c r="BXQ22" s="16"/>
      <c r="BXR22" s="41"/>
      <c r="BXS22" s="41"/>
      <c r="BXT22" s="28"/>
      <c r="BXU22" s="29"/>
      <c r="BXV22" s="24"/>
      <c r="BXW22" s="13"/>
      <c r="BXX22" s="13"/>
      <c r="BXY22" s="14"/>
      <c r="BXZ22" s="15"/>
      <c r="BYA22" s="15"/>
      <c r="BYB22" s="16"/>
      <c r="BYC22" s="41"/>
      <c r="BYD22" s="41"/>
      <c r="BYE22" s="28"/>
      <c r="BYF22" s="29"/>
      <c r="BYG22" s="24"/>
      <c r="BYH22" s="13"/>
      <c r="BYI22" s="13"/>
      <c r="BYJ22" s="14"/>
      <c r="BYK22" s="15"/>
      <c r="BYL22" s="15"/>
      <c r="BYM22" s="16"/>
      <c r="BYN22" s="41"/>
      <c r="BYO22" s="41"/>
      <c r="BYP22" s="28"/>
      <c r="BYQ22" s="29"/>
      <c r="BYR22" s="24"/>
      <c r="BYS22" s="13"/>
      <c r="BYT22" s="13"/>
      <c r="BYU22" s="14"/>
      <c r="BYV22" s="15"/>
      <c r="BYW22" s="15"/>
      <c r="BYX22" s="16"/>
      <c r="BYY22" s="41"/>
      <c r="BYZ22" s="41"/>
      <c r="BZA22" s="28"/>
      <c r="BZB22" s="29"/>
      <c r="BZC22" s="24"/>
      <c r="BZD22" s="13"/>
      <c r="BZE22" s="13"/>
      <c r="BZF22" s="14"/>
      <c r="BZG22" s="15"/>
      <c r="BZH22" s="15"/>
      <c r="BZI22" s="16"/>
      <c r="BZJ22" s="41"/>
      <c r="BZK22" s="41"/>
      <c r="BZL22" s="28"/>
      <c r="BZM22" s="29"/>
      <c r="BZN22" s="24"/>
      <c r="BZO22" s="13"/>
      <c r="BZP22" s="13"/>
      <c r="BZQ22" s="14"/>
      <c r="BZR22" s="15"/>
      <c r="BZS22" s="15"/>
      <c r="BZT22" s="16"/>
      <c r="BZU22" s="41"/>
      <c r="BZV22" s="41"/>
      <c r="BZW22" s="28"/>
      <c r="BZX22" s="29"/>
      <c r="BZY22" s="24"/>
      <c r="BZZ22" s="13"/>
      <c r="CAA22" s="13"/>
      <c r="CAB22" s="14"/>
      <c r="CAC22" s="15"/>
      <c r="CAD22" s="15"/>
      <c r="CAE22" s="16"/>
      <c r="CAF22" s="41"/>
      <c r="CAG22" s="41"/>
      <c r="CAH22" s="28"/>
      <c r="CAI22" s="29"/>
      <c r="CAJ22" s="24"/>
      <c r="CAK22" s="13"/>
      <c r="CAL22" s="13"/>
      <c r="CAM22" s="14"/>
      <c r="CAN22" s="15"/>
      <c r="CAO22" s="15"/>
      <c r="CAP22" s="16"/>
      <c r="CAQ22" s="41"/>
      <c r="CAR22" s="41"/>
      <c r="CAS22" s="28"/>
      <c r="CAT22" s="29"/>
      <c r="CAU22" s="24"/>
      <c r="CAV22" s="13"/>
      <c r="CAW22" s="13"/>
      <c r="CAX22" s="14"/>
      <c r="CAY22" s="15"/>
      <c r="CAZ22" s="15"/>
      <c r="CBA22" s="16"/>
      <c r="CBB22" s="41"/>
      <c r="CBC22" s="41"/>
      <c r="CBD22" s="28"/>
      <c r="CBE22" s="29"/>
      <c r="CBF22" s="24"/>
      <c r="CBG22" s="13"/>
      <c r="CBH22" s="13"/>
      <c r="CBI22" s="14"/>
      <c r="CBJ22" s="15"/>
      <c r="CBK22" s="15"/>
      <c r="CBL22" s="16"/>
      <c r="CBM22" s="41"/>
      <c r="CBN22" s="41"/>
      <c r="CBO22" s="28"/>
      <c r="CBP22" s="29"/>
      <c r="CBQ22" s="24"/>
      <c r="CBR22" s="13"/>
      <c r="CBS22" s="13"/>
      <c r="CBT22" s="14"/>
      <c r="CBU22" s="15"/>
      <c r="CBV22" s="15"/>
      <c r="CBW22" s="16"/>
      <c r="CBX22" s="41"/>
      <c r="CBY22" s="41"/>
      <c r="CBZ22" s="28"/>
      <c r="CCA22" s="29"/>
      <c r="CCB22" s="24"/>
      <c r="CCC22" s="13"/>
      <c r="CCD22" s="13"/>
      <c r="CCE22" s="14"/>
      <c r="CCF22" s="15"/>
      <c r="CCG22" s="15"/>
      <c r="CCH22" s="16"/>
      <c r="CCI22" s="41"/>
      <c r="CCJ22" s="41"/>
      <c r="CCK22" s="28"/>
      <c r="CCL22" s="29"/>
      <c r="CCM22" s="24"/>
      <c r="CCN22" s="13"/>
      <c r="CCO22" s="13"/>
      <c r="CCP22" s="14"/>
      <c r="CCQ22" s="15"/>
      <c r="CCR22" s="15"/>
      <c r="CCS22" s="16"/>
      <c r="CCT22" s="41"/>
      <c r="CCU22" s="41"/>
      <c r="CCV22" s="28"/>
      <c r="CCW22" s="29"/>
      <c r="CCX22" s="24"/>
      <c r="CCY22" s="13"/>
      <c r="CCZ22" s="13"/>
      <c r="CDA22" s="14"/>
      <c r="CDB22" s="15"/>
      <c r="CDC22" s="15"/>
      <c r="CDD22" s="16"/>
      <c r="CDE22" s="41"/>
      <c r="CDF22" s="41"/>
      <c r="CDG22" s="28"/>
      <c r="CDH22" s="29"/>
      <c r="CDI22" s="24"/>
      <c r="CDJ22" s="13"/>
      <c r="CDK22" s="13"/>
      <c r="CDL22" s="14"/>
      <c r="CDM22" s="15"/>
      <c r="CDN22" s="15"/>
      <c r="CDO22" s="16"/>
      <c r="CDP22" s="41"/>
      <c r="CDQ22" s="41"/>
      <c r="CDR22" s="28"/>
      <c r="CDS22" s="29"/>
      <c r="CDT22" s="24"/>
      <c r="CDU22" s="13"/>
      <c r="CDV22" s="13"/>
      <c r="CDW22" s="14"/>
      <c r="CDX22" s="15"/>
      <c r="CDY22" s="15"/>
      <c r="CDZ22" s="16"/>
      <c r="CEA22" s="41"/>
      <c r="CEB22" s="41"/>
      <c r="CEC22" s="28"/>
      <c r="CED22" s="29"/>
      <c r="CEE22" s="24"/>
      <c r="CEF22" s="13"/>
      <c r="CEG22" s="13"/>
      <c r="CEH22" s="14"/>
      <c r="CEI22" s="15"/>
      <c r="CEJ22" s="15"/>
      <c r="CEK22" s="16"/>
      <c r="CEL22" s="41"/>
      <c r="CEM22" s="41"/>
      <c r="CEN22" s="28"/>
      <c r="CEO22" s="29"/>
      <c r="CEP22" s="24"/>
      <c r="CEQ22" s="13"/>
      <c r="CER22" s="13"/>
      <c r="CES22" s="14"/>
      <c r="CET22" s="15"/>
      <c r="CEU22" s="15"/>
      <c r="CEV22" s="16"/>
      <c r="CEW22" s="41"/>
      <c r="CEX22" s="41"/>
      <c r="CEY22" s="28"/>
      <c r="CEZ22" s="29"/>
      <c r="CFA22" s="24"/>
      <c r="CFB22" s="13"/>
      <c r="CFC22" s="13"/>
      <c r="CFD22" s="14"/>
      <c r="CFE22" s="15"/>
      <c r="CFF22" s="15"/>
      <c r="CFG22" s="16"/>
      <c r="CFH22" s="41"/>
      <c r="CFI22" s="41"/>
      <c r="CFJ22" s="28"/>
      <c r="CFK22" s="29"/>
      <c r="CFL22" s="24"/>
      <c r="CFM22" s="13"/>
      <c r="CFN22" s="13"/>
      <c r="CFO22" s="14"/>
      <c r="CFP22" s="15"/>
      <c r="CFQ22" s="15"/>
      <c r="CFR22" s="16"/>
      <c r="CFS22" s="41"/>
      <c r="CFT22" s="41"/>
      <c r="CFU22" s="28"/>
      <c r="CFV22" s="29"/>
      <c r="CFW22" s="24"/>
      <c r="CFX22" s="13"/>
      <c r="CFY22" s="13"/>
      <c r="CFZ22" s="14"/>
      <c r="CGA22" s="15"/>
      <c r="CGB22" s="15"/>
      <c r="CGC22" s="16"/>
      <c r="CGD22" s="41"/>
      <c r="CGE22" s="41"/>
      <c r="CGF22" s="28"/>
      <c r="CGG22" s="29"/>
      <c r="CGH22" s="24"/>
      <c r="CGI22" s="13"/>
      <c r="CGJ22" s="13"/>
      <c r="CGK22" s="14"/>
      <c r="CGL22" s="15"/>
      <c r="CGM22" s="15"/>
      <c r="CGN22" s="16"/>
      <c r="CGO22" s="41"/>
      <c r="CGP22" s="41"/>
      <c r="CGQ22" s="28"/>
      <c r="CGR22" s="29"/>
      <c r="CGS22" s="24"/>
      <c r="CGT22" s="13"/>
      <c r="CGU22" s="13"/>
      <c r="CGV22" s="14"/>
      <c r="CGW22" s="15"/>
      <c r="CGX22" s="15"/>
      <c r="CGY22" s="16"/>
      <c r="CGZ22" s="41"/>
      <c r="CHA22" s="41"/>
      <c r="CHB22" s="28"/>
      <c r="CHC22" s="29"/>
      <c r="CHD22" s="24"/>
      <c r="CHE22" s="13"/>
      <c r="CHF22" s="13"/>
      <c r="CHG22" s="14"/>
      <c r="CHH22" s="15"/>
      <c r="CHI22" s="15"/>
      <c r="CHJ22" s="16"/>
      <c r="CHK22" s="41"/>
      <c r="CHL22" s="41"/>
      <c r="CHM22" s="28"/>
      <c r="CHN22" s="29"/>
      <c r="CHO22" s="24"/>
      <c r="CHP22" s="13"/>
      <c r="CHQ22" s="13"/>
      <c r="CHR22" s="14"/>
      <c r="CHS22" s="15"/>
      <c r="CHT22" s="15"/>
      <c r="CHU22" s="16"/>
      <c r="CHV22" s="41"/>
      <c r="CHW22" s="41"/>
      <c r="CHX22" s="28"/>
      <c r="CHY22" s="29"/>
      <c r="CHZ22" s="24"/>
      <c r="CIA22" s="13"/>
      <c r="CIB22" s="13"/>
      <c r="CIC22" s="14"/>
      <c r="CID22" s="15"/>
      <c r="CIE22" s="15"/>
      <c r="CIF22" s="16"/>
      <c r="CIG22" s="41"/>
      <c r="CIH22" s="41"/>
      <c r="CII22" s="28"/>
      <c r="CIJ22" s="29"/>
      <c r="CIK22" s="24"/>
      <c r="CIL22" s="13"/>
      <c r="CIM22" s="13"/>
      <c r="CIN22" s="14"/>
      <c r="CIO22" s="15"/>
      <c r="CIP22" s="15"/>
      <c r="CIQ22" s="16"/>
      <c r="CIR22" s="41"/>
      <c r="CIS22" s="41"/>
      <c r="CIT22" s="28"/>
      <c r="CIU22" s="29"/>
      <c r="CIV22" s="24"/>
      <c r="CIW22" s="13"/>
      <c r="CIX22" s="13"/>
      <c r="CIY22" s="14"/>
      <c r="CIZ22" s="15"/>
      <c r="CJA22" s="15"/>
      <c r="CJB22" s="16"/>
      <c r="CJC22" s="41"/>
      <c r="CJD22" s="41"/>
      <c r="CJE22" s="28"/>
      <c r="CJF22" s="29"/>
      <c r="CJG22" s="24"/>
      <c r="CJH22" s="13"/>
      <c r="CJI22" s="13"/>
      <c r="CJJ22" s="14"/>
      <c r="CJK22" s="15"/>
      <c r="CJL22" s="15"/>
      <c r="CJM22" s="16"/>
      <c r="CJN22" s="41"/>
      <c r="CJO22" s="41"/>
      <c r="CJP22" s="28"/>
      <c r="CJQ22" s="29"/>
      <c r="CJR22" s="24"/>
      <c r="CJS22" s="13"/>
      <c r="CJT22" s="13"/>
      <c r="CJU22" s="14"/>
      <c r="CJV22" s="15"/>
      <c r="CJW22" s="15"/>
      <c r="CJX22" s="16"/>
      <c r="CJY22" s="41"/>
      <c r="CJZ22" s="41"/>
      <c r="CKA22" s="28"/>
      <c r="CKB22" s="29"/>
      <c r="CKC22" s="24"/>
      <c r="CKD22" s="13"/>
      <c r="CKE22" s="13"/>
      <c r="CKF22" s="14"/>
      <c r="CKG22" s="15"/>
      <c r="CKH22" s="15"/>
      <c r="CKI22" s="16"/>
      <c r="CKJ22" s="41"/>
      <c r="CKK22" s="41"/>
      <c r="CKL22" s="28"/>
      <c r="CKM22" s="29"/>
      <c r="CKN22" s="24"/>
      <c r="CKO22" s="13"/>
      <c r="CKP22" s="13"/>
      <c r="CKQ22" s="14"/>
      <c r="CKR22" s="15"/>
      <c r="CKS22" s="15"/>
      <c r="CKT22" s="16"/>
      <c r="CKU22" s="41"/>
      <c r="CKV22" s="41"/>
      <c r="CKW22" s="28"/>
      <c r="CKX22" s="29"/>
      <c r="CKY22" s="24"/>
      <c r="CKZ22" s="13"/>
      <c r="CLA22" s="13"/>
      <c r="CLB22" s="14"/>
      <c r="CLC22" s="15"/>
      <c r="CLD22" s="15"/>
      <c r="CLE22" s="16"/>
      <c r="CLF22" s="41"/>
      <c r="CLG22" s="41"/>
      <c r="CLH22" s="28"/>
      <c r="CLI22" s="29"/>
      <c r="CLJ22" s="24"/>
      <c r="CLK22" s="13"/>
      <c r="CLL22" s="13"/>
      <c r="CLM22" s="14"/>
      <c r="CLN22" s="15"/>
      <c r="CLO22" s="15"/>
      <c r="CLP22" s="16"/>
      <c r="CLQ22" s="41"/>
      <c r="CLR22" s="41"/>
      <c r="CLS22" s="28"/>
      <c r="CLT22" s="29"/>
      <c r="CLU22" s="24"/>
      <c r="CLV22" s="13"/>
      <c r="CLW22" s="13"/>
      <c r="CLX22" s="14"/>
      <c r="CLY22" s="15"/>
      <c r="CLZ22" s="15"/>
      <c r="CMA22" s="16"/>
      <c r="CMB22" s="41"/>
      <c r="CMC22" s="41"/>
      <c r="CMD22" s="28"/>
      <c r="CME22" s="29"/>
      <c r="CMF22" s="24"/>
      <c r="CMG22" s="13"/>
      <c r="CMH22" s="13"/>
      <c r="CMI22" s="14"/>
      <c r="CMJ22" s="15"/>
      <c r="CMK22" s="15"/>
      <c r="CML22" s="16"/>
      <c r="CMM22" s="41"/>
      <c r="CMN22" s="41"/>
      <c r="CMO22" s="28"/>
      <c r="CMP22" s="29"/>
      <c r="CMQ22" s="24"/>
      <c r="CMR22" s="13"/>
      <c r="CMS22" s="13"/>
      <c r="CMT22" s="14"/>
      <c r="CMU22" s="15"/>
      <c r="CMV22" s="15"/>
      <c r="CMW22" s="16"/>
      <c r="CMX22" s="41"/>
      <c r="CMY22" s="41"/>
      <c r="CMZ22" s="28"/>
      <c r="CNA22" s="29"/>
      <c r="CNB22" s="24"/>
      <c r="CNC22" s="13"/>
      <c r="CND22" s="13"/>
      <c r="CNE22" s="14"/>
      <c r="CNF22" s="15"/>
      <c r="CNG22" s="15"/>
      <c r="CNH22" s="16"/>
      <c r="CNI22" s="41"/>
      <c r="CNJ22" s="41"/>
      <c r="CNK22" s="28"/>
      <c r="CNL22" s="29"/>
      <c r="CNM22" s="24"/>
      <c r="CNN22" s="13"/>
      <c r="CNO22" s="13"/>
      <c r="CNP22" s="14"/>
      <c r="CNQ22" s="15"/>
      <c r="CNR22" s="15"/>
      <c r="CNS22" s="16"/>
      <c r="CNT22" s="41"/>
      <c r="CNU22" s="41"/>
      <c r="CNV22" s="28"/>
      <c r="CNW22" s="29"/>
      <c r="CNX22" s="24"/>
      <c r="CNY22" s="13"/>
      <c r="CNZ22" s="13"/>
      <c r="COA22" s="14"/>
      <c r="COB22" s="15"/>
      <c r="COC22" s="15"/>
      <c r="COD22" s="16"/>
      <c r="COE22" s="41"/>
      <c r="COF22" s="41"/>
      <c r="COG22" s="28"/>
      <c r="COH22" s="29"/>
      <c r="COI22" s="24"/>
      <c r="COJ22" s="13"/>
      <c r="COK22" s="13"/>
      <c r="COL22" s="14"/>
      <c r="COM22" s="15"/>
      <c r="CON22" s="15"/>
      <c r="COO22" s="16"/>
      <c r="COP22" s="41"/>
      <c r="COQ22" s="41"/>
      <c r="COR22" s="28"/>
      <c r="COS22" s="29"/>
      <c r="COT22" s="24"/>
      <c r="COU22" s="13"/>
      <c r="COV22" s="13"/>
      <c r="COW22" s="14"/>
      <c r="COX22" s="15"/>
      <c r="COY22" s="15"/>
      <c r="COZ22" s="16"/>
      <c r="CPA22" s="41"/>
      <c r="CPB22" s="41"/>
      <c r="CPC22" s="28"/>
      <c r="CPD22" s="29"/>
      <c r="CPE22" s="24"/>
      <c r="CPF22" s="13"/>
      <c r="CPG22" s="13"/>
      <c r="CPH22" s="14"/>
      <c r="CPI22" s="15"/>
      <c r="CPJ22" s="15"/>
      <c r="CPK22" s="16"/>
      <c r="CPL22" s="41"/>
      <c r="CPM22" s="41"/>
      <c r="CPN22" s="28"/>
      <c r="CPO22" s="29"/>
      <c r="CPP22" s="24"/>
      <c r="CPQ22" s="13"/>
      <c r="CPR22" s="13"/>
      <c r="CPS22" s="14"/>
      <c r="CPT22" s="15"/>
      <c r="CPU22" s="15"/>
      <c r="CPV22" s="16"/>
      <c r="CPW22" s="41"/>
      <c r="CPX22" s="41"/>
      <c r="CPY22" s="28"/>
      <c r="CPZ22" s="29"/>
      <c r="CQA22" s="24"/>
      <c r="CQB22" s="13"/>
      <c r="CQC22" s="13"/>
      <c r="CQD22" s="14"/>
      <c r="CQE22" s="15"/>
      <c r="CQF22" s="15"/>
      <c r="CQG22" s="16"/>
      <c r="CQH22" s="41"/>
      <c r="CQI22" s="41"/>
      <c r="CQJ22" s="28"/>
      <c r="CQK22" s="29"/>
      <c r="CQL22" s="24"/>
      <c r="CQM22" s="13"/>
      <c r="CQN22" s="13"/>
      <c r="CQO22" s="14"/>
      <c r="CQP22" s="15"/>
      <c r="CQQ22" s="15"/>
      <c r="CQR22" s="16"/>
      <c r="CQS22" s="41"/>
      <c r="CQT22" s="41"/>
      <c r="CQU22" s="28"/>
      <c r="CQV22" s="29"/>
      <c r="CQW22" s="24"/>
      <c r="CQX22" s="13"/>
      <c r="CQY22" s="13"/>
      <c r="CQZ22" s="14"/>
      <c r="CRA22" s="15"/>
      <c r="CRB22" s="15"/>
      <c r="CRC22" s="16"/>
      <c r="CRD22" s="41"/>
      <c r="CRE22" s="41"/>
      <c r="CRF22" s="28"/>
      <c r="CRG22" s="29"/>
      <c r="CRH22" s="24"/>
      <c r="CRI22" s="13"/>
      <c r="CRJ22" s="13"/>
      <c r="CRK22" s="14"/>
      <c r="CRL22" s="15"/>
      <c r="CRM22" s="15"/>
      <c r="CRN22" s="16"/>
      <c r="CRO22" s="41"/>
      <c r="CRP22" s="41"/>
      <c r="CRQ22" s="28"/>
      <c r="CRR22" s="29"/>
      <c r="CRS22" s="24"/>
      <c r="CRT22" s="13"/>
      <c r="CRU22" s="13"/>
      <c r="CRV22" s="14"/>
      <c r="CRW22" s="15"/>
      <c r="CRX22" s="15"/>
      <c r="CRY22" s="16"/>
      <c r="CRZ22" s="41"/>
      <c r="CSA22" s="41"/>
      <c r="CSB22" s="28"/>
      <c r="CSC22" s="29"/>
      <c r="CSD22" s="24"/>
      <c r="CSE22" s="13"/>
      <c r="CSF22" s="13"/>
      <c r="CSG22" s="14"/>
      <c r="CSH22" s="15"/>
      <c r="CSI22" s="15"/>
      <c r="CSJ22" s="16"/>
      <c r="CSK22" s="41"/>
      <c r="CSL22" s="41"/>
      <c r="CSM22" s="28"/>
      <c r="CSN22" s="29"/>
      <c r="CSO22" s="24"/>
      <c r="CSP22" s="13"/>
      <c r="CSQ22" s="13"/>
      <c r="CSR22" s="14"/>
      <c r="CSS22" s="15"/>
      <c r="CST22" s="15"/>
      <c r="CSU22" s="16"/>
      <c r="CSV22" s="41"/>
      <c r="CSW22" s="41"/>
      <c r="CSX22" s="28"/>
      <c r="CSY22" s="29"/>
      <c r="CSZ22" s="24"/>
      <c r="CTA22" s="13"/>
      <c r="CTB22" s="13"/>
      <c r="CTC22" s="14"/>
      <c r="CTD22" s="15"/>
      <c r="CTE22" s="15"/>
      <c r="CTF22" s="16"/>
      <c r="CTG22" s="41"/>
      <c r="CTH22" s="41"/>
      <c r="CTI22" s="28"/>
      <c r="CTJ22" s="29"/>
      <c r="CTK22" s="24"/>
      <c r="CTL22" s="13"/>
      <c r="CTM22" s="13"/>
      <c r="CTN22" s="14"/>
      <c r="CTO22" s="15"/>
      <c r="CTP22" s="15"/>
      <c r="CTQ22" s="16"/>
      <c r="CTR22" s="41"/>
      <c r="CTS22" s="41"/>
      <c r="CTT22" s="28"/>
      <c r="CTU22" s="29"/>
      <c r="CTV22" s="24"/>
      <c r="CTW22" s="13"/>
      <c r="CTX22" s="13"/>
      <c r="CTY22" s="14"/>
      <c r="CTZ22" s="15"/>
      <c r="CUA22" s="15"/>
      <c r="CUB22" s="16"/>
      <c r="CUC22" s="41"/>
      <c r="CUD22" s="41"/>
      <c r="CUE22" s="28"/>
      <c r="CUF22" s="29"/>
      <c r="CUG22" s="24"/>
      <c r="CUH22" s="13"/>
      <c r="CUI22" s="13"/>
      <c r="CUJ22" s="14"/>
      <c r="CUK22" s="15"/>
      <c r="CUL22" s="15"/>
      <c r="CUM22" s="16"/>
      <c r="CUN22" s="41"/>
      <c r="CUO22" s="41"/>
      <c r="CUP22" s="28"/>
      <c r="CUQ22" s="29"/>
      <c r="CUR22" s="24"/>
      <c r="CUS22" s="13"/>
      <c r="CUT22" s="13"/>
      <c r="CUU22" s="14"/>
      <c r="CUV22" s="15"/>
      <c r="CUW22" s="15"/>
      <c r="CUX22" s="16"/>
      <c r="CUY22" s="41"/>
      <c r="CUZ22" s="41"/>
      <c r="CVA22" s="28"/>
      <c r="CVB22" s="29"/>
      <c r="CVC22" s="24"/>
      <c r="CVD22" s="13"/>
      <c r="CVE22" s="13"/>
      <c r="CVF22" s="14"/>
      <c r="CVG22" s="15"/>
      <c r="CVH22" s="15"/>
      <c r="CVI22" s="16"/>
      <c r="CVJ22" s="41"/>
      <c r="CVK22" s="41"/>
      <c r="CVL22" s="28"/>
      <c r="CVM22" s="29"/>
      <c r="CVN22" s="24"/>
      <c r="CVO22" s="13"/>
      <c r="CVP22" s="13"/>
      <c r="CVQ22" s="14"/>
      <c r="CVR22" s="15"/>
      <c r="CVS22" s="15"/>
      <c r="CVT22" s="16"/>
      <c r="CVU22" s="41"/>
      <c r="CVV22" s="41"/>
      <c r="CVW22" s="28"/>
      <c r="CVX22" s="29"/>
      <c r="CVY22" s="24"/>
      <c r="CVZ22" s="13"/>
      <c r="CWA22" s="13"/>
      <c r="CWB22" s="14"/>
      <c r="CWC22" s="15"/>
      <c r="CWD22" s="15"/>
      <c r="CWE22" s="16"/>
      <c r="CWF22" s="41"/>
      <c r="CWG22" s="41"/>
      <c r="CWH22" s="28"/>
      <c r="CWI22" s="29"/>
      <c r="CWJ22" s="24"/>
      <c r="CWK22" s="13"/>
      <c r="CWL22" s="13"/>
      <c r="CWM22" s="14"/>
      <c r="CWN22" s="15"/>
      <c r="CWO22" s="15"/>
      <c r="CWP22" s="16"/>
      <c r="CWQ22" s="41"/>
      <c r="CWR22" s="41"/>
      <c r="CWS22" s="28"/>
      <c r="CWT22" s="29"/>
      <c r="CWU22" s="24"/>
      <c r="CWV22" s="13"/>
      <c r="CWW22" s="13"/>
      <c r="CWX22" s="14"/>
      <c r="CWY22" s="15"/>
      <c r="CWZ22" s="15"/>
      <c r="CXA22" s="16"/>
      <c r="CXB22" s="41"/>
      <c r="CXC22" s="41"/>
      <c r="CXD22" s="28"/>
      <c r="CXE22" s="29"/>
      <c r="CXF22" s="24"/>
      <c r="CXG22" s="13"/>
      <c r="CXH22" s="13"/>
      <c r="CXI22" s="14"/>
      <c r="CXJ22" s="15"/>
      <c r="CXK22" s="15"/>
      <c r="CXL22" s="16"/>
      <c r="CXM22" s="41"/>
      <c r="CXN22" s="41"/>
      <c r="CXO22" s="28"/>
      <c r="CXP22" s="29"/>
      <c r="CXQ22" s="24"/>
      <c r="CXR22" s="13"/>
      <c r="CXS22" s="13"/>
      <c r="CXT22" s="14"/>
      <c r="CXU22" s="15"/>
      <c r="CXV22" s="15"/>
      <c r="CXW22" s="16"/>
      <c r="CXX22" s="41"/>
      <c r="CXY22" s="41"/>
      <c r="CXZ22" s="28"/>
      <c r="CYA22" s="29"/>
      <c r="CYB22" s="24"/>
      <c r="CYC22" s="13"/>
      <c r="CYD22" s="13"/>
      <c r="CYE22" s="14"/>
      <c r="CYF22" s="15"/>
      <c r="CYG22" s="15"/>
      <c r="CYH22" s="16"/>
      <c r="CYI22" s="41"/>
      <c r="CYJ22" s="41"/>
      <c r="CYK22" s="28"/>
      <c r="CYL22" s="29"/>
      <c r="CYM22" s="24"/>
      <c r="CYN22" s="13"/>
      <c r="CYO22" s="13"/>
      <c r="CYP22" s="14"/>
      <c r="CYQ22" s="15"/>
      <c r="CYR22" s="15"/>
      <c r="CYS22" s="16"/>
      <c r="CYT22" s="41"/>
      <c r="CYU22" s="41"/>
      <c r="CYV22" s="28"/>
      <c r="CYW22" s="29"/>
      <c r="CYX22" s="24"/>
      <c r="CYY22" s="13"/>
      <c r="CYZ22" s="13"/>
      <c r="CZA22" s="14"/>
      <c r="CZB22" s="15"/>
      <c r="CZC22" s="15"/>
      <c r="CZD22" s="16"/>
      <c r="CZE22" s="41"/>
      <c r="CZF22" s="41"/>
      <c r="CZG22" s="28"/>
      <c r="CZH22" s="29"/>
      <c r="CZI22" s="24"/>
      <c r="CZJ22" s="13"/>
      <c r="CZK22" s="13"/>
      <c r="CZL22" s="14"/>
      <c r="CZM22" s="15"/>
      <c r="CZN22" s="15"/>
      <c r="CZO22" s="16"/>
      <c r="CZP22" s="41"/>
      <c r="CZQ22" s="41"/>
      <c r="CZR22" s="28"/>
      <c r="CZS22" s="29"/>
      <c r="CZT22" s="24"/>
      <c r="CZU22" s="13"/>
      <c r="CZV22" s="13"/>
      <c r="CZW22" s="14"/>
      <c r="CZX22" s="15"/>
      <c r="CZY22" s="15"/>
      <c r="CZZ22" s="16"/>
      <c r="DAA22" s="41"/>
      <c r="DAB22" s="41"/>
      <c r="DAC22" s="28"/>
      <c r="DAD22" s="29"/>
      <c r="DAE22" s="24"/>
      <c r="DAF22" s="13"/>
      <c r="DAG22" s="13"/>
      <c r="DAH22" s="14"/>
      <c r="DAI22" s="15"/>
      <c r="DAJ22" s="15"/>
      <c r="DAK22" s="16"/>
      <c r="DAL22" s="41"/>
      <c r="DAM22" s="41"/>
      <c r="DAN22" s="28"/>
      <c r="DAO22" s="29"/>
      <c r="DAP22" s="24"/>
      <c r="DAQ22" s="13"/>
      <c r="DAR22" s="13"/>
      <c r="DAS22" s="14"/>
      <c r="DAT22" s="15"/>
      <c r="DAU22" s="15"/>
      <c r="DAV22" s="16"/>
      <c r="DAW22" s="41"/>
      <c r="DAX22" s="41"/>
      <c r="DAY22" s="28"/>
      <c r="DAZ22" s="29"/>
      <c r="DBA22" s="24"/>
      <c r="DBB22" s="13"/>
      <c r="DBC22" s="13"/>
      <c r="DBD22" s="14"/>
      <c r="DBE22" s="15"/>
      <c r="DBF22" s="15"/>
      <c r="DBG22" s="16"/>
      <c r="DBH22" s="41"/>
      <c r="DBI22" s="41"/>
      <c r="DBJ22" s="28"/>
      <c r="DBK22" s="29"/>
      <c r="DBL22" s="24"/>
      <c r="DBM22" s="13"/>
      <c r="DBN22" s="13"/>
      <c r="DBO22" s="14"/>
      <c r="DBP22" s="15"/>
      <c r="DBQ22" s="15"/>
      <c r="DBR22" s="16"/>
      <c r="DBS22" s="41"/>
      <c r="DBT22" s="41"/>
      <c r="DBU22" s="28"/>
      <c r="DBV22" s="29"/>
      <c r="DBW22" s="24"/>
      <c r="DBX22" s="13"/>
      <c r="DBY22" s="13"/>
      <c r="DBZ22" s="14"/>
      <c r="DCA22" s="15"/>
      <c r="DCB22" s="15"/>
      <c r="DCC22" s="16"/>
      <c r="DCD22" s="41"/>
      <c r="DCE22" s="41"/>
      <c r="DCF22" s="28"/>
      <c r="DCG22" s="29"/>
      <c r="DCH22" s="24"/>
      <c r="DCI22" s="13"/>
      <c r="DCJ22" s="13"/>
      <c r="DCK22" s="14"/>
      <c r="DCL22" s="15"/>
      <c r="DCM22" s="15"/>
      <c r="DCN22" s="16"/>
      <c r="DCO22" s="41"/>
      <c r="DCP22" s="41"/>
      <c r="DCQ22" s="28"/>
      <c r="DCR22" s="29"/>
      <c r="DCS22" s="24"/>
      <c r="DCT22" s="13"/>
      <c r="DCU22" s="13"/>
      <c r="DCV22" s="14"/>
      <c r="DCW22" s="15"/>
      <c r="DCX22" s="15"/>
      <c r="DCY22" s="16"/>
      <c r="DCZ22" s="41"/>
      <c r="DDA22" s="41"/>
      <c r="DDB22" s="28"/>
      <c r="DDC22" s="29"/>
      <c r="DDD22" s="24"/>
      <c r="DDE22" s="13"/>
      <c r="DDF22" s="13"/>
      <c r="DDG22" s="14"/>
      <c r="DDH22" s="15"/>
      <c r="DDI22" s="15"/>
      <c r="DDJ22" s="16"/>
      <c r="DDK22" s="41"/>
      <c r="DDL22" s="41"/>
      <c r="DDM22" s="28"/>
      <c r="DDN22" s="29"/>
      <c r="DDO22" s="24"/>
      <c r="DDP22" s="13"/>
      <c r="DDQ22" s="13"/>
      <c r="DDR22" s="14"/>
      <c r="DDS22" s="15"/>
      <c r="DDT22" s="15"/>
      <c r="DDU22" s="16"/>
      <c r="DDV22" s="41"/>
      <c r="DDW22" s="41"/>
      <c r="DDX22" s="28"/>
      <c r="DDY22" s="29"/>
      <c r="DDZ22" s="24"/>
      <c r="DEA22" s="13"/>
      <c r="DEB22" s="13"/>
      <c r="DEC22" s="14"/>
      <c r="DED22" s="15"/>
      <c r="DEE22" s="15"/>
      <c r="DEF22" s="16"/>
      <c r="DEG22" s="41"/>
      <c r="DEH22" s="41"/>
      <c r="DEI22" s="28"/>
      <c r="DEJ22" s="29"/>
      <c r="DEK22" s="24"/>
      <c r="DEL22" s="13"/>
      <c r="DEM22" s="13"/>
      <c r="DEN22" s="14"/>
      <c r="DEO22" s="15"/>
      <c r="DEP22" s="15"/>
      <c r="DEQ22" s="16"/>
      <c r="DER22" s="41"/>
      <c r="DES22" s="41"/>
      <c r="DET22" s="28"/>
      <c r="DEU22" s="29"/>
      <c r="DEV22" s="24"/>
      <c r="DEW22" s="13"/>
      <c r="DEX22" s="13"/>
      <c r="DEY22" s="14"/>
      <c r="DEZ22" s="15"/>
      <c r="DFA22" s="15"/>
      <c r="DFB22" s="16"/>
      <c r="DFC22" s="41"/>
      <c r="DFD22" s="41"/>
      <c r="DFE22" s="28"/>
      <c r="DFF22" s="29"/>
      <c r="DFG22" s="24"/>
      <c r="DFH22" s="13"/>
      <c r="DFI22" s="13"/>
      <c r="DFJ22" s="14"/>
      <c r="DFK22" s="15"/>
      <c r="DFL22" s="15"/>
      <c r="DFM22" s="16"/>
      <c r="DFN22" s="41"/>
      <c r="DFO22" s="41"/>
      <c r="DFP22" s="28"/>
      <c r="DFQ22" s="29"/>
      <c r="DFR22" s="24"/>
      <c r="DFS22" s="13"/>
      <c r="DFT22" s="13"/>
      <c r="DFU22" s="14"/>
      <c r="DFV22" s="15"/>
      <c r="DFW22" s="15"/>
      <c r="DFX22" s="16"/>
      <c r="DFY22" s="41"/>
      <c r="DFZ22" s="41"/>
      <c r="DGA22" s="28"/>
      <c r="DGB22" s="29"/>
      <c r="DGC22" s="24"/>
      <c r="DGD22" s="13"/>
      <c r="DGE22" s="13"/>
      <c r="DGF22" s="14"/>
      <c r="DGG22" s="15"/>
      <c r="DGH22" s="15"/>
      <c r="DGI22" s="16"/>
      <c r="DGJ22" s="41"/>
      <c r="DGK22" s="41"/>
      <c r="DGL22" s="28"/>
      <c r="DGM22" s="29"/>
      <c r="DGN22" s="24"/>
      <c r="DGO22" s="13"/>
      <c r="DGP22" s="13"/>
      <c r="DGQ22" s="14"/>
      <c r="DGR22" s="15"/>
      <c r="DGS22" s="15"/>
      <c r="DGT22" s="16"/>
      <c r="DGU22" s="41"/>
      <c r="DGV22" s="41"/>
      <c r="DGW22" s="28"/>
      <c r="DGX22" s="29"/>
      <c r="DGY22" s="24"/>
      <c r="DGZ22" s="13"/>
      <c r="DHA22" s="13"/>
      <c r="DHB22" s="14"/>
      <c r="DHC22" s="15"/>
      <c r="DHD22" s="15"/>
      <c r="DHE22" s="16"/>
      <c r="DHF22" s="41"/>
      <c r="DHG22" s="41"/>
      <c r="DHH22" s="28"/>
      <c r="DHI22" s="29"/>
      <c r="DHJ22" s="24"/>
      <c r="DHK22" s="13"/>
      <c r="DHL22" s="13"/>
      <c r="DHM22" s="14"/>
      <c r="DHN22" s="15"/>
      <c r="DHO22" s="15"/>
      <c r="DHP22" s="16"/>
      <c r="DHQ22" s="41"/>
      <c r="DHR22" s="41"/>
      <c r="DHS22" s="28"/>
      <c r="DHT22" s="29"/>
      <c r="DHU22" s="24"/>
      <c r="DHV22" s="13"/>
      <c r="DHW22" s="13"/>
      <c r="DHX22" s="14"/>
      <c r="DHY22" s="15"/>
      <c r="DHZ22" s="15"/>
      <c r="DIA22" s="16"/>
      <c r="DIB22" s="41"/>
      <c r="DIC22" s="41"/>
      <c r="DID22" s="28"/>
      <c r="DIE22" s="29"/>
      <c r="DIF22" s="24"/>
      <c r="DIG22" s="13"/>
      <c r="DIH22" s="13"/>
      <c r="DII22" s="14"/>
      <c r="DIJ22" s="15"/>
      <c r="DIK22" s="15"/>
      <c r="DIL22" s="16"/>
      <c r="DIM22" s="41"/>
      <c r="DIN22" s="41"/>
      <c r="DIO22" s="28"/>
      <c r="DIP22" s="29"/>
      <c r="DIQ22" s="24"/>
      <c r="DIR22" s="13"/>
      <c r="DIS22" s="13"/>
      <c r="DIT22" s="14"/>
      <c r="DIU22" s="15"/>
      <c r="DIV22" s="15"/>
      <c r="DIW22" s="16"/>
      <c r="DIX22" s="41"/>
      <c r="DIY22" s="41"/>
      <c r="DIZ22" s="28"/>
      <c r="DJA22" s="29"/>
      <c r="DJB22" s="24"/>
      <c r="DJC22" s="13"/>
      <c r="DJD22" s="13"/>
      <c r="DJE22" s="14"/>
      <c r="DJF22" s="15"/>
      <c r="DJG22" s="15"/>
      <c r="DJH22" s="16"/>
      <c r="DJI22" s="41"/>
      <c r="DJJ22" s="41"/>
      <c r="DJK22" s="28"/>
      <c r="DJL22" s="29"/>
      <c r="DJM22" s="24"/>
      <c r="DJN22" s="13"/>
      <c r="DJO22" s="13"/>
      <c r="DJP22" s="14"/>
      <c r="DJQ22" s="15"/>
      <c r="DJR22" s="15"/>
      <c r="DJS22" s="16"/>
      <c r="DJT22" s="41"/>
      <c r="DJU22" s="41"/>
      <c r="DJV22" s="28"/>
      <c r="DJW22" s="29"/>
      <c r="DJX22" s="24"/>
      <c r="DJY22" s="13"/>
      <c r="DJZ22" s="13"/>
      <c r="DKA22" s="14"/>
      <c r="DKB22" s="15"/>
      <c r="DKC22" s="15"/>
      <c r="DKD22" s="16"/>
      <c r="DKE22" s="41"/>
      <c r="DKF22" s="41"/>
      <c r="DKG22" s="28"/>
      <c r="DKH22" s="29"/>
      <c r="DKI22" s="24"/>
      <c r="DKJ22" s="13"/>
      <c r="DKK22" s="13"/>
      <c r="DKL22" s="14"/>
      <c r="DKM22" s="15"/>
      <c r="DKN22" s="15"/>
      <c r="DKO22" s="16"/>
      <c r="DKP22" s="41"/>
      <c r="DKQ22" s="41"/>
      <c r="DKR22" s="28"/>
      <c r="DKS22" s="29"/>
      <c r="DKT22" s="24"/>
      <c r="DKU22" s="13"/>
      <c r="DKV22" s="13"/>
      <c r="DKW22" s="14"/>
      <c r="DKX22" s="15"/>
      <c r="DKY22" s="15"/>
      <c r="DKZ22" s="16"/>
      <c r="DLA22" s="41"/>
      <c r="DLB22" s="41"/>
      <c r="DLC22" s="28"/>
      <c r="DLD22" s="29"/>
      <c r="DLE22" s="24"/>
      <c r="DLF22" s="13"/>
      <c r="DLG22" s="13"/>
      <c r="DLH22" s="14"/>
      <c r="DLI22" s="15"/>
      <c r="DLJ22" s="15"/>
      <c r="DLK22" s="16"/>
      <c r="DLL22" s="41"/>
      <c r="DLM22" s="41"/>
      <c r="DLN22" s="28"/>
      <c r="DLO22" s="29"/>
      <c r="DLP22" s="24"/>
      <c r="DLQ22" s="13"/>
      <c r="DLR22" s="13"/>
      <c r="DLS22" s="14"/>
      <c r="DLT22" s="15"/>
      <c r="DLU22" s="15"/>
      <c r="DLV22" s="16"/>
      <c r="DLW22" s="41"/>
      <c r="DLX22" s="41"/>
      <c r="DLY22" s="28"/>
      <c r="DLZ22" s="29"/>
      <c r="DMA22" s="24"/>
      <c r="DMB22" s="13"/>
      <c r="DMC22" s="13"/>
      <c r="DMD22" s="14"/>
      <c r="DME22" s="15"/>
      <c r="DMF22" s="15"/>
      <c r="DMG22" s="16"/>
      <c r="DMH22" s="41"/>
      <c r="DMI22" s="41"/>
      <c r="DMJ22" s="28"/>
      <c r="DMK22" s="29"/>
      <c r="DML22" s="24"/>
      <c r="DMM22" s="13"/>
      <c r="DMN22" s="13"/>
      <c r="DMO22" s="14"/>
      <c r="DMP22" s="15"/>
      <c r="DMQ22" s="15"/>
      <c r="DMR22" s="16"/>
      <c r="DMS22" s="41"/>
      <c r="DMT22" s="41"/>
      <c r="DMU22" s="28"/>
      <c r="DMV22" s="29"/>
      <c r="DMW22" s="24"/>
      <c r="DMX22" s="13"/>
      <c r="DMY22" s="13"/>
      <c r="DMZ22" s="14"/>
      <c r="DNA22" s="15"/>
      <c r="DNB22" s="15"/>
      <c r="DNC22" s="16"/>
      <c r="DND22" s="41"/>
      <c r="DNE22" s="41"/>
      <c r="DNF22" s="28"/>
      <c r="DNG22" s="29"/>
      <c r="DNH22" s="24"/>
      <c r="DNI22" s="13"/>
      <c r="DNJ22" s="13"/>
      <c r="DNK22" s="14"/>
      <c r="DNL22" s="15"/>
      <c r="DNM22" s="15"/>
      <c r="DNN22" s="16"/>
      <c r="DNO22" s="41"/>
      <c r="DNP22" s="41"/>
      <c r="DNQ22" s="28"/>
      <c r="DNR22" s="29"/>
      <c r="DNS22" s="24"/>
      <c r="DNT22" s="13"/>
      <c r="DNU22" s="13"/>
      <c r="DNV22" s="14"/>
      <c r="DNW22" s="15"/>
      <c r="DNX22" s="15"/>
      <c r="DNY22" s="16"/>
      <c r="DNZ22" s="41"/>
      <c r="DOA22" s="41"/>
      <c r="DOB22" s="28"/>
      <c r="DOC22" s="29"/>
      <c r="DOD22" s="24"/>
      <c r="DOE22" s="13"/>
      <c r="DOF22" s="13"/>
      <c r="DOG22" s="14"/>
      <c r="DOH22" s="15"/>
      <c r="DOI22" s="15"/>
      <c r="DOJ22" s="16"/>
      <c r="DOK22" s="41"/>
      <c r="DOL22" s="41"/>
      <c r="DOM22" s="28"/>
      <c r="DON22" s="29"/>
      <c r="DOO22" s="24"/>
      <c r="DOP22" s="13"/>
      <c r="DOQ22" s="13"/>
      <c r="DOR22" s="14"/>
      <c r="DOS22" s="15"/>
      <c r="DOT22" s="15"/>
      <c r="DOU22" s="16"/>
      <c r="DOV22" s="41"/>
      <c r="DOW22" s="41"/>
      <c r="DOX22" s="28"/>
      <c r="DOY22" s="29"/>
      <c r="DOZ22" s="24"/>
      <c r="DPA22" s="13"/>
      <c r="DPB22" s="13"/>
      <c r="DPC22" s="14"/>
      <c r="DPD22" s="15"/>
      <c r="DPE22" s="15"/>
      <c r="DPF22" s="16"/>
      <c r="DPG22" s="41"/>
      <c r="DPH22" s="41"/>
      <c r="DPI22" s="28"/>
      <c r="DPJ22" s="29"/>
      <c r="DPK22" s="24"/>
      <c r="DPL22" s="13"/>
      <c r="DPM22" s="13"/>
      <c r="DPN22" s="14"/>
      <c r="DPO22" s="15"/>
      <c r="DPP22" s="15"/>
      <c r="DPQ22" s="16"/>
      <c r="DPR22" s="41"/>
      <c r="DPS22" s="41"/>
      <c r="DPT22" s="28"/>
      <c r="DPU22" s="29"/>
      <c r="DPV22" s="24"/>
      <c r="DPW22" s="13"/>
      <c r="DPX22" s="13"/>
      <c r="DPY22" s="14"/>
      <c r="DPZ22" s="15"/>
      <c r="DQA22" s="15"/>
      <c r="DQB22" s="16"/>
      <c r="DQC22" s="41"/>
      <c r="DQD22" s="41"/>
      <c r="DQE22" s="28"/>
      <c r="DQF22" s="29"/>
      <c r="DQG22" s="24"/>
      <c r="DQH22" s="13"/>
      <c r="DQI22" s="13"/>
      <c r="DQJ22" s="14"/>
      <c r="DQK22" s="15"/>
      <c r="DQL22" s="15"/>
      <c r="DQM22" s="16"/>
      <c r="DQN22" s="41"/>
      <c r="DQO22" s="41"/>
      <c r="DQP22" s="28"/>
      <c r="DQQ22" s="29"/>
      <c r="DQR22" s="24"/>
      <c r="DQS22" s="13"/>
      <c r="DQT22" s="13"/>
      <c r="DQU22" s="14"/>
      <c r="DQV22" s="15"/>
      <c r="DQW22" s="15"/>
      <c r="DQX22" s="16"/>
      <c r="DQY22" s="41"/>
      <c r="DQZ22" s="41"/>
      <c r="DRA22" s="28"/>
      <c r="DRB22" s="29"/>
      <c r="DRC22" s="24"/>
      <c r="DRD22" s="13"/>
      <c r="DRE22" s="13"/>
      <c r="DRF22" s="14"/>
      <c r="DRG22" s="15"/>
      <c r="DRH22" s="15"/>
      <c r="DRI22" s="16"/>
      <c r="DRJ22" s="41"/>
      <c r="DRK22" s="41"/>
      <c r="DRL22" s="28"/>
      <c r="DRM22" s="29"/>
      <c r="DRN22" s="24"/>
      <c r="DRO22" s="13"/>
      <c r="DRP22" s="13"/>
      <c r="DRQ22" s="14"/>
      <c r="DRR22" s="15"/>
      <c r="DRS22" s="15"/>
      <c r="DRT22" s="16"/>
      <c r="DRU22" s="41"/>
      <c r="DRV22" s="41"/>
      <c r="DRW22" s="28"/>
      <c r="DRX22" s="29"/>
      <c r="DRY22" s="24"/>
      <c r="DRZ22" s="13"/>
      <c r="DSA22" s="13"/>
      <c r="DSB22" s="14"/>
      <c r="DSC22" s="15"/>
      <c r="DSD22" s="15"/>
      <c r="DSE22" s="16"/>
      <c r="DSF22" s="41"/>
      <c r="DSG22" s="41"/>
      <c r="DSH22" s="28"/>
      <c r="DSI22" s="29"/>
      <c r="DSJ22" s="24"/>
      <c r="DSK22" s="13"/>
      <c r="DSL22" s="13"/>
      <c r="DSM22" s="14"/>
      <c r="DSN22" s="15"/>
      <c r="DSO22" s="15"/>
      <c r="DSP22" s="16"/>
      <c r="DSQ22" s="41"/>
      <c r="DSR22" s="41"/>
      <c r="DSS22" s="28"/>
      <c r="DST22" s="29"/>
      <c r="DSU22" s="24"/>
      <c r="DSV22" s="13"/>
      <c r="DSW22" s="13"/>
      <c r="DSX22" s="14"/>
      <c r="DSY22" s="15"/>
      <c r="DSZ22" s="15"/>
      <c r="DTA22" s="16"/>
      <c r="DTB22" s="41"/>
      <c r="DTC22" s="41"/>
      <c r="DTD22" s="28"/>
      <c r="DTE22" s="29"/>
      <c r="DTF22" s="24"/>
      <c r="DTG22" s="13"/>
      <c r="DTH22" s="13"/>
      <c r="DTI22" s="14"/>
      <c r="DTJ22" s="15"/>
      <c r="DTK22" s="15"/>
      <c r="DTL22" s="16"/>
      <c r="DTM22" s="41"/>
      <c r="DTN22" s="41"/>
      <c r="DTO22" s="28"/>
      <c r="DTP22" s="29"/>
      <c r="DTQ22" s="24"/>
      <c r="DTR22" s="13"/>
      <c r="DTS22" s="13"/>
      <c r="DTT22" s="14"/>
      <c r="DTU22" s="15"/>
      <c r="DTV22" s="15"/>
      <c r="DTW22" s="16"/>
      <c r="DTX22" s="41"/>
      <c r="DTY22" s="41"/>
      <c r="DTZ22" s="28"/>
      <c r="DUA22" s="29"/>
      <c r="DUB22" s="24"/>
      <c r="DUC22" s="13"/>
      <c r="DUD22" s="13"/>
      <c r="DUE22" s="14"/>
      <c r="DUF22" s="15"/>
      <c r="DUG22" s="15"/>
      <c r="DUH22" s="16"/>
      <c r="DUI22" s="41"/>
      <c r="DUJ22" s="41"/>
      <c r="DUK22" s="28"/>
      <c r="DUL22" s="29"/>
      <c r="DUM22" s="24"/>
      <c r="DUN22" s="13"/>
      <c r="DUO22" s="13"/>
      <c r="DUP22" s="14"/>
      <c r="DUQ22" s="15"/>
      <c r="DUR22" s="15"/>
      <c r="DUS22" s="16"/>
      <c r="DUT22" s="41"/>
      <c r="DUU22" s="41"/>
      <c r="DUV22" s="28"/>
      <c r="DUW22" s="29"/>
      <c r="DUX22" s="24"/>
      <c r="DUY22" s="13"/>
      <c r="DUZ22" s="13"/>
      <c r="DVA22" s="14"/>
      <c r="DVB22" s="15"/>
      <c r="DVC22" s="15"/>
      <c r="DVD22" s="16"/>
      <c r="DVE22" s="41"/>
      <c r="DVF22" s="41"/>
      <c r="DVG22" s="28"/>
      <c r="DVH22" s="29"/>
      <c r="DVI22" s="24"/>
      <c r="DVJ22" s="13"/>
      <c r="DVK22" s="13"/>
      <c r="DVL22" s="14"/>
      <c r="DVM22" s="15"/>
      <c r="DVN22" s="15"/>
      <c r="DVO22" s="16"/>
      <c r="DVP22" s="41"/>
      <c r="DVQ22" s="41"/>
      <c r="DVR22" s="28"/>
      <c r="DVS22" s="29"/>
      <c r="DVT22" s="24"/>
      <c r="DVU22" s="13"/>
      <c r="DVV22" s="13"/>
      <c r="DVW22" s="14"/>
      <c r="DVX22" s="15"/>
      <c r="DVY22" s="15"/>
      <c r="DVZ22" s="16"/>
      <c r="DWA22" s="41"/>
      <c r="DWB22" s="41"/>
      <c r="DWC22" s="28"/>
      <c r="DWD22" s="29"/>
      <c r="DWE22" s="24"/>
      <c r="DWF22" s="13"/>
      <c r="DWG22" s="13"/>
      <c r="DWH22" s="14"/>
      <c r="DWI22" s="15"/>
      <c r="DWJ22" s="15"/>
      <c r="DWK22" s="16"/>
      <c r="DWL22" s="41"/>
      <c r="DWM22" s="41"/>
      <c r="DWN22" s="28"/>
      <c r="DWO22" s="29"/>
      <c r="DWP22" s="24"/>
      <c r="DWQ22" s="13"/>
      <c r="DWR22" s="13"/>
      <c r="DWS22" s="14"/>
      <c r="DWT22" s="15"/>
      <c r="DWU22" s="15"/>
      <c r="DWV22" s="16"/>
      <c r="DWW22" s="41"/>
      <c r="DWX22" s="41"/>
      <c r="DWY22" s="28"/>
      <c r="DWZ22" s="29"/>
      <c r="DXA22" s="24"/>
      <c r="DXB22" s="13"/>
      <c r="DXC22" s="13"/>
      <c r="DXD22" s="14"/>
      <c r="DXE22" s="15"/>
      <c r="DXF22" s="15"/>
      <c r="DXG22" s="16"/>
      <c r="DXH22" s="41"/>
      <c r="DXI22" s="41"/>
      <c r="DXJ22" s="28"/>
      <c r="DXK22" s="29"/>
      <c r="DXL22" s="24"/>
      <c r="DXM22" s="13"/>
      <c r="DXN22" s="13"/>
      <c r="DXO22" s="14"/>
      <c r="DXP22" s="15"/>
      <c r="DXQ22" s="15"/>
      <c r="DXR22" s="16"/>
      <c r="DXS22" s="41"/>
      <c r="DXT22" s="41"/>
      <c r="DXU22" s="28"/>
      <c r="DXV22" s="29"/>
      <c r="DXW22" s="24"/>
      <c r="DXX22" s="13"/>
      <c r="DXY22" s="13"/>
      <c r="DXZ22" s="14"/>
      <c r="DYA22" s="15"/>
      <c r="DYB22" s="15"/>
      <c r="DYC22" s="16"/>
      <c r="DYD22" s="41"/>
      <c r="DYE22" s="41"/>
      <c r="DYF22" s="28"/>
      <c r="DYG22" s="29"/>
      <c r="DYH22" s="24"/>
      <c r="DYI22" s="13"/>
      <c r="DYJ22" s="13"/>
      <c r="DYK22" s="14"/>
      <c r="DYL22" s="15"/>
      <c r="DYM22" s="15"/>
      <c r="DYN22" s="16"/>
      <c r="DYO22" s="41"/>
      <c r="DYP22" s="41"/>
      <c r="DYQ22" s="28"/>
      <c r="DYR22" s="29"/>
      <c r="DYS22" s="24"/>
      <c r="DYT22" s="13"/>
      <c r="DYU22" s="13"/>
      <c r="DYV22" s="14"/>
      <c r="DYW22" s="15"/>
      <c r="DYX22" s="15"/>
      <c r="DYY22" s="16"/>
      <c r="DYZ22" s="41"/>
      <c r="DZA22" s="41"/>
      <c r="DZB22" s="28"/>
      <c r="DZC22" s="29"/>
      <c r="DZD22" s="24"/>
      <c r="DZE22" s="13"/>
      <c r="DZF22" s="13"/>
      <c r="DZG22" s="14"/>
      <c r="DZH22" s="15"/>
      <c r="DZI22" s="15"/>
      <c r="DZJ22" s="16"/>
      <c r="DZK22" s="41"/>
      <c r="DZL22" s="41"/>
      <c r="DZM22" s="28"/>
      <c r="DZN22" s="29"/>
      <c r="DZO22" s="24"/>
      <c r="DZP22" s="13"/>
      <c r="DZQ22" s="13"/>
      <c r="DZR22" s="14"/>
      <c r="DZS22" s="15"/>
      <c r="DZT22" s="15"/>
      <c r="DZU22" s="16"/>
      <c r="DZV22" s="41"/>
      <c r="DZW22" s="41"/>
      <c r="DZX22" s="28"/>
      <c r="DZY22" s="29"/>
      <c r="DZZ22" s="24"/>
      <c r="EAA22" s="13"/>
      <c r="EAB22" s="13"/>
      <c r="EAC22" s="14"/>
      <c r="EAD22" s="15"/>
      <c r="EAE22" s="15"/>
      <c r="EAF22" s="16"/>
      <c r="EAG22" s="41"/>
      <c r="EAH22" s="41"/>
      <c r="EAI22" s="28"/>
      <c r="EAJ22" s="29"/>
      <c r="EAK22" s="24"/>
      <c r="EAL22" s="13"/>
      <c r="EAM22" s="13"/>
      <c r="EAN22" s="14"/>
      <c r="EAO22" s="15"/>
      <c r="EAP22" s="15"/>
      <c r="EAQ22" s="16"/>
      <c r="EAR22" s="41"/>
      <c r="EAS22" s="41"/>
      <c r="EAT22" s="28"/>
      <c r="EAU22" s="29"/>
      <c r="EAV22" s="24"/>
      <c r="EAW22" s="13"/>
      <c r="EAX22" s="13"/>
      <c r="EAY22" s="14"/>
      <c r="EAZ22" s="15"/>
      <c r="EBA22" s="15"/>
      <c r="EBB22" s="16"/>
      <c r="EBC22" s="41"/>
      <c r="EBD22" s="41"/>
      <c r="EBE22" s="28"/>
      <c r="EBF22" s="29"/>
      <c r="EBG22" s="24"/>
      <c r="EBH22" s="13"/>
      <c r="EBI22" s="13"/>
      <c r="EBJ22" s="14"/>
      <c r="EBK22" s="15"/>
      <c r="EBL22" s="15"/>
      <c r="EBM22" s="16"/>
      <c r="EBN22" s="41"/>
      <c r="EBO22" s="41"/>
      <c r="EBP22" s="28"/>
      <c r="EBQ22" s="29"/>
      <c r="EBR22" s="24"/>
      <c r="EBS22" s="13"/>
      <c r="EBT22" s="13"/>
      <c r="EBU22" s="14"/>
      <c r="EBV22" s="15"/>
      <c r="EBW22" s="15"/>
      <c r="EBX22" s="16"/>
      <c r="EBY22" s="41"/>
      <c r="EBZ22" s="41"/>
      <c r="ECA22" s="28"/>
      <c r="ECB22" s="29"/>
      <c r="ECC22" s="24"/>
      <c r="ECD22" s="13"/>
      <c r="ECE22" s="13"/>
      <c r="ECF22" s="14"/>
      <c r="ECG22" s="15"/>
      <c r="ECH22" s="15"/>
      <c r="ECI22" s="16"/>
      <c r="ECJ22" s="41"/>
      <c r="ECK22" s="41"/>
      <c r="ECL22" s="28"/>
      <c r="ECM22" s="29"/>
      <c r="ECN22" s="24"/>
      <c r="ECO22" s="13"/>
      <c r="ECP22" s="13"/>
      <c r="ECQ22" s="14"/>
      <c r="ECR22" s="15"/>
      <c r="ECS22" s="15"/>
      <c r="ECT22" s="16"/>
      <c r="ECU22" s="41"/>
      <c r="ECV22" s="41"/>
      <c r="ECW22" s="28"/>
      <c r="ECX22" s="29"/>
      <c r="ECY22" s="24"/>
      <c r="ECZ22" s="13"/>
      <c r="EDA22" s="13"/>
      <c r="EDB22" s="14"/>
      <c r="EDC22" s="15"/>
      <c r="EDD22" s="15"/>
      <c r="EDE22" s="16"/>
      <c r="EDF22" s="41"/>
      <c r="EDG22" s="41"/>
      <c r="EDH22" s="28"/>
      <c r="EDI22" s="29"/>
      <c r="EDJ22" s="24"/>
      <c r="EDK22" s="13"/>
      <c r="EDL22" s="13"/>
      <c r="EDM22" s="14"/>
      <c r="EDN22" s="15"/>
      <c r="EDO22" s="15"/>
      <c r="EDP22" s="16"/>
      <c r="EDQ22" s="41"/>
      <c r="EDR22" s="41"/>
      <c r="EDS22" s="28"/>
      <c r="EDT22" s="29"/>
      <c r="EDU22" s="24"/>
      <c r="EDV22" s="13"/>
      <c r="EDW22" s="13"/>
      <c r="EDX22" s="14"/>
      <c r="EDY22" s="15"/>
      <c r="EDZ22" s="15"/>
      <c r="EEA22" s="16"/>
      <c r="EEB22" s="41"/>
      <c r="EEC22" s="41"/>
      <c r="EED22" s="28"/>
      <c r="EEE22" s="29"/>
      <c r="EEF22" s="24"/>
      <c r="EEG22" s="13"/>
      <c r="EEH22" s="13"/>
      <c r="EEI22" s="14"/>
      <c r="EEJ22" s="15"/>
      <c r="EEK22" s="15"/>
      <c r="EEL22" s="16"/>
      <c r="EEM22" s="41"/>
      <c r="EEN22" s="41"/>
      <c r="EEO22" s="28"/>
      <c r="EEP22" s="29"/>
      <c r="EEQ22" s="24"/>
      <c r="EER22" s="13"/>
      <c r="EES22" s="13"/>
      <c r="EET22" s="14"/>
      <c r="EEU22" s="15"/>
      <c r="EEV22" s="15"/>
      <c r="EEW22" s="16"/>
      <c r="EEX22" s="41"/>
      <c r="EEY22" s="41"/>
      <c r="EEZ22" s="28"/>
      <c r="EFA22" s="29"/>
      <c r="EFB22" s="24"/>
      <c r="EFC22" s="13"/>
      <c r="EFD22" s="13"/>
      <c r="EFE22" s="14"/>
      <c r="EFF22" s="15"/>
      <c r="EFG22" s="15"/>
      <c r="EFH22" s="16"/>
      <c r="EFI22" s="41"/>
      <c r="EFJ22" s="41"/>
      <c r="EFK22" s="28"/>
      <c r="EFL22" s="29"/>
      <c r="EFM22" s="24"/>
      <c r="EFN22" s="13"/>
      <c r="EFO22" s="13"/>
      <c r="EFP22" s="14"/>
      <c r="EFQ22" s="15"/>
      <c r="EFR22" s="15"/>
      <c r="EFS22" s="16"/>
      <c r="EFT22" s="41"/>
      <c r="EFU22" s="41"/>
      <c r="EFV22" s="28"/>
      <c r="EFW22" s="29"/>
      <c r="EFX22" s="24"/>
      <c r="EFY22" s="13"/>
      <c r="EFZ22" s="13"/>
      <c r="EGA22" s="14"/>
      <c r="EGB22" s="15"/>
      <c r="EGC22" s="15"/>
      <c r="EGD22" s="16"/>
      <c r="EGE22" s="41"/>
      <c r="EGF22" s="41"/>
      <c r="EGG22" s="28"/>
      <c r="EGH22" s="29"/>
      <c r="EGI22" s="24"/>
      <c r="EGJ22" s="13"/>
      <c r="EGK22" s="13"/>
      <c r="EGL22" s="14"/>
      <c r="EGM22" s="15"/>
      <c r="EGN22" s="15"/>
      <c r="EGO22" s="16"/>
      <c r="EGP22" s="41"/>
      <c r="EGQ22" s="41"/>
      <c r="EGR22" s="28"/>
      <c r="EGS22" s="29"/>
      <c r="EGT22" s="24"/>
      <c r="EGU22" s="13"/>
      <c r="EGV22" s="13"/>
      <c r="EGW22" s="14"/>
      <c r="EGX22" s="15"/>
      <c r="EGY22" s="15"/>
      <c r="EGZ22" s="16"/>
      <c r="EHA22" s="41"/>
      <c r="EHB22" s="41"/>
      <c r="EHC22" s="28"/>
      <c r="EHD22" s="29"/>
      <c r="EHE22" s="24"/>
      <c r="EHF22" s="13"/>
      <c r="EHG22" s="13"/>
      <c r="EHH22" s="14"/>
      <c r="EHI22" s="15"/>
      <c r="EHJ22" s="15"/>
      <c r="EHK22" s="16"/>
      <c r="EHL22" s="41"/>
      <c r="EHM22" s="41"/>
      <c r="EHN22" s="28"/>
      <c r="EHO22" s="29"/>
      <c r="EHP22" s="24"/>
      <c r="EHQ22" s="13"/>
      <c r="EHR22" s="13"/>
      <c r="EHS22" s="14"/>
      <c r="EHT22" s="15"/>
      <c r="EHU22" s="15"/>
      <c r="EHV22" s="16"/>
      <c r="EHW22" s="41"/>
      <c r="EHX22" s="41"/>
      <c r="EHY22" s="28"/>
      <c r="EHZ22" s="29"/>
      <c r="EIA22" s="24"/>
      <c r="EIB22" s="13"/>
      <c r="EIC22" s="13"/>
      <c r="EID22" s="14"/>
      <c r="EIE22" s="15"/>
      <c r="EIF22" s="15"/>
      <c r="EIG22" s="16"/>
      <c r="EIH22" s="41"/>
      <c r="EII22" s="41"/>
      <c r="EIJ22" s="28"/>
      <c r="EIK22" s="29"/>
      <c r="EIL22" s="24"/>
      <c r="EIM22" s="13"/>
      <c r="EIN22" s="13"/>
      <c r="EIO22" s="14"/>
      <c r="EIP22" s="15"/>
      <c r="EIQ22" s="15"/>
      <c r="EIR22" s="16"/>
      <c r="EIS22" s="41"/>
      <c r="EIT22" s="41"/>
      <c r="EIU22" s="28"/>
      <c r="EIV22" s="29"/>
      <c r="EIW22" s="24"/>
      <c r="EIX22" s="13"/>
      <c r="EIY22" s="13"/>
      <c r="EIZ22" s="14"/>
      <c r="EJA22" s="15"/>
      <c r="EJB22" s="15"/>
      <c r="EJC22" s="16"/>
      <c r="EJD22" s="41"/>
      <c r="EJE22" s="41"/>
      <c r="EJF22" s="28"/>
      <c r="EJG22" s="29"/>
      <c r="EJH22" s="24"/>
      <c r="EJI22" s="13"/>
      <c r="EJJ22" s="13"/>
      <c r="EJK22" s="14"/>
      <c r="EJL22" s="15"/>
      <c r="EJM22" s="15"/>
      <c r="EJN22" s="16"/>
      <c r="EJO22" s="41"/>
      <c r="EJP22" s="41"/>
      <c r="EJQ22" s="28"/>
      <c r="EJR22" s="29"/>
      <c r="EJS22" s="24"/>
      <c r="EJT22" s="13"/>
      <c r="EJU22" s="13"/>
      <c r="EJV22" s="14"/>
      <c r="EJW22" s="15"/>
      <c r="EJX22" s="15"/>
      <c r="EJY22" s="16"/>
      <c r="EJZ22" s="41"/>
      <c r="EKA22" s="41"/>
      <c r="EKB22" s="28"/>
      <c r="EKC22" s="29"/>
      <c r="EKD22" s="24"/>
      <c r="EKE22" s="13"/>
      <c r="EKF22" s="13"/>
      <c r="EKG22" s="14"/>
      <c r="EKH22" s="15"/>
      <c r="EKI22" s="15"/>
      <c r="EKJ22" s="16"/>
      <c r="EKK22" s="41"/>
      <c r="EKL22" s="41"/>
      <c r="EKM22" s="28"/>
      <c r="EKN22" s="29"/>
      <c r="EKO22" s="24"/>
      <c r="EKP22" s="13"/>
      <c r="EKQ22" s="13"/>
      <c r="EKR22" s="14"/>
      <c r="EKS22" s="15"/>
      <c r="EKT22" s="15"/>
      <c r="EKU22" s="16"/>
      <c r="EKV22" s="41"/>
      <c r="EKW22" s="41"/>
      <c r="EKX22" s="28"/>
      <c r="EKY22" s="29"/>
      <c r="EKZ22" s="24"/>
      <c r="ELA22" s="13"/>
      <c r="ELB22" s="13"/>
      <c r="ELC22" s="14"/>
      <c r="ELD22" s="15"/>
      <c r="ELE22" s="15"/>
      <c r="ELF22" s="16"/>
      <c r="ELG22" s="41"/>
      <c r="ELH22" s="41"/>
      <c r="ELI22" s="28"/>
      <c r="ELJ22" s="29"/>
      <c r="ELK22" s="24"/>
      <c r="ELL22" s="13"/>
      <c r="ELM22" s="13"/>
      <c r="ELN22" s="14"/>
      <c r="ELO22" s="15"/>
      <c r="ELP22" s="15"/>
      <c r="ELQ22" s="16"/>
      <c r="ELR22" s="41"/>
      <c r="ELS22" s="41"/>
      <c r="ELT22" s="28"/>
      <c r="ELU22" s="29"/>
      <c r="ELV22" s="24"/>
      <c r="ELW22" s="13"/>
      <c r="ELX22" s="13"/>
      <c r="ELY22" s="14"/>
      <c r="ELZ22" s="15"/>
      <c r="EMA22" s="15"/>
      <c r="EMB22" s="16"/>
      <c r="EMC22" s="41"/>
      <c r="EMD22" s="41"/>
      <c r="EME22" s="28"/>
      <c r="EMF22" s="29"/>
      <c r="EMG22" s="24"/>
      <c r="EMH22" s="13"/>
      <c r="EMI22" s="13"/>
      <c r="EMJ22" s="14"/>
      <c r="EMK22" s="15"/>
      <c r="EML22" s="15"/>
      <c r="EMM22" s="16"/>
      <c r="EMN22" s="41"/>
      <c r="EMO22" s="41"/>
      <c r="EMP22" s="28"/>
      <c r="EMQ22" s="29"/>
      <c r="EMR22" s="24"/>
      <c r="EMS22" s="13"/>
      <c r="EMT22" s="13"/>
      <c r="EMU22" s="14"/>
      <c r="EMV22" s="15"/>
      <c r="EMW22" s="15"/>
      <c r="EMX22" s="16"/>
      <c r="EMY22" s="41"/>
      <c r="EMZ22" s="41"/>
      <c r="ENA22" s="28"/>
      <c r="ENB22" s="29"/>
      <c r="ENC22" s="24"/>
      <c r="END22" s="13"/>
      <c r="ENE22" s="13"/>
      <c r="ENF22" s="14"/>
      <c r="ENG22" s="15"/>
      <c r="ENH22" s="15"/>
      <c r="ENI22" s="16"/>
      <c r="ENJ22" s="41"/>
      <c r="ENK22" s="41"/>
      <c r="ENL22" s="28"/>
      <c r="ENM22" s="29"/>
      <c r="ENN22" s="24"/>
      <c r="ENO22" s="13"/>
      <c r="ENP22" s="13"/>
      <c r="ENQ22" s="14"/>
      <c r="ENR22" s="15"/>
      <c r="ENS22" s="15"/>
      <c r="ENT22" s="16"/>
      <c r="ENU22" s="41"/>
      <c r="ENV22" s="41"/>
      <c r="ENW22" s="28"/>
      <c r="ENX22" s="29"/>
      <c r="ENY22" s="24"/>
      <c r="ENZ22" s="13"/>
      <c r="EOA22" s="13"/>
      <c r="EOB22" s="14"/>
      <c r="EOC22" s="15"/>
      <c r="EOD22" s="15"/>
      <c r="EOE22" s="16"/>
      <c r="EOF22" s="41"/>
      <c r="EOG22" s="41"/>
      <c r="EOH22" s="28"/>
      <c r="EOI22" s="29"/>
      <c r="EOJ22" s="24"/>
      <c r="EOK22" s="13"/>
      <c r="EOL22" s="13"/>
      <c r="EOM22" s="14"/>
      <c r="EON22" s="15"/>
      <c r="EOO22" s="15"/>
      <c r="EOP22" s="16"/>
      <c r="EOQ22" s="41"/>
      <c r="EOR22" s="41"/>
      <c r="EOS22" s="28"/>
      <c r="EOT22" s="29"/>
      <c r="EOU22" s="24"/>
      <c r="EOV22" s="13"/>
      <c r="EOW22" s="13"/>
      <c r="EOX22" s="14"/>
      <c r="EOY22" s="15"/>
      <c r="EOZ22" s="15"/>
      <c r="EPA22" s="16"/>
      <c r="EPB22" s="41"/>
      <c r="EPC22" s="41"/>
      <c r="EPD22" s="28"/>
      <c r="EPE22" s="29"/>
      <c r="EPF22" s="24"/>
      <c r="EPG22" s="13"/>
      <c r="EPH22" s="13"/>
      <c r="EPI22" s="14"/>
      <c r="EPJ22" s="15"/>
      <c r="EPK22" s="15"/>
      <c r="EPL22" s="16"/>
      <c r="EPM22" s="41"/>
      <c r="EPN22" s="41"/>
      <c r="EPO22" s="28"/>
      <c r="EPP22" s="29"/>
      <c r="EPQ22" s="24"/>
      <c r="EPR22" s="13"/>
      <c r="EPS22" s="13"/>
      <c r="EPT22" s="14"/>
      <c r="EPU22" s="15"/>
      <c r="EPV22" s="15"/>
      <c r="EPW22" s="16"/>
      <c r="EPX22" s="41"/>
      <c r="EPY22" s="41"/>
      <c r="EPZ22" s="28"/>
      <c r="EQA22" s="29"/>
      <c r="EQB22" s="24"/>
      <c r="EQC22" s="13"/>
      <c r="EQD22" s="13"/>
      <c r="EQE22" s="14"/>
      <c r="EQF22" s="15"/>
      <c r="EQG22" s="15"/>
      <c r="EQH22" s="16"/>
      <c r="EQI22" s="41"/>
      <c r="EQJ22" s="41"/>
      <c r="EQK22" s="28"/>
      <c r="EQL22" s="29"/>
      <c r="EQM22" s="24"/>
      <c r="EQN22" s="13"/>
      <c r="EQO22" s="13"/>
      <c r="EQP22" s="14"/>
      <c r="EQQ22" s="15"/>
      <c r="EQR22" s="15"/>
      <c r="EQS22" s="16"/>
      <c r="EQT22" s="41"/>
      <c r="EQU22" s="41"/>
      <c r="EQV22" s="28"/>
      <c r="EQW22" s="29"/>
      <c r="EQX22" s="24"/>
      <c r="EQY22" s="13"/>
      <c r="EQZ22" s="13"/>
      <c r="ERA22" s="14"/>
      <c r="ERB22" s="15"/>
      <c r="ERC22" s="15"/>
      <c r="ERD22" s="16"/>
      <c r="ERE22" s="41"/>
      <c r="ERF22" s="41"/>
      <c r="ERG22" s="28"/>
      <c r="ERH22" s="29"/>
      <c r="ERI22" s="24"/>
      <c r="ERJ22" s="13"/>
      <c r="ERK22" s="13"/>
      <c r="ERL22" s="14"/>
      <c r="ERM22" s="15"/>
      <c r="ERN22" s="15"/>
      <c r="ERO22" s="16"/>
      <c r="ERP22" s="41"/>
      <c r="ERQ22" s="41"/>
      <c r="ERR22" s="28"/>
      <c r="ERS22" s="29"/>
      <c r="ERT22" s="24"/>
      <c r="ERU22" s="13"/>
      <c r="ERV22" s="13"/>
      <c r="ERW22" s="14"/>
      <c r="ERX22" s="15"/>
      <c r="ERY22" s="15"/>
      <c r="ERZ22" s="16"/>
      <c r="ESA22" s="41"/>
      <c r="ESB22" s="41"/>
      <c r="ESC22" s="28"/>
      <c r="ESD22" s="29"/>
      <c r="ESE22" s="24"/>
      <c r="ESF22" s="13"/>
      <c r="ESG22" s="13"/>
      <c r="ESH22" s="14"/>
      <c r="ESI22" s="15"/>
      <c r="ESJ22" s="15"/>
      <c r="ESK22" s="16"/>
      <c r="ESL22" s="41"/>
      <c r="ESM22" s="41"/>
      <c r="ESN22" s="28"/>
      <c r="ESO22" s="29"/>
      <c r="ESP22" s="24"/>
      <c r="ESQ22" s="13"/>
      <c r="ESR22" s="13"/>
      <c r="ESS22" s="14"/>
      <c r="EST22" s="15"/>
      <c r="ESU22" s="15"/>
      <c r="ESV22" s="16"/>
      <c r="ESW22" s="41"/>
      <c r="ESX22" s="41"/>
      <c r="ESY22" s="28"/>
      <c r="ESZ22" s="29"/>
      <c r="ETA22" s="24"/>
      <c r="ETB22" s="13"/>
      <c r="ETC22" s="13"/>
      <c r="ETD22" s="14"/>
      <c r="ETE22" s="15"/>
      <c r="ETF22" s="15"/>
      <c r="ETG22" s="16"/>
      <c r="ETH22" s="41"/>
      <c r="ETI22" s="41"/>
      <c r="ETJ22" s="28"/>
      <c r="ETK22" s="29"/>
      <c r="ETL22" s="24"/>
      <c r="ETM22" s="13"/>
      <c r="ETN22" s="13"/>
      <c r="ETO22" s="14"/>
      <c r="ETP22" s="15"/>
      <c r="ETQ22" s="15"/>
      <c r="ETR22" s="16"/>
      <c r="ETS22" s="41"/>
      <c r="ETT22" s="41"/>
      <c r="ETU22" s="28"/>
      <c r="ETV22" s="29"/>
      <c r="ETW22" s="24"/>
      <c r="ETX22" s="13"/>
      <c r="ETY22" s="13"/>
      <c r="ETZ22" s="14"/>
      <c r="EUA22" s="15"/>
      <c r="EUB22" s="15"/>
      <c r="EUC22" s="16"/>
      <c r="EUD22" s="41"/>
      <c r="EUE22" s="41"/>
      <c r="EUF22" s="28"/>
      <c r="EUG22" s="29"/>
      <c r="EUH22" s="24"/>
      <c r="EUI22" s="13"/>
      <c r="EUJ22" s="13"/>
      <c r="EUK22" s="14"/>
      <c r="EUL22" s="15"/>
      <c r="EUM22" s="15"/>
      <c r="EUN22" s="16"/>
      <c r="EUO22" s="41"/>
      <c r="EUP22" s="41"/>
      <c r="EUQ22" s="28"/>
      <c r="EUR22" s="29"/>
      <c r="EUS22" s="24"/>
      <c r="EUT22" s="13"/>
      <c r="EUU22" s="13"/>
      <c r="EUV22" s="14"/>
      <c r="EUW22" s="15"/>
      <c r="EUX22" s="15"/>
      <c r="EUY22" s="16"/>
      <c r="EUZ22" s="41"/>
      <c r="EVA22" s="41"/>
      <c r="EVB22" s="28"/>
      <c r="EVC22" s="29"/>
      <c r="EVD22" s="24"/>
      <c r="EVE22" s="13"/>
      <c r="EVF22" s="13"/>
      <c r="EVG22" s="14"/>
      <c r="EVH22" s="15"/>
      <c r="EVI22" s="15"/>
      <c r="EVJ22" s="16"/>
      <c r="EVK22" s="41"/>
      <c r="EVL22" s="41"/>
      <c r="EVM22" s="28"/>
      <c r="EVN22" s="29"/>
      <c r="EVO22" s="24"/>
      <c r="EVP22" s="13"/>
      <c r="EVQ22" s="13"/>
      <c r="EVR22" s="14"/>
      <c r="EVS22" s="15"/>
      <c r="EVT22" s="15"/>
      <c r="EVU22" s="16"/>
      <c r="EVV22" s="41"/>
      <c r="EVW22" s="41"/>
      <c r="EVX22" s="28"/>
      <c r="EVY22" s="29"/>
      <c r="EVZ22" s="24"/>
      <c r="EWA22" s="13"/>
      <c r="EWB22" s="13"/>
      <c r="EWC22" s="14"/>
      <c r="EWD22" s="15"/>
      <c r="EWE22" s="15"/>
      <c r="EWF22" s="16"/>
      <c r="EWG22" s="41"/>
      <c r="EWH22" s="41"/>
      <c r="EWI22" s="28"/>
      <c r="EWJ22" s="29"/>
      <c r="EWK22" s="24"/>
      <c r="EWL22" s="13"/>
      <c r="EWM22" s="13"/>
      <c r="EWN22" s="14"/>
      <c r="EWO22" s="15"/>
      <c r="EWP22" s="15"/>
      <c r="EWQ22" s="16"/>
      <c r="EWR22" s="41"/>
      <c r="EWS22" s="41"/>
      <c r="EWT22" s="28"/>
      <c r="EWU22" s="29"/>
      <c r="EWV22" s="24"/>
      <c r="EWW22" s="13"/>
      <c r="EWX22" s="13"/>
      <c r="EWY22" s="14"/>
      <c r="EWZ22" s="15"/>
      <c r="EXA22" s="15"/>
      <c r="EXB22" s="16"/>
      <c r="EXC22" s="41"/>
      <c r="EXD22" s="41"/>
      <c r="EXE22" s="28"/>
      <c r="EXF22" s="29"/>
      <c r="EXG22" s="24"/>
      <c r="EXH22" s="13"/>
      <c r="EXI22" s="13"/>
      <c r="EXJ22" s="14"/>
      <c r="EXK22" s="15"/>
      <c r="EXL22" s="15"/>
      <c r="EXM22" s="16"/>
      <c r="EXN22" s="41"/>
      <c r="EXO22" s="41"/>
      <c r="EXP22" s="28"/>
      <c r="EXQ22" s="29"/>
      <c r="EXR22" s="24"/>
      <c r="EXS22" s="13"/>
      <c r="EXT22" s="13"/>
      <c r="EXU22" s="14"/>
      <c r="EXV22" s="15"/>
      <c r="EXW22" s="15"/>
      <c r="EXX22" s="16"/>
      <c r="EXY22" s="41"/>
      <c r="EXZ22" s="41"/>
      <c r="EYA22" s="28"/>
      <c r="EYB22" s="29"/>
      <c r="EYC22" s="24"/>
      <c r="EYD22" s="13"/>
      <c r="EYE22" s="13"/>
      <c r="EYF22" s="14"/>
      <c r="EYG22" s="15"/>
      <c r="EYH22" s="15"/>
      <c r="EYI22" s="16"/>
      <c r="EYJ22" s="41"/>
      <c r="EYK22" s="41"/>
      <c r="EYL22" s="28"/>
      <c r="EYM22" s="29"/>
      <c r="EYN22" s="24"/>
      <c r="EYO22" s="13"/>
      <c r="EYP22" s="13"/>
      <c r="EYQ22" s="14"/>
      <c r="EYR22" s="15"/>
      <c r="EYS22" s="15"/>
      <c r="EYT22" s="16"/>
      <c r="EYU22" s="41"/>
      <c r="EYV22" s="41"/>
      <c r="EYW22" s="28"/>
      <c r="EYX22" s="29"/>
      <c r="EYY22" s="24"/>
      <c r="EYZ22" s="13"/>
      <c r="EZA22" s="13"/>
      <c r="EZB22" s="14"/>
      <c r="EZC22" s="15"/>
      <c r="EZD22" s="15"/>
      <c r="EZE22" s="16"/>
      <c r="EZF22" s="41"/>
      <c r="EZG22" s="41"/>
      <c r="EZH22" s="28"/>
      <c r="EZI22" s="29"/>
      <c r="EZJ22" s="24"/>
      <c r="EZK22" s="13"/>
      <c r="EZL22" s="13"/>
      <c r="EZM22" s="14"/>
      <c r="EZN22" s="15"/>
      <c r="EZO22" s="15"/>
      <c r="EZP22" s="16"/>
      <c r="EZQ22" s="41"/>
      <c r="EZR22" s="41"/>
      <c r="EZS22" s="28"/>
      <c r="EZT22" s="29"/>
      <c r="EZU22" s="24"/>
      <c r="EZV22" s="13"/>
      <c r="EZW22" s="13"/>
      <c r="EZX22" s="14"/>
      <c r="EZY22" s="15"/>
      <c r="EZZ22" s="15"/>
      <c r="FAA22" s="16"/>
      <c r="FAB22" s="41"/>
      <c r="FAC22" s="41"/>
      <c r="FAD22" s="28"/>
      <c r="FAE22" s="29"/>
      <c r="FAF22" s="24"/>
      <c r="FAG22" s="13"/>
      <c r="FAH22" s="13"/>
      <c r="FAI22" s="14"/>
      <c r="FAJ22" s="15"/>
      <c r="FAK22" s="15"/>
      <c r="FAL22" s="16"/>
      <c r="FAM22" s="41"/>
      <c r="FAN22" s="41"/>
      <c r="FAO22" s="28"/>
      <c r="FAP22" s="29"/>
      <c r="FAQ22" s="24"/>
      <c r="FAR22" s="13"/>
      <c r="FAS22" s="13"/>
      <c r="FAT22" s="14"/>
      <c r="FAU22" s="15"/>
      <c r="FAV22" s="15"/>
      <c r="FAW22" s="16"/>
      <c r="FAX22" s="41"/>
      <c r="FAY22" s="41"/>
      <c r="FAZ22" s="28"/>
      <c r="FBA22" s="29"/>
      <c r="FBB22" s="24"/>
      <c r="FBC22" s="13"/>
      <c r="FBD22" s="13"/>
      <c r="FBE22" s="14"/>
      <c r="FBF22" s="15"/>
      <c r="FBG22" s="15"/>
      <c r="FBH22" s="16"/>
      <c r="FBI22" s="41"/>
      <c r="FBJ22" s="41"/>
      <c r="FBK22" s="28"/>
      <c r="FBL22" s="29"/>
      <c r="FBM22" s="24"/>
      <c r="FBN22" s="13"/>
      <c r="FBO22" s="13"/>
      <c r="FBP22" s="14"/>
      <c r="FBQ22" s="15"/>
      <c r="FBR22" s="15"/>
      <c r="FBS22" s="16"/>
      <c r="FBT22" s="41"/>
      <c r="FBU22" s="41"/>
      <c r="FBV22" s="28"/>
      <c r="FBW22" s="29"/>
      <c r="FBX22" s="24"/>
      <c r="FBY22" s="13"/>
      <c r="FBZ22" s="13"/>
      <c r="FCA22" s="14"/>
      <c r="FCB22" s="15"/>
      <c r="FCC22" s="15"/>
      <c r="FCD22" s="16"/>
      <c r="FCE22" s="41"/>
      <c r="FCF22" s="41"/>
      <c r="FCG22" s="28"/>
      <c r="FCH22" s="29"/>
      <c r="FCI22" s="24"/>
      <c r="FCJ22" s="13"/>
      <c r="FCK22" s="13"/>
      <c r="FCL22" s="14"/>
      <c r="FCM22" s="15"/>
      <c r="FCN22" s="15"/>
      <c r="FCO22" s="16"/>
      <c r="FCP22" s="41"/>
      <c r="FCQ22" s="41"/>
      <c r="FCR22" s="28"/>
      <c r="FCS22" s="29"/>
      <c r="FCT22" s="24"/>
      <c r="FCU22" s="13"/>
      <c r="FCV22" s="13"/>
      <c r="FCW22" s="14"/>
      <c r="FCX22" s="15"/>
      <c r="FCY22" s="15"/>
      <c r="FCZ22" s="16"/>
      <c r="FDA22" s="41"/>
      <c r="FDB22" s="41"/>
      <c r="FDC22" s="28"/>
      <c r="FDD22" s="29"/>
      <c r="FDE22" s="24"/>
      <c r="FDF22" s="13"/>
      <c r="FDG22" s="13"/>
      <c r="FDH22" s="14"/>
      <c r="FDI22" s="15"/>
      <c r="FDJ22" s="15"/>
      <c r="FDK22" s="16"/>
      <c r="FDL22" s="41"/>
      <c r="FDM22" s="41"/>
      <c r="FDN22" s="28"/>
      <c r="FDO22" s="29"/>
      <c r="FDP22" s="24"/>
      <c r="FDQ22" s="13"/>
      <c r="FDR22" s="13"/>
      <c r="FDS22" s="14"/>
      <c r="FDT22" s="15"/>
      <c r="FDU22" s="15"/>
      <c r="FDV22" s="16"/>
      <c r="FDW22" s="41"/>
      <c r="FDX22" s="41"/>
      <c r="FDY22" s="28"/>
      <c r="FDZ22" s="29"/>
      <c r="FEA22" s="24"/>
      <c r="FEB22" s="13"/>
      <c r="FEC22" s="13"/>
      <c r="FED22" s="14"/>
      <c r="FEE22" s="15"/>
      <c r="FEF22" s="15"/>
      <c r="FEG22" s="16"/>
      <c r="FEH22" s="41"/>
      <c r="FEI22" s="41"/>
      <c r="FEJ22" s="28"/>
      <c r="FEK22" s="29"/>
      <c r="FEL22" s="24"/>
      <c r="FEM22" s="13"/>
      <c r="FEN22" s="13"/>
      <c r="FEO22" s="14"/>
      <c r="FEP22" s="15"/>
      <c r="FEQ22" s="15"/>
      <c r="FER22" s="16"/>
      <c r="FES22" s="41"/>
      <c r="FET22" s="41"/>
      <c r="FEU22" s="28"/>
      <c r="FEV22" s="29"/>
      <c r="FEW22" s="24"/>
      <c r="FEX22" s="13"/>
      <c r="FEY22" s="13"/>
      <c r="FEZ22" s="14"/>
      <c r="FFA22" s="15"/>
      <c r="FFB22" s="15"/>
      <c r="FFC22" s="16"/>
      <c r="FFD22" s="41"/>
      <c r="FFE22" s="41"/>
      <c r="FFF22" s="28"/>
      <c r="FFG22" s="29"/>
      <c r="FFH22" s="24"/>
      <c r="FFI22" s="13"/>
      <c r="FFJ22" s="13"/>
      <c r="FFK22" s="14"/>
      <c r="FFL22" s="15"/>
      <c r="FFM22" s="15"/>
      <c r="FFN22" s="16"/>
      <c r="FFO22" s="41"/>
      <c r="FFP22" s="41"/>
      <c r="FFQ22" s="28"/>
      <c r="FFR22" s="29"/>
      <c r="FFS22" s="24"/>
      <c r="FFT22" s="13"/>
      <c r="FFU22" s="13"/>
      <c r="FFV22" s="14"/>
      <c r="FFW22" s="15"/>
      <c r="FFX22" s="15"/>
      <c r="FFY22" s="16"/>
      <c r="FFZ22" s="41"/>
      <c r="FGA22" s="41"/>
      <c r="FGB22" s="28"/>
      <c r="FGC22" s="29"/>
      <c r="FGD22" s="24"/>
      <c r="FGE22" s="13"/>
      <c r="FGF22" s="13"/>
      <c r="FGG22" s="14"/>
      <c r="FGH22" s="15"/>
      <c r="FGI22" s="15"/>
      <c r="FGJ22" s="16"/>
      <c r="FGK22" s="41"/>
      <c r="FGL22" s="41"/>
      <c r="FGM22" s="28"/>
      <c r="FGN22" s="29"/>
      <c r="FGO22" s="24"/>
      <c r="FGP22" s="13"/>
      <c r="FGQ22" s="13"/>
      <c r="FGR22" s="14"/>
      <c r="FGS22" s="15"/>
      <c r="FGT22" s="15"/>
      <c r="FGU22" s="16"/>
      <c r="FGV22" s="41"/>
      <c r="FGW22" s="41"/>
      <c r="FGX22" s="28"/>
      <c r="FGY22" s="29"/>
      <c r="FGZ22" s="24"/>
      <c r="FHA22" s="13"/>
      <c r="FHB22" s="13"/>
      <c r="FHC22" s="14"/>
      <c r="FHD22" s="15"/>
      <c r="FHE22" s="15"/>
      <c r="FHF22" s="16"/>
      <c r="FHG22" s="41"/>
      <c r="FHH22" s="41"/>
      <c r="FHI22" s="28"/>
      <c r="FHJ22" s="29"/>
      <c r="FHK22" s="24"/>
      <c r="FHL22" s="13"/>
      <c r="FHM22" s="13"/>
      <c r="FHN22" s="14"/>
      <c r="FHO22" s="15"/>
      <c r="FHP22" s="15"/>
      <c r="FHQ22" s="16"/>
      <c r="FHR22" s="41"/>
      <c r="FHS22" s="41"/>
      <c r="FHT22" s="28"/>
      <c r="FHU22" s="29"/>
      <c r="FHV22" s="24"/>
      <c r="FHW22" s="13"/>
      <c r="FHX22" s="13"/>
      <c r="FHY22" s="14"/>
      <c r="FHZ22" s="15"/>
      <c r="FIA22" s="15"/>
      <c r="FIB22" s="16"/>
      <c r="FIC22" s="41"/>
      <c r="FID22" s="41"/>
      <c r="FIE22" s="28"/>
      <c r="FIF22" s="29"/>
      <c r="FIG22" s="24"/>
      <c r="FIH22" s="13"/>
      <c r="FII22" s="13"/>
      <c r="FIJ22" s="14"/>
      <c r="FIK22" s="15"/>
      <c r="FIL22" s="15"/>
      <c r="FIM22" s="16"/>
      <c r="FIN22" s="41"/>
      <c r="FIO22" s="41"/>
      <c r="FIP22" s="28"/>
      <c r="FIQ22" s="29"/>
      <c r="FIR22" s="24"/>
      <c r="FIS22" s="13"/>
      <c r="FIT22" s="13"/>
      <c r="FIU22" s="14"/>
      <c r="FIV22" s="15"/>
      <c r="FIW22" s="15"/>
      <c r="FIX22" s="16"/>
      <c r="FIY22" s="41"/>
      <c r="FIZ22" s="41"/>
      <c r="FJA22" s="28"/>
      <c r="FJB22" s="29"/>
      <c r="FJC22" s="24"/>
      <c r="FJD22" s="13"/>
      <c r="FJE22" s="13"/>
      <c r="FJF22" s="14"/>
      <c r="FJG22" s="15"/>
      <c r="FJH22" s="15"/>
      <c r="FJI22" s="16"/>
      <c r="FJJ22" s="41"/>
      <c r="FJK22" s="41"/>
      <c r="FJL22" s="28"/>
      <c r="FJM22" s="29"/>
      <c r="FJN22" s="24"/>
      <c r="FJO22" s="13"/>
      <c r="FJP22" s="13"/>
      <c r="FJQ22" s="14"/>
      <c r="FJR22" s="15"/>
      <c r="FJS22" s="15"/>
      <c r="FJT22" s="16"/>
      <c r="FJU22" s="41"/>
      <c r="FJV22" s="41"/>
      <c r="FJW22" s="28"/>
      <c r="FJX22" s="29"/>
      <c r="FJY22" s="24"/>
      <c r="FJZ22" s="13"/>
      <c r="FKA22" s="13"/>
      <c r="FKB22" s="14"/>
      <c r="FKC22" s="15"/>
      <c r="FKD22" s="15"/>
      <c r="FKE22" s="16"/>
      <c r="FKF22" s="41"/>
      <c r="FKG22" s="41"/>
      <c r="FKH22" s="28"/>
      <c r="FKI22" s="29"/>
      <c r="FKJ22" s="24"/>
      <c r="FKK22" s="13"/>
      <c r="FKL22" s="13"/>
      <c r="FKM22" s="14"/>
      <c r="FKN22" s="15"/>
      <c r="FKO22" s="15"/>
      <c r="FKP22" s="16"/>
      <c r="FKQ22" s="41"/>
      <c r="FKR22" s="41"/>
      <c r="FKS22" s="28"/>
      <c r="FKT22" s="29"/>
      <c r="FKU22" s="24"/>
      <c r="FKV22" s="13"/>
      <c r="FKW22" s="13"/>
      <c r="FKX22" s="14"/>
      <c r="FKY22" s="15"/>
      <c r="FKZ22" s="15"/>
      <c r="FLA22" s="16"/>
      <c r="FLB22" s="41"/>
      <c r="FLC22" s="41"/>
      <c r="FLD22" s="28"/>
      <c r="FLE22" s="29"/>
      <c r="FLF22" s="24"/>
      <c r="FLG22" s="13"/>
      <c r="FLH22" s="13"/>
      <c r="FLI22" s="14"/>
      <c r="FLJ22" s="15"/>
      <c r="FLK22" s="15"/>
      <c r="FLL22" s="16"/>
      <c r="FLM22" s="41"/>
      <c r="FLN22" s="41"/>
      <c r="FLO22" s="28"/>
      <c r="FLP22" s="29"/>
      <c r="FLQ22" s="24"/>
      <c r="FLR22" s="13"/>
      <c r="FLS22" s="13"/>
      <c r="FLT22" s="14"/>
      <c r="FLU22" s="15"/>
      <c r="FLV22" s="15"/>
      <c r="FLW22" s="16"/>
      <c r="FLX22" s="41"/>
      <c r="FLY22" s="41"/>
      <c r="FLZ22" s="28"/>
      <c r="FMA22" s="29"/>
      <c r="FMB22" s="24"/>
      <c r="FMC22" s="13"/>
      <c r="FMD22" s="13"/>
      <c r="FME22" s="14"/>
      <c r="FMF22" s="15"/>
      <c r="FMG22" s="15"/>
      <c r="FMH22" s="16"/>
      <c r="FMI22" s="41"/>
      <c r="FMJ22" s="41"/>
      <c r="FMK22" s="28"/>
      <c r="FML22" s="29"/>
      <c r="FMM22" s="24"/>
      <c r="FMN22" s="13"/>
      <c r="FMO22" s="13"/>
      <c r="FMP22" s="14"/>
      <c r="FMQ22" s="15"/>
      <c r="FMR22" s="15"/>
      <c r="FMS22" s="16"/>
      <c r="FMT22" s="41"/>
      <c r="FMU22" s="41"/>
      <c r="FMV22" s="28"/>
      <c r="FMW22" s="29"/>
      <c r="FMX22" s="24"/>
      <c r="FMY22" s="13"/>
      <c r="FMZ22" s="13"/>
      <c r="FNA22" s="14"/>
      <c r="FNB22" s="15"/>
      <c r="FNC22" s="15"/>
      <c r="FND22" s="16"/>
      <c r="FNE22" s="41"/>
      <c r="FNF22" s="41"/>
      <c r="FNG22" s="28"/>
      <c r="FNH22" s="29"/>
      <c r="FNI22" s="24"/>
      <c r="FNJ22" s="13"/>
      <c r="FNK22" s="13"/>
      <c r="FNL22" s="14"/>
      <c r="FNM22" s="15"/>
      <c r="FNN22" s="15"/>
      <c r="FNO22" s="16"/>
      <c r="FNP22" s="41"/>
      <c r="FNQ22" s="41"/>
      <c r="FNR22" s="28"/>
      <c r="FNS22" s="29"/>
      <c r="FNT22" s="24"/>
      <c r="FNU22" s="13"/>
      <c r="FNV22" s="13"/>
      <c r="FNW22" s="14"/>
      <c r="FNX22" s="15"/>
      <c r="FNY22" s="15"/>
      <c r="FNZ22" s="16"/>
      <c r="FOA22" s="41"/>
      <c r="FOB22" s="41"/>
      <c r="FOC22" s="28"/>
      <c r="FOD22" s="29"/>
      <c r="FOE22" s="24"/>
      <c r="FOF22" s="13"/>
      <c r="FOG22" s="13"/>
      <c r="FOH22" s="14"/>
      <c r="FOI22" s="15"/>
      <c r="FOJ22" s="15"/>
      <c r="FOK22" s="16"/>
      <c r="FOL22" s="41"/>
      <c r="FOM22" s="41"/>
      <c r="FON22" s="28"/>
      <c r="FOO22" s="29"/>
      <c r="FOP22" s="24"/>
      <c r="FOQ22" s="13"/>
      <c r="FOR22" s="13"/>
      <c r="FOS22" s="14"/>
      <c r="FOT22" s="15"/>
      <c r="FOU22" s="15"/>
      <c r="FOV22" s="16"/>
      <c r="FOW22" s="41"/>
      <c r="FOX22" s="41"/>
      <c r="FOY22" s="28"/>
      <c r="FOZ22" s="29"/>
      <c r="FPA22" s="24"/>
      <c r="FPB22" s="13"/>
      <c r="FPC22" s="13"/>
      <c r="FPD22" s="14"/>
      <c r="FPE22" s="15"/>
      <c r="FPF22" s="15"/>
      <c r="FPG22" s="16"/>
      <c r="FPH22" s="41"/>
      <c r="FPI22" s="41"/>
      <c r="FPJ22" s="28"/>
      <c r="FPK22" s="29"/>
      <c r="FPL22" s="24"/>
      <c r="FPM22" s="13"/>
      <c r="FPN22" s="13"/>
      <c r="FPO22" s="14"/>
      <c r="FPP22" s="15"/>
      <c r="FPQ22" s="15"/>
      <c r="FPR22" s="16"/>
      <c r="FPS22" s="41"/>
      <c r="FPT22" s="41"/>
      <c r="FPU22" s="28"/>
      <c r="FPV22" s="29"/>
      <c r="FPW22" s="24"/>
      <c r="FPX22" s="13"/>
      <c r="FPY22" s="13"/>
      <c r="FPZ22" s="14"/>
      <c r="FQA22" s="15"/>
      <c r="FQB22" s="15"/>
      <c r="FQC22" s="16"/>
      <c r="FQD22" s="41"/>
      <c r="FQE22" s="41"/>
      <c r="FQF22" s="28"/>
      <c r="FQG22" s="29"/>
      <c r="FQH22" s="24"/>
      <c r="FQI22" s="13"/>
      <c r="FQJ22" s="13"/>
      <c r="FQK22" s="14"/>
      <c r="FQL22" s="15"/>
      <c r="FQM22" s="15"/>
      <c r="FQN22" s="16"/>
      <c r="FQO22" s="41"/>
      <c r="FQP22" s="41"/>
      <c r="FQQ22" s="28"/>
      <c r="FQR22" s="29"/>
      <c r="FQS22" s="24"/>
      <c r="FQT22" s="13"/>
      <c r="FQU22" s="13"/>
      <c r="FQV22" s="14"/>
      <c r="FQW22" s="15"/>
      <c r="FQX22" s="15"/>
      <c r="FQY22" s="16"/>
      <c r="FQZ22" s="41"/>
      <c r="FRA22" s="41"/>
      <c r="FRB22" s="28"/>
      <c r="FRC22" s="29"/>
      <c r="FRD22" s="24"/>
      <c r="FRE22" s="13"/>
      <c r="FRF22" s="13"/>
      <c r="FRG22" s="14"/>
      <c r="FRH22" s="15"/>
      <c r="FRI22" s="15"/>
      <c r="FRJ22" s="16"/>
      <c r="FRK22" s="41"/>
      <c r="FRL22" s="41"/>
      <c r="FRM22" s="28"/>
      <c r="FRN22" s="29"/>
      <c r="FRO22" s="24"/>
      <c r="FRP22" s="13"/>
      <c r="FRQ22" s="13"/>
      <c r="FRR22" s="14"/>
      <c r="FRS22" s="15"/>
      <c r="FRT22" s="15"/>
      <c r="FRU22" s="16"/>
      <c r="FRV22" s="41"/>
      <c r="FRW22" s="41"/>
      <c r="FRX22" s="28"/>
      <c r="FRY22" s="29"/>
      <c r="FRZ22" s="24"/>
      <c r="FSA22" s="13"/>
      <c r="FSB22" s="13"/>
      <c r="FSC22" s="14"/>
      <c r="FSD22" s="15"/>
      <c r="FSE22" s="15"/>
      <c r="FSF22" s="16"/>
      <c r="FSG22" s="41"/>
      <c r="FSH22" s="41"/>
      <c r="FSI22" s="28"/>
      <c r="FSJ22" s="29"/>
      <c r="FSK22" s="24"/>
      <c r="FSL22" s="13"/>
      <c r="FSM22" s="13"/>
      <c r="FSN22" s="14"/>
      <c r="FSO22" s="15"/>
      <c r="FSP22" s="15"/>
      <c r="FSQ22" s="16"/>
      <c r="FSR22" s="41"/>
      <c r="FSS22" s="41"/>
      <c r="FST22" s="28"/>
      <c r="FSU22" s="29"/>
      <c r="FSV22" s="24"/>
      <c r="FSW22" s="13"/>
      <c r="FSX22" s="13"/>
      <c r="FSY22" s="14"/>
      <c r="FSZ22" s="15"/>
      <c r="FTA22" s="15"/>
      <c r="FTB22" s="16"/>
      <c r="FTC22" s="41"/>
      <c r="FTD22" s="41"/>
      <c r="FTE22" s="28"/>
      <c r="FTF22" s="29"/>
      <c r="FTG22" s="24"/>
      <c r="FTH22" s="13"/>
      <c r="FTI22" s="13"/>
      <c r="FTJ22" s="14"/>
      <c r="FTK22" s="15"/>
      <c r="FTL22" s="15"/>
      <c r="FTM22" s="16"/>
      <c r="FTN22" s="41"/>
      <c r="FTO22" s="41"/>
      <c r="FTP22" s="28"/>
      <c r="FTQ22" s="29"/>
      <c r="FTR22" s="24"/>
      <c r="FTS22" s="13"/>
      <c r="FTT22" s="13"/>
      <c r="FTU22" s="14"/>
      <c r="FTV22" s="15"/>
      <c r="FTW22" s="15"/>
      <c r="FTX22" s="16"/>
      <c r="FTY22" s="41"/>
      <c r="FTZ22" s="41"/>
      <c r="FUA22" s="28"/>
      <c r="FUB22" s="29"/>
      <c r="FUC22" s="24"/>
      <c r="FUD22" s="13"/>
      <c r="FUE22" s="13"/>
      <c r="FUF22" s="14"/>
      <c r="FUG22" s="15"/>
      <c r="FUH22" s="15"/>
      <c r="FUI22" s="16"/>
      <c r="FUJ22" s="41"/>
      <c r="FUK22" s="41"/>
      <c r="FUL22" s="28"/>
      <c r="FUM22" s="29"/>
      <c r="FUN22" s="24"/>
      <c r="FUO22" s="13"/>
      <c r="FUP22" s="13"/>
      <c r="FUQ22" s="14"/>
      <c r="FUR22" s="15"/>
      <c r="FUS22" s="15"/>
      <c r="FUT22" s="16"/>
      <c r="FUU22" s="41"/>
      <c r="FUV22" s="41"/>
      <c r="FUW22" s="28"/>
      <c r="FUX22" s="29"/>
      <c r="FUY22" s="24"/>
      <c r="FUZ22" s="13"/>
      <c r="FVA22" s="13"/>
      <c r="FVB22" s="14"/>
      <c r="FVC22" s="15"/>
      <c r="FVD22" s="15"/>
      <c r="FVE22" s="16"/>
      <c r="FVF22" s="41"/>
      <c r="FVG22" s="41"/>
      <c r="FVH22" s="28"/>
      <c r="FVI22" s="29"/>
      <c r="FVJ22" s="24"/>
      <c r="FVK22" s="13"/>
      <c r="FVL22" s="13"/>
      <c r="FVM22" s="14"/>
      <c r="FVN22" s="15"/>
      <c r="FVO22" s="15"/>
      <c r="FVP22" s="16"/>
      <c r="FVQ22" s="41"/>
      <c r="FVR22" s="41"/>
      <c r="FVS22" s="28"/>
      <c r="FVT22" s="29"/>
      <c r="FVU22" s="24"/>
      <c r="FVV22" s="13"/>
      <c r="FVW22" s="13"/>
      <c r="FVX22" s="14"/>
      <c r="FVY22" s="15"/>
      <c r="FVZ22" s="15"/>
      <c r="FWA22" s="16"/>
      <c r="FWB22" s="41"/>
      <c r="FWC22" s="41"/>
      <c r="FWD22" s="28"/>
      <c r="FWE22" s="29"/>
      <c r="FWF22" s="24"/>
      <c r="FWG22" s="13"/>
      <c r="FWH22" s="13"/>
      <c r="FWI22" s="14"/>
      <c r="FWJ22" s="15"/>
      <c r="FWK22" s="15"/>
      <c r="FWL22" s="16"/>
      <c r="FWM22" s="41"/>
      <c r="FWN22" s="41"/>
      <c r="FWO22" s="28"/>
      <c r="FWP22" s="29"/>
      <c r="FWQ22" s="24"/>
      <c r="FWR22" s="13"/>
      <c r="FWS22" s="13"/>
      <c r="FWT22" s="14"/>
      <c r="FWU22" s="15"/>
      <c r="FWV22" s="15"/>
      <c r="FWW22" s="16"/>
      <c r="FWX22" s="41"/>
      <c r="FWY22" s="41"/>
      <c r="FWZ22" s="28"/>
      <c r="FXA22" s="29"/>
      <c r="FXB22" s="24"/>
      <c r="FXC22" s="13"/>
      <c r="FXD22" s="13"/>
      <c r="FXE22" s="14"/>
      <c r="FXF22" s="15"/>
      <c r="FXG22" s="15"/>
      <c r="FXH22" s="16"/>
      <c r="FXI22" s="41"/>
      <c r="FXJ22" s="41"/>
      <c r="FXK22" s="28"/>
      <c r="FXL22" s="29"/>
      <c r="FXM22" s="24"/>
      <c r="FXN22" s="13"/>
      <c r="FXO22" s="13"/>
      <c r="FXP22" s="14"/>
      <c r="FXQ22" s="15"/>
      <c r="FXR22" s="15"/>
      <c r="FXS22" s="16"/>
      <c r="FXT22" s="41"/>
      <c r="FXU22" s="41"/>
      <c r="FXV22" s="28"/>
      <c r="FXW22" s="29"/>
      <c r="FXX22" s="24"/>
      <c r="FXY22" s="13"/>
      <c r="FXZ22" s="13"/>
      <c r="FYA22" s="14"/>
      <c r="FYB22" s="15"/>
      <c r="FYC22" s="15"/>
      <c r="FYD22" s="16"/>
      <c r="FYE22" s="41"/>
      <c r="FYF22" s="41"/>
      <c r="FYG22" s="28"/>
      <c r="FYH22" s="29"/>
      <c r="FYI22" s="24"/>
      <c r="FYJ22" s="13"/>
      <c r="FYK22" s="13"/>
      <c r="FYL22" s="14"/>
      <c r="FYM22" s="15"/>
      <c r="FYN22" s="15"/>
      <c r="FYO22" s="16"/>
      <c r="FYP22" s="41"/>
      <c r="FYQ22" s="41"/>
      <c r="FYR22" s="28"/>
      <c r="FYS22" s="29"/>
      <c r="FYT22" s="24"/>
      <c r="FYU22" s="13"/>
      <c r="FYV22" s="13"/>
      <c r="FYW22" s="14"/>
      <c r="FYX22" s="15"/>
      <c r="FYY22" s="15"/>
      <c r="FYZ22" s="16"/>
      <c r="FZA22" s="41"/>
      <c r="FZB22" s="41"/>
      <c r="FZC22" s="28"/>
      <c r="FZD22" s="29"/>
      <c r="FZE22" s="24"/>
      <c r="FZF22" s="13"/>
      <c r="FZG22" s="13"/>
      <c r="FZH22" s="14"/>
      <c r="FZI22" s="15"/>
      <c r="FZJ22" s="15"/>
      <c r="FZK22" s="16"/>
      <c r="FZL22" s="41"/>
      <c r="FZM22" s="41"/>
      <c r="FZN22" s="28"/>
      <c r="FZO22" s="29"/>
      <c r="FZP22" s="24"/>
      <c r="FZQ22" s="13"/>
      <c r="FZR22" s="13"/>
      <c r="FZS22" s="14"/>
      <c r="FZT22" s="15"/>
      <c r="FZU22" s="15"/>
      <c r="FZV22" s="16"/>
      <c r="FZW22" s="41"/>
      <c r="FZX22" s="41"/>
      <c r="FZY22" s="28"/>
      <c r="FZZ22" s="29"/>
      <c r="GAA22" s="24"/>
      <c r="GAB22" s="13"/>
      <c r="GAC22" s="13"/>
      <c r="GAD22" s="14"/>
      <c r="GAE22" s="15"/>
      <c r="GAF22" s="15"/>
      <c r="GAG22" s="16"/>
      <c r="GAH22" s="41"/>
      <c r="GAI22" s="41"/>
      <c r="GAJ22" s="28"/>
      <c r="GAK22" s="29"/>
      <c r="GAL22" s="24"/>
      <c r="GAM22" s="13"/>
      <c r="GAN22" s="13"/>
      <c r="GAO22" s="14"/>
      <c r="GAP22" s="15"/>
      <c r="GAQ22" s="15"/>
      <c r="GAR22" s="16"/>
      <c r="GAS22" s="41"/>
      <c r="GAT22" s="41"/>
      <c r="GAU22" s="28"/>
      <c r="GAV22" s="29"/>
      <c r="GAW22" s="24"/>
      <c r="GAX22" s="13"/>
      <c r="GAY22" s="13"/>
      <c r="GAZ22" s="14"/>
      <c r="GBA22" s="15"/>
      <c r="GBB22" s="15"/>
      <c r="GBC22" s="16"/>
      <c r="GBD22" s="41"/>
      <c r="GBE22" s="41"/>
      <c r="GBF22" s="28"/>
      <c r="GBG22" s="29"/>
      <c r="GBH22" s="24"/>
      <c r="GBI22" s="13"/>
      <c r="GBJ22" s="13"/>
      <c r="GBK22" s="14"/>
      <c r="GBL22" s="15"/>
      <c r="GBM22" s="15"/>
      <c r="GBN22" s="16"/>
      <c r="GBO22" s="41"/>
      <c r="GBP22" s="41"/>
      <c r="GBQ22" s="28"/>
      <c r="GBR22" s="29"/>
      <c r="GBS22" s="24"/>
      <c r="GBT22" s="13"/>
      <c r="GBU22" s="13"/>
      <c r="GBV22" s="14"/>
      <c r="GBW22" s="15"/>
      <c r="GBX22" s="15"/>
      <c r="GBY22" s="16"/>
      <c r="GBZ22" s="41"/>
      <c r="GCA22" s="41"/>
      <c r="GCB22" s="28"/>
      <c r="GCC22" s="29"/>
      <c r="GCD22" s="24"/>
      <c r="GCE22" s="13"/>
      <c r="GCF22" s="13"/>
      <c r="GCG22" s="14"/>
      <c r="GCH22" s="15"/>
      <c r="GCI22" s="15"/>
      <c r="GCJ22" s="16"/>
      <c r="GCK22" s="41"/>
      <c r="GCL22" s="41"/>
      <c r="GCM22" s="28"/>
      <c r="GCN22" s="29"/>
      <c r="GCO22" s="24"/>
      <c r="GCP22" s="13"/>
      <c r="GCQ22" s="13"/>
      <c r="GCR22" s="14"/>
      <c r="GCS22" s="15"/>
      <c r="GCT22" s="15"/>
      <c r="GCU22" s="16"/>
      <c r="GCV22" s="41"/>
      <c r="GCW22" s="41"/>
      <c r="GCX22" s="28"/>
      <c r="GCY22" s="29"/>
      <c r="GCZ22" s="24"/>
      <c r="GDA22" s="13"/>
      <c r="GDB22" s="13"/>
      <c r="GDC22" s="14"/>
      <c r="GDD22" s="15"/>
      <c r="GDE22" s="15"/>
      <c r="GDF22" s="16"/>
      <c r="GDG22" s="41"/>
      <c r="GDH22" s="41"/>
      <c r="GDI22" s="28"/>
      <c r="GDJ22" s="29"/>
      <c r="GDK22" s="24"/>
      <c r="GDL22" s="13"/>
      <c r="GDM22" s="13"/>
      <c r="GDN22" s="14"/>
      <c r="GDO22" s="15"/>
      <c r="GDP22" s="15"/>
      <c r="GDQ22" s="16"/>
      <c r="GDR22" s="41"/>
      <c r="GDS22" s="41"/>
      <c r="GDT22" s="28"/>
      <c r="GDU22" s="29"/>
      <c r="GDV22" s="24"/>
      <c r="GDW22" s="13"/>
      <c r="GDX22" s="13"/>
      <c r="GDY22" s="14"/>
      <c r="GDZ22" s="15"/>
      <c r="GEA22" s="15"/>
      <c r="GEB22" s="16"/>
      <c r="GEC22" s="41"/>
      <c r="GED22" s="41"/>
      <c r="GEE22" s="28"/>
      <c r="GEF22" s="29"/>
      <c r="GEG22" s="24"/>
      <c r="GEH22" s="13"/>
      <c r="GEI22" s="13"/>
      <c r="GEJ22" s="14"/>
      <c r="GEK22" s="15"/>
      <c r="GEL22" s="15"/>
      <c r="GEM22" s="16"/>
      <c r="GEN22" s="41"/>
      <c r="GEO22" s="41"/>
      <c r="GEP22" s="28"/>
      <c r="GEQ22" s="29"/>
      <c r="GER22" s="24"/>
      <c r="GES22" s="13"/>
      <c r="GET22" s="13"/>
      <c r="GEU22" s="14"/>
      <c r="GEV22" s="15"/>
      <c r="GEW22" s="15"/>
      <c r="GEX22" s="16"/>
      <c r="GEY22" s="41"/>
      <c r="GEZ22" s="41"/>
      <c r="GFA22" s="28"/>
      <c r="GFB22" s="29"/>
      <c r="GFC22" s="24"/>
      <c r="GFD22" s="13"/>
      <c r="GFE22" s="13"/>
      <c r="GFF22" s="14"/>
      <c r="GFG22" s="15"/>
      <c r="GFH22" s="15"/>
      <c r="GFI22" s="16"/>
      <c r="GFJ22" s="41"/>
      <c r="GFK22" s="41"/>
      <c r="GFL22" s="28"/>
      <c r="GFM22" s="29"/>
      <c r="GFN22" s="24"/>
      <c r="GFO22" s="13"/>
      <c r="GFP22" s="13"/>
      <c r="GFQ22" s="14"/>
      <c r="GFR22" s="15"/>
      <c r="GFS22" s="15"/>
      <c r="GFT22" s="16"/>
      <c r="GFU22" s="41"/>
      <c r="GFV22" s="41"/>
      <c r="GFW22" s="28"/>
      <c r="GFX22" s="29"/>
      <c r="GFY22" s="24"/>
      <c r="GFZ22" s="13"/>
      <c r="GGA22" s="13"/>
      <c r="GGB22" s="14"/>
      <c r="GGC22" s="15"/>
      <c r="GGD22" s="15"/>
      <c r="GGE22" s="16"/>
      <c r="GGF22" s="41"/>
      <c r="GGG22" s="41"/>
      <c r="GGH22" s="28"/>
      <c r="GGI22" s="29"/>
      <c r="GGJ22" s="24"/>
      <c r="GGK22" s="13"/>
      <c r="GGL22" s="13"/>
      <c r="GGM22" s="14"/>
      <c r="GGN22" s="15"/>
      <c r="GGO22" s="15"/>
      <c r="GGP22" s="16"/>
      <c r="GGQ22" s="41"/>
      <c r="GGR22" s="41"/>
      <c r="GGS22" s="28"/>
      <c r="GGT22" s="29"/>
      <c r="GGU22" s="24"/>
      <c r="GGV22" s="13"/>
      <c r="GGW22" s="13"/>
      <c r="GGX22" s="14"/>
      <c r="GGY22" s="15"/>
      <c r="GGZ22" s="15"/>
      <c r="GHA22" s="16"/>
      <c r="GHB22" s="41"/>
      <c r="GHC22" s="41"/>
      <c r="GHD22" s="28"/>
      <c r="GHE22" s="29"/>
      <c r="GHF22" s="24"/>
      <c r="GHG22" s="13"/>
      <c r="GHH22" s="13"/>
      <c r="GHI22" s="14"/>
      <c r="GHJ22" s="15"/>
      <c r="GHK22" s="15"/>
      <c r="GHL22" s="16"/>
      <c r="GHM22" s="41"/>
      <c r="GHN22" s="41"/>
      <c r="GHO22" s="28"/>
      <c r="GHP22" s="29"/>
      <c r="GHQ22" s="24"/>
      <c r="GHR22" s="13"/>
      <c r="GHS22" s="13"/>
      <c r="GHT22" s="14"/>
      <c r="GHU22" s="15"/>
      <c r="GHV22" s="15"/>
      <c r="GHW22" s="16"/>
      <c r="GHX22" s="41"/>
      <c r="GHY22" s="41"/>
      <c r="GHZ22" s="28"/>
      <c r="GIA22" s="29"/>
      <c r="GIB22" s="24"/>
      <c r="GIC22" s="13"/>
      <c r="GID22" s="13"/>
      <c r="GIE22" s="14"/>
      <c r="GIF22" s="15"/>
      <c r="GIG22" s="15"/>
      <c r="GIH22" s="16"/>
      <c r="GII22" s="41"/>
      <c r="GIJ22" s="41"/>
      <c r="GIK22" s="28"/>
      <c r="GIL22" s="29"/>
      <c r="GIM22" s="24"/>
      <c r="GIN22" s="13"/>
      <c r="GIO22" s="13"/>
      <c r="GIP22" s="14"/>
      <c r="GIQ22" s="15"/>
      <c r="GIR22" s="15"/>
      <c r="GIS22" s="16"/>
      <c r="GIT22" s="41"/>
      <c r="GIU22" s="41"/>
      <c r="GIV22" s="28"/>
      <c r="GIW22" s="29"/>
      <c r="GIX22" s="24"/>
      <c r="GIY22" s="13"/>
      <c r="GIZ22" s="13"/>
      <c r="GJA22" s="14"/>
      <c r="GJB22" s="15"/>
      <c r="GJC22" s="15"/>
      <c r="GJD22" s="16"/>
      <c r="GJE22" s="41"/>
      <c r="GJF22" s="41"/>
      <c r="GJG22" s="28"/>
      <c r="GJH22" s="29"/>
      <c r="GJI22" s="24"/>
      <c r="GJJ22" s="13"/>
      <c r="GJK22" s="13"/>
      <c r="GJL22" s="14"/>
      <c r="GJM22" s="15"/>
      <c r="GJN22" s="15"/>
      <c r="GJO22" s="16"/>
      <c r="GJP22" s="41"/>
      <c r="GJQ22" s="41"/>
      <c r="GJR22" s="28"/>
      <c r="GJS22" s="29"/>
      <c r="GJT22" s="24"/>
      <c r="GJU22" s="13"/>
      <c r="GJV22" s="13"/>
      <c r="GJW22" s="14"/>
      <c r="GJX22" s="15"/>
      <c r="GJY22" s="15"/>
      <c r="GJZ22" s="16"/>
      <c r="GKA22" s="41"/>
      <c r="GKB22" s="41"/>
      <c r="GKC22" s="28"/>
      <c r="GKD22" s="29"/>
      <c r="GKE22" s="24"/>
      <c r="GKF22" s="13"/>
      <c r="GKG22" s="13"/>
      <c r="GKH22" s="14"/>
      <c r="GKI22" s="15"/>
      <c r="GKJ22" s="15"/>
      <c r="GKK22" s="16"/>
      <c r="GKL22" s="41"/>
      <c r="GKM22" s="41"/>
      <c r="GKN22" s="28"/>
      <c r="GKO22" s="29"/>
      <c r="GKP22" s="24"/>
      <c r="GKQ22" s="13"/>
      <c r="GKR22" s="13"/>
      <c r="GKS22" s="14"/>
      <c r="GKT22" s="15"/>
      <c r="GKU22" s="15"/>
      <c r="GKV22" s="16"/>
      <c r="GKW22" s="41"/>
      <c r="GKX22" s="41"/>
      <c r="GKY22" s="28"/>
      <c r="GKZ22" s="29"/>
      <c r="GLA22" s="24"/>
      <c r="GLB22" s="13"/>
      <c r="GLC22" s="13"/>
      <c r="GLD22" s="14"/>
      <c r="GLE22" s="15"/>
      <c r="GLF22" s="15"/>
      <c r="GLG22" s="16"/>
      <c r="GLH22" s="41"/>
      <c r="GLI22" s="41"/>
      <c r="GLJ22" s="28"/>
      <c r="GLK22" s="29"/>
      <c r="GLL22" s="24"/>
      <c r="GLM22" s="13"/>
      <c r="GLN22" s="13"/>
      <c r="GLO22" s="14"/>
      <c r="GLP22" s="15"/>
      <c r="GLQ22" s="15"/>
      <c r="GLR22" s="16"/>
      <c r="GLS22" s="41"/>
      <c r="GLT22" s="41"/>
      <c r="GLU22" s="28"/>
      <c r="GLV22" s="29"/>
      <c r="GLW22" s="24"/>
      <c r="GLX22" s="13"/>
      <c r="GLY22" s="13"/>
      <c r="GLZ22" s="14"/>
      <c r="GMA22" s="15"/>
      <c r="GMB22" s="15"/>
      <c r="GMC22" s="16"/>
      <c r="GMD22" s="41"/>
      <c r="GME22" s="41"/>
      <c r="GMF22" s="28"/>
      <c r="GMG22" s="29"/>
      <c r="GMH22" s="24"/>
      <c r="GMI22" s="13"/>
      <c r="GMJ22" s="13"/>
      <c r="GMK22" s="14"/>
      <c r="GML22" s="15"/>
      <c r="GMM22" s="15"/>
      <c r="GMN22" s="16"/>
      <c r="GMO22" s="41"/>
      <c r="GMP22" s="41"/>
      <c r="GMQ22" s="28"/>
      <c r="GMR22" s="29"/>
      <c r="GMS22" s="24"/>
      <c r="GMT22" s="13"/>
      <c r="GMU22" s="13"/>
      <c r="GMV22" s="14"/>
      <c r="GMW22" s="15"/>
      <c r="GMX22" s="15"/>
      <c r="GMY22" s="16"/>
      <c r="GMZ22" s="41"/>
      <c r="GNA22" s="41"/>
      <c r="GNB22" s="28"/>
      <c r="GNC22" s="29"/>
      <c r="GND22" s="24"/>
      <c r="GNE22" s="13"/>
      <c r="GNF22" s="13"/>
      <c r="GNG22" s="14"/>
      <c r="GNH22" s="15"/>
      <c r="GNI22" s="15"/>
      <c r="GNJ22" s="16"/>
      <c r="GNK22" s="41"/>
      <c r="GNL22" s="41"/>
      <c r="GNM22" s="28"/>
      <c r="GNN22" s="29"/>
      <c r="GNO22" s="24"/>
      <c r="GNP22" s="13"/>
      <c r="GNQ22" s="13"/>
      <c r="GNR22" s="14"/>
      <c r="GNS22" s="15"/>
      <c r="GNT22" s="15"/>
      <c r="GNU22" s="16"/>
      <c r="GNV22" s="41"/>
      <c r="GNW22" s="41"/>
      <c r="GNX22" s="28"/>
      <c r="GNY22" s="29"/>
      <c r="GNZ22" s="24"/>
      <c r="GOA22" s="13"/>
      <c r="GOB22" s="13"/>
      <c r="GOC22" s="14"/>
      <c r="GOD22" s="15"/>
      <c r="GOE22" s="15"/>
      <c r="GOF22" s="16"/>
      <c r="GOG22" s="41"/>
      <c r="GOH22" s="41"/>
      <c r="GOI22" s="28"/>
      <c r="GOJ22" s="29"/>
      <c r="GOK22" s="24"/>
      <c r="GOL22" s="13"/>
      <c r="GOM22" s="13"/>
      <c r="GON22" s="14"/>
      <c r="GOO22" s="15"/>
      <c r="GOP22" s="15"/>
      <c r="GOQ22" s="16"/>
      <c r="GOR22" s="41"/>
      <c r="GOS22" s="41"/>
      <c r="GOT22" s="28"/>
      <c r="GOU22" s="29"/>
      <c r="GOV22" s="24"/>
      <c r="GOW22" s="13"/>
      <c r="GOX22" s="13"/>
      <c r="GOY22" s="14"/>
      <c r="GOZ22" s="15"/>
      <c r="GPA22" s="15"/>
      <c r="GPB22" s="16"/>
      <c r="GPC22" s="41"/>
      <c r="GPD22" s="41"/>
      <c r="GPE22" s="28"/>
      <c r="GPF22" s="29"/>
      <c r="GPG22" s="24"/>
      <c r="GPH22" s="13"/>
      <c r="GPI22" s="13"/>
      <c r="GPJ22" s="14"/>
      <c r="GPK22" s="15"/>
      <c r="GPL22" s="15"/>
      <c r="GPM22" s="16"/>
      <c r="GPN22" s="41"/>
      <c r="GPO22" s="41"/>
      <c r="GPP22" s="28"/>
      <c r="GPQ22" s="29"/>
      <c r="GPR22" s="24"/>
      <c r="GPS22" s="13"/>
      <c r="GPT22" s="13"/>
      <c r="GPU22" s="14"/>
      <c r="GPV22" s="15"/>
      <c r="GPW22" s="15"/>
      <c r="GPX22" s="16"/>
      <c r="GPY22" s="41"/>
      <c r="GPZ22" s="41"/>
      <c r="GQA22" s="28"/>
      <c r="GQB22" s="29"/>
      <c r="GQC22" s="24"/>
      <c r="GQD22" s="13"/>
      <c r="GQE22" s="13"/>
      <c r="GQF22" s="14"/>
      <c r="GQG22" s="15"/>
      <c r="GQH22" s="15"/>
      <c r="GQI22" s="16"/>
      <c r="GQJ22" s="41"/>
      <c r="GQK22" s="41"/>
      <c r="GQL22" s="28"/>
      <c r="GQM22" s="29"/>
      <c r="GQN22" s="24"/>
      <c r="GQO22" s="13"/>
      <c r="GQP22" s="13"/>
      <c r="GQQ22" s="14"/>
      <c r="GQR22" s="15"/>
      <c r="GQS22" s="15"/>
      <c r="GQT22" s="16"/>
      <c r="GQU22" s="41"/>
      <c r="GQV22" s="41"/>
      <c r="GQW22" s="28"/>
      <c r="GQX22" s="29"/>
      <c r="GQY22" s="24"/>
      <c r="GQZ22" s="13"/>
      <c r="GRA22" s="13"/>
      <c r="GRB22" s="14"/>
      <c r="GRC22" s="15"/>
      <c r="GRD22" s="15"/>
      <c r="GRE22" s="16"/>
      <c r="GRF22" s="41"/>
      <c r="GRG22" s="41"/>
      <c r="GRH22" s="28"/>
      <c r="GRI22" s="29"/>
      <c r="GRJ22" s="24"/>
      <c r="GRK22" s="13"/>
      <c r="GRL22" s="13"/>
      <c r="GRM22" s="14"/>
      <c r="GRN22" s="15"/>
      <c r="GRO22" s="15"/>
      <c r="GRP22" s="16"/>
      <c r="GRQ22" s="41"/>
      <c r="GRR22" s="41"/>
      <c r="GRS22" s="28"/>
      <c r="GRT22" s="29"/>
      <c r="GRU22" s="24"/>
      <c r="GRV22" s="13"/>
      <c r="GRW22" s="13"/>
      <c r="GRX22" s="14"/>
      <c r="GRY22" s="15"/>
      <c r="GRZ22" s="15"/>
      <c r="GSA22" s="16"/>
      <c r="GSB22" s="41"/>
      <c r="GSC22" s="41"/>
      <c r="GSD22" s="28"/>
      <c r="GSE22" s="29"/>
      <c r="GSF22" s="24"/>
      <c r="GSG22" s="13"/>
      <c r="GSH22" s="13"/>
      <c r="GSI22" s="14"/>
      <c r="GSJ22" s="15"/>
      <c r="GSK22" s="15"/>
      <c r="GSL22" s="16"/>
      <c r="GSM22" s="41"/>
      <c r="GSN22" s="41"/>
      <c r="GSO22" s="28"/>
      <c r="GSP22" s="29"/>
      <c r="GSQ22" s="24"/>
      <c r="GSR22" s="13"/>
      <c r="GSS22" s="13"/>
      <c r="GST22" s="14"/>
      <c r="GSU22" s="15"/>
      <c r="GSV22" s="15"/>
      <c r="GSW22" s="16"/>
      <c r="GSX22" s="41"/>
      <c r="GSY22" s="41"/>
      <c r="GSZ22" s="28"/>
      <c r="GTA22" s="29"/>
      <c r="GTB22" s="24"/>
      <c r="GTC22" s="13"/>
      <c r="GTD22" s="13"/>
      <c r="GTE22" s="14"/>
      <c r="GTF22" s="15"/>
      <c r="GTG22" s="15"/>
      <c r="GTH22" s="16"/>
      <c r="GTI22" s="41"/>
      <c r="GTJ22" s="41"/>
      <c r="GTK22" s="28"/>
      <c r="GTL22" s="29"/>
      <c r="GTM22" s="24"/>
      <c r="GTN22" s="13"/>
      <c r="GTO22" s="13"/>
      <c r="GTP22" s="14"/>
      <c r="GTQ22" s="15"/>
      <c r="GTR22" s="15"/>
      <c r="GTS22" s="16"/>
      <c r="GTT22" s="41"/>
      <c r="GTU22" s="41"/>
      <c r="GTV22" s="28"/>
      <c r="GTW22" s="29"/>
      <c r="GTX22" s="24"/>
      <c r="GTY22" s="13"/>
      <c r="GTZ22" s="13"/>
      <c r="GUA22" s="14"/>
      <c r="GUB22" s="15"/>
      <c r="GUC22" s="15"/>
      <c r="GUD22" s="16"/>
      <c r="GUE22" s="41"/>
      <c r="GUF22" s="41"/>
      <c r="GUG22" s="28"/>
      <c r="GUH22" s="29"/>
      <c r="GUI22" s="24"/>
      <c r="GUJ22" s="13"/>
      <c r="GUK22" s="13"/>
      <c r="GUL22" s="14"/>
      <c r="GUM22" s="15"/>
      <c r="GUN22" s="15"/>
      <c r="GUO22" s="16"/>
      <c r="GUP22" s="41"/>
      <c r="GUQ22" s="41"/>
      <c r="GUR22" s="28"/>
      <c r="GUS22" s="29"/>
      <c r="GUT22" s="24"/>
      <c r="GUU22" s="13"/>
      <c r="GUV22" s="13"/>
      <c r="GUW22" s="14"/>
      <c r="GUX22" s="15"/>
      <c r="GUY22" s="15"/>
      <c r="GUZ22" s="16"/>
      <c r="GVA22" s="41"/>
      <c r="GVB22" s="41"/>
      <c r="GVC22" s="28"/>
      <c r="GVD22" s="29"/>
      <c r="GVE22" s="24"/>
      <c r="GVF22" s="13"/>
      <c r="GVG22" s="13"/>
      <c r="GVH22" s="14"/>
      <c r="GVI22" s="15"/>
      <c r="GVJ22" s="15"/>
      <c r="GVK22" s="16"/>
      <c r="GVL22" s="41"/>
      <c r="GVM22" s="41"/>
      <c r="GVN22" s="28"/>
      <c r="GVO22" s="29"/>
      <c r="GVP22" s="24"/>
      <c r="GVQ22" s="13"/>
      <c r="GVR22" s="13"/>
      <c r="GVS22" s="14"/>
      <c r="GVT22" s="15"/>
      <c r="GVU22" s="15"/>
      <c r="GVV22" s="16"/>
      <c r="GVW22" s="41"/>
      <c r="GVX22" s="41"/>
      <c r="GVY22" s="28"/>
      <c r="GVZ22" s="29"/>
      <c r="GWA22" s="24"/>
      <c r="GWB22" s="13"/>
      <c r="GWC22" s="13"/>
      <c r="GWD22" s="14"/>
      <c r="GWE22" s="15"/>
      <c r="GWF22" s="15"/>
      <c r="GWG22" s="16"/>
      <c r="GWH22" s="41"/>
      <c r="GWI22" s="41"/>
      <c r="GWJ22" s="28"/>
      <c r="GWK22" s="29"/>
      <c r="GWL22" s="24"/>
      <c r="GWM22" s="13"/>
      <c r="GWN22" s="13"/>
      <c r="GWO22" s="14"/>
      <c r="GWP22" s="15"/>
      <c r="GWQ22" s="15"/>
      <c r="GWR22" s="16"/>
      <c r="GWS22" s="41"/>
      <c r="GWT22" s="41"/>
      <c r="GWU22" s="28"/>
      <c r="GWV22" s="29"/>
      <c r="GWW22" s="24"/>
      <c r="GWX22" s="13"/>
      <c r="GWY22" s="13"/>
      <c r="GWZ22" s="14"/>
      <c r="GXA22" s="15"/>
      <c r="GXB22" s="15"/>
      <c r="GXC22" s="16"/>
      <c r="GXD22" s="41"/>
      <c r="GXE22" s="41"/>
      <c r="GXF22" s="28"/>
      <c r="GXG22" s="29"/>
      <c r="GXH22" s="24"/>
      <c r="GXI22" s="13"/>
      <c r="GXJ22" s="13"/>
      <c r="GXK22" s="14"/>
      <c r="GXL22" s="15"/>
      <c r="GXM22" s="15"/>
      <c r="GXN22" s="16"/>
      <c r="GXO22" s="41"/>
      <c r="GXP22" s="41"/>
      <c r="GXQ22" s="28"/>
      <c r="GXR22" s="29"/>
      <c r="GXS22" s="24"/>
      <c r="GXT22" s="13"/>
      <c r="GXU22" s="13"/>
      <c r="GXV22" s="14"/>
      <c r="GXW22" s="15"/>
      <c r="GXX22" s="15"/>
      <c r="GXY22" s="16"/>
      <c r="GXZ22" s="41"/>
      <c r="GYA22" s="41"/>
      <c r="GYB22" s="28"/>
      <c r="GYC22" s="29"/>
      <c r="GYD22" s="24"/>
      <c r="GYE22" s="13"/>
      <c r="GYF22" s="13"/>
      <c r="GYG22" s="14"/>
      <c r="GYH22" s="15"/>
      <c r="GYI22" s="15"/>
      <c r="GYJ22" s="16"/>
      <c r="GYK22" s="41"/>
      <c r="GYL22" s="41"/>
      <c r="GYM22" s="28"/>
      <c r="GYN22" s="29"/>
      <c r="GYO22" s="24"/>
      <c r="GYP22" s="13"/>
      <c r="GYQ22" s="13"/>
      <c r="GYR22" s="14"/>
      <c r="GYS22" s="15"/>
      <c r="GYT22" s="15"/>
      <c r="GYU22" s="16"/>
      <c r="GYV22" s="41"/>
      <c r="GYW22" s="41"/>
      <c r="GYX22" s="28"/>
      <c r="GYY22" s="29"/>
      <c r="GYZ22" s="24"/>
      <c r="GZA22" s="13"/>
      <c r="GZB22" s="13"/>
      <c r="GZC22" s="14"/>
      <c r="GZD22" s="15"/>
      <c r="GZE22" s="15"/>
      <c r="GZF22" s="16"/>
      <c r="GZG22" s="41"/>
      <c r="GZH22" s="41"/>
      <c r="GZI22" s="28"/>
      <c r="GZJ22" s="29"/>
      <c r="GZK22" s="24"/>
      <c r="GZL22" s="13"/>
      <c r="GZM22" s="13"/>
      <c r="GZN22" s="14"/>
      <c r="GZO22" s="15"/>
      <c r="GZP22" s="15"/>
      <c r="GZQ22" s="16"/>
      <c r="GZR22" s="41"/>
      <c r="GZS22" s="41"/>
      <c r="GZT22" s="28"/>
      <c r="GZU22" s="29"/>
      <c r="GZV22" s="24"/>
      <c r="GZW22" s="13"/>
      <c r="GZX22" s="13"/>
      <c r="GZY22" s="14"/>
      <c r="GZZ22" s="15"/>
      <c r="HAA22" s="15"/>
      <c r="HAB22" s="16"/>
      <c r="HAC22" s="41"/>
      <c r="HAD22" s="41"/>
      <c r="HAE22" s="28"/>
      <c r="HAF22" s="29"/>
      <c r="HAG22" s="24"/>
      <c r="HAH22" s="13"/>
      <c r="HAI22" s="13"/>
      <c r="HAJ22" s="14"/>
      <c r="HAK22" s="15"/>
      <c r="HAL22" s="15"/>
      <c r="HAM22" s="16"/>
      <c r="HAN22" s="41"/>
      <c r="HAO22" s="41"/>
      <c r="HAP22" s="28"/>
      <c r="HAQ22" s="29"/>
      <c r="HAR22" s="24"/>
      <c r="HAS22" s="13"/>
      <c r="HAT22" s="13"/>
      <c r="HAU22" s="14"/>
      <c r="HAV22" s="15"/>
      <c r="HAW22" s="15"/>
      <c r="HAX22" s="16"/>
      <c r="HAY22" s="41"/>
      <c r="HAZ22" s="41"/>
      <c r="HBA22" s="28"/>
      <c r="HBB22" s="29"/>
      <c r="HBC22" s="24"/>
      <c r="HBD22" s="13"/>
      <c r="HBE22" s="13"/>
      <c r="HBF22" s="14"/>
      <c r="HBG22" s="15"/>
      <c r="HBH22" s="15"/>
      <c r="HBI22" s="16"/>
      <c r="HBJ22" s="41"/>
      <c r="HBK22" s="41"/>
      <c r="HBL22" s="28"/>
      <c r="HBM22" s="29"/>
      <c r="HBN22" s="24"/>
      <c r="HBO22" s="13"/>
      <c r="HBP22" s="13"/>
      <c r="HBQ22" s="14"/>
      <c r="HBR22" s="15"/>
      <c r="HBS22" s="15"/>
      <c r="HBT22" s="16"/>
      <c r="HBU22" s="41"/>
      <c r="HBV22" s="41"/>
      <c r="HBW22" s="28"/>
      <c r="HBX22" s="29"/>
      <c r="HBY22" s="24"/>
      <c r="HBZ22" s="13"/>
      <c r="HCA22" s="13"/>
      <c r="HCB22" s="14"/>
      <c r="HCC22" s="15"/>
      <c r="HCD22" s="15"/>
      <c r="HCE22" s="16"/>
      <c r="HCF22" s="41"/>
      <c r="HCG22" s="41"/>
      <c r="HCH22" s="28"/>
      <c r="HCI22" s="29"/>
      <c r="HCJ22" s="24"/>
      <c r="HCK22" s="13"/>
      <c r="HCL22" s="13"/>
      <c r="HCM22" s="14"/>
      <c r="HCN22" s="15"/>
      <c r="HCO22" s="15"/>
      <c r="HCP22" s="16"/>
      <c r="HCQ22" s="41"/>
      <c r="HCR22" s="41"/>
      <c r="HCS22" s="28"/>
      <c r="HCT22" s="29"/>
      <c r="HCU22" s="24"/>
      <c r="HCV22" s="13"/>
      <c r="HCW22" s="13"/>
      <c r="HCX22" s="14"/>
      <c r="HCY22" s="15"/>
      <c r="HCZ22" s="15"/>
      <c r="HDA22" s="16"/>
      <c r="HDB22" s="41"/>
      <c r="HDC22" s="41"/>
      <c r="HDD22" s="28"/>
      <c r="HDE22" s="29"/>
      <c r="HDF22" s="24"/>
      <c r="HDG22" s="13"/>
      <c r="HDH22" s="13"/>
      <c r="HDI22" s="14"/>
      <c r="HDJ22" s="15"/>
      <c r="HDK22" s="15"/>
      <c r="HDL22" s="16"/>
      <c r="HDM22" s="41"/>
      <c r="HDN22" s="41"/>
      <c r="HDO22" s="28"/>
      <c r="HDP22" s="29"/>
      <c r="HDQ22" s="24"/>
      <c r="HDR22" s="13"/>
      <c r="HDS22" s="13"/>
      <c r="HDT22" s="14"/>
      <c r="HDU22" s="15"/>
      <c r="HDV22" s="15"/>
      <c r="HDW22" s="16"/>
      <c r="HDX22" s="41"/>
      <c r="HDY22" s="41"/>
      <c r="HDZ22" s="28"/>
      <c r="HEA22" s="29"/>
      <c r="HEB22" s="24"/>
      <c r="HEC22" s="13"/>
      <c r="HED22" s="13"/>
      <c r="HEE22" s="14"/>
      <c r="HEF22" s="15"/>
      <c r="HEG22" s="15"/>
      <c r="HEH22" s="16"/>
      <c r="HEI22" s="41"/>
      <c r="HEJ22" s="41"/>
      <c r="HEK22" s="28"/>
      <c r="HEL22" s="29"/>
      <c r="HEM22" s="24"/>
      <c r="HEN22" s="13"/>
      <c r="HEO22" s="13"/>
      <c r="HEP22" s="14"/>
      <c r="HEQ22" s="15"/>
      <c r="HER22" s="15"/>
      <c r="HES22" s="16"/>
      <c r="HET22" s="41"/>
      <c r="HEU22" s="41"/>
      <c r="HEV22" s="28"/>
      <c r="HEW22" s="29"/>
      <c r="HEX22" s="24"/>
      <c r="HEY22" s="13"/>
      <c r="HEZ22" s="13"/>
      <c r="HFA22" s="14"/>
      <c r="HFB22" s="15"/>
      <c r="HFC22" s="15"/>
      <c r="HFD22" s="16"/>
      <c r="HFE22" s="41"/>
      <c r="HFF22" s="41"/>
      <c r="HFG22" s="28"/>
      <c r="HFH22" s="29"/>
      <c r="HFI22" s="24"/>
      <c r="HFJ22" s="13"/>
      <c r="HFK22" s="13"/>
      <c r="HFL22" s="14"/>
      <c r="HFM22" s="15"/>
      <c r="HFN22" s="15"/>
      <c r="HFO22" s="16"/>
      <c r="HFP22" s="41"/>
      <c r="HFQ22" s="41"/>
      <c r="HFR22" s="28"/>
      <c r="HFS22" s="29"/>
      <c r="HFT22" s="24"/>
      <c r="HFU22" s="13"/>
      <c r="HFV22" s="13"/>
      <c r="HFW22" s="14"/>
      <c r="HFX22" s="15"/>
      <c r="HFY22" s="15"/>
      <c r="HFZ22" s="16"/>
      <c r="HGA22" s="41"/>
      <c r="HGB22" s="41"/>
      <c r="HGC22" s="28"/>
      <c r="HGD22" s="29"/>
      <c r="HGE22" s="24"/>
      <c r="HGF22" s="13"/>
      <c r="HGG22" s="13"/>
      <c r="HGH22" s="14"/>
      <c r="HGI22" s="15"/>
      <c r="HGJ22" s="15"/>
      <c r="HGK22" s="16"/>
      <c r="HGL22" s="41"/>
      <c r="HGM22" s="41"/>
      <c r="HGN22" s="28"/>
      <c r="HGO22" s="29"/>
      <c r="HGP22" s="24"/>
      <c r="HGQ22" s="13"/>
      <c r="HGR22" s="13"/>
      <c r="HGS22" s="14"/>
      <c r="HGT22" s="15"/>
      <c r="HGU22" s="15"/>
      <c r="HGV22" s="16"/>
      <c r="HGW22" s="41"/>
      <c r="HGX22" s="41"/>
      <c r="HGY22" s="28"/>
      <c r="HGZ22" s="29"/>
      <c r="HHA22" s="24"/>
      <c r="HHB22" s="13"/>
      <c r="HHC22" s="13"/>
      <c r="HHD22" s="14"/>
      <c r="HHE22" s="15"/>
      <c r="HHF22" s="15"/>
      <c r="HHG22" s="16"/>
      <c r="HHH22" s="41"/>
      <c r="HHI22" s="41"/>
      <c r="HHJ22" s="28"/>
      <c r="HHK22" s="29"/>
      <c r="HHL22" s="24"/>
      <c r="HHM22" s="13"/>
      <c r="HHN22" s="13"/>
      <c r="HHO22" s="14"/>
      <c r="HHP22" s="15"/>
      <c r="HHQ22" s="15"/>
      <c r="HHR22" s="16"/>
      <c r="HHS22" s="41"/>
      <c r="HHT22" s="41"/>
      <c r="HHU22" s="28"/>
      <c r="HHV22" s="29"/>
      <c r="HHW22" s="24"/>
      <c r="HHX22" s="13"/>
      <c r="HHY22" s="13"/>
      <c r="HHZ22" s="14"/>
      <c r="HIA22" s="15"/>
      <c r="HIB22" s="15"/>
      <c r="HIC22" s="16"/>
      <c r="HID22" s="41"/>
      <c r="HIE22" s="41"/>
      <c r="HIF22" s="28"/>
      <c r="HIG22" s="29"/>
      <c r="HIH22" s="24"/>
      <c r="HII22" s="13"/>
      <c r="HIJ22" s="13"/>
      <c r="HIK22" s="14"/>
      <c r="HIL22" s="15"/>
      <c r="HIM22" s="15"/>
      <c r="HIN22" s="16"/>
      <c r="HIO22" s="41"/>
      <c r="HIP22" s="41"/>
      <c r="HIQ22" s="28"/>
      <c r="HIR22" s="29"/>
      <c r="HIS22" s="24"/>
      <c r="HIT22" s="13"/>
      <c r="HIU22" s="13"/>
      <c r="HIV22" s="14"/>
      <c r="HIW22" s="15"/>
      <c r="HIX22" s="15"/>
      <c r="HIY22" s="16"/>
      <c r="HIZ22" s="41"/>
      <c r="HJA22" s="41"/>
      <c r="HJB22" s="28"/>
      <c r="HJC22" s="29"/>
      <c r="HJD22" s="24"/>
      <c r="HJE22" s="13"/>
      <c r="HJF22" s="13"/>
      <c r="HJG22" s="14"/>
      <c r="HJH22" s="15"/>
      <c r="HJI22" s="15"/>
      <c r="HJJ22" s="16"/>
      <c r="HJK22" s="41"/>
      <c r="HJL22" s="41"/>
      <c r="HJM22" s="28"/>
      <c r="HJN22" s="29"/>
      <c r="HJO22" s="24"/>
      <c r="HJP22" s="13"/>
      <c r="HJQ22" s="13"/>
      <c r="HJR22" s="14"/>
      <c r="HJS22" s="15"/>
      <c r="HJT22" s="15"/>
      <c r="HJU22" s="16"/>
      <c r="HJV22" s="41"/>
      <c r="HJW22" s="41"/>
      <c r="HJX22" s="28"/>
      <c r="HJY22" s="29"/>
      <c r="HJZ22" s="24"/>
      <c r="HKA22" s="13"/>
      <c r="HKB22" s="13"/>
      <c r="HKC22" s="14"/>
      <c r="HKD22" s="15"/>
      <c r="HKE22" s="15"/>
      <c r="HKF22" s="16"/>
      <c r="HKG22" s="41"/>
      <c r="HKH22" s="41"/>
      <c r="HKI22" s="28"/>
      <c r="HKJ22" s="29"/>
      <c r="HKK22" s="24"/>
      <c r="HKL22" s="13"/>
      <c r="HKM22" s="13"/>
      <c r="HKN22" s="14"/>
      <c r="HKO22" s="15"/>
      <c r="HKP22" s="15"/>
      <c r="HKQ22" s="16"/>
      <c r="HKR22" s="41"/>
      <c r="HKS22" s="41"/>
      <c r="HKT22" s="28"/>
      <c r="HKU22" s="29"/>
      <c r="HKV22" s="24"/>
      <c r="HKW22" s="13"/>
      <c r="HKX22" s="13"/>
      <c r="HKY22" s="14"/>
      <c r="HKZ22" s="15"/>
      <c r="HLA22" s="15"/>
      <c r="HLB22" s="16"/>
      <c r="HLC22" s="41"/>
      <c r="HLD22" s="41"/>
      <c r="HLE22" s="28"/>
      <c r="HLF22" s="29"/>
      <c r="HLG22" s="24"/>
      <c r="HLH22" s="13"/>
      <c r="HLI22" s="13"/>
      <c r="HLJ22" s="14"/>
      <c r="HLK22" s="15"/>
      <c r="HLL22" s="15"/>
      <c r="HLM22" s="16"/>
      <c r="HLN22" s="41"/>
      <c r="HLO22" s="41"/>
      <c r="HLP22" s="28"/>
      <c r="HLQ22" s="29"/>
      <c r="HLR22" s="24"/>
      <c r="HLS22" s="13"/>
      <c r="HLT22" s="13"/>
      <c r="HLU22" s="14"/>
      <c r="HLV22" s="15"/>
      <c r="HLW22" s="15"/>
      <c r="HLX22" s="16"/>
      <c r="HLY22" s="41"/>
      <c r="HLZ22" s="41"/>
      <c r="HMA22" s="28"/>
      <c r="HMB22" s="29"/>
      <c r="HMC22" s="24"/>
      <c r="HMD22" s="13"/>
      <c r="HME22" s="13"/>
      <c r="HMF22" s="14"/>
      <c r="HMG22" s="15"/>
      <c r="HMH22" s="15"/>
      <c r="HMI22" s="16"/>
      <c r="HMJ22" s="41"/>
      <c r="HMK22" s="41"/>
      <c r="HML22" s="28"/>
      <c r="HMM22" s="29"/>
      <c r="HMN22" s="24"/>
      <c r="HMO22" s="13"/>
      <c r="HMP22" s="13"/>
      <c r="HMQ22" s="14"/>
      <c r="HMR22" s="15"/>
      <c r="HMS22" s="15"/>
      <c r="HMT22" s="16"/>
      <c r="HMU22" s="41"/>
      <c r="HMV22" s="41"/>
      <c r="HMW22" s="28"/>
      <c r="HMX22" s="29"/>
      <c r="HMY22" s="24"/>
      <c r="HMZ22" s="13"/>
      <c r="HNA22" s="13"/>
      <c r="HNB22" s="14"/>
      <c r="HNC22" s="15"/>
      <c r="HND22" s="15"/>
      <c r="HNE22" s="16"/>
      <c r="HNF22" s="41"/>
      <c r="HNG22" s="41"/>
      <c r="HNH22" s="28"/>
      <c r="HNI22" s="29"/>
      <c r="HNJ22" s="24"/>
      <c r="HNK22" s="13"/>
      <c r="HNL22" s="13"/>
      <c r="HNM22" s="14"/>
      <c r="HNN22" s="15"/>
      <c r="HNO22" s="15"/>
      <c r="HNP22" s="16"/>
      <c r="HNQ22" s="41"/>
      <c r="HNR22" s="41"/>
      <c r="HNS22" s="28"/>
      <c r="HNT22" s="29"/>
      <c r="HNU22" s="24"/>
      <c r="HNV22" s="13"/>
      <c r="HNW22" s="13"/>
      <c r="HNX22" s="14"/>
      <c r="HNY22" s="15"/>
      <c r="HNZ22" s="15"/>
      <c r="HOA22" s="16"/>
      <c r="HOB22" s="41"/>
      <c r="HOC22" s="41"/>
      <c r="HOD22" s="28"/>
      <c r="HOE22" s="29"/>
      <c r="HOF22" s="24"/>
      <c r="HOG22" s="13"/>
      <c r="HOH22" s="13"/>
      <c r="HOI22" s="14"/>
      <c r="HOJ22" s="15"/>
      <c r="HOK22" s="15"/>
      <c r="HOL22" s="16"/>
      <c r="HOM22" s="41"/>
      <c r="HON22" s="41"/>
      <c r="HOO22" s="28"/>
      <c r="HOP22" s="29"/>
      <c r="HOQ22" s="24"/>
      <c r="HOR22" s="13"/>
      <c r="HOS22" s="13"/>
      <c r="HOT22" s="14"/>
      <c r="HOU22" s="15"/>
      <c r="HOV22" s="15"/>
      <c r="HOW22" s="16"/>
      <c r="HOX22" s="41"/>
      <c r="HOY22" s="41"/>
      <c r="HOZ22" s="28"/>
      <c r="HPA22" s="29"/>
      <c r="HPB22" s="24"/>
      <c r="HPC22" s="13"/>
      <c r="HPD22" s="13"/>
      <c r="HPE22" s="14"/>
      <c r="HPF22" s="15"/>
      <c r="HPG22" s="15"/>
      <c r="HPH22" s="16"/>
      <c r="HPI22" s="41"/>
      <c r="HPJ22" s="41"/>
      <c r="HPK22" s="28"/>
      <c r="HPL22" s="29"/>
      <c r="HPM22" s="24"/>
      <c r="HPN22" s="13"/>
      <c r="HPO22" s="13"/>
      <c r="HPP22" s="14"/>
      <c r="HPQ22" s="15"/>
      <c r="HPR22" s="15"/>
      <c r="HPS22" s="16"/>
      <c r="HPT22" s="41"/>
      <c r="HPU22" s="41"/>
      <c r="HPV22" s="28"/>
      <c r="HPW22" s="29"/>
      <c r="HPX22" s="24"/>
      <c r="HPY22" s="13"/>
      <c r="HPZ22" s="13"/>
      <c r="HQA22" s="14"/>
      <c r="HQB22" s="15"/>
      <c r="HQC22" s="15"/>
      <c r="HQD22" s="16"/>
      <c r="HQE22" s="41"/>
      <c r="HQF22" s="41"/>
      <c r="HQG22" s="28"/>
      <c r="HQH22" s="29"/>
      <c r="HQI22" s="24"/>
      <c r="HQJ22" s="13"/>
      <c r="HQK22" s="13"/>
      <c r="HQL22" s="14"/>
      <c r="HQM22" s="15"/>
      <c r="HQN22" s="15"/>
      <c r="HQO22" s="16"/>
      <c r="HQP22" s="41"/>
      <c r="HQQ22" s="41"/>
      <c r="HQR22" s="28"/>
      <c r="HQS22" s="29"/>
      <c r="HQT22" s="24"/>
      <c r="HQU22" s="13"/>
      <c r="HQV22" s="13"/>
      <c r="HQW22" s="14"/>
      <c r="HQX22" s="15"/>
      <c r="HQY22" s="15"/>
      <c r="HQZ22" s="16"/>
      <c r="HRA22" s="41"/>
      <c r="HRB22" s="41"/>
      <c r="HRC22" s="28"/>
      <c r="HRD22" s="29"/>
      <c r="HRE22" s="24"/>
      <c r="HRF22" s="13"/>
      <c r="HRG22" s="13"/>
      <c r="HRH22" s="14"/>
      <c r="HRI22" s="15"/>
      <c r="HRJ22" s="15"/>
      <c r="HRK22" s="16"/>
      <c r="HRL22" s="41"/>
      <c r="HRM22" s="41"/>
      <c r="HRN22" s="28"/>
      <c r="HRO22" s="29"/>
      <c r="HRP22" s="24"/>
      <c r="HRQ22" s="13"/>
      <c r="HRR22" s="13"/>
      <c r="HRS22" s="14"/>
      <c r="HRT22" s="15"/>
      <c r="HRU22" s="15"/>
      <c r="HRV22" s="16"/>
      <c r="HRW22" s="41"/>
      <c r="HRX22" s="41"/>
      <c r="HRY22" s="28"/>
      <c r="HRZ22" s="29"/>
      <c r="HSA22" s="24"/>
      <c r="HSB22" s="13"/>
      <c r="HSC22" s="13"/>
      <c r="HSD22" s="14"/>
      <c r="HSE22" s="15"/>
      <c r="HSF22" s="15"/>
      <c r="HSG22" s="16"/>
      <c r="HSH22" s="41"/>
      <c r="HSI22" s="41"/>
      <c r="HSJ22" s="28"/>
      <c r="HSK22" s="29"/>
      <c r="HSL22" s="24"/>
      <c r="HSM22" s="13"/>
      <c r="HSN22" s="13"/>
      <c r="HSO22" s="14"/>
      <c r="HSP22" s="15"/>
      <c r="HSQ22" s="15"/>
      <c r="HSR22" s="16"/>
      <c r="HSS22" s="41"/>
      <c r="HST22" s="41"/>
      <c r="HSU22" s="28"/>
      <c r="HSV22" s="29"/>
      <c r="HSW22" s="24"/>
      <c r="HSX22" s="13"/>
      <c r="HSY22" s="13"/>
      <c r="HSZ22" s="14"/>
      <c r="HTA22" s="15"/>
      <c r="HTB22" s="15"/>
      <c r="HTC22" s="16"/>
      <c r="HTD22" s="41"/>
      <c r="HTE22" s="41"/>
      <c r="HTF22" s="28"/>
      <c r="HTG22" s="29"/>
      <c r="HTH22" s="24"/>
      <c r="HTI22" s="13"/>
      <c r="HTJ22" s="13"/>
      <c r="HTK22" s="14"/>
      <c r="HTL22" s="15"/>
      <c r="HTM22" s="15"/>
      <c r="HTN22" s="16"/>
      <c r="HTO22" s="41"/>
      <c r="HTP22" s="41"/>
      <c r="HTQ22" s="28"/>
      <c r="HTR22" s="29"/>
      <c r="HTS22" s="24"/>
      <c r="HTT22" s="13"/>
      <c r="HTU22" s="13"/>
      <c r="HTV22" s="14"/>
      <c r="HTW22" s="15"/>
      <c r="HTX22" s="15"/>
      <c r="HTY22" s="16"/>
      <c r="HTZ22" s="41"/>
      <c r="HUA22" s="41"/>
      <c r="HUB22" s="28"/>
      <c r="HUC22" s="29"/>
      <c r="HUD22" s="24"/>
      <c r="HUE22" s="13"/>
      <c r="HUF22" s="13"/>
      <c r="HUG22" s="14"/>
      <c r="HUH22" s="15"/>
      <c r="HUI22" s="15"/>
      <c r="HUJ22" s="16"/>
      <c r="HUK22" s="41"/>
      <c r="HUL22" s="41"/>
      <c r="HUM22" s="28"/>
      <c r="HUN22" s="29"/>
      <c r="HUO22" s="24"/>
      <c r="HUP22" s="13"/>
      <c r="HUQ22" s="13"/>
      <c r="HUR22" s="14"/>
      <c r="HUS22" s="15"/>
      <c r="HUT22" s="15"/>
      <c r="HUU22" s="16"/>
      <c r="HUV22" s="41"/>
      <c r="HUW22" s="41"/>
      <c r="HUX22" s="28"/>
      <c r="HUY22" s="29"/>
      <c r="HUZ22" s="24"/>
      <c r="HVA22" s="13"/>
      <c r="HVB22" s="13"/>
      <c r="HVC22" s="14"/>
      <c r="HVD22" s="15"/>
      <c r="HVE22" s="15"/>
      <c r="HVF22" s="16"/>
      <c r="HVG22" s="41"/>
      <c r="HVH22" s="41"/>
      <c r="HVI22" s="28"/>
      <c r="HVJ22" s="29"/>
      <c r="HVK22" s="24"/>
      <c r="HVL22" s="13"/>
      <c r="HVM22" s="13"/>
      <c r="HVN22" s="14"/>
      <c r="HVO22" s="15"/>
      <c r="HVP22" s="15"/>
      <c r="HVQ22" s="16"/>
      <c r="HVR22" s="41"/>
      <c r="HVS22" s="41"/>
      <c r="HVT22" s="28"/>
      <c r="HVU22" s="29"/>
      <c r="HVV22" s="24"/>
      <c r="HVW22" s="13"/>
      <c r="HVX22" s="13"/>
      <c r="HVY22" s="14"/>
      <c r="HVZ22" s="15"/>
      <c r="HWA22" s="15"/>
      <c r="HWB22" s="16"/>
      <c r="HWC22" s="41"/>
      <c r="HWD22" s="41"/>
      <c r="HWE22" s="28"/>
      <c r="HWF22" s="29"/>
      <c r="HWG22" s="24"/>
      <c r="HWH22" s="13"/>
      <c r="HWI22" s="13"/>
      <c r="HWJ22" s="14"/>
      <c r="HWK22" s="15"/>
      <c r="HWL22" s="15"/>
      <c r="HWM22" s="16"/>
      <c r="HWN22" s="41"/>
      <c r="HWO22" s="41"/>
      <c r="HWP22" s="28"/>
      <c r="HWQ22" s="29"/>
      <c r="HWR22" s="24"/>
      <c r="HWS22" s="13"/>
      <c r="HWT22" s="13"/>
      <c r="HWU22" s="14"/>
      <c r="HWV22" s="15"/>
      <c r="HWW22" s="15"/>
      <c r="HWX22" s="16"/>
      <c r="HWY22" s="41"/>
      <c r="HWZ22" s="41"/>
      <c r="HXA22" s="28"/>
      <c r="HXB22" s="29"/>
      <c r="HXC22" s="24"/>
      <c r="HXD22" s="13"/>
      <c r="HXE22" s="13"/>
      <c r="HXF22" s="14"/>
      <c r="HXG22" s="15"/>
      <c r="HXH22" s="15"/>
      <c r="HXI22" s="16"/>
      <c r="HXJ22" s="41"/>
      <c r="HXK22" s="41"/>
      <c r="HXL22" s="28"/>
      <c r="HXM22" s="29"/>
      <c r="HXN22" s="24"/>
      <c r="HXO22" s="13"/>
      <c r="HXP22" s="13"/>
      <c r="HXQ22" s="14"/>
      <c r="HXR22" s="15"/>
      <c r="HXS22" s="15"/>
      <c r="HXT22" s="16"/>
      <c r="HXU22" s="41"/>
      <c r="HXV22" s="41"/>
      <c r="HXW22" s="28"/>
      <c r="HXX22" s="29"/>
      <c r="HXY22" s="24"/>
      <c r="HXZ22" s="13"/>
      <c r="HYA22" s="13"/>
      <c r="HYB22" s="14"/>
      <c r="HYC22" s="15"/>
      <c r="HYD22" s="15"/>
      <c r="HYE22" s="16"/>
      <c r="HYF22" s="41"/>
      <c r="HYG22" s="41"/>
      <c r="HYH22" s="28"/>
      <c r="HYI22" s="29"/>
      <c r="HYJ22" s="24"/>
      <c r="HYK22" s="13"/>
      <c r="HYL22" s="13"/>
      <c r="HYM22" s="14"/>
      <c r="HYN22" s="15"/>
      <c r="HYO22" s="15"/>
      <c r="HYP22" s="16"/>
      <c r="HYQ22" s="41"/>
      <c r="HYR22" s="41"/>
      <c r="HYS22" s="28"/>
      <c r="HYT22" s="29"/>
      <c r="HYU22" s="24"/>
      <c r="HYV22" s="13"/>
      <c r="HYW22" s="13"/>
      <c r="HYX22" s="14"/>
      <c r="HYY22" s="15"/>
      <c r="HYZ22" s="15"/>
      <c r="HZA22" s="16"/>
      <c r="HZB22" s="41"/>
      <c r="HZC22" s="41"/>
      <c r="HZD22" s="28"/>
      <c r="HZE22" s="29"/>
      <c r="HZF22" s="24"/>
      <c r="HZG22" s="13"/>
      <c r="HZH22" s="13"/>
      <c r="HZI22" s="14"/>
      <c r="HZJ22" s="15"/>
      <c r="HZK22" s="15"/>
      <c r="HZL22" s="16"/>
      <c r="HZM22" s="41"/>
      <c r="HZN22" s="41"/>
      <c r="HZO22" s="28"/>
      <c r="HZP22" s="29"/>
      <c r="HZQ22" s="24"/>
      <c r="HZR22" s="13"/>
      <c r="HZS22" s="13"/>
      <c r="HZT22" s="14"/>
      <c r="HZU22" s="15"/>
      <c r="HZV22" s="15"/>
      <c r="HZW22" s="16"/>
      <c r="HZX22" s="41"/>
      <c r="HZY22" s="41"/>
      <c r="HZZ22" s="28"/>
      <c r="IAA22" s="29"/>
      <c r="IAB22" s="24"/>
      <c r="IAC22" s="13"/>
      <c r="IAD22" s="13"/>
      <c r="IAE22" s="14"/>
      <c r="IAF22" s="15"/>
      <c r="IAG22" s="15"/>
      <c r="IAH22" s="16"/>
      <c r="IAI22" s="41"/>
      <c r="IAJ22" s="41"/>
      <c r="IAK22" s="28"/>
      <c r="IAL22" s="29"/>
      <c r="IAM22" s="24"/>
      <c r="IAN22" s="13"/>
      <c r="IAO22" s="13"/>
      <c r="IAP22" s="14"/>
      <c r="IAQ22" s="15"/>
      <c r="IAR22" s="15"/>
      <c r="IAS22" s="16"/>
      <c r="IAT22" s="41"/>
      <c r="IAU22" s="41"/>
      <c r="IAV22" s="28"/>
      <c r="IAW22" s="29"/>
      <c r="IAX22" s="24"/>
      <c r="IAY22" s="13"/>
      <c r="IAZ22" s="13"/>
      <c r="IBA22" s="14"/>
      <c r="IBB22" s="15"/>
      <c r="IBC22" s="15"/>
      <c r="IBD22" s="16"/>
      <c r="IBE22" s="41"/>
      <c r="IBF22" s="41"/>
      <c r="IBG22" s="28"/>
      <c r="IBH22" s="29"/>
      <c r="IBI22" s="24"/>
      <c r="IBJ22" s="13"/>
      <c r="IBK22" s="13"/>
      <c r="IBL22" s="14"/>
      <c r="IBM22" s="15"/>
      <c r="IBN22" s="15"/>
      <c r="IBO22" s="16"/>
      <c r="IBP22" s="41"/>
      <c r="IBQ22" s="41"/>
      <c r="IBR22" s="28"/>
      <c r="IBS22" s="29"/>
      <c r="IBT22" s="24"/>
      <c r="IBU22" s="13"/>
      <c r="IBV22" s="13"/>
      <c r="IBW22" s="14"/>
      <c r="IBX22" s="15"/>
      <c r="IBY22" s="15"/>
      <c r="IBZ22" s="16"/>
      <c r="ICA22" s="41"/>
      <c r="ICB22" s="41"/>
      <c r="ICC22" s="28"/>
      <c r="ICD22" s="29"/>
      <c r="ICE22" s="24"/>
      <c r="ICF22" s="13"/>
      <c r="ICG22" s="13"/>
      <c r="ICH22" s="14"/>
      <c r="ICI22" s="15"/>
      <c r="ICJ22" s="15"/>
      <c r="ICK22" s="16"/>
      <c r="ICL22" s="41"/>
      <c r="ICM22" s="41"/>
      <c r="ICN22" s="28"/>
      <c r="ICO22" s="29"/>
      <c r="ICP22" s="24"/>
      <c r="ICQ22" s="13"/>
      <c r="ICR22" s="13"/>
      <c r="ICS22" s="14"/>
      <c r="ICT22" s="15"/>
      <c r="ICU22" s="15"/>
      <c r="ICV22" s="16"/>
      <c r="ICW22" s="41"/>
      <c r="ICX22" s="41"/>
      <c r="ICY22" s="28"/>
      <c r="ICZ22" s="29"/>
      <c r="IDA22" s="24"/>
      <c r="IDB22" s="13"/>
      <c r="IDC22" s="13"/>
      <c r="IDD22" s="14"/>
      <c r="IDE22" s="15"/>
      <c r="IDF22" s="15"/>
      <c r="IDG22" s="16"/>
      <c r="IDH22" s="41"/>
      <c r="IDI22" s="41"/>
      <c r="IDJ22" s="28"/>
      <c r="IDK22" s="29"/>
      <c r="IDL22" s="24"/>
      <c r="IDM22" s="13"/>
      <c r="IDN22" s="13"/>
      <c r="IDO22" s="14"/>
      <c r="IDP22" s="15"/>
      <c r="IDQ22" s="15"/>
      <c r="IDR22" s="16"/>
      <c r="IDS22" s="41"/>
      <c r="IDT22" s="41"/>
      <c r="IDU22" s="28"/>
      <c r="IDV22" s="29"/>
      <c r="IDW22" s="24"/>
      <c r="IDX22" s="13"/>
      <c r="IDY22" s="13"/>
      <c r="IDZ22" s="14"/>
      <c r="IEA22" s="15"/>
      <c r="IEB22" s="15"/>
      <c r="IEC22" s="16"/>
      <c r="IED22" s="41"/>
      <c r="IEE22" s="41"/>
      <c r="IEF22" s="28"/>
      <c r="IEG22" s="29"/>
      <c r="IEH22" s="24"/>
      <c r="IEI22" s="13"/>
      <c r="IEJ22" s="13"/>
      <c r="IEK22" s="14"/>
      <c r="IEL22" s="15"/>
      <c r="IEM22" s="15"/>
      <c r="IEN22" s="16"/>
      <c r="IEO22" s="41"/>
      <c r="IEP22" s="41"/>
      <c r="IEQ22" s="28"/>
      <c r="IER22" s="29"/>
      <c r="IES22" s="24"/>
      <c r="IET22" s="13"/>
      <c r="IEU22" s="13"/>
      <c r="IEV22" s="14"/>
      <c r="IEW22" s="15"/>
      <c r="IEX22" s="15"/>
      <c r="IEY22" s="16"/>
      <c r="IEZ22" s="41"/>
      <c r="IFA22" s="41"/>
      <c r="IFB22" s="28"/>
      <c r="IFC22" s="29"/>
      <c r="IFD22" s="24"/>
      <c r="IFE22" s="13"/>
      <c r="IFF22" s="13"/>
      <c r="IFG22" s="14"/>
      <c r="IFH22" s="15"/>
      <c r="IFI22" s="15"/>
      <c r="IFJ22" s="16"/>
      <c r="IFK22" s="41"/>
      <c r="IFL22" s="41"/>
      <c r="IFM22" s="28"/>
      <c r="IFN22" s="29"/>
      <c r="IFO22" s="24"/>
      <c r="IFP22" s="13"/>
      <c r="IFQ22" s="13"/>
      <c r="IFR22" s="14"/>
      <c r="IFS22" s="15"/>
      <c r="IFT22" s="15"/>
      <c r="IFU22" s="16"/>
      <c r="IFV22" s="41"/>
      <c r="IFW22" s="41"/>
      <c r="IFX22" s="28"/>
      <c r="IFY22" s="29"/>
      <c r="IFZ22" s="24"/>
      <c r="IGA22" s="13"/>
      <c r="IGB22" s="13"/>
      <c r="IGC22" s="14"/>
      <c r="IGD22" s="15"/>
      <c r="IGE22" s="15"/>
      <c r="IGF22" s="16"/>
      <c r="IGG22" s="41"/>
      <c r="IGH22" s="41"/>
      <c r="IGI22" s="28"/>
      <c r="IGJ22" s="29"/>
      <c r="IGK22" s="24"/>
      <c r="IGL22" s="13"/>
      <c r="IGM22" s="13"/>
      <c r="IGN22" s="14"/>
      <c r="IGO22" s="15"/>
      <c r="IGP22" s="15"/>
      <c r="IGQ22" s="16"/>
      <c r="IGR22" s="41"/>
      <c r="IGS22" s="41"/>
      <c r="IGT22" s="28"/>
      <c r="IGU22" s="29"/>
      <c r="IGV22" s="24"/>
      <c r="IGW22" s="13"/>
      <c r="IGX22" s="13"/>
      <c r="IGY22" s="14"/>
      <c r="IGZ22" s="15"/>
      <c r="IHA22" s="15"/>
      <c r="IHB22" s="16"/>
      <c r="IHC22" s="41"/>
      <c r="IHD22" s="41"/>
      <c r="IHE22" s="28"/>
      <c r="IHF22" s="29"/>
      <c r="IHG22" s="24"/>
      <c r="IHH22" s="13"/>
      <c r="IHI22" s="13"/>
      <c r="IHJ22" s="14"/>
      <c r="IHK22" s="15"/>
      <c r="IHL22" s="15"/>
      <c r="IHM22" s="16"/>
      <c r="IHN22" s="41"/>
      <c r="IHO22" s="41"/>
      <c r="IHP22" s="28"/>
      <c r="IHQ22" s="29"/>
      <c r="IHR22" s="24"/>
      <c r="IHS22" s="13"/>
      <c r="IHT22" s="13"/>
      <c r="IHU22" s="14"/>
      <c r="IHV22" s="15"/>
      <c r="IHW22" s="15"/>
      <c r="IHX22" s="16"/>
      <c r="IHY22" s="41"/>
      <c r="IHZ22" s="41"/>
      <c r="IIA22" s="28"/>
      <c r="IIB22" s="29"/>
      <c r="IIC22" s="24"/>
      <c r="IID22" s="13"/>
      <c r="IIE22" s="13"/>
      <c r="IIF22" s="14"/>
      <c r="IIG22" s="15"/>
      <c r="IIH22" s="15"/>
      <c r="III22" s="16"/>
      <c r="IIJ22" s="41"/>
      <c r="IIK22" s="41"/>
      <c r="IIL22" s="28"/>
      <c r="IIM22" s="29"/>
      <c r="IIN22" s="24"/>
      <c r="IIO22" s="13"/>
      <c r="IIP22" s="13"/>
      <c r="IIQ22" s="14"/>
      <c r="IIR22" s="15"/>
      <c r="IIS22" s="15"/>
      <c r="IIT22" s="16"/>
      <c r="IIU22" s="41"/>
      <c r="IIV22" s="41"/>
      <c r="IIW22" s="28"/>
      <c r="IIX22" s="29"/>
      <c r="IIY22" s="24"/>
      <c r="IIZ22" s="13"/>
      <c r="IJA22" s="13"/>
      <c r="IJB22" s="14"/>
      <c r="IJC22" s="15"/>
      <c r="IJD22" s="15"/>
      <c r="IJE22" s="16"/>
      <c r="IJF22" s="41"/>
      <c r="IJG22" s="41"/>
      <c r="IJH22" s="28"/>
      <c r="IJI22" s="29"/>
      <c r="IJJ22" s="24"/>
      <c r="IJK22" s="13"/>
      <c r="IJL22" s="13"/>
      <c r="IJM22" s="14"/>
      <c r="IJN22" s="15"/>
      <c r="IJO22" s="15"/>
      <c r="IJP22" s="16"/>
      <c r="IJQ22" s="41"/>
      <c r="IJR22" s="41"/>
      <c r="IJS22" s="28"/>
      <c r="IJT22" s="29"/>
      <c r="IJU22" s="24"/>
      <c r="IJV22" s="13"/>
      <c r="IJW22" s="13"/>
      <c r="IJX22" s="14"/>
      <c r="IJY22" s="15"/>
      <c r="IJZ22" s="15"/>
      <c r="IKA22" s="16"/>
      <c r="IKB22" s="41"/>
      <c r="IKC22" s="41"/>
      <c r="IKD22" s="28"/>
      <c r="IKE22" s="29"/>
      <c r="IKF22" s="24"/>
      <c r="IKG22" s="13"/>
      <c r="IKH22" s="13"/>
      <c r="IKI22" s="14"/>
      <c r="IKJ22" s="15"/>
      <c r="IKK22" s="15"/>
      <c r="IKL22" s="16"/>
      <c r="IKM22" s="41"/>
      <c r="IKN22" s="41"/>
      <c r="IKO22" s="28"/>
      <c r="IKP22" s="29"/>
      <c r="IKQ22" s="24"/>
      <c r="IKR22" s="13"/>
      <c r="IKS22" s="13"/>
      <c r="IKT22" s="14"/>
      <c r="IKU22" s="15"/>
      <c r="IKV22" s="15"/>
      <c r="IKW22" s="16"/>
      <c r="IKX22" s="41"/>
      <c r="IKY22" s="41"/>
      <c r="IKZ22" s="28"/>
      <c r="ILA22" s="29"/>
      <c r="ILB22" s="24"/>
      <c r="ILC22" s="13"/>
      <c r="ILD22" s="13"/>
      <c r="ILE22" s="14"/>
      <c r="ILF22" s="15"/>
      <c r="ILG22" s="15"/>
      <c r="ILH22" s="16"/>
      <c r="ILI22" s="41"/>
      <c r="ILJ22" s="41"/>
      <c r="ILK22" s="28"/>
      <c r="ILL22" s="29"/>
      <c r="ILM22" s="24"/>
      <c r="ILN22" s="13"/>
      <c r="ILO22" s="13"/>
      <c r="ILP22" s="14"/>
      <c r="ILQ22" s="15"/>
      <c r="ILR22" s="15"/>
      <c r="ILS22" s="16"/>
      <c r="ILT22" s="41"/>
      <c r="ILU22" s="41"/>
      <c r="ILV22" s="28"/>
      <c r="ILW22" s="29"/>
      <c r="ILX22" s="24"/>
      <c r="ILY22" s="13"/>
      <c r="ILZ22" s="13"/>
      <c r="IMA22" s="14"/>
      <c r="IMB22" s="15"/>
      <c r="IMC22" s="15"/>
      <c r="IMD22" s="16"/>
      <c r="IME22" s="41"/>
      <c r="IMF22" s="41"/>
      <c r="IMG22" s="28"/>
      <c r="IMH22" s="29"/>
      <c r="IMI22" s="24"/>
      <c r="IMJ22" s="13"/>
      <c r="IMK22" s="13"/>
      <c r="IML22" s="14"/>
      <c r="IMM22" s="15"/>
      <c r="IMN22" s="15"/>
      <c r="IMO22" s="16"/>
      <c r="IMP22" s="41"/>
      <c r="IMQ22" s="41"/>
      <c r="IMR22" s="28"/>
      <c r="IMS22" s="29"/>
      <c r="IMT22" s="24"/>
      <c r="IMU22" s="13"/>
      <c r="IMV22" s="13"/>
      <c r="IMW22" s="14"/>
      <c r="IMX22" s="15"/>
      <c r="IMY22" s="15"/>
      <c r="IMZ22" s="16"/>
      <c r="INA22" s="41"/>
      <c r="INB22" s="41"/>
      <c r="INC22" s="28"/>
      <c r="IND22" s="29"/>
      <c r="INE22" s="24"/>
      <c r="INF22" s="13"/>
      <c r="ING22" s="13"/>
      <c r="INH22" s="14"/>
      <c r="INI22" s="15"/>
      <c r="INJ22" s="15"/>
      <c r="INK22" s="16"/>
      <c r="INL22" s="41"/>
      <c r="INM22" s="41"/>
      <c r="INN22" s="28"/>
      <c r="INO22" s="29"/>
      <c r="INP22" s="24"/>
      <c r="INQ22" s="13"/>
      <c r="INR22" s="13"/>
      <c r="INS22" s="14"/>
      <c r="INT22" s="15"/>
      <c r="INU22" s="15"/>
      <c r="INV22" s="16"/>
      <c r="INW22" s="41"/>
      <c r="INX22" s="41"/>
      <c r="INY22" s="28"/>
      <c r="INZ22" s="29"/>
      <c r="IOA22" s="24"/>
      <c r="IOB22" s="13"/>
      <c r="IOC22" s="13"/>
      <c r="IOD22" s="14"/>
      <c r="IOE22" s="15"/>
      <c r="IOF22" s="15"/>
      <c r="IOG22" s="16"/>
      <c r="IOH22" s="41"/>
      <c r="IOI22" s="41"/>
      <c r="IOJ22" s="28"/>
      <c r="IOK22" s="29"/>
      <c r="IOL22" s="24"/>
      <c r="IOM22" s="13"/>
      <c r="ION22" s="13"/>
      <c r="IOO22" s="14"/>
      <c r="IOP22" s="15"/>
      <c r="IOQ22" s="15"/>
      <c r="IOR22" s="16"/>
      <c r="IOS22" s="41"/>
      <c r="IOT22" s="41"/>
      <c r="IOU22" s="28"/>
      <c r="IOV22" s="29"/>
      <c r="IOW22" s="24"/>
      <c r="IOX22" s="13"/>
      <c r="IOY22" s="13"/>
      <c r="IOZ22" s="14"/>
      <c r="IPA22" s="15"/>
      <c r="IPB22" s="15"/>
      <c r="IPC22" s="16"/>
      <c r="IPD22" s="41"/>
      <c r="IPE22" s="41"/>
      <c r="IPF22" s="28"/>
      <c r="IPG22" s="29"/>
      <c r="IPH22" s="24"/>
      <c r="IPI22" s="13"/>
      <c r="IPJ22" s="13"/>
      <c r="IPK22" s="14"/>
      <c r="IPL22" s="15"/>
      <c r="IPM22" s="15"/>
      <c r="IPN22" s="16"/>
      <c r="IPO22" s="41"/>
      <c r="IPP22" s="41"/>
      <c r="IPQ22" s="28"/>
      <c r="IPR22" s="29"/>
      <c r="IPS22" s="24"/>
      <c r="IPT22" s="13"/>
      <c r="IPU22" s="13"/>
      <c r="IPV22" s="14"/>
      <c r="IPW22" s="15"/>
      <c r="IPX22" s="15"/>
      <c r="IPY22" s="16"/>
      <c r="IPZ22" s="41"/>
      <c r="IQA22" s="41"/>
      <c r="IQB22" s="28"/>
      <c r="IQC22" s="29"/>
      <c r="IQD22" s="24"/>
      <c r="IQE22" s="13"/>
      <c r="IQF22" s="13"/>
      <c r="IQG22" s="14"/>
      <c r="IQH22" s="15"/>
      <c r="IQI22" s="15"/>
      <c r="IQJ22" s="16"/>
      <c r="IQK22" s="41"/>
      <c r="IQL22" s="41"/>
      <c r="IQM22" s="28"/>
      <c r="IQN22" s="29"/>
      <c r="IQO22" s="24"/>
      <c r="IQP22" s="13"/>
      <c r="IQQ22" s="13"/>
      <c r="IQR22" s="14"/>
      <c r="IQS22" s="15"/>
      <c r="IQT22" s="15"/>
      <c r="IQU22" s="16"/>
      <c r="IQV22" s="41"/>
      <c r="IQW22" s="41"/>
      <c r="IQX22" s="28"/>
      <c r="IQY22" s="29"/>
      <c r="IQZ22" s="24"/>
      <c r="IRA22" s="13"/>
      <c r="IRB22" s="13"/>
      <c r="IRC22" s="14"/>
      <c r="IRD22" s="15"/>
      <c r="IRE22" s="15"/>
      <c r="IRF22" s="16"/>
      <c r="IRG22" s="41"/>
      <c r="IRH22" s="41"/>
      <c r="IRI22" s="28"/>
      <c r="IRJ22" s="29"/>
      <c r="IRK22" s="24"/>
      <c r="IRL22" s="13"/>
      <c r="IRM22" s="13"/>
      <c r="IRN22" s="14"/>
      <c r="IRO22" s="15"/>
      <c r="IRP22" s="15"/>
      <c r="IRQ22" s="16"/>
      <c r="IRR22" s="41"/>
      <c r="IRS22" s="41"/>
      <c r="IRT22" s="28"/>
      <c r="IRU22" s="29"/>
      <c r="IRV22" s="24"/>
      <c r="IRW22" s="13"/>
      <c r="IRX22" s="13"/>
      <c r="IRY22" s="14"/>
      <c r="IRZ22" s="15"/>
      <c r="ISA22" s="15"/>
      <c r="ISB22" s="16"/>
      <c r="ISC22" s="41"/>
      <c r="ISD22" s="41"/>
      <c r="ISE22" s="28"/>
      <c r="ISF22" s="29"/>
      <c r="ISG22" s="24"/>
      <c r="ISH22" s="13"/>
      <c r="ISI22" s="13"/>
      <c r="ISJ22" s="14"/>
      <c r="ISK22" s="15"/>
      <c r="ISL22" s="15"/>
      <c r="ISM22" s="16"/>
      <c r="ISN22" s="41"/>
      <c r="ISO22" s="41"/>
      <c r="ISP22" s="28"/>
      <c r="ISQ22" s="29"/>
      <c r="ISR22" s="24"/>
      <c r="ISS22" s="13"/>
      <c r="IST22" s="13"/>
      <c r="ISU22" s="14"/>
      <c r="ISV22" s="15"/>
      <c r="ISW22" s="15"/>
      <c r="ISX22" s="16"/>
      <c r="ISY22" s="41"/>
      <c r="ISZ22" s="41"/>
      <c r="ITA22" s="28"/>
      <c r="ITB22" s="29"/>
      <c r="ITC22" s="24"/>
      <c r="ITD22" s="13"/>
      <c r="ITE22" s="13"/>
      <c r="ITF22" s="14"/>
      <c r="ITG22" s="15"/>
      <c r="ITH22" s="15"/>
      <c r="ITI22" s="16"/>
      <c r="ITJ22" s="41"/>
      <c r="ITK22" s="41"/>
      <c r="ITL22" s="28"/>
      <c r="ITM22" s="29"/>
      <c r="ITN22" s="24"/>
      <c r="ITO22" s="13"/>
      <c r="ITP22" s="13"/>
      <c r="ITQ22" s="14"/>
      <c r="ITR22" s="15"/>
      <c r="ITS22" s="15"/>
      <c r="ITT22" s="16"/>
      <c r="ITU22" s="41"/>
      <c r="ITV22" s="41"/>
      <c r="ITW22" s="28"/>
      <c r="ITX22" s="29"/>
      <c r="ITY22" s="24"/>
      <c r="ITZ22" s="13"/>
      <c r="IUA22" s="13"/>
      <c r="IUB22" s="14"/>
      <c r="IUC22" s="15"/>
      <c r="IUD22" s="15"/>
      <c r="IUE22" s="16"/>
      <c r="IUF22" s="41"/>
      <c r="IUG22" s="41"/>
      <c r="IUH22" s="28"/>
      <c r="IUI22" s="29"/>
      <c r="IUJ22" s="24"/>
      <c r="IUK22" s="13"/>
      <c r="IUL22" s="13"/>
      <c r="IUM22" s="14"/>
      <c r="IUN22" s="15"/>
      <c r="IUO22" s="15"/>
      <c r="IUP22" s="16"/>
      <c r="IUQ22" s="41"/>
      <c r="IUR22" s="41"/>
      <c r="IUS22" s="28"/>
      <c r="IUT22" s="29"/>
      <c r="IUU22" s="24"/>
      <c r="IUV22" s="13"/>
      <c r="IUW22" s="13"/>
      <c r="IUX22" s="14"/>
      <c r="IUY22" s="15"/>
      <c r="IUZ22" s="15"/>
      <c r="IVA22" s="16"/>
      <c r="IVB22" s="41"/>
      <c r="IVC22" s="41"/>
      <c r="IVD22" s="28"/>
      <c r="IVE22" s="29"/>
      <c r="IVF22" s="24"/>
      <c r="IVG22" s="13"/>
      <c r="IVH22" s="13"/>
      <c r="IVI22" s="14"/>
      <c r="IVJ22" s="15"/>
      <c r="IVK22" s="15"/>
      <c r="IVL22" s="16"/>
      <c r="IVM22" s="41"/>
      <c r="IVN22" s="41"/>
      <c r="IVO22" s="28"/>
      <c r="IVP22" s="29"/>
      <c r="IVQ22" s="24"/>
      <c r="IVR22" s="13"/>
      <c r="IVS22" s="13"/>
      <c r="IVT22" s="14"/>
      <c r="IVU22" s="15"/>
      <c r="IVV22" s="15"/>
      <c r="IVW22" s="16"/>
      <c r="IVX22" s="41"/>
      <c r="IVY22" s="41"/>
      <c r="IVZ22" s="28"/>
      <c r="IWA22" s="29"/>
      <c r="IWB22" s="24"/>
      <c r="IWC22" s="13"/>
      <c r="IWD22" s="13"/>
      <c r="IWE22" s="14"/>
      <c r="IWF22" s="15"/>
      <c r="IWG22" s="15"/>
      <c r="IWH22" s="16"/>
      <c r="IWI22" s="41"/>
      <c r="IWJ22" s="41"/>
      <c r="IWK22" s="28"/>
      <c r="IWL22" s="29"/>
      <c r="IWM22" s="24"/>
      <c r="IWN22" s="13"/>
      <c r="IWO22" s="13"/>
      <c r="IWP22" s="14"/>
      <c r="IWQ22" s="15"/>
      <c r="IWR22" s="15"/>
      <c r="IWS22" s="16"/>
      <c r="IWT22" s="41"/>
      <c r="IWU22" s="41"/>
      <c r="IWV22" s="28"/>
      <c r="IWW22" s="29"/>
      <c r="IWX22" s="24"/>
      <c r="IWY22" s="13"/>
      <c r="IWZ22" s="13"/>
      <c r="IXA22" s="14"/>
      <c r="IXB22" s="15"/>
      <c r="IXC22" s="15"/>
      <c r="IXD22" s="16"/>
      <c r="IXE22" s="41"/>
      <c r="IXF22" s="41"/>
      <c r="IXG22" s="28"/>
      <c r="IXH22" s="29"/>
      <c r="IXI22" s="24"/>
      <c r="IXJ22" s="13"/>
      <c r="IXK22" s="13"/>
      <c r="IXL22" s="14"/>
      <c r="IXM22" s="15"/>
      <c r="IXN22" s="15"/>
      <c r="IXO22" s="16"/>
      <c r="IXP22" s="41"/>
      <c r="IXQ22" s="41"/>
      <c r="IXR22" s="28"/>
      <c r="IXS22" s="29"/>
      <c r="IXT22" s="24"/>
      <c r="IXU22" s="13"/>
      <c r="IXV22" s="13"/>
      <c r="IXW22" s="14"/>
      <c r="IXX22" s="15"/>
      <c r="IXY22" s="15"/>
      <c r="IXZ22" s="16"/>
      <c r="IYA22" s="41"/>
      <c r="IYB22" s="41"/>
      <c r="IYC22" s="28"/>
      <c r="IYD22" s="29"/>
      <c r="IYE22" s="24"/>
      <c r="IYF22" s="13"/>
      <c r="IYG22" s="13"/>
      <c r="IYH22" s="14"/>
      <c r="IYI22" s="15"/>
      <c r="IYJ22" s="15"/>
      <c r="IYK22" s="16"/>
      <c r="IYL22" s="41"/>
      <c r="IYM22" s="41"/>
      <c r="IYN22" s="28"/>
      <c r="IYO22" s="29"/>
      <c r="IYP22" s="24"/>
      <c r="IYQ22" s="13"/>
      <c r="IYR22" s="13"/>
      <c r="IYS22" s="14"/>
      <c r="IYT22" s="15"/>
      <c r="IYU22" s="15"/>
      <c r="IYV22" s="16"/>
      <c r="IYW22" s="41"/>
      <c r="IYX22" s="41"/>
      <c r="IYY22" s="28"/>
      <c r="IYZ22" s="29"/>
      <c r="IZA22" s="24"/>
      <c r="IZB22" s="13"/>
      <c r="IZC22" s="13"/>
      <c r="IZD22" s="14"/>
      <c r="IZE22" s="15"/>
      <c r="IZF22" s="15"/>
      <c r="IZG22" s="16"/>
      <c r="IZH22" s="41"/>
      <c r="IZI22" s="41"/>
      <c r="IZJ22" s="28"/>
      <c r="IZK22" s="29"/>
      <c r="IZL22" s="24"/>
      <c r="IZM22" s="13"/>
      <c r="IZN22" s="13"/>
      <c r="IZO22" s="14"/>
      <c r="IZP22" s="15"/>
      <c r="IZQ22" s="15"/>
      <c r="IZR22" s="16"/>
      <c r="IZS22" s="41"/>
      <c r="IZT22" s="41"/>
      <c r="IZU22" s="28"/>
      <c r="IZV22" s="29"/>
      <c r="IZW22" s="24"/>
      <c r="IZX22" s="13"/>
      <c r="IZY22" s="13"/>
      <c r="IZZ22" s="14"/>
      <c r="JAA22" s="15"/>
      <c r="JAB22" s="15"/>
      <c r="JAC22" s="16"/>
      <c r="JAD22" s="41"/>
      <c r="JAE22" s="41"/>
      <c r="JAF22" s="28"/>
      <c r="JAG22" s="29"/>
      <c r="JAH22" s="24"/>
      <c r="JAI22" s="13"/>
      <c r="JAJ22" s="13"/>
      <c r="JAK22" s="14"/>
      <c r="JAL22" s="15"/>
      <c r="JAM22" s="15"/>
      <c r="JAN22" s="16"/>
      <c r="JAO22" s="41"/>
      <c r="JAP22" s="41"/>
      <c r="JAQ22" s="28"/>
      <c r="JAR22" s="29"/>
      <c r="JAS22" s="24"/>
      <c r="JAT22" s="13"/>
      <c r="JAU22" s="13"/>
      <c r="JAV22" s="14"/>
      <c r="JAW22" s="15"/>
      <c r="JAX22" s="15"/>
      <c r="JAY22" s="16"/>
      <c r="JAZ22" s="41"/>
      <c r="JBA22" s="41"/>
      <c r="JBB22" s="28"/>
      <c r="JBC22" s="29"/>
      <c r="JBD22" s="24"/>
      <c r="JBE22" s="13"/>
      <c r="JBF22" s="13"/>
      <c r="JBG22" s="14"/>
      <c r="JBH22" s="15"/>
      <c r="JBI22" s="15"/>
      <c r="JBJ22" s="16"/>
      <c r="JBK22" s="41"/>
      <c r="JBL22" s="41"/>
      <c r="JBM22" s="28"/>
      <c r="JBN22" s="29"/>
      <c r="JBO22" s="24"/>
      <c r="JBP22" s="13"/>
      <c r="JBQ22" s="13"/>
      <c r="JBR22" s="14"/>
      <c r="JBS22" s="15"/>
      <c r="JBT22" s="15"/>
      <c r="JBU22" s="16"/>
      <c r="JBV22" s="41"/>
      <c r="JBW22" s="41"/>
      <c r="JBX22" s="28"/>
      <c r="JBY22" s="29"/>
      <c r="JBZ22" s="24"/>
      <c r="JCA22" s="13"/>
      <c r="JCB22" s="13"/>
      <c r="JCC22" s="14"/>
      <c r="JCD22" s="15"/>
      <c r="JCE22" s="15"/>
      <c r="JCF22" s="16"/>
      <c r="JCG22" s="41"/>
      <c r="JCH22" s="41"/>
      <c r="JCI22" s="28"/>
      <c r="JCJ22" s="29"/>
      <c r="JCK22" s="24"/>
      <c r="JCL22" s="13"/>
      <c r="JCM22" s="13"/>
      <c r="JCN22" s="14"/>
      <c r="JCO22" s="15"/>
      <c r="JCP22" s="15"/>
      <c r="JCQ22" s="16"/>
      <c r="JCR22" s="41"/>
      <c r="JCS22" s="41"/>
      <c r="JCT22" s="28"/>
      <c r="JCU22" s="29"/>
      <c r="JCV22" s="24"/>
      <c r="JCW22" s="13"/>
      <c r="JCX22" s="13"/>
      <c r="JCY22" s="14"/>
      <c r="JCZ22" s="15"/>
      <c r="JDA22" s="15"/>
      <c r="JDB22" s="16"/>
      <c r="JDC22" s="41"/>
      <c r="JDD22" s="41"/>
      <c r="JDE22" s="28"/>
      <c r="JDF22" s="29"/>
      <c r="JDG22" s="24"/>
      <c r="JDH22" s="13"/>
      <c r="JDI22" s="13"/>
      <c r="JDJ22" s="14"/>
      <c r="JDK22" s="15"/>
      <c r="JDL22" s="15"/>
      <c r="JDM22" s="16"/>
      <c r="JDN22" s="41"/>
      <c r="JDO22" s="41"/>
      <c r="JDP22" s="28"/>
      <c r="JDQ22" s="29"/>
      <c r="JDR22" s="24"/>
      <c r="JDS22" s="13"/>
      <c r="JDT22" s="13"/>
      <c r="JDU22" s="14"/>
      <c r="JDV22" s="15"/>
      <c r="JDW22" s="15"/>
      <c r="JDX22" s="16"/>
      <c r="JDY22" s="41"/>
      <c r="JDZ22" s="41"/>
      <c r="JEA22" s="28"/>
      <c r="JEB22" s="29"/>
      <c r="JEC22" s="24"/>
      <c r="JED22" s="13"/>
      <c r="JEE22" s="13"/>
      <c r="JEF22" s="14"/>
      <c r="JEG22" s="15"/>
      <c r="JEH22" s="15"/>
      <c r="JEI22" s="16"/>
      <c r="JEJ22" s="41"/>
      <c r="JEK22" s="41"/>
      <c r="JEL22" s="28"/>
      <c r="JEM22" s="29"/>
      <c r="JEN22" s="24"/>
      <c r="JEO22" s="13"/>
      <c r="JEP22" s="13"/>
      <c r="JEQ22" s="14"/>
      <c r="JER22" s="15"/>
      <c r="JES22" s="15"/>
      <c r="JET22" s="16"/>
      <c r="JEU22" s="41"/>
      <c r="JEV22" s="41"/>
      <c r="JEW22" s="28"/>
      <c r="JEX22" s="29"/>
      <c r="JEY22" s="24"/>
      <c r="JEZ22" s="13"/>
      <c r="JFA22" s="13"/>
      <c r="JFB22" s="14"/>
      <c r="JFC22" s="15"/>
      <c r="JFD22" s="15"/>
      <c r="JFE22" s="16"/>
      <c r="JFF22" s="41"/>
      <c r="JFG22" s="41"/>
      <c r="JFH22" s="28"/>
      <c r="JFI22" s="29"/>
      <c r="JFJ22" s="24"/>
      <c r="JFK22" s="13"/>
      <c r="JFL22" s="13"/>
      <c r="JFM22" s="14"/>
      <c r="JFN22" s="15"/>
      <c r="JFO22" s="15"/>
      <c r="JFP22" s="16"/>
      <c r="JFQ22" s="41"/>
      <c r="JFR22" s="41"/>
      <c r="JFS22" s="28"/>
      <c r="JFT22" s="29"/>
      <c r="JFU22" s="24"/>
      <c r="JFV22" s="13"/>
      <c r="JFW22" s="13"/>
      <c r="JFX22" s="14"/>
      <c r="JFY22" s="15"/>
      <c r="JFZ22" s="15"/>
      <c r="JGA22" s="16"/>
      <c r="JGB22" s="41"/>
      <c r="JGC22" s="41"/>
      <c r="JGD22" s="28"/>
      <c r="JGE22" s="29"/>
      <c r="JGF22" s="24"/>
      <c r="JGG22" s="13"/>
      <c r="JGH22" s="13"/>
      <c r="JGI22" s="14"/>
      <c r="JGJ22" s="15"/>
      <c r="JGK22" s="15"/>
      <c r="JGL22" s="16"/>
      <c r="JGM22" s="41"/>
      <c r="JGN22" s="41"/>
      <c r="JGO22" s="28"/>
      <c r="JGP22" s="29"/>
      <c r="JGQ22" s="24"/>
      <c r="JGR22" s="13"/>
      <c r="JGS22" s="13"/>
      <c r="JGT22" s="14"/>
      <c r="JGU22" s="15"/>
      <c r="JGV22" s="15"/>
      <c r="JGW22" s="16"/>
      <c r="JGX22" s="41"/>
      <c r="JGY22" s="41"/>
      <c r="JGZ22" s="28"/>
      <c r="JHA22" s="29"/>
      <c r="JHB22" s="24"/>
      <c r="JHC22" s="13"/>
      <c r="JHD22" s="13"/>
      <c r="JHE22" s="14"/>
      <c r="JHF22" s="15"/>
      <c r="JHG22" s="15"/>
      <c r="JHH22" s="16"/>
      <c r="JHI22" s="41"/>
      <c r="JHJ22" s="41"/>
      <c r="JHK22" s="28"/>
      <c r="JHL22" s="29"/>
      <c r="JHM22" s="24"/>
      <c r="JHN22" s="13"/>
      <c r="JHO22" s="13"/>
      <c r="JHP22" s="14"/>
      <c r="JHQ22" s="15"/>
      <c r="JHR22" s="15"/>
      <c r="JHS22" s="16"/>
      <c r="JHT22" s="41"/>
      <c r="JHU22" s="41"/>
      <c r="JHV22" s="28"/>
      <c r="JHW22" s="29"/>
      <c r="JHX22" s="24"/>
      <c r="JHY22" s="13"/>
      <c r="JHZ22" s="13"/>
      <c r="JIA22" s="14"/>
      <c r="JIB22" s="15"/>
      <c r="JIC22" s="15"/>
      <c r="JID22" s="16"/>
      <c r="JIE22" s="41"/>
      <c r="JIF22" s="41"/>
      <c r="JIG22" s="28"/>
      <c r="JIH22" s="29"/>
      <c r="JII22" s="24"/>
      <c r="JIJ22" s="13"/>
      <c r="JIK22" s="13"/>
      <c r="JIL22" s="14"/>
      <c r="JIM22" s="15"/>
      <c r="JIN22" s="15"/>
      <c r="JIO22" s="16"/>
      <c r="JIP22" s="41"/>
      <c r="JIQ22" s="41"/>
      <c r="JIR22" s="28"/>
      <c r="JIS22" s="29"/>
      <c r="JIT22" s="24"/>
      <c r="JIU22" s="13"/>
      <c r="JIV22" s="13"/>
      <c r="JIW22" s="14"/>
      <c r="JIX22" s="15"/>
      <c r="JIY22" s="15"/>
      <c r="JIZ22" s="16"/>
      <c r="JJA22" s="41"/>
      <c r="JJB22" s="41"/>
      <c r="JJC22" s="28"/>
      <c r="JJD22" s="29"/>
      <c r="JJE22" s="24"/>
      <c r="JJF22" s="13"/>
      <c r="JJG22" s="13"/>
      <c r="JJH22" s="14"/>
      <c r="JJI22" s="15"/>
      <c r="JJJ22" s="15"/>
      <c r="JJK22" s="16"/>
      <c r="JJL22" s="41"/>
      <c r="JJM22" s="41"/>
      <c r="JJN22" s="28"/>
      <c r="JJO22" s="29"/>
      <c r="JJP22" s="24"/>
      <c r="JJQ22" s="13"/>
      <c r="JJR22" s="13"/>
      <c r="JJS22" s="14"/>
      <c r="JJT22" s="15"/>
      <c r="JJU22" s="15"/>
      <c r="JJV22" s="16"/>
      <c r="JJW22" s="41"/>
      <c r="JJX22" s="41"/>
      <c r="JJY22" s="28"/>
      <c r="JJZ22" s="29"/>
      <c r="JKA22" s="24"/>
      <c r="JKB22" s="13"/>
      <c r="JKC22" s="13"/>
      <c r="JKD22" s="14"/>
      <c r="JKE22" s="15"/>
      <c r="JKF22" s="15"/>
      <c r="JKG22" s="16"/>
      <c r="JKH22" s="41"/>
      <c r="JKI22" s="41"/>
      <c r="JKJ22" s="28"/>
      <c r="JKK22" s="29"/>
      <c r="JKL22" s="24"/>
      <c r="JKM22" s="13"/>
      <c r="JKN22" s="13"/>
      <c r="JKO22" s="14"/>
      <c r="JKP22" s="15"/>
      <c r="JKQ22" s="15"/>
      <c r="JKR22" s="16"/>
      <c r="JKS22" s="41"/>
      <c r="JKT22" s="41"/>
      <c r="JKU22" s="28"/>
      <c r="JKV22" s="29"/>
      <c r="JKW22" s="24"/>
      <c r="JKX22" s="13"/>
      <c r="JKY22" s="13"/>
      <c r="JKZ22" s="14"/>
      <c r="JLA22" s="15"/>
      <c r="JLB22" s="15"/>
      <c r="JLC22" s="16"/>
      <c r="JLD22" s="41"/>
      <c r="JLE22" s="41"/>
      <c r="JLF22" s="28"/>
      <c r="JLG22" s="29"/>
      <c r="JLH22" s="24"/>
      <c r="JLI22" s="13"/>
      <c r="JLJ22" s="13"/>
      <c r="JLK22" s="14"/>
      <c r="JLL22" s="15"/>
      <c r="JLM22" s="15"/>
      <c r="JLN22" s="16"/>
      <c r="JLO22" s="41"/>
      <c r="JLP22" s="41"/>
      <c r="JLQ22" s="28"/>
      <c r="JLR22" s="29"/>
      <c r="JLS22" s="24"/>
      <c r="JLT22" s="13"/>
      <c r="JLU22" s="13"/>
      <c r="JLV22" s="14"/>
      <c r="JLW22" s="15"/>
      <c r="JLX22" s="15"/>
      <c r="JLY22" s="16"/>
      <c r="JLZ22" s="41"/>
      <c r="JMA22" s="41"/>
      <c r="JMB22" s="28"/>
      <c r="JMC22" s="29"/>
      <c r="JMD22" s="24"/>
      <c r="JME22" s="13"/>
      <c r="JMF22" s="13"/>
      <c r="JMG22" s="14"/>
      <c r="JMH22" s="15"/>
      <c r="JMI22" s="15"/>
      <c r="JMJ22" s="16"/>
      <c r="JMK22" s="41"/>
      <c r="JML22" s="41"/>
      <c r="JMM22" s="28"/>
      <c r="JMN22" s="29"/>
      <c r="JMO22" s="24"/>
      <c r="JMP22" s="13"/>
      <c r="JMQ22" s="13"/>
      <c r="JMR22" s="14"/>
      <c r="JMS22" s="15"/>
      <c r="JMT22" s="15"/>
      <c r="JMU22" s="16"/>
      <c r="JMV22" s="41"/>
      <c r="JMW22" s="41"/>
      <c r="JMX22" s="28"/>
      <c r="JMY22" s="29"/>
      <c r="JMZ22" s="24"/>
      <c r="JNA22" s="13"/>
      <c r="JNB22" s="13"/>
      <c r="JNC22" s="14"/>
      <c r="JND22" s="15"/>
      <c r="JNE22" s="15"/>
      <c r="JNF22" s="16"/>
      <c r="JNG22" s="41"/>
      <c r="JNH22" s="41"/>
      <c r="JNI22" s="28"/>
      <c r="JNJ22" s="29"/>
      <c r="JNK22" s="24"/>
      <c r="JNL22" s="13"/>
      <c r="JNM22" s="13"/>
      <c r="JNN22" s="14"/>
      <c r="JNO22" s="15"/>
      <c r="JNP22" s="15"/>
      <c r="JNQ22" s="16"/>
      <c r="JNR22" s="41"/>
      <c r="JNS22" s="41"/>
      <c r="JNT22" s="28"/>
      <c r="JNU22" s="29"/>
      <c r="JNV22" s="24"/>
      <c r="JNW22" s="13"/>
      <c r="JNX22" s="13"/>
      <c r="JNY22" s="14"/>
      <c r="JNZ22" s="15"/>
      <c r="JOA22" s="15"/>
      <c r="JOB22" s="16"/>
      <c r="JOC22" s="41"/>
      <c r="JOD22" s="41"/>
      <c r="JOE22" s="28"/>
      <c r="JOF22" s="29"/>
      <c r="JOG22" s="24"/>
      <c r="JOH22" s="13"/>
      <c r="JOI22" s="13"/>
      <c r="JOJ22" s="14"/>
      <c r="JOK22" s="15"/>
      <c r="JOL22" s="15"/>
      <c r="JOM22" s="16"/>
      <c r="JON22" s="41"/>
      <c r="JOO22" s="41"/>
      <c r="JOP22" s="28"/>
      <c r="JOQ22" s="29"/>
      <c r="JOR22" s="24"/>
      <c r="JOS22" s="13"/>
      <c r="JOT22" s="13"/>
      <c r="JOU22" s="14"/>
      <c r="JOV22" s="15"/>
      <c r="JOW22" s="15"/>
      <c r="JOX22" s="16"/>
      <c r="JOY22" s="41"/>
      <c r="JOZ22" s="41"/>
      <c r="JPA22" s="28"/>
      <c r="JPB22" s="29"/>
      <c r="JPC22" s="24"/>
      <c r="JPD22" s="13"/>
      <c r="JPE22" s="13"/>
      <c r="JPF22" s="14"/>
      <c r="JPG22" s="15"/>
      <c r="JPH22" s="15"/>
      <c r="JPI22" s="16"/>
      <c r="JPJ22" s="41"/>
      <c r="JPK22" s="41"/>
      <c r="JPL22" s="28"/>
      <c r="JPM22" s="29"/>
      <c r="JPN22" s="24"/>
      <c r="JPO22" s="13"/>
      <c r="JPP22" s="13"/>
      <c r="JPQ22" s="14"/>
      <c r="JPR22" s="15"/>
      <c r="JPS22" s="15"/>
      <c r="JPT22" s="16"/>
      <c r="JPU22" s="41"/>
      <c r="JPV22" s="41"/>
      <c r="JPW22" s="28"/>
      <c r="JPX22" s="29"/>
      <c r="JPY22" s="24"/>
      <c r="JPZ22" s="13"/>
      <c r="JQA22" s="13"/>
      <c r="JQB22" s="14"/>
      <c r="JQC22" s="15"/>
      <c r="JQD22" s="15"/>
      <c r="JQE22" s="16"/>
      <c r="JQF22" s="41"/>
      <c r="JQG22" s="41"/>
      <c r="JQH22" s="28"/>
      <c r="JQI22" s="29"/>
      <c r="JQJ22" s="24"/>
      <c r="JQK22" s="13"/>
      <c r="JQL22" s="13"/>
      <c r="JQM22" s="14"/>
      <c r="JQN22" s="15"/>
      <c r="JQO22" s="15"/>
      <c r="JQP22" s="16"/>
      <c r="JQQ22" s="41"/>
      <c r="JQR22" s="41"/>
      <c r="JQS22" s="28"/>
      <c r="JQT22" s="29"/>
      <c r="JQU22" s="24"/>
      <c r="JQV22" s="13"/>
      <c r="JQW22" s="13"/>
      <c r="JQX22" s="14"/>
      <c r="JQY22" s="15"/>
      <c r="JQZ22" s="15"/>
      <c r="JRA22" s="16"/>
      <c r="JRB22" s="41"/>
      <c r="JRC22" s="41"/>
      <c r="JRD22" s="28"/>
      <c r="JRE22" s="29"/>
      <c r="JRF22" s="24"/>
      <c r="JRG22" s="13"/>
      <c r="JRH22" s="13"/>
      <c r="JRI22" s="14"/>
      <c r="JRJ22" s="15"/>
      <c r="JRK22" s="15"/>
      <c r="JRL22" s="16"/>
      <c r="JRM22" s="41"/>
      <c r="JRN22" s="41"/>
      <c r="JRO22" s="28"/>
      <c r="JRP22" s="29"/>
      <c r="JRQ22" s="24"/>
      <c r="JRR22" s="13"/>
      <c r="JRS22" s="13"/>
      <c r="JRT22" s="14"/>
      <c r="JRU22" s="15"/>
      <c r="JRV22" s="15"/>
      <c r="JRW22" s="16"/>
      <c r="JRX22" s="41"/>
      <c r="JRY22" s="41"/>
      <c r="JRZ22" s="28"/>
      <c r="JSA22" s="29"/>
      <c r="JSB22" s="24"/>
      <c r="JSC22" s="13"/>
      <c r="JSD22" s="13"/>
      <c r="JSE22" s="14"/>
      <c r="JSF22" s="15"/>
      <c r="JSG22" s="15"/>
      <c r="JSH22" s="16"/>
      <c r="JSI22" s="41"/>
      <c r="JSJ22" s="41"/>
      <c r="JSK22" s="28"/>
      <c r="JSL22" s="29"/>
      <c r="JSM22" s="24"/>
      <c r="JSN22" s="13"/>
      <c r="JSO22" s="13"/>
      <c r="JSP22" s="14"/>
      <c r="JSQ22" s="15"/>
      <c r="JSR22" s="15"/>
      <c r="JSS22" s="16"/>
      <c r="JST22" s="41"/>
      <c r="JSU22" s="41"/>
      <c r="JSV22" s="28"/>
      <c r="JSW22" s="29"/>
      <c r="JSX22" s="24"/>
      <c r="JSY22" s="13"/>
      <c r="JSZ22" s="13"/>
      <c r="JTA22" s="14"/>
      <c r="JTB22" s="15"/>
      <c r="JTC22" s="15"/>
      <c r="JTD22" s="16"/>
      <c r="JTE22" s="41"/>
      <c r="JTF22" s="41"/>
      <c r="JTG22" s="28"/>
      <c r="JTH22" s="29"/>
      <c r="JTI22" s="24"/>
      <c r="JTJ22" s="13"/>
      <c r="JTK22" s="13"/>
      <c r="JTL22" s="14"/>
      <c r="JTM22" s="15"/>
      <c r="JTN22" s="15"/>
      <c r="JTO22" s="16"/>
      <c r="JTP22" s="41"/>
      <c r="JTQ22" s="41"/>
      <c r="JTR22" s="28"/>
      <c r="JTS22" s="29"/>
      <c r="JTT22" s="24"/>
      <c r="JTU22" s="13"/>
      <c r="JTV22" s="13"/>
      <c r="JTW22" s="14"/>
      <c r="JTX22" s="15"/>
      <c r="JTY22" s="15"/>
      <c r="JTZ22" s="16"/>
      <c r="JUA22" s="41"/>
      <c r="JUB22" s="41"/>
      <c r="JUC22" s="28"/>
      <c r="JUD22" s="29"/>
      <c r="JUE22" s="24"/>
      <c r="JUF22" s="13"/>
      <c r="JUG22" s="13"/>
      <c r="JUH22" s="14"/>
      <c r="JUI22" s="15"/>
      <c r="JUJ22" s="15"/>
      <c r="JUK22" s="16"/>
      <c r="JUL22" s="41"/>
      <c r="JUM22" s="41"/>
      <c r="JUN22" s="28"/>
      <c r="JUO22" s="29"/>
      <c r="JUP22" s="24"/>
      <c r="JUQ22" s="13"/>
      <c r="JUR22" s="13"/>
      <c r="JUS22" s="14"/>
      <c r="JUT22" s="15"/>
      <c r="JUU22" s="15"/>
      <c r="JUV22" s="16"/>
      <c r="JUW22" s="41"/>
      <c r="JUX22" s="41"/>
      <c r="JUY22" s="28"/>
      <c r="JUZ22" s="29"/>
      <c r="JVA22" s="24"/>
      <c r="JVB22" s="13"/>
      <c r="JVC22" s="13"/>
      <c r="JVD22" s="14"/>
      <c r="JVE22" s="15"/>
      <c r="JVF22" s="15"/>
      <c r="JVG22" s="16"/>
      <c r="JVH22" s="41"/>
      <c r="JVI22" s="41"/>
      <c r="JVJ22" s="28"/>
      <c r="JVK22" s="29"/>
      <c r="JVL22" s="24"/>
      <c r="JVM22" s="13"/>
      <c r="JVN22" s="13"/>
      <c r="JVO22" s="14"/>
      <c r="JVP22" s="15"/>
      <c r="JVQ22" s="15"/>
      <c r="JVR22" s="16"/>
      <c r="JVS22" s="41"/>
      <c r="JVT22" s="41"/>
      <c r="JVU22" s="28"/>
      <c r="JVV22" s="29"/>
      <c r="JVW22" s="24"/>
      <c r="JVX22" s="13"/>
      <c r="JVY22" s="13"/>
      <c r="JVZ22" s="14"/>
      <c r="JWA22" s="15"/>
      <c r="JWB22" s="15"/>
      <c r="JWC22" s="16"/>
      <c r="JWD22" s="41"/>
      <c r="JWE22" s="41"/>
      <c r="JWF22" s="28"/>
      <c r="JWG22" s="29"/>
      <c r="JWH22" s="24"/>
      <c r="JWI22" s="13"/>
      <c r="JWJ22" s="13"/>
      <c r="JWK22" s="14"/>
      <c r="JWL22" s="15"/>
      <c r="JWM22" s="15"/>
      <c r="JWN22" s="16"/>
      <c r="JWO22" s="41"/>
      <c r="JWP22" s="41"/>
      <c r="JWQ22" s="28"/>
      <c r="JWR22" s="29"/>
      <c r="JWS22" s="24"/>
      <c r="JWT22" s="13"/>
      <c r="JWU22" s="13"/>
      <c r="JWV22" s="14"/>
      <c r="JWW22" s="15"/>
      <c r="JWX22" s="15"/>
      <c r="JWY22" s="16"/>
      <c r="JWZ22" s="41"/>
      <c r="JXA22" s="41"/>
      <c r="JXB22" s="28"/>
      <c r="JXC22" s="29"/>
      <c r="JXD22" s="24"/>
      <c r="JXE22" s="13"/>
      <c r="JXF22" s="13"/>
      <c r="JXG22" s="14"/>
      <c r="JXH22" s="15"/>
      <c r="JXI22" s="15"/>
      <c r="JXJ22" s="16"/>
      <c r="JXK22" s="41"/>
      <c r="JXL22" s="41"/>
      <c r="JXM22" s="28"/>
      <c r="JXN22" s="29"/>
      <c r="JXO22" s="24"/>
      <c r="JXP22" s="13"/>
      <c r="JXQ22" s="13"/>
      <c r="JXR22" s="14"/>
      <c r="JXS22" s="15"/>
      <c r="JXT22" s="15"/>
      <c r="JXU22" s="16"/>
      <c r="JXV22" s="41"/>
      <c r="JXW22" s="41"/>
      <c r="JXX22" s="28"/>
      <c r="JXY22" s="29"/>
      <c r="JXZ22" s="24"/>
      <c r="JYA22" s="13"/>
      <c r="JYB22" s="13"/>
      <c r="JYC22" s="14"/>
      <c r="JYD22" s="15"/>
      <c r="JYE22" s="15"/>
      <c r="JYF22" s="16"/>
      <c r="JYG22" s="41"/>
      <c r="JYH22" s="41"/>
      <c r="JYI22" s="28"/>
      <c r="JYJ22" s="29"/>
      <c r="JYK22" s="24"/>
      <c r="JYL22" s="13"/>
      <c r="JYM22" s="13"/>
      <c r="JYN22" s="14"/>
      <c r="JYO22" s="15"/>
      <c r="JYP22" s="15"/>
      <c r="JYQ22" s="16"/>
      <c r="JYR22" s="41"/>
      <c r="JYS22" s="41"/>
      <c r="JYT22" s="28"/>
      <c r="JYU22" s="29"/>
      <c r="JYV22" s="24"/>
      <c r="JYW22" s="13"/>
      <c r="JYX22" s="13"/>
      <c r="JYY22" s="14"/>
      <c r="JYZ22" s="15"/>
      <c r="JZA22" s="15"/>
      <c r="JZB22" s="16"/>
      <c r="JZC22" s="41"/>
      <c r="JZD22" s="41"/>
      <c r="JZE22" s="28"/>
      <c r="JZF22" s="29"/>
      <c r="JZG22" s="24"/>
      <c r="JZH22" s="13"/>
      <c r="JZI22" s="13"/>
      <c r="JZJ22" s="14"/>
      <c r="JZK22" s="15"/>
      <c r="JZL22" s="15"/>
      <c r="JZM22" s="16"/>
      <c r="JZN22" s="41"/>
      <c r="JZO22" s="41"/>
      <c r="JZP22" s="28"/>
      <c r="JZQ22" s="29"/>
      <c r="JZR22" s="24"/>
      <c r="JZS22" s="13"/>
      <c r="JZT22" s="13"/>
      <c r="JZU22" s="14"/>
      <c r="JZV22" s="15"/>
      <c r="JZW22" s="15"/>
      <c r="JZX22" s="16"/>
      <c r="JZY22" s="41"/>
      <c r="JZZ22" s="41"/>
      <c r="KAA22" s="28"/>
      <c r="KAB22" s="29"/>
      <c r="KAC22" s="24"/>
      <c r="KAD22" s="13"/>
      <c r="KAE22" s="13"/>
      <c r="KAF22" s="14"/>
      <c r="KAG22" s="15"/>
      <c r="KAH22" s="15"/>
      <c r="KAI22" s="16"/>
      <c r="KAJ22" s="41"/>
      <c r="KAK22" s="41"/>
      <c r="KAL22" s="28"/>
      <c r="KAM22" s="29"/>
      <c r="KAN22" s="24"/>
      <c r="KAO22" s="13"/>
      <c r="KAP22" s="13"/>
      <c r="KAQ22" s="14"/>
      <c r="KAR22" s="15"/>
      <c r="KAS22" s="15"/>
      <c r="KAT22" s="16"/>
      <c r="KAU22" s="41"/>
      <c r="KAV22" s="41"/>
      <c r="KAW22" s="28"/>
      <c r="KAX22" s="29"/>
      <c r="KAY22" s="24"/>
      <c r="KAZ22" s="13"/>
      <c r="KBA22" s="13"/>
      <c r="KBB22" s="14"/>
      <c r="KBC22" s="15"/>
      <c r="KBD22" s="15"/>
      <c r="KBE22" s="16"/>
      <c r="KBF22" s="41"/>
      <c r="KBG22" s="41"/>
      <c r="KBH22" s="28"/>
      <c r="KBI22" s="29"/>
      <c r="KBJ22" s="24"/>
      <c r="KBK22" s="13"/>
      <c r="KBL22" s="13"/>
      <c r="KBM22" s="14"/>
      <c r="KBN22" s="15"/>
      <c r="KBO22" s="15"/>
      <c r="KBP22" s="16"/>
      <c r="KBQ22" s="41"/>
      <c r="KBR22" s="41"/>
      <c r="KBS22" s="28"/>
      <c r="KBT22" s="29"/>
      <c r="KBU22" s="24"/>
      <c r="KBV22" s="13"/>
      <c r="KBW22" s="13"/>
      <c r="KBX22" s="14"/>
      <c r="KBY22" s="15"/>
      <c r="KBZ22" s="15"/>
      <c r="KCA22" s="16"/>
      <c r="KCB22" s="41"/>
      <c r="KCC22" s="41"/>
      <c r="KCD22" s="28"/>
      <c r="KCE22" s="29"/>
      <c r="KCF22" s="24"/>
      <c r="KCG22" s="13"/>
      <c r="KCH22" s="13"/>
      <c r="KCI22" s="14"/>
      <c r="KCJ22" s="15"/>
      <c r="KCK22" s="15"/>
      <c r="KCL22" s="16"/>
      <c r="KCM22" s="41"/>
      <c r="KCN22" s="41"/>
      <c r="KCO22" s="28"/>
      <c r="KCP22" s="29"/>
      <c r="KCQ22" s="24"/>
      <c r="KCR22" s="13"/>
      <c r="KCS22" s="13"/>
      <c r="KCT22" s="14"/>
      <c r="KCU22" s="15"/>
      <c r="KCV22" s="15"/>
      <c r="KCW22" s="16"/>
      <c r="KCX22" s="41"/>
      <c r="KCY22" s="41"/>
      <c r="KCZ22" s="28"/>
      <c r="KDA22" s="29"/>
      <c r="KDB22" s="24"/>
      <c r="KDC22" s="13"/>
      <c r="KDD22" s="13"/>
      <c r="KDE22" s="14"/>
      <c r="KDF22" s="15"/>
      <c r="KDG22" s="15"/>
      <c r="KDH22" s="16"/>
      <c r="KDI22" s="41"/>
      <c r="KDJ22" s="41"/>
      <c r="KDK22" s="28"/>
      <c r="KDL22" s="29"/>
      <c r="KDM22" s="24"/>
      <c r="KDN22" s="13"/>
      <c r="KDO22" s="13"/>
      <c r="KDP22" s="14"/>
      <c r="KDQ22" s="15"/>
      <c r="KDR22" s="15"/>
      <c r="KDS22" s="16"/>
      <c r="KDT22" s="41"/>
      <c r="KDU22" s="41"/>
      <c r="KDV22" s="28"/>
      <c r="KDW22" s="29"/>
      <c r="KDX22" s="24"/>
      <c r="KDY22" s="13"/>
      <c r="KDZ22" s="13"/>
      <c r="KEA22" s="14"/>
      <c r="KEB22" s="15"/>
      <c r="KEC22" s="15"/>
      <c r="KED22" s="16"/>
      <c r="KEE22" s="41"/>
      <c r="KEF22" s="41"/>
      <c r="KEG22" s="28"/>
      <c r="KEH22" s="29"/>
      <c r="KEI22" s="24"/>
      <c r="KEJ22" s="13"/>
      <c r="KEK22" s="13"/>
      <c r="KEL22" s="14"/>
      <c r="KEM22" s="15"/>
      <c r="KEN22" s="15"/>
      <c r="KEO22" s="16"/>
      <c r="KEP22" s="41"/>
      <c r="KEQ22" s="41"/>
      <c r="KER22" s="28"/>
      <c r="KES22" s="29"/>
      <c r="KET22" s="24"/>
      <c r="KEU22" s="13"/>
      <c r="KEV22" s="13"/>
      <c r="KEW22" s="14"/>
      <c r="KEX22" s="15"/>
      <c r="KEY22" s="15"/>
      <c r="KEZ22" s="16"/>
      <c r="KFA22" s="41"/>
      <c r="KFB22" s="41"/>
      <c r="KFC22" s="28"/>
      <c r="KFD22" s="29"/>
      <c r="KFE22" s="24"/>
      <c r="KFF22" s="13"/>
      <c r="KFG22" s="13"/>
      <c r="KFH22" s="14"/>
      <c r="KFI22" s="15"/>
      <c r="KFJ22" s="15"/>
      <c r="KFK22" s="16"/>
      <c r="KFL22" s="41"/>
      <c r="KFM22" s="41"/>
      <c r="KFN22" s="28"/>
      <c r="KFO22" s="29"/>
      <c r="KFP22" s="24"/>
      <c r="KFQ22" s="13"/>
      <c r="KFR22" s="13"/>
      <c r="KFS22" s="14"/>
      <c r="KFT22" s="15"/>
      <c r="KFU22" s="15"/>
      <c r="KFV22" s="16"/>
      <c r="KFW22" s="41"/>
      <c r="KFX22" s="41"/>
      <c r="KFY22" s="28"/>
      <c r="KFZ22" s="29"/>
      <c r="KGA22" s="24"/>
      <c r="KGB22" s="13"/>
      <c r="KGC22" s="13"/>
      <c r="KGD22" s="14"/>
      <c r="KGE22" s="15"/>
      <c r="KGF22" s="15"/>
      <c r="KGG22" s="16"/>
      <c r="KGH22" s="41"/>
      <c r="KGI22" s="41"/>
      <c r="KGJ22" s="28"/>
      <c r="KGK22" s="29"/>
      <c r="KGL22" s="24"/>
      <c r="KGM22" s="13"/>
      <c r="KGN22" s="13"/>
      <c r="KGO22" s="14"/>
      <c r="KGP22" s="15"/>
      <c r="KGQ22" s="15"/>
      <c r="KGR22" s="16"/>
      <c r="KGS22" s="41"/>
      <c r="KGT22" s="41"/>
      <c r="KGU22" s="28"/>
      <c r="KGV22" s="29"/>
      <c r="KGW22" s="24"/>
      <c r="KGX22" s="13"/>
      <c r="KGY22" s="13"/>
      <c r="KGZ22" s="14"/>
      <c r="KHA22" s="15"/>
      <c r="KHB22" s="15"/>
      <c r="KHC22" s="16"/>
      <c r="KHD22" s="41"/>
      <c r="KHE22" s="41"/>
      <c r="KHF22" s="28"/>
      <c r="KHG22" s="29"/>
      <c r="KHH22" s="24"/>
      <c r="KHI22" s="13"/>
      <c r="KHJ22" s="13"/>
      <c r="KHK22" s="14"/>
      <c r="KHL22" s="15"/>
      <c r="KHM22" s="15"/>
      <c r="KHN22" s="16"/>
      <c r="KHO22" s="41"/>
      <c r="KHP22" s="41"/>
      <c r="KHQ22" s="28"/>
      <c r="KHR22" s="29"/>
      <c r="KHS22" s="24"/>
      <c r="KHT22" s="13"/>
      <c r="KHU22" s="13"/>
      <c r="KHV22" s="14"/>
      <c r="KHW22" s="15"/>
      <c r="KHX22" s="15"/>
      <c r="KHY22" s="16"/>
      <c r="KHZ22" s="41"/>
      <c r="KIA22" s="41"/>
      <c r="KIB22" s="28"/>
      <c r="KIC22" s="29"/>
      <c r="KID22" s="24"/>
      <c r="KIE22" s="13"/>
      <c r="KIF22" s="13"/>
      <c r="KIG22" s="14"/>
      <c r="KIH22" s="15"/>
      <c r="KII22" s="15"/>
      <c r="KIJ22" s="16"/>
      <c r="KIK22" s="41"/>
      <c r="KIL22" s="41"/>
      <c r="KIM22" s="28"/>
      <c r="KIN22" s="29"/>
      <c r="KIO22" s="24"/>
      <c r="KIP22" s="13"/>
      <c r="KIQ22" s="13"/>
      <c r="KIR22" s="14"/>
      <c r="KIS22" s="15"/>
      <c r="KIT22" s="15"/>
      <c r="KIU22" s="16"/>
      <c r="KIV22" s="41"/>
      <c r="KIW22" s="41"/>
      <c r="KIX22" s="28"/>
      <c r="KIY22" s="29"/>
      <c r="KIZ22" s="24"/>
      <c r="KJA22" s="13"/>
      <c r="KJB22" s="13"/>
      <c r="KJC22" s="14"/>
      <c r="KJD22" s="15"/>
      <c r="KJE22" s="15"/>
      <c r="KJF22" s="16"/>
      <c r="KJG22" s="41"/>
      <c r="KJH22" s="41"/>
      <c r="KJI22" s="28"/>
      <c r="KJJ22" s="29"/>
      <c r="KJK22" s="24"/>
      <c r="KJL22" s="13"/>
      <c r="KJM22" s="13"/>
      <c r="KJN22" s="14"/>
      <c r="KJO22" s="15"/>
      <c r="KJP22" s="15"/>
      <c r="KJQ22" s="16"/>
      <c r="KJR22" s="41"/>
      <c r="KJS22" s="41"/>
      <c r="KJT22" s="28"/>
      <c r="KJU22" s="29"/>
      <c r="KJV22" s="24"/>
      <c r="KJW22" s="13"/>
      <c r="KJX22" s="13"/>
      <c r="KJY22" s="14"/>
      <c r="KJZ22" s="15"/>
      <c r="KKA22" s="15"/>
      <c r="KKB22" s="16"/>
      <c r="KKC22" s="41"/>
      <c r="KKD22" s="41"/>
      <c r="KKE22" s="28"/>
      <c r="KKF22" s="29"/>
      <c r="KKG22" s="24"/>
      <c r="KKH22" s="13"/>
      <c r="KKI22" s="13"/>
      <c r="KKJ22" s="14"/>
      <c r="KKK22" s="15"/>
      <c r="KKL22" s="15"/>
      <c r="KKM22" s="16"/>
      <c r="KKN22" s="41"/>
      <c r="KKO22" s="41"/>
      <c r="KKP22" s="28"/>
      <c r="KKQ22" s="29"/>
      <c r="KKR22" s="24"/>
      <c r="KKS22" s="13"/>
      <c r="KKT22" s="13"/>
      <c r="KKU22" s="14"/>
      <c r="KKV22" s="15"/>
      <c r="KKW22" s="15"/>
      <c r="KKX22" s="16"/>
      <c r="KKY22" s="41"/>
      <c r="KKZ22" s="41"/>
      <c r="KLA22" s="28"/>
      <c r="KLB22" s="29"/>
      <c r="KLC22" s="24"/>
      <c r="KLD22" s="13"/>
      <c r="KLE22" s="13"/>
      <c r="KLF22" s="14"/>
      <c r="KLG22" s="15"/>
      <c r="KLH22" s="15"/>
      <c r="KLI22" s="16"/>
      <c r="KLJ22" s="41"/>
      <c r="KLK22" s="41"/>
      <c r="KLL22" s="28"/>
      <c r="KLM22" s="29"/>
      <c r="KLN22" s="24"/>
      <c r="KLO22" s="13"/>
      <c r="KLP22" s="13"/>
      <c r="KLQ22" s="14"/>
      <c r="KLR22" s="15"/>
      <c r="KLS22" s="15"/>
      <c r="KLT22" s="16"/>
      <c r="KLU22" s="41"/>
      <c r="KLV22" s="41"/>
      <c r="KLW22" s="28"/>
      <c r="KLX22" s="29"/>
      <c r="KLY22" s="24"/>
      <c r="KLZ22" s="13"/>
      <c r="KMA22" s="13"/>
      <c r="KMB22" s="14"/>
      <c r="KMC22" s="15"/>
      <c r="KMD22" s="15"/>
      <c r="KME22" s="16"/>
      <c r="KMF22" s="41"/>
      <c r="KMG22" s="41"/>
      <c r="KMH22" s="28"/>
      <c r="KMI22" s="29"/>
      <c r="KMJ22" s="24"/>
      <c r="KMK22" s="13"/>
      <c r="KML22" s="13"/>
      <c r="KMM22" s="14"/>
      <c r="KMN22" s="15"/>
      <c r="KMO22" s="15"/>
      <c r="KMP22" s="16"/>
      <c r="KMQ22" s="41"/>
      <c r="KMR22" s="41"/>
      <c r="KMS22" s="28"/>
      <c r="KMT22" s="29"/>
      <c r="KMU22" s="24"/>
      <c r="KMV22" s="13"/>
      <c r="KMW22" s="13"/>
      <c r="KMX22" s="14"/>
      <c r="KMY22" s="15"/>
      <c r="KMZ22" s="15"/>
      <c r="KNA22" s="16"/>
      <c r="KNB22" s="41"/>
      <c r="KNC22" s="41"/>
      <c r="KND22" s="28"/>
      <c r="KNE22" s="29"/>
      <c r="KNF22" s="24"/>
      <c r="KNG22" s="13"/>
      <c r="KNH22" s="13"/>
      <c r="KNI22" s="14"/>
      <c r="KNJ22" s="15"/>
      <c r="KNK22" s="15"/>
      <c r="KNL22" s="16"/>
      <c r="KNM22" s="41"/>
      <c r="KNN22" s="41"/>
      <c r="KNO22" s="28"/>
      <c r="KNP22" s="29"/>
      <c r="KNQ22" s="24"/>
      <c r="KNR22" s="13"/>
      <c r="KNS22" s="13"/>
      <c r="KNT22" s="14"/>
      <c r="KNU22" s="15"/>
      <c r="KNV22" s="15"/>
      <c r="KNW22" s="16"/>
      <c r="KNX22" s="41"/>
      <c r="KNY22" s="41"/>
      <c r="KNZ22" s="28"/>
      <c r="KOA22" s="29"/>
      <c r="KOB22" s="24"/>
      <c r="KOC22" s="13"/>
      <c r="KOD22" s="13"/>
      <c r="KOE22" s="14"/>
      <c r="KOF22" s="15"/>
      <c r="KOG22" s="15"/>
      <c r="KOH22" s="16"/>
      <c r="KOI22" s="41"/>
      <c r="KOJ22" s="41"/>
      <c r="KOK22" s="28"/>
      <c r="KOL22" s="29"/>
      <c r="KOM22" s="24"/>
      <c r="KON22" s="13"/>
      <c r="KOO22" s="13"/>
      <c r="KOP22" s="14"/>
      <c r="KOQ22" s="15"/>
      <c r="KOR22" s="15"/>
      <c r="KOS22" s="16"/>
      <c r="KOT22" s="41"/>
      <c r="KOU22" s="41"/>
      <c r="KOV22" s="28"/>
      <c r="KOW22" s="29"/>
      <c r="KOX22" s="24"/>
      <c r="KOY22" s="13"/>
      <c r="KOZ22" s="13"/>
      <c r="KPA22" s="14"/>
      <c r="KPB22" s="15"/>
      <c r="KPC22" s="15"/>
      <c r="KPD22" s="16"/>
      <c r="KPE22" s="41"/>
      <c r="KPF22" s="41"/>
      <c r="KPG22" s="28"/>
      <c r="KPH22" s="29"/>
      <c r="KPI22" s="24"/>
      <c r="KPJ22" s="13"/>
      <c r="KPK22" s="13"/>
      <c r="KPL22" s="14"/>
      <c r="KPM22" s="15"/>
      <c r="KPN22" s="15"/>
      <c r="KPO22" s="16"/>
      <c r="KPP22" s="41"/>
      <c r="KPQ22" s="41"/>
      <c r="KPR22" s="28"/>
      <c r="KPS22" s="29"/>
      <c r="KPT22" s="24"/>
      <c r="KPU22" s="13"/>
      <c r="KPV22" s="13"/>
      <c r="KPW22" s="14"/>
      <c r="KPX22" s="15"/>
      <c r="KPY22" s="15"/>
      <c r="KPZ22" s="16"/>
      <c r="KQA22" s="41"/>
      <c r="KQB22" s="41"/>
      <c r="KQC22" s="28"/>
      <c r="KQD22" s="29"/>
      <c r="KQE22" s="24"/>
      <c r="KQF22" s="13"/>
      <c r="KQG22" s="13"/>
      <c r="KQH22" s="14"/>
      <c r="KQI22" s="15"/>
      <c r="KQJ22" s="15"/>
      <c r="KQK22" s="16"/>
      <c r="KQL22" s="41"/>
      <c r="KQM22" s="41"/>
      <c r="KQN22" s="28"/>
      <c r="KQO22" s="29"/>
      <c r="KQP22" s="24"/>
      <c r="KQQ22" s="13"/>
      <c r="KQR22" s="13"/>
      <c r="KQS22" s="14"/>
      <c r="KQT22" s="15"/>
      <c r="KQU22" s="15"/>
      <c r="KQV22" s="16"/>
      <c r="KQW22" s="41"/>
      <c r="KQX22" s="41"/>
      <c r="KQY22" s="28"/>
      <c r="KQZ22" s="29"/>
      <c r="KRA22" s="24"/>
      <c r="KRB22" s="13"/>
      <c r="KRC22" s="13"/>
      <c r="KRD22" s="14"/>
      <c r="KRE22" s="15"/>
      <c r="KRF22" s="15"/>
      <c r="KRG22" s="16"/>
      <c r="KRH22" s="41"/>
      <c r="KRI22" s="41"/>
      <c r="KRJ22" s="28"/>
      <c r="KRK22" s="29"/>
      <c r="KRL22" s="24"/>
      <c r="KRM22" s="13"/>
      <c r="KRN22" s="13"/>
      <c r="KRO22" s="14"/>
      <c r="KRP22" s="15"/>
      <c r="KRQ22" s="15"/>
      <c r="KRR22" s="16"/>
      <c r="KRS22" s="41"/>
      <c r="KRT22" s="41"/>
      <c r="KRU22" s="28"/>
      <c r="KRV22" s="29"/>
      <c r="KRW22" s="24"/>
      <c r="KRX22" s="13"/>
      <c r="KRY22" s="13"/>
      <c r="KRZ22" s="14"/>
      <c r="KSA22" s="15"/>
      <c r="KSB22" s="15"/>
      <c r="KSC22" s="16"/>
      <c r="KSD22" s="41"/>
      <c r="KSE22" s="41"/>
      <c r="KSF22" s="28"/>
      <c r="KSG22" s="29"/>
      <c r="KSH22" s="24"/>
      <c r="KSI22" s="13"/>
      <c r="KSJ22" s="13"/>
      <c r="KSK22" s="14"/>
      <c r="KSL22" s="15"/>
      <c r="KSM22" s="15"/>
      <c r="KSN22" s="16"/>
      <c r="KSO22" s="41"/>
      <c r="KSP22" s="41"/>
      <c r="KSQ22" s="28"/>
      <c r="KSR22" s="29"/>
      <c r="KSS22" s="24"/>
      <c r="KST22" s="13"/>
      <c r="KSU22" s="13"/>
      <c r="KSV22" s="14"/>
      <c r="KSW22" s="15"/>
      <c r="KSX22" s="15"/>
      <c r="KSY22" s="16"/>
      <c r="KSZ22" s="41"/>
      <c r="KTA22" s="41"/>
      <c r="KTB22" s="28"/>
      <c r="KTC22" s="29"/>
      <c r="KTD22" s="24"/>
      <c r="KTE22" s="13"/>
      <c r="KTF22" s="13"/>
      <c r="KTG22" s="14"/>
      <c r="KTH22" s="15"/>
      <c r="KTI22" s="15"/>
      <c r="KTJ22" s="16"/>
      <c r="KTK22" s="41"/>
      <c r="KTL22" s="41"/>
      <c r="KTM22" s="28"/>
      <c r="KTN22" s="29"/>
      <c r="KTO22" s="24"/>
      <c r="KTP22" s="13"/>
      <c r="KTQ22" s="13"/>
      <c r="KTR22" s="14"/>
      <c r="KTS22" s="15"/>
      <c r="KTT22" s="15"/>
      <c r="KTU22" s="16"/>
      <c r="KTV22" s="41"/>
      <c r="KTW22" s="41"/>
      <c r="KTX22" s="28"/>
      <c r="KTY22" s="29"/>
      <c r="KTZ22" s="24"/>
      <c r="KUA22" s="13"/>
      <c r="KUB22" s="13"/>
      <c r="KUC22" s="14"/>
      <c r="KUD22" s="15"/>
      <c r="KUE22" s="15"/>
      <c r="KUF22" s="16"/>
      <c r="KUG22" s="41"/>
      <c r="KUH22" s="41"/>
      <c r="KUI22" s="28"/>
      <c r="KUJ22" s="29"/>
      <c r="KUK22" s="24"/>
      <c r="KUL22" s="13"/>
      <c r="KUM22" s="13"/>
      <c r="KUN22" s="14"/>
      <c r="KUO22" s="15"/>
      <c r="KUP22" s="15"/>
      <c r="KUQ22" s="16"/>
      <c r="KUR22" s="41"/>
      <c r="KUS22" s="41"/>
      <c r="KUT22" s="28"/>
      <c r="KUU22" s="29"/>
      <c r="KUV22" s="24"/>
      <c r="KUW22" s="13"/>
      <c r="KUX22" s="13"/>
      <c r="KUY22" s="14"/>
      <c r="KUZ22" s="15"/>
      <c r="KVA22" s="15"/>
      <c r="KVB22" s="16"/>
      <c r="KVC22" s="41"/>
      <c r="KVD22" s="41"/>
      <c r="KVE22" s="28"/>
      <c r="KVF22" s="29"/>
      <c r="KVG22" s="24"/>
      <c r="KVH22" s="13"/>
      <c r="KVI22" s="13"/>
      <c r="KVJ22" s="14"/>
      <c r="KVK22" s="15"/>
      <c r="KVL22" s="15"/>
      <c r="KVM22" s="16"/>
      <c r="KVN22" s="41"/>
      <c r="KVO22" s="41"/>
      <c r="KVP22" s="28"/>
      <c r="KVQ22" s="29"/>
      <c r="KVR22" s="24"/>
      <c r="KVS22" s="13"/>
      <c r="KVT22" s="13"/>
      <c r="KVU22" s="14"/>
      <c r="KVV22" s="15"/>
      <c r="KVW22" s="15"/>
      <c r="KVX22" s="16"/>
      <c r="KVY22" s="41"/>
      <c r="KVZ22" s="41"/>
      <c r="KWA22" s="28"/>
      <c r="KWB22" s="29"/>
      <c r="KWC22" s="24"/>
      <c r="KWD22" s="13"/>
      <c r="KWE22" s="13"/>
      <c r="KWF22" s="14"/>
      <c r="KWG22" s="15"/>
      <c r="KWH22" s="15"/>
      <c r="KWI22" s="16"/>
      <c r="KWJ22" s="41"/>
      <c r="KWK22" s="41"/>
      <c r="KWL22" s="28"/>
      <c r="KWM22" s="29"/>
      <c r="KWN22" s="24"/>
      <c r="KWO22" s="13"/>
      <c r="KWP22" s="13"/>
      <c r="KWQ22" s="14"/>
      <c r="KWR22" s="15"/>
      <c r="KWS22" s="15"/>
      <c r="KWT22" s="16"/>
      <c r="KWU22" s="41"/>
      <c r="KWV22" s="41"/>
      <c r="KWW22" s="28"/>
      <c r="KWX22" s="29"/>
      <c r="KWY22" s="24"/>
      <c r="KWZ22" s="13"/>
      <c r="KXA22" s="13"/>
      <c r="KXB22" s="14"/>
      <c r="KXC22" s="15"/>
      <c r="KXD22" s="15"/>
      <c r="KXE22" s="16"/>
      <c r="KXF22" s="41"/>
      <c r="KXG22" s="41"/>
      <c r="KXH22" s="28"/>
      <c r="KXI22" s="29"/>
      <c r="KXJ22" s="24"/>
      <c r="KXK22" s="13"/>
      <c r="KXL22" s="13"/>
      <c r="KXM22" s="14"/>
      <c r="KXN22" s="15"/>
      <c r="KXO22" s="15"/>
      <c r="KXP22" s="16"/>
      <c r="KXQ22" s="41"/>
      <c r="KXR22" s="41"/>
      <c r="KXS22" s="28"/>
      <c r="KXT22" s="29"/>
      <c r="KXU22" s="24"/>
      <c r="KXV22" s="13"/>
      <c r="KXW22" s="13"/>
      <c r="KXX22" s="14"/>
      <c r="KXY22" s="15"/>
      <c r="KXZ22" s="15"/>
      <c r="KYA22" s="16"/>
      <c r="KYB22" s="41"/>
      <c r="KYC22" s="41"/>
      <c r="KYD22" s="28"/>
      <c r="KYE22" s="29"/>
      <c r="KYF22" s="24"/>
      <c r="KYG22" s="13"/>
      <c r="KYH22" s="13"/>
      <c r="KYI22" s="14"/>
      <c r="KYJ22" s="15"/>
      <c r="KYK22" s="15"/>
      <c r="KYL22" s="16"/>
      <c r="KYM22" s="41"/>
      <c r="KYN22" s="41"/>
      <c r="KYO22" s="28"/>
      <c r="KYP22" s="29"/>
      <c r="KYQ22" s="24"/>
      <c r="KYR22" s="13"/>
      <c r="KYS22" s="13"/>
      <c r="KYT22" s="14"/>
      <c r="KYU22" s="15"/>
      <c r="KYV22" s="15"/>
      <c r="KYW22" s="16"/>
      <c r="KYX22" s="41"/>
      <c r="KYY22" s="41"/>
      <c r="KYZ22" s="28"/>
      <c r="KZA22" s="29"/>
      <c r="KZB22" s="24"/>
      <c r="KZC22" s="13"/>
      <c r="KZD22" s="13"/>
      <c r="KZE22" s="14"/>
      <c r="KZF22" s="15"/>
      <c r="KZG22" s="15"/>
      <c r="KZH22" s="16"/>
      <c r="KZI22" s="41"/>
      <c r="KZJ22" s="41"/>
      <c r="KZK22" s="28"/>
      <c r="KZL22" s="29"/>
      <c r="KZM22" s="24"/>
      <c r="KZN22" s="13"/>
      <c r="KZO22" s="13"/>
      <c r="KZP22" s="14"/>
      <c r="KZQ22" s="15"/>
      <c r="KZR22" s="15"/>
      <c r="KZS22" s="16"/>
      <c r="KZT22" s="41"/>
      <c r="KZU22" s="41"/>
      <c r="KZV22" s="28"/>
      <c r="KZW22" s="29"/>
      <c r="KZX22" s="24"/>
      <c r="KZY22" s="13"/>
      <c r="KZZ22" s="13"/>
      <c r="LAA22" s="14"/>
      <c r="LAB22" s="15"/>
      <c r="LAC22" s="15"/>
      <c r="LAD22" s="16"/>
      <c r="LAE22" s="41"/>
      <c r="LAF22" s="41"/>
      <c r="LAG22" s="28"/>
      <c r="LAH22" s="29"/>
      <c r="LAI22" s="24"/>
      <c r="LAJ22" s="13"/>
      <c r="LAK22" s="13"/>
      <c r="LAL22" s="14"/>
      <c r="LAM22" s="15"/>
      <c r="LAN22" s="15"/>
      <c r="LAO22" s="16"/>
      <c r="LAP22" s="41"/>
      <c r="LAQ22" s="41"/>
      <c r="LAR22" s="28"/>
      <c r="LAS22" s="29"/>
      <c r="LAT22" s="24"/>
      <c r="LAU22" s="13"/>
      <c r="LAV22" s="13"/>
      <c r="LAW22" s="14"/>
      <c r="LAX22" s="15"/>
      <c r="LAY22" s="15"/>
      <c r="LAZ22" s="16"/>
      <c r="LBA22" s="41"/>
      <c r="LBB22" s="41"/>
      <c r="LBC22" s="28"/>
      <c r="LBD22" s="29"/>
      <c r="LBE22" s="24"/>
      <c r="LBF22" s="13"/>
      <c r="LBG22" s="13"/>
      <c r="LBH22" s="14"/>
      <c r="LBI22" s="15"/>
      <c r="LBJ22" s="15"/>
      <c r="LBK22" s="16"/>
      <c r="LBL22" s="41"/>
      <c r="LBM22" s="41"/>
      <c r="LBN22" s="28"/>
      <c r="LBO22" s="29"/>
      <c r="LBP22" s="24"/>
      <c r="LBQ22" s="13"/>
      <c r="LBR22" s="13"/>
      <c r="LBS22" s="14"/>
      <c r="LBT22" s="15"/>
      <c r="LBU22" s="15"/>
      <c r="LBV22" s="16"/>
      <c r="LBW22" s="41"/>
      <c r="LBX22" s="41"/>
      <c r="LBY22" s="28"/>
      <c r="LBZ22" s="29"/>
      <c r="LCA22" s="24"/>
      <c r="LCB22" s="13"/>
      <c r="LCC22" s="13"/>
      <c r="LCD22" s="14"/>
      <c r="LCE22" s="15"/>
      <c r="LCF22" s="15"/>
      <c r="LCG22" s="16"/>
      <c r="LCH22" s="41"/>
      <c r="LCI22" s="41"/>
      <c r="LCJ22" s="28"/>
      <c r="LCK22" s="29"/>
      <c r="LCL22" s="24"/>
      <c r="LCM22" s="13"/>
      <c r="LCN22" s="13"/>
      <c r="LCO22" s="14"/>
      <c r="LCP22" s="15"/>
      <c r="LCQ22" s="15"/>
      <c r="LCR22" s="16"/>
      <c r="LCS22" s="41"/>
      <c r="LCT22" s="41"/>
      <c r="LCU22" s="28"/>
      <c r="LCV22" s="29"/>
      <c r="LCW22" s="24"/>
      <c r="LCX22" s="13"/>
      <c r="LCY22" s="13"/>
      <c r="LCZ22" s="14"/>
      <c r="LDA22" s="15"/>
      <c r="LDB22" s="15"/>
      <c r="LDC22" s="16"/>
      <c r="LDD22" s="41"/>
      <c r="LDE22" s="41"/>
      <c r="LDF22" s="28"/>
      <c r="LDG22" s="29"/>
      <c r="LDH22" s="24"/>
      <c r="LDI22" s="13"/>
      <c r="LDJ22" s="13"/>
      <c r="LDK22" s="14"/>
      <c r="LDL22" s="15"/>
      <c r="LDM22" s="15"/>
      <c r="LDN22" s="16"/>
      <c r="LDO22" s="41"/>
      <c r="LDP22" s="41"/>
      <c r="LDQ22" s="28"/>
      <c r="LDR22" s="29"/>
      <c r="LDS22" s="24"/>
      <c r="LDT22" s="13"/>
      <c r="LDU22" s="13"/>
      <c r="LDV22" s="14"/>
      <c r="LDW22" s="15"/>
      <c r="LDX22" s="15"/>
      <c r="LDY22" s="16"/>
      <c r="LDZ22" s="41"/>
      <c r="LEA22" s="41"/>
      <c r="LEB22" s="28"/>
      <c r="LEC22" s="29"/>
      <c r="LED22" s="24"/>
      <c r="LEE22" s="13"/>
      <c r="LEF22" s="13"/>
      <c r="LEG22" s="14"/>
      <c r="LEH22" s="15"/>
      <c r="LEI22" s="15"/>
      <c r="LEJ22" s="16"/>
      <c r="LEK22" s="41"/>
      <c r="LEL22" s="41"/>
      <c r="LEM22" s="28"/>
      <c r="LEN22" s="29"/>
      <c r="LEO22" s="24"/>
      <c r="LEP22" s="13"/>
      <c r="LEQ22" s="13"/>
      <c r="LER22" s="14"/>
      <c r="LES22" s="15"/>
      <c r="LET22" s="15"/>
      <c r="LEU22" s="16"/>
      <c r="LEV22" s="41"/>
      <c r="LEW22" s="41"/>
      <c r="LEX22" s="28"/>
      <c r="LEY22" s="29"/>
      <c r="LEZ22" s="24"/>
      <c r="LFA22" s="13"/>
      <c r="LFB22" s="13"/>
      <c r="LFC22" s="14"/>
      <c r="LFD22" s="15"/>
      <c r="LFE22" s="15"/>
      <c r="LFF22" s="16"/>
      <c r="LFG22" s="41"/>
      <c r="LFH22" s="41"/>
      <c r="LFI22" s="28"/>
      <c r="LFJ22" s="29"/>
      <c r="LFK22" s="24"/>
      <c r="LFL22" s="13"/>
      <c r="LFM22" s="13"/>
      <c r="LFN22" s="14"/>
      <c r="LFO22" s="15"/>
      <c r="LFP22" s="15"/>
      <c r="LFQ22" s="16"/>
      <c r="LFR22" s="41"/>
      <c r="LFS22" s="41"/>
      <c r="LFT22" s="28"/>
      <c r="LFU22" s="29"/>
      <c r="LFV22" s="24"/>
      <c r="LFW22" s="13"/>
      <c r="LFX22" s="13"/>
      <c r="LFY22" s="14"/>
      <c r="LFZ22" s="15"/>
      <c r="LGA22" s="15"/>
      <c r="LGB22" s="16"/>
      <c r="LGC22" s="41"/>
      <c r="LGD22" s="41"/>
      <c r="LGE22" s="28"/>
      <c r="LGF22" s="29"/>
      <c r="LGG22" s="24"/>
      <c r="LGH22" s="13"/>
      <c r="LGI22" s="13"/>
      <c r="LGJ22" s="14"/>
      <c r="LGK22" s="15"/>
      <c r="LGL22" s="15"/>
      <c r="LGM22" s="16"/>
      <c r="LGN22" s="41"/>
      <c r="LGO22" s="41"/>
      <c r="LGP22" s="28"/>
      <c r="LGQ22" s="29"/>
      <c r="LGR22" s="24"/>
      <c r="LGS22" s="13"/>
      <c r="LGT22" s="13"/>
      <c r="LGU22" s="14"/>
      <c r="LGV22" s="15"/>
      <c r="LGW22" s="15"/>
      <c r="LGX22" s="16"/>
      <c r="LGY22" s="41"/>
      <c r="LGZ22" s="41"/>
      <c r="LHA22" s="28"/>
      <c r="LHB22" s="29"/>
      <c r="LHC22" s="24"/>
      <c r="LHD22" s="13"/>
      <c r="LHE22" s="13"/>
      <c r="LHF22" s="14"/>
      <c r="LHG22" s="15"/>
      <c r="LHH22" s="15"/>
      <c r="LHI22" s="16"/>
      <c r="LHJ22" s="41"/>
      <c r="LHK22" s="41"/>
      <c r="LHL22" s="28"/>
      <c r="LHM22" s="29"/>
      <c r="LHN22" s="24"/>
      <c r="LHO22" s="13"/>
      <c r="LHP22" s="13"/>
      <c r="LHQ22" s="14"/>
      <c r="LHR22" s="15"/>
      <c r="LHS22" s="15"/>
      <c r="LHT22" s="16"/>
      <c r="LHU22" s="41"/>
      <c r="LHV22" s="41"/>
      <c r="LHW22" s="28"/>
      <c r="LHX22" s="29"/>
      <c r="LHY22" s="24"/>
      <c r="LHZ22" s="13"/>
      <c r="LIA22" s="13"/>
      <c r="LIB22" s="14"/>
      <c r="LIC22" s="15"/>
      <c r="LID22" s="15"/>
      <c r="LIE22" s="16"/>
      <c r="LIF22" s="41"/>
      <c r="LIG22" s="41"/>
      <c r="LIH22" s="28"/>
      <c r="LII22" s="29"/>
      <c r="LIJ22" s="24"/>
      <c r="LIK22" s="13"/>
      <c r="LIL22" s="13"/>
      <c r="LIM22" s="14"/>
      <c r="LIN22" s="15"/>
      <c r="LIO22" s="15"/>
      <c r="LIP22" s="16"/>
      <c r="LIQ22" s="41"/>
      <c r="LIR22" s="41"/>
      <c r="LIS22" s="28"/>
      <c r="LIT22" s="29"/>
      <c r="LIU22" s="24"/>
      <c r="LIV22" s="13"/>
      <c r="LIW22" s="13"/>
      <c r="LIX22" s="14"/>
      <c r="LIY22" s="15"/>
      <c r="LIZ22" s="15"/>
      <c r="LJA22" s="16"/>
      <c r="LJB22" s="41"/>
      <c r="LJC22" s="41"/>
      <c r="LJD22" s="28"/>
      <c r="LJE22" s="29"/>
      <c r="LJF22" s="24"/>
      <c r="LJG22" s="13"/>
      <c r="LJH22" s="13"/>
      <c r="LJI22" s="14"/>
      <c r="LJJ22" s="15"/>
      <c r="LJK22" s="15"/>
      <c r="LJL22" s="16"/>
      <c r="LJM22" s="41"/>
      <c r="LJN22" s="41"/>
      <c r="LJO22" s="28"/>
      <c r="LJP22" s="29"/>
      <c r="LJQ22" s="24"/>
      <c r="LJR22" s="13"/>
      <c r="LJS22" s="13"/>
      <c r="LJT22" s="14"/>
      <c r="LJU22" s="15"/>
      <c r="LJV22" s="15"/>
      <c r="LJW22" s="16"/>
      <c r="LJX22" s="41"/>
      <c r="LJY22" s="41"/>
      <c r="LJZ22" s="28"/>
      <c r="LKA22" s="29"/>
      <c r="LKB22" s="24"/>
      <c r="LKC22" s="13"/>
      <c r="LKD22" s="13"/>
      <c r="LKE22" s="14"/>
      <c r="LKF22" s="15"/>
      <c r="LKG22" s="15"/>
      <c r="LKH22" s="16"/>
      <c r="LKI22" s="41"/>
      <c r="LKJ22" s="41"/>
      <c r="LKK22" s="28"/>
      <c r="LKL22" s="29"/>
      <c r="LKM22" s="24"/>
      <c r="LKN22" s="13"/>
      <c r="LKO22" s="13"/>
      <c r="LKP22" s="14"/>
      <c r="LKQ22" s="15"/>
      <c r="LKR22" s="15"/>
      <c r="LKS22" s="16"/>
      <c r="LKT22" s="41"/>
      <c r="LKU22" s="41"/>
      <c r="LKV22" s="28"/>
      <c r="LKW22" s="29"/>
      <c r="LKX22" s="24"/>
      <c r="LKY22" s="13"/>
      <c r="LKZ22" s="13"/>
      <c r="LLA22" s="14"/>
      <c r="LLB22" s="15"/>
      <c r="LLC22" s="15"/>
      <c r="LLD22" s="16"/>
      <c r="LLE22" s="41"/>
      <c r="LLF22" s="41"/>
      <c r="LLG22" s="28"/>
      <c r="LLH22" s="29"/>
      <c r="LLI22" s="24"/>
      <c r="LLJ22" s="13"/>
      <c r="LLK22" s="13"/>
      <c r="LLL22" s="14"/>
      <c r="LLM22" s="15"/>
      <c r="LLN22" s="15"/>
      <c r="LLO22" s="16"/>
      <c r="LLP22" s="41"/>
      <c r="LLQ22" s="41"/>
      <c r="LLR22" s="28"/>
      <c r="LLS22" s="29"/>
      <c r="LLT22" s="24"/>
      <c r="LLU22" s="13"/>
      <c r="LLV22" s="13"/>
      <c r="LLW22" s="14"/>
      <c r="LLX22" s="15"/>
      <c r="LLY22" s="15"/>
      <c r="LLZ22" s="16"/>
      <c r="LMA22" s="41"/>
      <c r="LMB22" s="41"/>
      <c r="LMC22" s="28"/>
      <c r="LMD22" s="29"/>
      <c r="LME22" s="24"/>
      <c r="LMF22" s="13"/>
      <c r="LMG22" s="13"/>
      <c r="LMH22" s="14"/>
      <c r="LMI22" s="15"/>
      <c r="LMJ22" s="15"/>
      <c r="LMK22" s="16"/>
      <c r="LML22" s="41"/>
      <c r="LMM22" s="41"/>
      <c r="LMN22" s="28"/>
      <c r="LMO22" s="29"/>
      <c r="LMP22" s="24"/>
      <c r="LMQ22" s="13"/>
      <c r="LMR22" s="13"/>
      <c r="LMS22" s="14"/>
      <c r="LMT22" s="15"/>
      <c r="LMU22" s="15"/>
      <c r="LMV22" s="16"/>
      <c r="LMW22" s="41"/>
      <c r="LMX22" s="41"/>
      <c r="LMY22" s="28"/>
      <c r="LMZ22" s="29"/>
      <c r="LNA22" s="24"/>
      <c r="LNB22" s="13"/>
      <c r="LNC22" s="13"/>
      <c r="LND22" s="14"/>
      <c r="LNE22" s="15"/>
      <c r="LNF22" s="15"/>
      <c r="LNG22" s="16"/>
      <c r="LNH22" s="41"/>
      <c r="LNI22" s="41"/>
      <c r="LNJ22" s="28"/>
      <c r="LNK22" s="29"/>
      <c r="LNL22" s="24"/>
      <c r="LNM22" s="13"/>
      <c r="LNN22" s="13"/>
      <c r="LNO22" s="14"/>
      <c r="LNP22" s="15"/>
      <c r="LNQ22" s="15"/>
      <c r="LNR22" s="16"/>
      <c r="LNS22" s="41"/>
      <c r="LNT22" s="41"/>
      <c r="LNU22" s="28"/>
      <c r="LNV22" s="29"/>
      <c r="LNW22" s="24"/>
      <c r="LNX22" s="13"/>
      <c r="LNY22" s="13"/>
      <c r="LNZ22" s="14"/>
      <c r="LOA22" s="15"/>
      <c r="LOB22" s="15"/>
      <c r="LOC22" s="16"/>
      <c r="LOD22" s="41"/>
      <c r="LOE22" s="41"/>
      <c r="LOF22" s="28"/>
      <c r="LOG22" s="29"/>
      <c r="LOH22" s="24"/>
      <c r="LOI22" s="13"/>
      <c r="LOJ22" s="13"/>
      <c r="LOK22" s="14"/>
      <c r="LOL22" s="15"/>
      <c r="LOM22" s="15"/>
      <c r="LON22" s="16"/>
      <c r="LOO22" s="41"/>
      <c r="LOP22" s="41"/>
      <c r="LOQ22" s="28"/>
      <c r="LOR22" s="29"/>
      <c r="LOS22" s="24"/>
      <c r="LOT22" s="13"/>
      <c r="LOU22" s="13"/>
      <c r="LOV22" s="14"/>
      <c r="LOW22" s="15"/>
      <c r="LOX22" s="15"/>
      <c r="LOY22" s="16"/>
      <c r="LOZ22" s="41"/>
      <c r="LPA22" s="41"/>
      <c r="LPB22" s="28"/>
      <c r="LPC22" s="29"/>
      <c r="LPD22" s="24"/>
      <c r="LPE22" s="13"/>
      <c r="LPF22" s="13"/>
      <c r="LPG22" s="14"/>
      <c r="LPH22" s="15"/>
      <c r="LPI22" s="15"/>
      <c r="LPJ22" s="16"/>
      <c r="LPK22" s="41"/>
      <c r="LPL22" s="41"/>
      <c r="LPM22" s="28"/>
      <c r="LPN22" s="29"/>
      <c r="LPO22" s="24"/>
      <c r="LPP22" s="13"/>
      <c r="LPQ22" s="13"/>
      <c r="LPR22" s="14"/>
      <c r="LPS22" s="15"/>
      <c r="LPT22" s="15"/>
      <c r="LPU22" s="16"/>
      <c r="LPV22" s="41"/>
      <c r="LPW22" s="41"/>
      <c r="LPX22" s="28"/>
      <c r="LPY22" s="29"/>
      <c r="LPZ22" s="24"/>
      <c r="LQA22" s="13"/>
      <c r="LQB22" s="13"/>
      <c r="LQC22" s="14"/>
      <c r="LQD22" s="15"/>
      <c r="LQE22" s="15"/>
      <c r="LQF22" s="16"/>
      <c r="LQG22" s="41"/>
      <c r="LQH22" s="41"/>
      <c r="LQI22" s="28"/>
      <c r="LQJ22" s="29"/>
      <c r="LQK22" s="24"/>
      <c r="LQL22" s="13"/>
      <c r="LQM22" s="13"/>
      <c r="LQN22" s="14"/>
      <c r="LQO22" s="15"/>
      <c r="LQP22" s="15"/>
      <c r="LQQ22" s="16"/>
      <c r="LQR22" s="41"/>
      <c r="LQS22" s="41"/>
      <c r="LQT22" s="28"/>
      <c r="LQU22" s="29"/>
      <c r="LQV22" s="24"/>
      <c r="LQW22" s="13"/>
      <c r="LQX22" s="13"/>
      <c r="LQY22" s="14"/>
      <c r="LQZ22" s="15"/>
      <c r="LRA22" s="15"/>
      <c r="LRB22" s="16"/>
      <c r="LRC22" s="41"/>
      <c r="LRD22" s="41"/>
      <c r="LRE22" s="28"/>
      <c r="LRF22" s="29"/>
      <c r="LRG22" s="24"/>
      <c r="LRH22" s="13"/>
      <c r="LRI22" s="13"/>
      <c r="LRJ22" s="14"/>
      <c r="LRK22" s="15"/>
      <c r="LRL22" s="15"/>
      <c r="LRM22" s="16"/>
      <c r="LRN22" s="41"/>
      <c r="LRO22" s="41"/>
      <c r="LRP22" s="28"/>
      <c r="LRQ22" s="29"/>
      <c r="LRR22" s="24"/>
      <c r="LRS22" s="13"/>
      <c r="LRT22" s="13"/>
      <c r="LRU22" s="14"/>
      <c r="LRV22" s="15"/>
      <c r="LRW22" s="15"/>
      <c r="LRX22" s="16"/>
      <c r="LRY22" s="41"/>
      <c r="LRZ22" s="41"/>
      <c r="LSA22" s="28"/>
      <c r="LSB22" s="29"/>
      <c r="LSC22" s="24"/>
      <c r="LSD22" s="13"/>
      <c r="LSE22" s="13"/>
      <c r="LSF22" s="14"/>
      <c r="LSG22" s="15"/>
      <c r="LSH22" s="15"/>
      <c r="LSI22" s="16"/>
      <c r="LSJ22" s="41"/>
      <c r="LSK22" s="41"/>
      <c r="LSL22" s="28"/>
      <c r="LSM22" s="29"/>
      <c r="LSN22" s="24"/>
      <c r="LSO22" s="13"/>
      <c r="LSP22" s="13"/>
      <c r="LSQ22" s="14"/>
      <c r="LSR22" s="15"/>
      <c r="LSS22" s="15"/>
      <c r="LST22" s="16"/>
      <c r="LSU22" s="41"/>
      <c r="LSV22" s="41"/>
      <c r="LSW22" s="28"/>
      <c r="LSX22" s="29"/>
      <c r="LSY22" s="24"/>
      <c r="LSZ22" s="13"/>
      <c r="LTA22" s="13"/>
      <c r="LTB22" s="14"/>
      <c r="LTC22" s="15"/>
      <c r="LTD22" s="15"/>
      <c r="LTE22" s="16"/>
      <c r="LTF22" s="41"/>
      <c r="LTG22" s="41"/>
      <c r="LTH22" s="28"/>
      <c r="LTI22" s="29"/>
      <c r="LTJ22" s="24"/>
      <c r="LTK22" s="13"/>
      <c r="LTL22" s="13"/>
      <c r="LTM22" s="14"/>
      <c r="LTN22" s="15"/>
      <c r="LTO22" s="15"/>
      <c r="LTP22" s="16"/>
      <c r="LTQ22" s="41"/>
      <c r="LTR22" s="41"/>
      <c r="LTS22" s="28"/>
      <c r="LTT22" s="29"/>
      <c r="LTU22" s="24"/>
      <c r="LTV22" s="13"/>
      <c r="LTW22" s="13"/>
      <c r="LTX22" s="14"/>
      <c r="LTY22" s="15"/>
      <c r="LTZ22" s="15"/>
      <c r="LUA22" s="16"/>
      <c r="LUB22" s="41"/>
      <c r="LUC22" s="41"/>
      <c r="LUD22" s="28"/>
      <c r="LUE22" s="29"/>
      <c r="LUF22" s="24"/>
      <c r="LUG22" s="13"/>
      <c r="LUH22" s="13"/>
      <c r="LUI22" s="14"/>
      <c r="LUJ22" s="15"/>
      <c r="LUK22" s="15"/>
      <c r="LUL22" s="16"/>
      <c r="LUM22" s="41"/>
      <c r="LUN22" s="41"/>
      <c r="LUO22" s="28"/>
      <c r="LUP22" s="29"/>
      <c r="LUQ22" s="24"/>
      <c r="LUR22" s="13"/>
      <c r="LUS22" s="13"/>
      <c r="LUT22" s="14"/>
      <c r="LUU22" s="15"/>
      <c r="LUV22" s="15"/>
      <c r="LUW22" s="16"/>
      <c r="LUX22" s="41"/>
      <c r="LUY22" s="41"/>
      <c r="LUZ22" s="28"/>
      <c r="LVA22" s="29"/>
      <c r="LVB22" s="24"/>
      <c r="LVC22" s="13"/>
      <c r="LVD22" s="13"/>
      <c r="LVE22" s="14"/>
      <c r="LVF22" s="15"/>
      <c r="LVG22" s="15"/>
      <c r="LVH22" s="16"/>
      <c r="LVI22" s="41"/>
      <c r="LVJ22" s="41"/>
      <c r="LVK22" s="28"/>
      <c r="LVL22" s="29"/>
      <c r="LVM22" s="24"/>
      <c r="LVN22" s="13"/>
      <c r="LVO22" s="13"/>
      <c r="LVP22" s="14"/>
      <c r="LVQ22" s="15"/>
      <c r="LVR22" s="15"/>
      <c r="LVS22" s="16"/>
      <c r="LVT22" s="41"/>
      <c r="LVU22" s="41"/>
      <c r="LVV22" s="28"/>
      <c r="LVW22" s="29"/>
      <c r="LVX22" s="24"/>
      <c r="LVY22" s="13"/>
      <c r="LVZ22" s="13"/>
      <c r="LWA22" s="14"/>
      <c r="LWB22" s="15"/>
      <c r="LWC22" s="15"/>
      <c r="LWD22" s="16"/>
      <c r="LWE22" s="41"/>
      <c r="LWF22" s="41"/>
      <c r="LWG22" s="28"/>
      <c r="LWH22" s="29"/>
      <c r="LWI22" s="24"/>
      <c r="LWJ22" s="13"/>
      <c r="LWK22" s="13"/>
      <c r="LWL22" s="14"/>
      <c r="LWM22" s="15"/>
      <c r="LWN22" s="15"/>
      <c r="LWO22" s="16"/>
      <c r="LWP22" s="41"/>
      <c r="LWQ22" s="41"/>
      <c r="LWR22" s="28"/>
      <c r="LWS22" s="29"/>
      <c r="LWT22" s="24"/>
      <c r="LWU22" s="13"/>
      <c r="LWV22" s="13"/>
      <c r="LWW22" s="14"/>
      <c r="LWX22" s="15"/>
      <c r="LWY22" s="15"/>
      <c r="LWZ22" s="16"/>
      <c r="LXA22" s="41"/>
      <c r="LXB22" s="41"/>
      <c r="LXC22" s="28"/>
      <c r="LXD22" s="29"/>
      <c r="LXE22" s="24"/>
      <c r="LXF22" s="13"/>
      <c r="LXG22" s="13"/>
      <c r="LXH22" s="14"/>
      <c r="LXI22" s="15"/>
      <c r="LXJ22" s="15"/>
      <c r="LXK22" s="16"/>
      <c r="LXL22" s="41"/>
      <c r="LXM22" s="41"/>
      <c r="LXN22" s="28"/>
      <c r="LXO22" s="29"/>
      <c r="LXP22" s="24"/>
      <c r="LXQ22" s="13"/>
      <c r="LXR22" s="13"/>
      <c r="LXS22" s="14"/>
      <c r="LXT22" s="15"/>
      <c r="LXU22" s="15"/>
      <c r="LXV22" s="16"/>
      <c r="LXW22" s="41"/>
      <c r="LXX22" s="41"/>
      <c r="LXY22" s="28"/>
      <c r="LXZ22" s="29"/>
      <c r="LYA22" s="24"/>
      <c r="LYB22" s="13"/>
      <c r="LYC22" s="13"/>
      <c r="LYD22" s="14"/>
      <c r="LYE22" s="15"/>
      <c r="LYF22" s="15"/>
      <c r="LYG22" s="16"/>
      <c r="LYH22" s="41"/>
      <c r="LYI22" s="41"/>
      <c r="LYJ22" s="28"/>
      <c r="LYK22" s="29"/>
      <c r="LYL22" s="24"/>
      <c r="LYM22" s="13"/>
      <c r="LYN22" s="13"/>
      <c r="LYO22" s="14"/>
      <c r="LYP22" s="15"/>
      <c r="LYQ22" s="15"/>
      <c r="LYR22" s="16"/>
      <c r="LYS22" s="41"/>
      <c r="LYT22" s="41"/>
      <c r="LYU22" s="28"/>
      <c r="LYV22" s="29"/>
      <c r="LYW22" s="24"/>
      <c r="LYX22" s="13"/>
      <c r="LYY22" s="13"/>
      <c r="LYZ22" s="14"/>
      <c r="LZA22" s="15"/>
      <c r="LZB22" s="15"/>
      <c r="LZC22" s="16"/>
      <c r="LZD22" s="41"/>
      <c r="LZE22" s="41"/>
      <c r="LZF22" s="28"/>
      <c r="LZG22" s="29"/>
      <c r="LZH22" s="24"/>
      <c r="LZI22" s="13"/>
      <c r="LZJ22" s="13"/>
      <c r="LZK22" s="14"/>
      <c r="LZL22" s="15"/>
      <c r="LZM22" s="15"/>
      <c r="LZN22" s="16"/>
      <c r="LZO22" s="41"/>
      <c r="LZP22" s="41"/>
      <c r="LZQ22" s="28"/>
      <c r="LZR22" s="29"/>
      <c r="LZS22" s="24"/>
      <c r="LZT22" s="13"/>
      <c r="LZU22" s="13"/>
      <c r="LZV22" s="14"/>
      <c r="LZW22" s="15"/>
      <c r="LZX22" s="15"/>
      <c r="LZY22" s="16"/>
      <c r="LZZ22" s="41"/>
      <c r="MAA22" s="41"/>
      <c r="MAB22" s="28"/>
      <c r="MAC22" s="29"/>
      <c r="MAD22" s="24"/>
      <c r="MAE22" s="13"/>
      <c r="MAF22" s="13"/>
      <c r="MAG22" s="14"/>
      <c r="MAH22" s="15"/>
      <c r="MAI22" s="15"/>
      <c r="MAJ22" s="16"/>
      <c r="MAK22" s="41"/>
      <c r="MAL22" s="41"/>
      <c r="MAM22" s="28"/>
      <c r="MAN22" s="29"/>
      <c r="MAO22" s="24"/>
      <c r="MAP22" s="13"/>
      <c r="MAQ22" s="13"/>
      <c r="MAR22" s="14"/>
      <c r="MAS22" s="15"/>
      <c r="MAT22" s="15"/>
      <c r="MAU22" s="16"/>
      <c r="MAV22" s="41"/>
      <c r="MAW22" s="41"/>
      <c r="MAX22" s="28"/>
      <c r="MAY22" s="29"/>
      <c r="MAZ22" s="24"/>
      <c r="MBA22" s="13"/>
      <c r="MBB22" s="13"/>
      <c r="MBC22" s="14"/>
      <c r="MBD22" s="15"/>
      <c r="MBE22" s="15"/>
      <c r="MBF22" s="16"/>
      <c r="MBG22" s="41"/>
      <c r="MBH22" s="41"/>
      <c r="MBI22" s="28"/>
      <c r="MBJ22" s="29"/>
      <c r="MBK22" s="24"/>
      <c r="MBL22" s="13"/>
      <c r="MBM22" s="13"/>
      <c r="MBN22" s="14"/>
      <c r="MBO22" s="15"/>
      <c r="MBP22" s="15"/>
      <c r="MBQ22" s="16"/>
      <c r="MBR22" s="41"/>
      <c r="MBS22" s="41"/>
      <c r="MBT22" s="28"/>
      <c r="MBU22" s="29"/>
      <c r="MBV22" s="24"/>
      <c r="MBW22" s="13"/>
      <c r="MBX22" s="13"/>
      <c r="MBY22" s="14"/>
      <c r="MBZ22" s="15"/>
      <c r="MCA22" s="15"/>
      <c r="MCB22" s="16"/>
      <c r="MCC22" s="41"/>
      <c r="MCD22" s="41"/>
      <c r="MCE22" s="28"/>
      <c r="MCF22" s="29"/>
      <c r="MCG22" s="24"/>
      <c r="MCH22" s="13"/>
      <c r="MCI22" s="13"/>
      <c r="MCJ22" s="14"/>
      <c r="MCK22" s="15"/>
      <c r="MCL22" s="15"/>
      <c r="MCM22" s="16"/>
      <c r="MCN22" s="41"/>
      <c r="MCO22" s="41"/>
      <c r="MCP22" s="28"/>
      <c r="MCQ22" s="29"/>
      <c r="MCR22" s="24"/>
      <c r="MCS22" s="13"/>
      <c r="MCT22" s="13"/>
      <c r="MCU22" s="14"/>
      <c r="MCV22" s="15"/>
      <c r="MCW22" s="15"/>
      <c r="MCX22" s="16"/>
      <c r="MCY22" s="41"/>
      <c r="MCZ22" s="41"/>
      <c r="MDA22" s="28"/>
      <c r="MDB22" s="29"/>
      <c r="MDC22" s="24"/>
      <c r="MDD22" s="13"/>
      <c r="MDE22" s="13"/>
      <c r="MDF22" s="14"/>
      <c r="MDG22" s="15"/>
      <c r="MDH22" s="15"/>
      <c r="MDI22" s="16"/>
      <c r="MDJ22" s="41"/>
      <c r="MDK22" s="41"/>
      <c r="MDL22" s="28"/>
      <c r="MDM22" s="29"/>
      <c r="MDN22" s="24"/>
      <c r="MDO22" s="13"/>
      <c r="MDP22" s="13"/>
      <c r="MDQ22" s="14"/>
      <c r="MDR22" s="15"/>
      <c r="MDS22" s="15"/>
      <c r="MDT22" s="16"/>
      <c r="MDU22" s="41"/>
      <c r="MDV22" s="41"/>
      <c r="MDW22" s="28"/>
      <c r="MDX22" s="29"/>
      <c r="MDY22" s="24"/>
      <c r="MDZ22" s="13"/>
      <c r="MEA22" s="13"/>
      <c r="MEB22" s="14"/>
      <c r="MEC22" s="15"/>
      <c r="MED22" s="15"/>
      <c r="MEE22" s="16"/>
      <c r="MEF22" s="41"/>
      <c r="MEG22" s="41"/>
      <c r="MEH22" s="28"/>
      <c r="MEI22" s="29"/>
      <c r="MEJ22" s="24"/>
      <c r="MEK22" s="13"/>
      <c r="MEL22" s="13"/>
      <c r="MEM22" s="14"/>
      <c r="MEN22" s="15"/>
      <c r="MEO22" s="15"/>
      <c r="MEP22" s="16"/>
      <c r="MEQ22" s="41"/>
      <c r="MER22" s="41"/>
      <c r="MES22" s="28"/>
      <c r="MET22" s="29"/>
      <c r="MEU22" s="24"/>
      <c r="MEV22" s="13"/>
      <c r="MEW22" s="13"/>
      <c r="MEX22" s="14"/>
      <c r="MEY22" s="15"/>
      <c r="MEZ22" s="15"/>
      <c r="MFA22" s="16"/>
      <c r="MFB22" s="41"/>
      <c r="MFC22" s="41"/>
      <c r="MFD22" s="28"/>
      <c r="MFE22" s="29"/>
      <c r="MFF22" s="24"/>
      <c r="MFG22" s="13"/>
      <c r="MFH22" s="13"/>
      <c r="MFI22" s="14"/>
      <c r="MFJ22" s="15"/>
      <c r="MFK22" s="15"/>
      <c r="MFL22" s="16"/>
      <c r="MFM22" s="41"/>
      <c r="MFN22" s="41"/>
      <c r="MFO22" s="28"/>
      <c r="MFP22" s="29"/>
      <c r="MFQ22" s="24"/>
      <c r="MFR22" s="13"/>
      <c r="MFS22" s="13"/>
      <c r="MFT22" s="14"/>
      <c r="MFU22" s="15"/>
      <c r="MFV22" s="15"/>
      <c r="MFW22" s="16"/>
      <c r="MFX22" s="41"/>
      <c r="MFY22" s="41"/>
      <c r="MFZ22" s="28"/>
      <c r="MGA22" s="29"/>
      <c r="MGB22" s="24"/>
      <c r="MGC22" s="13"/>
      <c r="MGD22" s="13"/>
      <c r="MGE22" s="14"/>
      <c r="MGF22" s="15"/>
      <c r="MGG22" s="15"/>
      <c r="MGH22" s="16"/>
      <c r="MGI22" s="41"/>
      <c r="MGJ22" s="41"/>
      <c r="MGK22" s="28"/>
      <c r="MGL22" s="29"/>
      <c r="MGM22" s="24"/>
      <c r="MGN22" s="13"/>
      <c r="MGO22" s="13"/>
      <c r="MGP22" s="14"/>
      <c r="MGQ22" s="15"/>
      <c r="MGR22" s="15"/>
      <c r="MGS22" s="16"/>
      <c r="MGT22" s="41"/>
      <c r="MGU22" s="41"/>
      <c r="MGV22" s="28"/>
      <c r="MGW22" s="29"/>
      <c r="MGX22" s="24"/>
      <c r="MGY22" s="13"/>
      <c r="MGZ22" s="13"/>
      <c r="MHA22" s="14"/>
      <c r="MHB22" s="15"/>
      <c r="MHC22" s="15"/>
      <c r="MHD22" s="16"/>
      <c r="MHE22" s="41"/>
      <c r="MHF22" s="41"/>
      <c r="MHG22" s="28"/>
      <c r="MHH22" s="29"/>
      <c r="MHI22" s="24"/>
      <c r="MHJ22" s="13"/>
      <c r="MHK22" s="13"/>
      <c r="MHL22" s="14"/>
      <c r="MHM22" s="15"/>
      <c r="MHN22" s="15"/>
      <c r="MHO22" s="16"/>
      <c r="MHP22" s="41"/>
      <c r="MHQ22" s="41"/>
      <c r="MHR22" s="28"/>
      <c r="MHS22" s="29"/>
      <c r="MHT22" s="24"/>
      <c r="MHU22" s="13"/>
      <c r="MHV22" s="13"/>
      <c r="MHW22" s="14"/>
      <c r="MHX22" s="15"/>
      <c r="MHY22" s="15"/>
      <c r="MHZ22" s="16"/>
      <c r="MIA22" s="41"/>
      <c r="MIB22" s="41"/>
      <c r="MIC22" s="28"/>
      <c r="MID22" s="29"/>
      <c r="MIE22" s="24"/>
      <c r="MIF22" s="13"/>
      <c r="MIG22" s="13"/>
      <c r="MIH22" s="14"/>
      <c r="MII22" s="15"/>
      <c r="MIJ22" s="15"/>
      <c r="MIK22" s="16"/>
      <c r="MIL22" s="41"/>
      <c r="MIM22" s="41"/>
      <c r="MIN22" s="28"/>
      <c r="MIO22" s="29"/>
      <c r="MIP22" s="24"/>
      <c r="MIQ22" s="13"/>
      <c r="MIR22" s="13"/>
      <c r="MIS22" s="14"/>
      <c r="MIT22" s="15"/>
      <c r="MIU22" s="15"/>
      <c r="MIV22" s="16"/>
      <c r="MIW22" s="41"/>
      <c r="MIX22" s="41"/>
      <c r="MIY22" s="28"/>
      <c r="MIZ22" s="29"/>
      <c r="MJA22" s="24"/>
      <c r="MJB22" s="13"/>
      <c r="MJC22" s="13"/>
      <c r="MJD22" s="14"/>
      <c r="MJE22" s="15"/>
      <c r="MJF22" s="15"/>
      <c r="MJG22" s="16"/>
      <c r="MJH22" s="41"/>
      <c r="MJI22" s="41"/>
      <c r="MJJ22" s="28"/>
      <c r="MJK22" s="29"/>
      <c r="MJL22" s="24"/>
      <c r="MJM22" s="13"/>
      <c r="MJN22" s="13"/>
      <c r="MJO22" s="14"/>
      <c r="MJP22" s="15"/>
      <c r="MJQ22" s="15"/>
      <c r="MJR22" s="16"/>
      <c r="MJS22" s="41"/>
      <c r="MJT22" s="41"/>
      <c r="MJU22" s="28"/>
      <c r="MJV22" s="29"/>
      <c r="MJW22" s="24"/>
      <c r="MJX22" s="13"/>
      <c r="MJY22" s="13"/>
      <c r="MJZ22" s="14"/>
      <c r="MKA22" s="15"/>
      <c r="MKB22" s="15"/>
      <c r="MKC22" s="16"/>
      <c r="MKD22" s="41"/>
      <c r="MKE22" s="41"/>
      <c r="MKF22" s="28"/>
      <c r="MKG22" s="29"/>
      <c r="MKH22" s="24"/>
      <c r="MKI22" s="13"/>
      <c r="MKJ22" s="13"/>
      <c r="MKK22" s="14"/>
      <c r="MKL22" s="15"/>
      <c r="MKM22" s="15"/>
      <c r="MKN22" s="16"/>
      <c r="MKO22" s="41"/>
      <c r="MKP22" s="41"/>
      <c r="MKQ22" s="28"/>
      <c r="MKR22" s="29"/>
      <c r="MKS22" s="24"/>
      <c r="MKT22" s="13"/>
      <c r="MKU22" s="13"/>
      <c r="MKV22" s="14"/>
      <c r="MKW22" s="15"/>
      <c r="MKX22" s="15"/>
      <c r="MKY22" s="16"/>
      <c r="MKZ22" s="41"/>
      <c r="MLA22" s="41"/>
      <c r="MLB22" s="28"/>
      <c r="MLC22" s="29"/>
      <c r="MLD22" s="24"/>
      <c r="MLE22" s="13"/>
      <c r="MLF22" s="13"/>
      <c r="MLG22" s="14"/>
      <c r="MLH22" s="15"/>
      <c r="MLI22" s="15"/>
      <c r="MLJ22" s="16"/>
      <c r="MLK22" s="41"/>
      <c r="MLL22" s="41"/>
      <c r="MLM22" s="28"/>
      <c r="MLN22" s="29"/>
      <c r="MLO22" s="24"/>
      <c r="MLP22" s="13"/>
      <c r="MLQ22" s="13"/>
      <c r="MLR22" s="14"/>
      <c r="MLS22" s="15"/>
      <c r="MLT22" s="15"/>
      <c r="MLU22" s="16"/>
      <c r="MLV22" s="41"/>
      <c r="MLW22" s="41"/>
      <c r="MLX22" s="28"/>
      <c r="MLY22" s="29"/>
      <c r="MLZ22" s="24"/>
      <c r="MMA22" s="13"/>
      <c r="MMB22" s="13"/>
      <c r="MMC22" s="14"/>
      <c r="MMD22" s="15"/>
      <c r="MME22" s="15"/>
      <c r="MMF22" s="16"/>
      <c r="MMG22" s="41"/>
      <c r="MMH22" s="41"/>
      <c r="MMI22" s="28"/>
      <c r="MMJ22" s="29"/>
      <c r="MMK22" s="24"/>
      <c r="MML22" s="13"/>
      <c r="MMM22" s="13"/>
      <c r="MMN22" s="14"/>
      <c r="MMO22" s="15"/>
      <c r="MMP22" s="15"/>
      <c r="MMQ22" s="16"/>
      <c r="MMR22" s="41"/>
      <c r="MMS22" s="41"/>
      <c r="MMT22" s="28"/>
      <c r="MMU22" s="29"/>
      <c r="MMV22" s="24"/>
      <c r="MMW22" s="13"/>
      <c r="MMX22" s="13"/>
      <c r="MMY22" s="14"/>
      <c r="MMZ22" s="15"/>
      <c r="MNA22" s="15"/>
      <c r="MNB22" s="16"/>
      <c r="MNC22" s="41"/>
      <c r="MND22" s="41"/>
      <c r="MNE22" s="28"/>
      <c r="MNF22" s="29"/>
      <c r="MNG22" s="24"/>
      <c r="MNH22" s="13"/>
      <c r="MNI22" s="13"/>
      <c r="MNJ22" s="14"/>
      <c r="MNK22" s="15"/>
      <c r="MNL22" s="15"/>
      <c r="MNM22" s="16"/>
      <c r="MNN22" s="41"/>
      <c r="MNO22" s="41"/>
      <c r="MNP22" s="28"/>
      <c r="MNQ22" s="29"/>
      <c r="MNR22" s="24"/>
      <c r="MNS22" s="13"/>
      <c r="MNT22" s="13"/>
      <c r="MNU22" s="14"/>
      <c r="MNV22" s="15"/>
      <c r="MNW22" s="15"/>
      <c r="MNX22" s="16"/>
      <c r="MNY22" s="41"/>
      <c r="MNZ22" s="41"/>
      <c r="MOA22" s="28"/>
      <c r="MOB22" s="29"/>
      <c r="MOC22" s="24"/>
      <c r="MOD22" s="13"/>
      <c r="MOE22" s="13"/>
      <c r="MOF22" s="14"/>
      <c r="MOG22" s="15"/>
      <c r="MOH22" s="15"/>
      <c r="MOI22" s="16"/>
      <c r="MOJ22" s="41"/>
      <c r="MOK22" s="41"/>
      <c r="MOL22" s="28"/>
      <c r="MOM22" s="29"/>
      <c r="MON22" s="24"/>
      <c r="MOO22" s="13"/>
      <c r="MOP22" s="13"/>
      <c r="MOQ22" s="14"/>
      <c r="MOR22" s="15"/>
      <c r="MOS22" s="15"/>
      <c r="MOT22" s="16"/>
      <c r="MOU22" s="41"/>
      <c r="MOV22" s="41"/>
      <c r="MOW22" s="28"/>
      <c r="MOX22" s="29"/>
      <c r="MOY22" s="24"/>
      <c r="MOZ22" s="13"/>
      <c r="MPA22" s="13"/>
      <c r="MPB22" s="14"/>
      <c r="MPC22" s="15"/>
      <c r="MPD22" s="15"/>
      <c r="MPE22" s="16"/>
      <c r="MPF22" s="41"/>
      <c r="MPG22" s="41"/>
      <c r="MPH22" s="28"/>
      <c r="MPI22" s="29"/>
      <c r="MPJ22" s="24"/>
      <c r="MPK22" s="13"/>
      <c r="MPL22" s="13"/>
      <c r="MPM22" s="14"/>
      <c r="MPN22" s="15"/>
      <c r="MPO22" s="15"/>
      <c r="MPP22" s="16"/>
      <c r="MPQ22" s="41"/>
      <c r="MPR22" s="41"/>
      <c r="MPS22" s="28"/>
      <c r="MPT22" s="29"/>
      <c r="MPU22" s="24"/>
      <c r="MPV22" s="13"/>
      <c r="MPW22" s="13"/>
      <c r="MPX22" s="14"/>
      <c r="MPY22" s="15"/>
      <c r="MPZ22" s="15"/>
      <c r="MQA22" s="16"/>
      <c r="MQB22" s="41"/>
      <c r="MQC22" s="41"/>
      <c r="MQD22" s="28"/>
      <c r="MQE22" s="29"/>
      <c r="MQF22" s="24"/>
      <c r="MQG22" s="13"/>
      <c r="MQH22" s="13"/>
      <c r="MQI22" s="14"/>
      <c r="MQJ22" s="15"/>
      <c r="MQK22" s="15"/>
      <c r="MQL22" s="16"/>
      <c r="MQM22" s="41"/>
      <c r="MQN22" s="41"/>
      <c r="MQO22" s="28"/>
      <c r="MQP22" s="29"/>
      <c r="MQQ22" s="24"/>
      <c r="MQR22" s="13"/>
      <c r="MQS22" s="13"/>
      <c r="MQT22" s="14"/>
      <c r="MQU22" s="15"/>
      <c r="MQV22" s="15"/>
      <c r="MQW22" s="16"/>
      <c r="MQX22" s="41"/>
      <c r="MQY22" s="41"/>
      <c r="MQZ22" s="28"/>
      <c r="MRA22" s="29"/>
      <c r="MRB22" s="24"/>
      <c r="MRC22" s="13"/>
      <c r="MRD22" s="13"/>
      <c r="MRE22" s="14"/>
      <c r="MRF22" s="15"/>
      <c r="MRG22" s="15"/>
      <c r="MRH22" s="16"/>
      <c r="MRI22" s="41"/>
      <c r="MRJ22" s="41"/>
      <c r="MRK22" s="28"/>
      <c r="MRL22" s="29"/>
      <c r="MRM22" s="24"/>
      <c r="MRN22" s="13"/>
      <c r="MRO22" s="13"/>
      <c r="MRP22" s="14"/>
      <c r="MRQ22" s="15"/>
      <c r="MRR22" s="15"/>
      <c r="MRS22" s="16"/>
      <c r="MRT22" s="41"/>
      <c r="MRU22" s="41"/>
      <c r="MRV22" s="28"/>
      <c r="MRW22" s="29"/>
      <c r="MRX22" s="24"/>
      <c r="MRY22" s="13"/>
      <c r="MRZ22" s="13"/>
      <c r="MSA22" s="14"/>
      <c r="MSB22" s="15"/>
      <c r="MSC22" s="15"/>
      <c r="MSD22" s="16"/>
      <c r="MSE22" s="41"/>
      <c r="MSF22" s="41"/>
      <c r="MSG22" s="28"/>
      <c r="MSH22" s="29"/>
      <c r="MSI22" s="24"/>
      <c r="MSJ22" s="13"/>
      <c r="MSK22" s="13"/>
      <c r="MSL22" s="14"/>
      <c r="MSM22" s="15"/>
      <c r="MSN22" s="15"/>
      <c r="MSO22" s="16"/>
      <c r="MSP22" s="41"/>
      <c r="MSQ22" s="41"/>
      <c r="MSR22" s="28"/>
      <c r="MSS22" s="29"/>
      <c r="MST22" s="24"/>
      <c r="MSU22" s="13"/>
      <c r="MSV22" s="13"/>
      <c r="MSW22" s="14"/>
      <c r="MSX22" s="15"/>
      <c r="MSY22" s="15"/>
      <c r="MSZ22" s="16"/>
      <c r="MTA22" s="41"/>
      <c r="MTB22" s="41"/>
      <c r="MTC22" s="28"/>
      <c r="MTD22" s="29"/>
      <c r="MTE22" s="24"/>
      <c r="MTF22" s="13"/>
      <c r="MTG22" s="13"/>
      <c r="MTH22" s="14"/>
      <c r="MTI22" s="15"/>
      <c r="MTJ22" s="15"/>
      <c r="MTK22" s="16"/>
      <c r="MTL22" s="41"/>
      <c r="MTM22" s="41"/>
      <c r="MTN22" s="28"/>
      <c r="MTO22" s="29"/>
      <c r="MTP22" s="24"/>
      <c r="MTQ22" s="13"/>
      <c r="MTR22" s="13"/>
      <c r="MTS22" s="14"/>
      <c r="MTT22" s="15"/>
      <c r="MTU22" s="15"/>
      <c r="MTV22" s="16"/>
      <c r="MTW22" s="41"/>
      <c r="MTX22" s="41"/>
      <c r="MTY22" s="28"/>
      <c r="MTZ22" s="29"/>
      <c r="MUA22" s="24"/>
      <c r="MUB22" s="13"/>
      <c r="MUC22" s="13"/>
      <c r="MUD22" s="14"/>
      <c r="MUE22" s="15"/>
      <c r="MUF22" s="15"/>
      <c r="MUG22" s="16"/>
      <c r="MUH22" s="41"/>
      <c r="MUI22" s="41"/>
      <c r="MUJ22" s="28"/>
      <c r="MUK22" s="29"/>
      <c r="MUL22" s="24"/>
      <c r="MUM22" s="13"/>
      <c r="MUN22" s="13"/>
      <c r="MUO22" s="14"/>
      <c r="MUP22" s="15"/>
      <c r="MUQ22" s="15"/>
      <c r="MUR22" s="16"/>
      <c r="MUS22" s="41"/>
      <c r="MUT22" s="41"/>
      <c r="MUU22" s="28"/>
      <c r="MUV22" s="29"/>
      <c r="MUW22" s="24"/>
      <c r="MUX22" s="13"/>
      <c r="MUY22" s="13"/>
      <c r="MUZ22" s="14"/>
      <c r="MVA22" s="15"/>
      <c r="MVB22" s="15"/>
      <c r="MVC22" s="16"/>
      <c r="MVD22" s="41"/>
      <c r="MVE22" s="41"/>
      <c r="MVF22" s="28"/>
      <c r="MVG22" s="29"/>
      <c r="MVH22" s="24"/>
      <c r="MVI22" s="13"/>
      <c r="MVJ22" s="13"/>
      <c r="MVK22" s="14"/>
      <c r="MVL22" s="15"/>
      <c r="MVM22" s="15"/>
      <c r="MVN22" s="16"/>
      <c r="MVO22" s="41"/>
      <c r="MVP22" s="41"/>
      <c r="MVQ22" s="28"/>
      <c r="MVR22" s="29"/>
      <c r="MVS22" s="24"/>
      <c r="MVT22" s="13"/>
      <c r="MVU22" s="13"/>
      <c r="MVV22" s="14"/>
      <c r="MVW22" s="15"/>
      <c r="MVX22" s="15"/>
      <c r="MVY22" s="16"/>
      <c r="MVZ22" s="41"/>
      <c r="MWA22" s="41"/>
      <c r="MWB22" s="28"/>
      <c r="MWC22" s="29"/>
      <c r="MWD22" s="24"/>
      <c r="MWE22" s="13"/>
      <c r="MWF22" s="13"/>
      <c r="MWG22" s="14"/>
      <c r="MWH22" s="15"/>
      <c r="MWI22" s="15"/>
      <c r="MWJ22" s="16"/>
      <c r="MWK22" s="41"/>
      <c r="MWL22" s="41"/>
      <c r="MWM22" s="28"/>
      <c r="MWN22" s="29"/>
      <c r="MWO22" s="24"/>
      <c r="MWP22" s="13"/>
      <c r="MWQ22" s="13"/>
      <c r="MWR22" s="14"/>
      <c r="MWS22" s="15"/>
      <c r="MWT22" s="15"/>
      <c r="MWU22" s="16"/>
      <c r="MWV22" s="41"/>
      <c r="MWW22" s="41"/>
      <c r="MWX22" s="28"/>
      <c r="MWY22" s="29"/>
      <c r="MWZ22" s="24"/>
      <c r="MXA22" s="13"/>
      <c r="MXB22" s="13"/>
      <c r="MXC22" s="14"/>
      <c r="MXD22" s="15"/>
      <c r="MXE22" s="15"/>
      <c r="MXF22" s="16"/>
      <c r="MXG22" s="41"/>
      <c r="MXH22" s="41"/>
      <c r="MXI22" s="28"/>
      <c r="MXJ22" s="29"/>
      <c r="MXK22" s="24"/>
      <c r="MXL22" s="13"/>
      <c r="MXM22" s="13"/>
      <c r="MXN22" s="14"/>
      <c r="MXO22" s="15"/>
      <c r="MXP22" s="15"/>
      <c r="MXQ22" s="16"/>
      <c r="MXR22" s="41"/>
      <c r="MXS22" s="41"/>
      <c r="MXT22" s="28"/>
      <c r="MXU22" s="29"/>
      <c r="MXV22" s="24"/>
      <c r="MXW22" s="13"/>
      <c r="MXX22" s="13"/>
      <c r="MXY22" s="14"/>
      <c r="MXZ22" s="15"/>
      <c r="MYA22" s="15"/>
      <c r="MYB22" s="16"/>
      <c r="MYC22" s="41"/>
      <c r="MYD22" s="41"/>
      <c r="MYE22" s="28"/>
      <c r="MYF22" s="29"/>
      <c r="MYG22" s="24"/>
      <c r="MYH22" s="13"/>
      <c r="MYI22" s="13"/>
      <c r="MYJ22" s="14"/>
      <c r="MYK22" s="15"/>
      <c r="MYL22" s="15"/>
      <c r="MYM22" s="16"/>
      <c r="MYN22" s="41"/>
      <c r="MYO22" s="41"/>
      <c r="MYP22" s="28"/>
      <c r="MYQ22" s="29"/>
      <c r="MYR22" s="24"/>
      <c r="MYS22" s="13"/>
      <c r="MYT22" s="13"/>
      <c r="MYU22" s="14"/>
      <c r="MYV22" s="15"/>
      <c r="MYW22" s="15"/>
      <c r="MYX22" s="16"/>
      <c r="MYY22" s="41"/>
      <c r="MYZ22" s="41"/>
      <c r="MZA22" s="28"/>
      <c r="MZB22" s="29"/>
      <c r="MZC22" s="24"/>
      <c r="MZD22" s="13"/>
      <c r="MZE22" s="13"/>
      <c r="MZF22" s="14"/>
      <c r="MZG22" s="15"/>
      <c r="MZH22" s="15"/>
      <c r="MZI22" s="16"/>
      <c r="MZJ22" s="41"/>
      <c r="MZK22" s="41"/>
      <c r="MZL22" s="28"/>
      <c r="MZM22" s="29"/>
      <c r="MZN22" s="24"/>
      <c r="MZO22" s="13"/>
      <c r="MZP22" s="13"/>
      <c r="MZQ22" s="14"/>
      <c r="MZR22" s="15"/>
      <c r="MZS22" s="15"/>
      <c r="MZT22" s="16"/>
      <c r="MZU22" s="41"/>
      <c r="MZV22" s="41"/>
      <c r="MZW22" s="28"/>
      <c r="MZX22" s="29"/>
      <c r="MZY22" s="24"/>
      <c r="MZZ22" s="13"/>
      <c r="NAA22" s="13"/>
      <c r="NAB22" s="14"/>
      <c r="NAC22" s="15"/>
      <c r="NAD22" s="15"/>
      <c r="NAE22" s="16"/>
      <c r="NAF22" s="41"/>
      <c r="NAG22" s="41"/>
      <c r="NAH22" s="28"/>
      <c r="NAI22" s="29"/>
      <c r="NAJ22" s="24"/>
      <c r="NAK22" s="13"/>
      <c r="NAL22" s="13"/>
      <c r="NAM22" s="14"/>
      <c r="NAN22" s="15"/>
      <c r="NAO22" s="15"/>
      <c r="NAP22" s="16"/>
      <c r="NAQ22" s="41"/>
      <c r="NAR22" s="41"/>
      <c r="NAS22" s="28"/>
      <c r="NAT22" s="29"/>
      <c r="NAU22" s="24"/>
      <c r="NAV22" s="13"/>
      <c r="NAW22" s="13"/>
      <c r="NAX22" s="14"/>
      <c r="NAY22" s="15"/>
      <c r="NAZ22" s="15"/>
      <c r="NBA22" s="16"/>
      <c r="NBB22" s="41"/>
      <c r="NBC22" s="41"/>
      <c r="NBD22" s="28"/>
      <c r="NBE22" s="29"/>
      <c r="NBF22" s="24"/>
      <c r="NBG22" s="13"/>
      <c r="NBH22" s="13"/>
      <c r="NBI22" s="14"/>
      <c r="NBJ22" s="15"/>
      <c r="NBK22" s="15"/>
      <c r="NBL22" s="16"/>
      <c r="NBM22" s="41"/>
      <c r="NBN22" s="41"/>
      <c r="NBO22" s="28"/>
      <c r="NBP22" s="29"/>
      <c r="NBQ22" s="24"/>
      <c r="NBR22" s="13"/>
      <c r="NBS22" s="13"/>
      <c r="NBT22" s="14"/>
      <c r="NBU22" s="15"/>
      <c r="NBV22" s="15"/>
      <c r="NBW22" s="16"/>
      <c r="NBX22" s="41"/>
      <c r="NBY22" s="41"/>
      <c r="NBZ22" s="28"/>
      <c r="NCA22" s="29"/>
      <c r="NCB22" s="24"/>
      <c r="NCC22" s="13"/>
      <c r="NCD22" s="13"/>
      <c r="NCE22" s="14"/>
      <c r="NCF22" s="15"/>
      <c r="NCG22" s="15"/>
      <c r="NCH22" s="16"/>
      <c r="NCI22" s="41"/>
      <c r="NCJ22" s="41"/>
      <c r="NCK22" s="28"/>
      <c r="NCL22" s="29"/>
      <c r="NCM22" s="24"/>
      <c r="NCN22" s="13"/>
      <c r="NCO22" s="13"/>
      <c r="NCP22" s="14"/>
      <c r="NCQ22" s="15"/>
      <c r="NCR22" s="15"/>
      <c r="NCS22" s="16"/>
      <c r="NCT22" s="41"/>
      <c r="NCU22" s="41"/>
      <c r="NCV22" s="28"/>
      <c r="NCW22" s="29"/>
      <c r="NCX22" s="24"/>
      <c r="NCY22" s="13"/>
      <c r="NCZ22" s="13"/>
      <c r="NDA22" s="14"/>
      <c r="NDB22" s="15"/>
      <c r="NDC22" s="15"/>
      <c r="NDD22" s="16"/>
      <c r="NDE22" s="41"/>
      <c r="NDF22" s="41"/>
      <c r="NDG22" s="28"/>
      <c r="NDH22" s="29"/>
      <c r="NDI22" s="24"/>
      <c r="NDJ22" s="13"/>
      <c r="NDK22" s="13"/>
      <c r="NDL22" s="14"/>
      <c r="NDM22" s="15"/>
      <c r="NDN22" s="15"/>
      <c r="NDO22" s="16"/>
      <c r="NDP22" s="41"/>
      <c r="NDQ22" s="41"/>
      <c r="NDR22" s="28"/>
      <c r="NDS22" s="29"/>
      <c r="NDT22" s="24"/>
      <c r="NDU22" s="13"/>
      <c r="NDV22" s="13"/>
      <c r="NDW22" s="14"/>
      <c r="NDX22" s="15"/>
      <c r="NDY22" s="15"/>
      <c r="NDZ22" s="16"/>
      <c r="NEA22" s="41"/>
      <c r="NEB22" s="41"/>
      <c r="NEC22" s="28"/>
      <c r="NED22" s="29"/>
      <c r="NEE22" s="24"/>
      <c r="NEF22" s="13"/>
      <c r="NEG22" s="13"/>
      <c r="NEH22" s="14"/>
      <c r="NEI22" s="15"/>
      <c r="NEJ22" s="15"/>
      <c r="NEK22" s="16"/>
      <c r="NEL22" s="41"/>
      <c r="NEM22" s="41"/>
      <c r="NEN22" s="28"/>
      <c r="NEO22" s="29"/>
      <c r="NEP22" s="24"/>
      <c r="NEQ22" s="13"/>
      <c r="NER22" s="13"/>
      <c r="NES22" s="14"/>
      <c r="NET22" s="15"/>
      <c r="NEU22" s="15"/>
      <c r="NEV22" s="16"/>
      <c r="NEW22" s="41"/>
      <c r="NEX22" s="41"/>
      <c r="NEY22" s="28"/>
      <c r="NEZ22" s="29"/>
      <c r="NFA22" s="24"/>
      <c r="NFB22" s="13"/>
      <c r="NFC22" s="13"/>
      <c r="NFD22" s="14"/>
      <c r="NFE22" s="15"/>
      <c r="NFF22" s="15"/>
      <c r="NFG22" s="16"/>
      <c r="NFH22" s="41"/>
      <c r="NFI22" s="41"/>
      <c r="NFJ22" s="28"/>
      <c r="NFK22" s="29"/>
      <c r="NFL22" s="24"/>
      <c r="NFM22" s="13"/>
      <c r="NFN22" s="13"/>
      <c r="NFO22" s="14"/>
      <c r="NFP22" s="15"/>
      <c r="NFQ22" s="15"/>
      <c r="NFR22" s="16"/>
      <c r="NFS22" s="41"/>
      <c r="NFT22" s="41"/>
      <c r="NFU22" s="28"/>
      <c r="NFV22" s="29"/>
      <c r="NFW22" s="24"/>
      <c r="NFX22" s="13"/>
      <c r="NFY22" s="13"/>
      <c r="NFZ22" s="14"/>
      <c r="NGA22" s="15"/>
      <c r="NGB22" s="15"/>
      <c r="NGC22" s="16"/>
      <c r="NGD22" s="41"/>
      <c r="NGE22" s="41"/>
      <c r="NGF22" s="28"/>
      <c r="NGG22" s="29"/>
      <c r="NGH22" s="24"/>
      <c r="NGI22" s="13"/>
      <c r="NGJ22" s="13"/>
      <c r="NGK22" s="14"/>
      <c r="NGL22" s="15"/>
      <c r="NGM22" s="15"/>
      <c r="NGN22" s="16"/>
      <c r="NGO22" s="41"/>
      <c r="NGP22" s="41"/>
      <c r="NGQ22" s="28"/>
      <c r="NGR22" s="29"/>
      <c r="NGS22" s="24"/>
      <c r="NGT22" s="13"/>
      <c r="NGU22" s="13"/>
      <c r="NGV22" s="14"/>
      <c r="NGW22" s="15"/>
      <c r="NGX22" s="15"/>
      <c r="NGY22" s="16"/>
      <c r="NGZ22" s="41"/>
      <c r="NHA22" s="41"/>
      <c r="NHB22" s="28"/>
      <c r="NHC22" s="29"/>
      <c r="NHD22" s="24"/>
      <c r="NHE22" s="13"/>
      <c r="NHF22" s="13"/>
      <c r="NHG22" s="14"/>
      <c r="NHH22" s="15"/>
      <c r="NHI22" s="15"/>
      <c r="NHJ22" s="16"/>
      <c r="NHK22" s="41"/>
      <c r="NHL22" s="41"/>
      <c r="NHM22" s="28"/>
      <c r="NHN22" s="29"/>
      <c r="NHO22" s="24"/>
      <c r="NHP22" s="13"/>
      <c r="NHQ22" s="13"/>
      <c r="NHR22" s="14"/>
      <c r="NHS22" s="15"/>
      <c r="NHT22" s="15"/>
      <c r="NHU22" s="16"/>
      <c r="NHV22" s="41"/>
      <c r="NHW22" s="41"/>
      <c r="NHX22" s="28"/>
      <c r="NHY22" s="29"/>
      <c r="NHZ22" s="24"/>
      <c r="NIA22" s="13"/>
      <c r="NIB22" s="13"/>
      <c r="NIC22" s="14"/>
      <c r="NID22" s="15"/>
      <c r="NIE22" s="15"/>
      <c r="NIF22" s="16"/>
      <c r="NIG22" s="41"/>
      <c r="NIH22" s="41"/>
      <c r="NII22" s="28"/>
      <c r="NIJ22" s="29"/>
      <c r="NIK22" s="24"/>
      <c r="NIL22" s="13"/>
      <c r="NIM22" s="13"/>
      <c r="NIN22" s="14"/>
      <c r="NIO22" s="15"/>
      <c r="NIP22" s="15"/>
      <c r="NIQ22" s="16"/>
      <c r="NIR22" s="41"/>
      <c r="NIS22" s="41"/>
      <c r="NIT22" s="28"/>
      <c r="NIU22" s="29"/>
      <c r="NIV22" s="24"/>
      <c r="NIW22" s="13"/>
      <c r="NIX22" s="13"/>
      <c r="NIY22" s="14"/>
      <c r="NIZ22" s="15"/>
      <c r="NJA22" s="15"/>
      <c r="NJB22" s="16"/>
      <c r="NJC22" s="41"/>
      <c r="NJD22" s="41"/>
      <c r="NJE22" s="28"/>
      <c r="NJF22" s="29"/>
      <c r="NJG22" s="24"/>
      <c r="NJH22" s="13"/>
      <c r="NJI22" s="13"/>
      <c r="NJJ22" s="14"/>
      <c r="NJK22" s="15"/>
      <c r="NJL22" s="15"/>
      <c r="NJM22" s="16"/>
      <c r="NJN22" s="41"/>
      <c r="NJO22" s="41"/>
      <c r="NJP22" s="28"/>
      <c r="NJQ22" s="29"/>
      <c r="NJR22" s="24"/>
      <c r="NJS22" s="13"/>
      <c r="NJT22" s="13"/>
      <c r="NJU22" s="14"/>
      <c r="NJV22" s="15"/>
      <c r="NJW22" s="15"/>
      <c r="NJX22" s="16"/>
      <c r="NJY22" s="41"/>
      <c r="NJZ22" s="41"/>
      <c r="NKA22" s="28"/>
      <c r="NKB22" s="29"/>
      <c r="NKC22" s="24"/>
      <c r="NKD22" s="13"/>
      <c r="NKE22" s="13"/>
      <c r="NKF22" s="14"/>
      <c r="NKG22" s="15"/>
      <c r="NKH22" s="15"/>
      <c r="NKI22" s="16"/>
      <c r="NKJ22" s="41"/>
      <c r="NKK22" s="41"/>
      <c r="NKL22" s="28"/>
      <c r="NKM22" s="29"/>
      <c r="NKN22" s="24"/>
      <c r="NKO22" s="13"/>
      <c r="NKP22" s="13"/>
      <c r="NKQ22" s="14"/>
      <c r="NKR22" s="15"/>
      <c r="NKS22" s="15"/>
      <c r="NKT22" s="16"/>
      <c r="NKU22" s="41"/>
      <c r="NKV22" s="41"/>
      <c r="NKW22" s="28"/>
      <c r="NKX22" s="29"/>
      <c r="NKY22" s="24"/>
      <c r="NKZ22" s="13"/>
      <c r="NLA22" s="13"/>
      <c r="NLB22" s="14"/>
      <c r="NLC22" s="15"/>
      <c r="NLD22" s="15"/>
      <c r="NLE22" s="16"/>
      <c r="NLF22" s="41"/>
      <c r="NLG22" s="41"/>
      <c r="NLH22" s="28"/>
      <c r="NLI22" s="29"/>
      <c r="NLJ22" s="24"/>
      <c r="NLK22" s="13"/>
      <c r="NLL22" s="13"/>
      <c r="NLM22" s="14"/>
      <c r="NLN22" s="15"/>
      <c r="NLO22" s="15"/>
      <c r="NLP22" s="16"/>
      <c r="NLQ22" s="41"/>
      <c r="NLR22" s="41"/>
      <c r="NLS22" s="28"/>
      <c r="NLT22" s="29"/>
      <c r="NLU22" s="24"/>
      <c r="NLV22" s="13"/>
      <c r="NLW22" s="13"/>
      <c r="NLX22" s="14"/>
      <c r="NLY22" s="15"/>
      <c r="NLZ22" s="15"/>
      <c r="NMA22" s="16"/>
      <c r="NMB22" s="41"/>
      <c r="NMC22" s="41"/>
      <c r="NMD22" s="28"/>
      <c r="NME22" s="29"/>
      <c r="NMF22" s="24"/>
      <c r="NMG22" s="13"/>
      <c r="NMH22" s="13"/>
      <c r="NMI22" s="14"/>
      <c r="NMJ22" s="15"/>
      <c r="NMK22" s="15"/>
      <c r="NML22" s="16"/>
      <c r="NMM22" s="41"/>
      <c r="NMN22" s="41"/>
      <c r="NMO22" s="28"/>
      <c r="NMP22" s="29"/>
      <c r="NMQ22" s="24"/>
      <c r="NMR22" s="13"/>
      <c r="NMS22" s="13"/>
      <c r="NMT22" s="14"/>
      <c r="NMU22" s="15"/>
      <c r="NMV22" s="15"/>
      <c r="NMW22" s="16"/>
      <c r="NMX22" s="41"/>
      <c r="NMY22" s="41"/>
      <c r="NMZ22" s="28"/>
      <c r="NNA22" s="29"/>
      <c r="NNB22" s="24"/>
      <c r="NNC22" s="13"/>
      <c r="NND22" s="13"/>
      <c r="NNE22" s="14"/>
      <c r="NNF22" s="15"/>
      <c r="NNG22" s="15"/>
      <c r="NNH22" s="16"/>
      <c r="NNI22" s="41"/>
      <c r="NNJ22" s="41"/>
      <c r="NNK22" s="28"/>
      <c r="NNL22" s="29"/>
      <c r="NNM22" s="24"/>
      <c r="NNN22" s="13"/>
      <c r="NNO22" s="13"/>
      <c r="NNP22" s="14"/>
      <c r="NNQ22" s="15"/>
      <c r="NNR22" s="15"/>
      <c r="NNS22" s="16"/>
      <c r="NNT22" s="41"/>
      <c r="NNU22" s="41"/>
      <c r="NNV22" s="28"/>
      <c r="NNW22" s="29"/>
      <c r="NNX22" s="24"/>
      <c r="NNY22" s="13"/>
      <c r="NNZ22" s="13"/>
      <c r="NOA22" s="14"/>
      <c r="NOB22" s="15"/>
      <c r="NOC22" s="15"/>
      <c r="NOD22" s="16"/>
      <c r="NOE22" s="41"/>
      <c r="NOF22" s="41"/>
      <c r="NOG22" s="28"/>
      <c r="NOH22" s="29"/>
      <c r="NOI22" s="24"/>
      <c r="NOJ22" s="13"/>
      <c r="NOK22" s="13"/>
      <c r="NOL22" s="14"/>
      <c r="NOM22" s="15"/>
      <c r="NON22" s="15"/>
      <c r="NOO22" s="16"/>
      <c r="NOP22" s="41"/>
      <c r="NOQ22" s="41"/>
      <c r="NOR22" s="28"/>
      <c r="NOS22" s="29"/>
      <c r="NOT22" s="24"/>
      <c r="NOU22" s="13"/>
      <c r="NOV22" s="13"/>
      <c r="NOW22" s="14"/>
      <c r="NOX22" s="15"/>
      <c r="NOY22" s="15"/>
      <c r="NOZ22" s="16"/>
      <c r="NPA22" s="41"/>
      <c r="NPB22" s="41"/>
      <c r="NPC22" s="28"/>
      <c r="NPD22" s="29"/>
      <c r="NPE22" s="24"/>
      <c r="NPF22" s="13"/>
      <c r="NPG22" s="13"/>
      <c r="NPH22" s="14"/>
      <c r="NPI22" s="15"/>
      <c r="NPJ22" s="15"/>
      <c r="NPK22" s="16"/>
      <c r="NPL22" s="41"/>
      <c r="NPM22" s="41"/>
      <c r="NPN22" s="28"/>
      <c r="NPO22" s="29"/>
      <c r="NPP22" s="24"/>
      <c r="NPQ22" s="13"/>
      <c r="NPR22" s="13"/>
      <c r="NPS22" s="14"/>
      <c r="NPT22" s="15"/>
      <c r="NPU22" s="15"/>
      <c r="NPV22" s="16"/>
      <c r="NPW22" s="41"/>
      <c r="NPX22" s="41"/>
      <c r="NPY22" s="28"/>
      <c r="NPZ22" s="29"/>
      <c r="NQA22" s="24"/>
      <c r="NQB22" s="13"/>
      <c r="NQC22" s="13"/>
      <c r="NQD22" s="14"/>
      <c r="NQE22" s="15"/>
      <c r="NQF22" s="15"/>
      <c r="NQG22" s="16"/>
      <c r="NQH22" s="41"/>
      <c r="NQI22" s="41"/>
      <c r="NQJ22" s="28"/>
      <c r="NQK22" s="29"/>
      <c r="NQL22" s="24"/>
      <c r="NQM22" s="13"/>
      <c r="NQN22" s="13"/>
      <c r="NQO22" s="14"/>
      <c r="NQP22" s="15"/>
      <c r="NQQ22" s="15"/>
      <c r="NQR22" s="16"/>
      <c r="NQS22" s="41"/>
      <c r="NQT22" s="41"/>
      <c r="NQU22" s="28"/>
      <c r="NQV22" s="29"/>
      <c r="NQW22" s="24"/>
      <c r="NQX22" s="13"/>
      <c r="NQY22" s="13"/>
      <c r="NQZ22" s="14"/>
      <c r="NRA22" s="15"/>
      <c r="NRB22" s="15"/>
      <c r="NRC22" s="16"/>
      <c r="NRD22" s="41"/>
      <c r="NRE22" s="41"/>
      <c r="NRF22" s="28"/>
      <c r="NRG22" s="29"/>
      <c r="NRH22" s="24"/>
      <c r="NRI22" s="13"/>
      <c r="NRJ22" s="13"/>
      <c r="NRK22" s="14"/>
      <c r="NRL22" s="15"/>
      <c r="NRM22" s="15"/>
      <c r="NRN22" s="16"/>
      <c r="NRO22" s="41"/>
      <c r="NRP22" s="41"/>
      <c r="NRQ22" s="28"/>
      <c r="NRR22" s="29"/>
      <c r="NRS22" s="24"/>
      <c r="NRT22" s="13"/>
      <c r="NRU22" s="13"/>
      <c r="NRV22" s="14"/>
      <c r="NRW22" s="15"/>
      <c r="NRX22" s="15"/>
      <c r="NRY22" s="16"/>
      <c r="NRZ22" s="41"/>
      <c r="NSA22" s="41"/>
      <c r="NSB22" s="28"/>
      <c r="NSC22" s="29"/>
      <c r="NSD22" s="24"/>
      <c r="NSE22" s="13"/>
      <c r="NSF22" s="13"/>
      <c r="NSG22" s="14"/>
      <c r="NSH22" s="15"/>
      <c r="NSI22" s="15"/>
      <c r="NSJ22" s="16"/>
      <c r="NSK22" s="41"/>
      <c r="NSL22" s="41"/>
      <c r="NSM22" s="28"/>
      <c r="NSN22" s="29"/>
      <c r="NSO22" s="24"/>
      <c r="NSP22" s="13"/>
      <c r="NSQ22" s="13"/>
      <c r="NSR22" s="14"/>
      <c r="NSS22" s="15"/>
      <c r="NST22" s="15"/>
      <c r="NSU22" s="16"/>
      <c r="NSV22" s="41"/>
      <c r="NSW22" s="41"/>
      <c r="NSX22" s="28"/>
      <c r="NSY22" s="29"/>
      <c r="NSZ22" s="24"/>
      <c r="NTA22" s="13"/>
      <c r="NTB22" s="13"/>
      <c r="NTC22" s="14"/>
      <c r="NTD22" s="15"/>
      <c r="NTE22" s="15"/>
      <c r="NTF22" s="16"/>
      <c r="NTG22" s="41"/>
      <c r="NTH22" s="41"/>
      <c r="NTI22" s="28"/>
      <c r="NTJ22" s="29"/>
      <c r="NTK22" s="24"/>
      <c r="NTL22" s="13"/>
      <c r="NTM22" s="13"/>
      <c r="NTN22" s="14"/>
      <c r="NTO22" s="15"/>
      <c r="NTP22" s="15"/>
      <c r="NTQ22" s="16"/>
      <c r="NTR22" s="41"/>
      <c r="NTS22" s="41"/>
      <c r="NTT22" s="28"/>
      <c r="NTU22" s="29"/>
      <c r="NTV22" s="24"/>
      <c r="NTW22" s="13"/>
      <c r="NTX22" s="13"/>
      <c r="NTY22" s="14"/>
      <c r="NTZ22" s="15"/>
      <c r="NUA22" s="15"/>
      <c r="NUB22" s="16"/>
      <c r="NUC22" s="41"/>
      <c r="NUD22" s="41"/>
      <c r="NUE22" s="28"/>
      <c r="NUF22" s="29"/>
      <c r="NUG22" s="24"/>
      <c r="NUH22" s="13"/>
      <c r="NUI22" s="13"/>
      <c r="NUJ22" s="14"/>
      <c r="NUK22" s="15"/>
      <c r="NUL22" s="15"/>
      <c r="NUM22" s="16"/>
      <c r="NUN22" s="41"/>
      <c r="NUO22" s="41"/>
      <c r="NUP22" s="28"/>
      <c r="NUQ22" s="29"/>
      <c r="NUR22" s="24"/>
      <c r="NUS22" s="13"/>
      <c r="NUT22" s="13"/>
      <c r="NUU22" s="14"/>
      <c r="NUV22" s="15"/>
      <c r="NUW22" s="15"/>
      <c r="NUX22" s="16"/>
      <c r="NUY22" s="41"/>
      <c r="NUZ22" s="41"/>
      <c r="NVA22" s="28"/>
      <c r="NVB22" s="29"/>
      <c r="NVC22" s="24"/>
      <c r="NVD22" s="13"/>
      <c r="NVE22" s="13"/>
      <c r="NVF22" s="14"/>
      <c r="NVG22" s="15"/>
      <c r="NVH22" s="15"/>
      <c r="NVI22" s="16"/>
      <c r="NVJ22" s="41"/>
      <c r="NVK22" s="41"/>
      <c r="NVL22" s="28"/>
      <c r="NVM22" s="29"/>
      <c r="NVN22" s="24"/>
      <c r="NVO22" s="13"/>
      <c r="NVP22" s="13"/>
      <c r="NVQ22" s="14"/>
      <c r="NVR22" s="15"/>
      <c r="NVS22" s="15"/>
      <c r="NVT22" s="16"/>
      <c r="NVU22" s="41"/>
      <c r="NVV22" s="41"/>
      <c r="NVW22" s="28"/>
      <c r="NVX22" s="29"/>
      <c r="NVY22" s="24"/>
      <c r="NVZ22" s="13"/>
      <c r="NWA22" s="13"/>
      <c r="NWB22" s="14"/>
      <c r="NWC22" s="15"/>
      <c r="NWD22" s="15"/>
      <c r="NWE22" s="16"/>
      <c r="NWF22" s="41"/>
      <c r="NWG22" s="41"/>
      <c r="NWH22" s="28"/>
      <c r="NWI22" s="29"/>
      <c r="NWJ22" s="24"/>
      <c r="NWK22" s="13"/>
      <c r="NWL22" s="13"/>
      <c r="NWM22" s="14"/>
      <c r="NWN22" s="15"/>
      <c r="NWO22" s="15"/>
      <c r="NWP22" s="16"/>
      <c r="NWQ22" s="41"/>
      <c r="NWR22" s="41"/>
      <c r="NWS22" s="28"/>
      <c r="NWT22" s="29"/>
      <c r="NWU22" s="24"/>
      <c r="NWV22" s="13"/>
      <c r="NWW22" s="13"/>
      <c r="NWX22" s="14"/>
      <c r="NWY22" s="15"/>
      <c r="NWZ22" s="15"/>
      <c r="NXA22" s="16"/>
      <c r="NXB22" s="41"/>
      <c r="NXC22" s="41"/>
      <c r="NXD22" s="28"/>
      <c r="NXE22" s="29"/>
      <c r="NXF22" s="24"/>
      <c r="NXG22" s="13"/>
      <c r="NXH22" s="13"/>
      <c r="NXI22" s="14"/>
      <c r="NXJ22" s="15"/>
      <c r="NXK22" s="15"/>
      <c r="NXL22" s="16"/>
      <c r="NXM22" s="41"/>
      <c r="NXN22" s="41"/>
      <c r="NXO22" s="28"/>
      <c r="NXP22" s="29"/>
      <c r="NXQ22" s="24"/>
      <c r="NXR22" s="13"/>
      <c r="NXS22" s="13"/>
      <c r="NXT22" s="14"/>
      <c r="NXU22" s="15"/>
      <c r="NXV22" s="15"/>
      <c r="NXW22" s="16"/>
      <c r="NXX22" s="41"/>
      <c r="NXY22" s="41"/>
      <c r="NXZ22" s="28"/>
      <c r="NYA22" s="29"/>
      <c r="NYB22" s="24"/>
      <c r="NYC22" s="13"/>
      <c r="NYD22" s="13"/>
      <c r="NYE22" s="14"/>
      <c r="NYF22" s="15"/>
      <c r="NYG22" s="15"/>
      <c r="NYH22" s="16"/>
      <c r="NYI22" s="41"/>
      <c r="NYJ22" s="41"/>
      <c r="NYK22" s="28"/>
      <c r="NYL22" s="29"/>
      <c r="NYM22" s="24"/>
      <c r="NYN22" s="13"/>
      <c r="NYO22" s="13"/>
      <c r="NYP22" s="14"/>
      <c r="NYQ22" s="15"/>
      <c r="NYR22" s="15"/>
      <c r="NYS22" s="16"/>
      <c r="NYT22" s="41"/>
      <c r="NYU22" s="41"/>
      <c r="NYV22" s="28"/>
      <c r="NYW22" s="29"/>
      <c r="NYX22" s="24"/>
      <c r="NYY22" s="13"/>
      <c r="NYZ22" s="13"/>
      <c r="NZA22" s="14"/>
      <c r="NZB22" s="15"/>
      <c r="NZC22" s="15"/>
      <c r="NZD22" s="16"/>
      <c r="NZE22" s="41"/>
      <c r="NZF22" s="41"/>
      <c r="NZG22" s="28"/>
      <c r="NZH22" s="29"/>
      <c r="NZI22" s="24"/>
      <c r="NZJ22" s="13"/>
      <c r="NZK22" s="13"/>
      <c r="NZL22" s="14"/>
      <c r="NZM22" s="15"/>
      <c r="NZN22" s="15"/>
      <c r="NZO22" s="16"/>
      <c r="NZP22" s="41"/>
      <c r="NZQ22" s="41"/>
      <c r="NZR22" s="28"/>
      <c r="NZS22" s="29"/>
      <c r="NZT22" s="24"/>
      <c r="NZU22" s="13"/>
      <c r="NZV22" s="13"/>
      <c r="NZW22" s="14"/>
      <c r="NZX22" s="15"/>
      <c r="NZY22" s="15"/>
      <c r="NZZ22" s="16"/>
      <c r="OAA22" s="41"/>
      <c r="OAB22" s="41"/>
      <c r="OAC22" s="28"/>
      <c r="OAD22" s="29"/>
      <c r="OAE22" s="24"/>
      <c r="OAF22" s="13"/>
      <c r="OAG22" s="13"/>
      <c r="OAH22" s="14"/>
      <c r="OAI22" s="15"/>
      <c r="OAJ22" s="15"/>
      <c r="OAK22" s="16"/>
      <c r="OAL22" s="41"/>
      <c r="OAM22" s="41"/>
      <c r="OAN22" s="28"/>
      <c r="OAO22" s="29"/>
      <c r="OAP22" s="24"/>
      <c r="OAQ22" s="13"/>
      <c r="OAR22" s="13"/>
      <c r="OAS22" s="14"/>
      <c r="OAT22" s="15"/>
      <c r="OAU22" s="15"/>
      <c r="OAV22" s="16"/>
      <c r="OAW22" s="41"/>
      <c r="OAX22" s="41"/>
      <c r="OAY22" s="28"/>
      <c r="OAZ22" s="29"/>
      <c r="OBA22" s="24"/>
      <c r="OBB22" s="13"/>
      <c r="OBC22" s="13"/>
      <c r="OBD22" s="14"/>
      <c r="OBE22" s="15"/>
      <c r="OBF22" s="15"/>
      <c r="OBG22" s="16"/>
      <c r="OBH22" s="41"/>
      <c r="OBI22" s="41"/>
      <c r="OBJ22" s="28"/>
      <c r="OBK22" s="29"/>
      <c r="OBL22" s="24"/>
      <c r="OBM22" s="13"/>
      <c r="OBN22" s="13"/>
      <c r="OBO22" s="14"/>
      <c r="OBP22" s="15"/>
      <c r="OBQ22" s="15"/>
      <c r="OBR22" s="16"/>
      <c r="OBS22" s="41"/>
      <c r="OBT22" s="41"/>
      <c r="OBU22" s="28"/>
      <c r="OBV22" s="29"/>
      <c r="OBW22" s="24"/>
      <c r="OBX22" s="13"/>
      <c r="OBY22" s="13"/>
      <c r="OBZ22" s="14"/>
      <c r="OCA22" s="15"/>
      <c r="OCB22" s="15"/>
      <c r="OCC22" s="16"/>
      <c r="OCD22" s="41"/>
      <c r="OCE22" s="41"/>
      <c r="OCF22" s="28"/>
      <c r="OCG22" s="29"/>
      <c r="OCH22" s="24"/>
      <c r="OCI22" s="13"/>
      <c r="OCJ22" s="13"/>
      <c r="OCK22" s="14"/>
      <c r="OCL22" s="15"/>
      <c r="OCM22" s="15"/>
      <c r="OCN22" s="16"/>
      <c r="OCO22" s="41"/>
      <c r="OCP22" s="41"/>
      <c r="OCQ22" s="28"/>
      <c r="OCR22" s="29"/>
      <c r="OCS22" s="24"/>
      <c r="OCT22" s="13"/>
      <c r="OCU22" s="13"/>
      <c r="OCV22" s="14"/>
      <c r="OCW22" s="15"/>
      <c r="OCX22" s="15"/>
      <c r="OCY22" s="16"/>
      <c r="OCZ22" s="41"/>
      <c r="ODA22" s="41"/>
      <c r="ODB22" s="28"/>
      <c r="ODC22" s="29"/>
      <c r="ODD22" s="24"/>
      <c r="ODE22" s="13"/>
      <c r="ODF22" s="13"/>
      <c r="ODG22" s="14"/>
      <c r="ODH22" s="15"/>
      <c r="ODI22" s="15"/>
      <c r="ODJ22" s="16"/>
      <c r="ODK22" s="41"/>
      <c r="ODL22" s="41"/>
      <c r="ODM22" s="28"/>
      <c r="ODN22" s="29"/>
      <c r="ODO22" s="24"/>
      <c r="ODP22" s="13"/>
      <c r="ODQ22" s="13"/>
      <c r="ODR22" s="14"/>
      <c r="ODS22" s="15"/>
      <c r="ODT22" s="15"/>
      <c r="ODU22" s="16"/>
      <c r="ODV22" s="41"/>
      <c r="ODW22" s="41"/>
      <c r="ODX22" s="28"/>
      <c r="ODY22" s="29"/>
      <c r="ODZ22" s="24"/>
      <c r="OEA22" s="13"/>
      <c r="OEB22" s="13"/>
      <c r="OEC22" s="14"/>
      <c r="OED22" s="15"/>
      <c r="OEE22" s="15"/>
      <c r="OEF22" s="16"/>
      <c r="OEG22" s="41"/>
      <c r="OEH22" s="41"/>
      <c r="OEI22" s="28"/>
      <c r="OEJ22" s="29"/>
      <c r="OEK22" s="24"/>
      <c r="OEL22" s="13"/>
      <c r="OEM22" s="13"/>
      <c r="OEN22" s="14"/>
      <c r="OEO22" s="15"/>
      <c r="OEP22" s="15"/>
      <c r="OEQ22" s="16"/>
      <c r="OER22" s="41"/>
      <c r="OES22" s="41"/>
      <c r="OET22" s="28"/>
      <c r="OEU22" s="29"/>
      <c r="OEV22" s="24"/>
      <c r="OEW22" s="13"/>
      <c r="OEX22" s="13"/>
      <c r="OEY22" s="14"/>
      <c r="OEZ22" s="15"/>
      <c r="OFA22" s="15"/>
      <c r="OFB22" s="16"/>
      <c r="OFC22" s="41"/>
      <c r="OFD22" s="41"/>
      <c r="OFE22" s="28"/>
      <c r="OFF22" s="29"/>
      <c r="OFG22" s="24"/>
      <c r="OFH22" s="13"/>
      <c r="OFI22" s="13"/>
      <c r="OFJ22" s="14"/>
      <c r="OFK22" s="15"/>
      <c r="OFL22" s="15"/>
      <c r="OFM22" s="16"/>
      <c r="OFN22" s="41"/>
      <c r="OFO22" s="41"/>
      <c r="OFP22" s="28"/>
      <c r="OFQ22" s="29"/>
      <c r="OFR22" s="24"/>
      <c r="OFS22" s="13"/>
      <c r="OFT22" s="13"/>
      <c r="OFU22" s="14"/>
      <c r="OFV22" s="15"/>
      <c r="OFW22" s="15"/>
      <c r="OFX22" s="16"/>
      <c r="OFY22" s="41"/>
      <c r="OFZ22" s="41"/>
      <c r="OGA22" s="28"/>
      <c r="OGB22" s="29"/>
      <c r="OGC22" s="24"/>
      <c r="OGD22" s="13"/>
      <c r="OGE22" s="13"/>
      <c r="OGF22" s="14"/>
      <c r="OGG22" s="15"/>
      <c r="OGH22" s="15"/>
      <c r="OGI22" s="16"/>
      <c r="OGJ22" s="41"/>
      <c r="OGK22" s="41"/>
      <c r="OGL22" s="28"/>
      <c r="OGM22" s="29"/>
      <c r="OGN22" s="24"/>
      <c r="OGO22" s="13"/>
      <c r="OGP22" s="13"/>
      <c r="OGQ22" s="14"/>
      <c r="OGR22" s="15"/>
      <c r="OGS22" s="15"/>
      <c r="OGT22" s="16"/>
      <c r="OGU22" s="41"/>
      <c r="OGV22" s="41"/>
      <c r="OGW22" s="28"/>
      <c r="OGX22" s="29"/>
      <c r="OGY22" s="24"/>
      <c r="OGZ22" s="13"/>
      <c r="OHA22" s="13"/>
      <c r="OHB22" s="14"/>
      <c r="OHC22" s="15"/>
      <c r="OHD22" s="15"/>
      <c r="OHE22" s="16"/>
      <c r="OHF22" s="41"/>
      <c r="OHG22" s="41"/>
      <c r="OHH22" s="28"/>
      <c r="OHI22" s="29"/>
      <c r="OHJ22" s="24"/>
      <c r="OHK22" s="13"/>
      <c r="OHL22" s="13"/>
      <c r="OHM22" s="14"/>
      <c r="OHN22" s="15"/>
      <c r="OHO22" s="15"/>
      <c r="OHP22" s="16"/>
      <c r="OHQ22" s="41"/>
      <c r="OHR22" s="41"/>
      <c r="OHS22" s="28"/>
      <c r="OHT22" s="29"/>
      <c r="OHU22" s="24"/>
      <c r="OHV22" s="13"/>
      <c r="OHW22" s="13"/>
      <c r="OHX22" s="14"/>
      <c r="OHY22" s="15"/>
      <c r="OHZ22" s="15"/>
      <c r="OIA22" s="16"/>
      <c r="OIB22" s="41"/>
      <c r="OIC22" s="41"/>
      <c r="OID22" s="28"/>
      <c r="OIE22" s="29"/>
      <c r="OIF22" s="24"/>
      <c r="OIG22" s="13"/>
      <c r="OIH22" s="13"/>
      <c r="OII22" s="14"/>
      <c r="OIJ22" s="15"/>
      <c r="OIK22" s="15"/>
      <c r="OIL22" s="16"/>
      <c r="OIM22" s="41"/>
      <c r="OIN22" s="41"/>
      <c r="OIO22" s="28"/>
      <c r="OIP22" s="29"/>
      <c r="OIQ22" s="24"/>
      <c r="OIR22" s="13"/>
      <c r="OIS22" s="13"/>
      <c r="OIT22" s="14"/>
      <c r="OIU22" s="15"/>
      <c r="OIV22" s="15"/>
      <c r="OIW22" s="16"/>
      <c r="OIX22" s="41"/>
      <c r="OIY22" s="41"/>
      <c r="OIZ22" s="28"/>
      <c r="OJA22" s="29"/>
      <c r="OJB22" s="24"/>
      <c r="OJC22" s="13"/>
      <c r="OJD22" s="13"/>
      <c r="OJE22" s="14"/>
      <c r="OJF22" s="15"/>
      <c r="OJG22" s="15"/>
      <c r="OJH22" s="16"/>
      <c r="OJI22" s="41"/>
      <c r="OJJ22" s="41"/>
      <c r="OJK22" s="28"/>
      <c r="OJL22" s="29"/>
      <c r="OJM22" s="24"/>
      <c r="OJN22" s="13"/>
      <c r="OJO22" s="13"/>
      <c r="OJP22" s="14"/>
      <c r="OJQ22" s="15"/>
      <c r="OJR22" s="15"/>
      <c r="OJS22" s="16"/>
      <c r="OJT22" s="41"/>
      <c r="OJU22" s="41"/>
      <c r="OJV22" s="28"/>
      <c r="OJW22" s="29"/>
      <c r="OJX22" s="24"/>
      <c r="OJY22" s="13"/>
      <c r="OJZ22" s="13"/>
      <c r="OKA22" s="14"/>
      <c r="OKB22" s="15"/>
      <c r="OKC22" s="15"/>
      <c r="OKD22" s="16"/>
      <c r="OKE22" s="41"/>
      <c r="OKF22" s="41"/>
      <c r="OKG22" s="28"/>
      <c r="OKH22" s="29"/>
      <c r="OKI22" s="24"/>
      <c r="OKJ22" s="13"/>
      <c r="OKK22" s="13"/>
      <c r="OKL22" s="14"/>
      <c r="OKM22" s="15"/>
      <c r="OKN22" s="15"/>
      <c r="OKO22" s="16"/>
      <c r="OKP22" s="41"/>
      <c r="OKQ22" s="41"/>
      <c r="OKR22" s="28"/>
      <c r="OKS22" s="29"/>
      <c r="OKT22" s="24"/>
      <c r="OKU22" s="13"/>
      <c r="OKV22" s="13"/>
      <c r="OKW22" s="14"/>
      <c r="OKX22" s="15"/>
      <c r="OKY22" s="15"/>
      <c r="OKZ22" s="16"/>
      <c r="OLA22" s="41"/>
      <c r="OLB22" s="41"/>
      <c r="OLC22" s="28"/>
      <c r="OLD22" s="29"/>
      <c r="OLE22" s="24"/>
      <c r="OLF22" s="13"/>
      <c r="OLG22" s="13"/>
      <c r="OLH22" s="14"/>
      <c r="OLI22" s="15"/>
      <c r="OLJ22" s="15"/>
      <c r="OLK22" s="16"/>
      <c r="OLL22" s="41"/>
      <c r="OLM22" s="41"/>
      <c r="OLN22" s="28"/>
      <c r="OLO22" s="29"/>
      <c r="OLP22" s="24"/>
      <c r="OLQ22" s="13"/>
      <c r="OLR22" s="13"/>
      <c r="OLS22" s="14"/>
      <c r="OLT22" s="15"/>
      <c r="OLU22" s="15"/>
      <c r="OLV22" s="16"/>
      <c r="OLW22" s="41"/>
      <c r="OLX22" s="41"/>
      <c r="OLY22" s="28"/>
      <c r="OLZ22" s="29"/>
      <c r="OMA22" s="24"/>
      <c r="OMB22" s="13"/>
      <c r="OMC22" s="13"/>
      <c r="OMD22" s="14"/>
      <c r="OME22" s="15"/>
      <c r="OMF22" s="15"/>
      <c r="OMG22" s="16"/>
      <c r="OMH22" s="41"/>
      <c r="OMI22" s="41"/>
      <c r="OMJ22" s="28"/>
      <c r="OMK22" s="29"/>
      <c r="OML22" s="24"/>
      <c r="OMM22" s="13"/>
      <c r="OMN22" s="13"/>
      <c r="OMO22" s="14"/>
      <c r="OMP22" s="15"/>
      <c r="OMQ22" s="15"/>
      <c r="OMR22" s="16"/>
      <c r="OMS22" s="41"/>
      <c r="OMT22" s="41"/>
      <c r="OMU22" s="28"/>
      <c r="OMV22" s="29"/>
      <c r="OMW22" s="24"/>
      <c r="OMX22" s="13"/>
      <c r="OMY22" s="13"/>
      <c r="OMZ22" s="14"/>
      <c r="ONA22" s="15"/>
      <c r="ONB22" s="15"/>
      <c r="ONC22" s="16"/>
      <c r="OND22" s="41"/>
      <c r="ONE22" s="41"/>
      <c r="ONF22" s="28"/>
      <c r="ONG22" s="29"/>
      <c r="ONH22" s="24"/>
      <c r="ONI22" s="13"/>
      <c r="ONJ22" s="13"/>
      <c r="ONK22" s="14"/>
      <c r="ONL22" s="15"/>
      <c r="ONM22" s="15"/>
      <c r="ONN22" s="16"/>
      <c r="ONO22" s="41"/>
      <c r="ONP22" s="41"/>
      <c r="ONQ22" s="28"/>
      <c r="ONR22" s="29"/>
      <c r="ONS22" s="24"/>
      <c r="ONT22" s="13"/>
      <c r="ONU22" s="13"/>
      <c r="ONV22" s="14"/>
      <c r="ONW22" s="15"/>
      <c r="ONX22" s="15"/>
      <c r="ONY22" s="16"/>
      <c r="ONZ22" s="41"/>
      <c r="OOA22" s="41"/>
      <c r="OOB22" s="28"/>
      <c r="OOC22" s="29"/>
      <c r="OOD22" s="24"/>
      <c r="OOE22" s="13"/>
      <c r="OOF22" s="13"/>
      <c r="OOG22" s="14"/>
      <c r="OOH22" s="15"/>
      <c r="OOI22" s="15"/>
      <c r="OOJ22" s="16"/>
      <c r="OOK22" s="41"/>
      <c r="OOL22" s="41"/>
      <c r="OOM22" s="28"/>
      <c r="OON22" s="29"/>
      <c r="OOO22" s="24"/>
      <c r="OOP22" s="13"/>
      <c r="OOQ22" s="13"/>
      <c r="OOR22" s="14"/>
      <c r="OOS22" s="15"/>
      <c r="OOT22" s="15"/>
      <c r="OOU22" s="16"/>
      <c r="OOV22" s="41"/>
      <c r="OOW22" s="41"/>
      <c r="OOX22" s="28"/>
      <c r="OOY22" s="29"/>
      <c r="OOZ22" s="24"/>
      <c r="OPA22" s="13"/>
      <c r="OPB22" s="13"/>
      <c r="OPC22" s="14"/>
      <c r="OPD22" s="15"/>
      <c r="OPE22" s="15"/>
      <c r="OPF22" s="16"/>
      <c r="OPG22" s="41"/>
      <c r="OPH22" s="41"/>
      <c r="OPI22" s="28"/>
      <c r="OPJ22" s="29"/>
      <c r="OPK22" s="24"/>
      <c r="OPL22" s="13"/>
      <c r="OPM22" s="13"/>
      <c r="OPN22" s="14"/>
      <c r="OPO22" s="15"/>
      <c r="OPP22" s="15"/>
      <c r="OPQ22" s="16"/>
      <c r="OPR22" s="41"/>
      <c r="OPS22" s="41"/>
      <c r="OPT22" s="28"/>
      <c r="OPU22" s="29"/>
      <c r="OPV22" s="24"/>
      <c r="OPW22" s="13"/>
      <c r="OPX22" s="13"/>
      <c r="OPY22" s="14"/>
      <c r="OPZ22" s="15"/>
      <c r="OQA22" s="15"/>
      <c r="OQB22" s="16"/>
      <c r="OQC22" s="41"/>
      <c r="OQD22" s="41"/>
      <c r="OQE22" s="28"/>
      <c r="OQF22" s="29"/>
      <c r="OQG22" s="24"/>
      <c r="OQH22" s="13"/>
      <c r="OQI22" s="13"/>
      <c r="OQJ22" s="14"/>
      <c r="OQK22" s="15"/>
      <c r="OQL22" s="15"/>
      <c r="OQM22" s="16"/>
      <c r="OQN22" s="41"/>
      <c r="OQO22" s="41"/>
      <c r="OQP22" s="28"/>
      <c r="OQQ22" s="29"/>
      <c r="OQR22" s="24"/>
      <c r="OQS22" s="13"/>
      <c r="OQT22" s="13"/>
      <c r="OQU22" s="14"/>
      <c r="OQV22" s="15"/>
      <c r="OQW22" s="15"/>
      <c r="OQX22" s="16"/>
      <c r="OQY22" s="41"/>
      <c r="OQZ22" s="41"/>
      <c r="ORA22" s="28"/>
      <c r="ORB22" s="29"/>
      <c r="ORC22" s="24"/>
      <c r="ORD22" s="13"/>
      <c r="ORE22" s="13"/>
      <c r="ORF22" s="14"/>
      <c r="ORG22" s="15"/>
      <c r="ORH22" s="15"/>
      <c r="ORI22" s="16"/>
      <c r="ORJ22" s="41"/>
      <c r="ORK22" s="41"/>
      <c r="ORL22" s="28"/>
      <c r="ORM22" s="29"/>
      <c r="ORN22" s="24"/>
      <c r="ORO22" s="13"/>
      <c r="ORP22" s="13"/>
      <c r="ORQ22" s="14"/>
      <c r="ORR22" s="15"/>
      <c r="ORS22" s="15"/>
      <c r="ORT22" s="16"/>
      <c r="ORU22" s="41"/>
      <c r="ORV22" s="41"/>
      <c r="ORW22" s="28"/>
      <c r="ORX22" s="29"/>
      <c r="ORY22" s="24"/>
      <c r="ORZ22" s="13"/>
      <c r="OSA22" s="13"/>
      <c r="OSB22" s="14"/>
      <c r="OSC22" s="15"/>
      <c r="OSD22" s="15"/>
      <c r="OSE22" s="16"/>
      <c r="OSF22" s="41"/>
      <c r="OSG22" s="41"/>
      <c r="OSH22" s="28"/>
      <c r="OSI22" s="29"/>
      <c r="OSJ22" s="24"/>
      <c r="OSK22" s="13"/>
      <c r="OSL22" s="13"/>
      <c r="OSM22" s="14"/>
      <c r="OSN22" s="15"/>
      <c r="OSO22" s="15"/>
      <c r="OSP22" s="16"/>
      <c r="OSQ22" s="41"/>
      <c r="OSR22" s="41"/>
      <c r="OSS22" s="28"/>
      <c r="OST22" s="29"/>
      <c r="OSU22" s="24"/>
      <c r="OSV22" s="13"/>
      <c r="OSW22" s="13"/>
      <c r="OSX22" s="14"/>
      <c r="OSY22" s="15"/>
      <c r="OSZ22" s="15"/>
      <c r="OTA22" s="16"/>
      <c r="OTB22" s="41"/>
      <c r="OTC22" s="41"/>
      <c r="OTD22" s="28"/>
      <c r="OTE22" s="29"/>
      <c r="OTF22" s="24"/>
      <c r="OTG22" s="13"/>
      <c r="OTH22" s="13"/>
      <c r="OTI22" s="14"/>
      <c r="OTJ22" s="15"/>
      <c r="OTK22" s="15"/>
      <c r="OTL22" s="16"/>
      <c r="OTM22" s="41"/>
      <c r="OTN22" s="41"/>
      <c r="OTO22" s="28"/>
      <c r="OTP22" s="29"/>
      <c r="OTQ22" s="24"/>
      <c r="OTR22" s="13"/>
      <c r="OTS22" s="13"/>
      <c r="OTT22" s="14"/>
      <c r="OTU22" s="15"/>
      <c r="OTV22" s="15"/>
      <c r="OTW22" s="16"/>
      <c r="OTX22" s="41"/>
      <c r="OTY22" s="41"/>
      <c r="OTZ22" s="28"/>
      <c r="OUA22" s="29"/>
      <c r="OUB22" s="24"/>
      <c r="OUC22" s="13"/>
      <c r="OUD22" s="13"/>
      <c r="OUE22" s="14"/>
      <c r="OUF22" s="15"/>
      <c r="OUG22" s="15"/>
      <c r="OUH22" s="16"/>
      <c r="OUI22" s="41"/>
      <c r="OUJ22" s="41"/>
      <c r="OUK22" s="28"/>
      <c r="OUL22" s="29"/>
      <c r="OUM22" s="24"/>
      <c r="OUN22" s="13"/>
      <c r="OUO22" s="13"/>
      <c r="OUP22" s="14"/>
      <c r="OUQ22" s="15"/>
      <c r="OUR22" s="15"/>
      <c r="OUS22" s="16"/>
      <c r="OUT22" s="41"/>
      <c r="OUU22" s="41"/>
      <c r="OUV22" s="28"/>
      <c r="OUW22" s="29"/>
      <c r="OUX22" s="24"/>
      <c r="OUY22" s="13"/>
      <c r="OUZ22" s="13"/>
      <c r="OVA22" s="14"/>
      <c r="OVB22" s="15"/>
      <c r="OVC22" s="15"/>
      <c r="OVD22" s="16"/>
      <c r="OVE22" s="41"/>
      <c r="OVF22" s="41"/>
      <c r="OVG22" s="28"/>
      <c r="OVH22" s="29"/>
      <c r="OVI22" s="24"/>
      <c r="OVJ22" s="13"/>
      <c r="OVK22" s="13"/>
      <c r="OVL22" s="14"/>
      <c r="OVM22" s="15"/>
      <c r="OVN22" s="15"/>
      <c r="OVO22" s="16"/>
      <c r="OVP22" s="41"/>
      <c r="OVQ22" s="41"/>
      <c r="OVR22" s="28"/>
      <c r="OVS22" s="29"/>
      <c r="OVT22" s="24"/>
      <c r="OVU22" s="13"/>
      <c r="OVV22" s="13"/>
      <c r="OVW22" s="14"/>
      <c r="OVX22" s="15"/>
      <c r="OVY22" s="15"/>
      <c r="OVZ22" s="16"/>
      <c r="OWA22" s="41"/>
      <c r="OWB22" s="41"/>
      <c r="OWC22" s="28"/>
      <c r="OWD22" s="29"/>
      <c r="OWE22" s="24"/>
      <c r="OWF22" s="13"/>
      <c r="OWG22" s="13"/>
      <c r="OWH22" s="14"/>
      <c r="OWI22" s="15"/>
      <c r="OWJ22" s="15"/>
      <c r="OWK22" s="16"/>
      <c r="OWL22" s="41"/>
      <c r="OWM22" s="41"/>
      <c r="OWN22" s="28"/>
      <c r="OWO22" s="29"/>
      <c r="OWP22" s="24"/>
      <c r="OWQ22" s="13"/>
      <c r="OWR22" s="13"/>
      <c r="OWS22" s="14"/>
      <c r="OWT22" s="15"/>
      <c r="OWU22" s="15"/>
      <c r="OWV22" s="16"/>
      <c r="OWW22" s="41"/>
      <c r="OWX22" s="41"/>
      <c r="OWY22" s="28"/>
      <c r="OWZ22" s="29"/>
      <c r="OXA22" s="24"/>
      <c r="OXB22" s="13"/>
      <c r="OXC22" s="13"/>
      <c r="OXD22" s="14"/>
      <c r="OXE22" s="15"/>
      <c r="OXF22" s="15"/>
      <c r="OXG22" s="16"/>
      <c r="OXH22" s="41"/>
      <c r="OXI22" s="41"/>
      <c r="OXJ22" s="28"/>
      <c r="OXK22" s="29"/>
      <c r="OXL22" s="24"/>
      <c r="OXM22" s="13"/>
      <c r="OXN22" s="13"/>
      <c r="OXO22" s="14"/>
      <c r="OXP22" s="15"/>
      <c r="OXQ22" s="15"/>
      <c r="OXR22" s="16"/>
      <c r="OXS22" s="41"/>
      <c r="OXT22" s="41"/>
      <c r="OXU22" s="28"/>
      <c r="OXV22" s="29"/>
      <c r="OXW22" s="24"/>
      <c r="OXX22" s="13"/>
      <c r="OXY22" s="13"/>
      <c r="OXZ22" s="14"/>
      <c r="OYA22" s="15"/>
      <c r="OYB22" s="15"/>
      <c r="OYC22" s="16"/>
      <c r="OYD22" s="41"/>
      <c r="OYE22" s="41"/>
      <c r="OYF22" s="28"/>
      <c r="OYG22" s="29"/>
      <c r="OYH22" s="24"/>
      <c r="OYI22" s="13"/>
      <c r="OYJ22" s="13"/>
      <c r="OYK22" s="14"/>
      <c r="OYL22" s="15"/>
      <c r="OYM22" s="15"/>
      <c r="OYN22" s="16"/>
      <c r="OYO22" s="41"/>
      <c r="OYP22" s="41"/>
      <c r="OYQ22" s="28"/>
      <c r="OYR22" s="29"/>
      <c r="OYS22" s="24"/>
      <c r="OYT22" s="13"/>
      <c r="OYU22" s="13"/>
      <c r="OYV22" s="14"/>
      <c r="OYW22" s="15"/>
      <c r="OYX22" s="15"/>
      <c r="OYY22" s="16"/>
      <c r="OYZ22" s="41"/>
      <c r="OZA22" s="41"/>
      <c r="OZB22" s="28"/>
      <c r="OZC22" s="29"/>
      <c r="OZD22" s="24"/>
      <c r="OZE22" s="13"/>
      <c r="OZF22" s="13"/>
      <c r="OZG22" s="14"/>
      <c r="OZH22" s="15"/>
      <c r="OZI22" s="15"/>
      <c r="OZJ22" s="16"/>
      <c r="OZK22" s="41"/>
      <c r="OZL22" s="41"/>
      <c r="OZM22" s="28"/>
      <c r="OZN22" s="29"/>
      <c r="OZO22" s="24"/>
      <c r="OZP22" s="13"/>
      <c r="OZQ22" s="13"/>
      <c r="OZR22" s="14"/>
      <c r="OZS22" s="15"/>
      <c r="OZT22" s="15"/>
      <c r="OZU22" s="16"/>
      <c r="OZV22" s="41"/>
      <c r="OZW22" s="41"/>
      <c r="OZX22" s="28"/>
      <c r="OZY22" s="29"/>
      <c r="OZZ22" s="24"/>
      <c r="PAA22" s="13"/>
      <c r="PAB22" s="13"/>
      <c r="PAC22" s="14"/>
      <c r="PAD22" s="15"/>
      <c r="PAE22" s="15"/>
      <c r="PAF22" s="16"/>
      <c r="PAG22" s="41"/>
      <c r="PAH22" s="41"/>
      <c r="PAI22" s="28"/>
      <c r="PAJ22" s="29"/>
      <c r="PAK22" s="24"/>
      <c r="PAL22" s="13"/>
      <c r="PAM22" s="13"/>
      <c r="PAN22" s="14"/>
      <c r="PAO22" s="15"/>
      <c r="PAP22" s="15"/>
      <c r="PAQ22" s="16"/>
      <c r="PAR22" s="41"/>
      <c r="PAS22" s="41"/>
      <c r="PAT22" s="28"/>
      <c r="PAU22" s="29"/>
      <c r="PAV22" s="24"/>
      <c r="PAW22" s="13"/>
      <c r="PAX22" s="13"/>
      <c r="PAY22" s="14"/>
      <c r="PAZ22" s="15"/>
      <c r="PBA22" s="15"/>
      <c r="PBB22" s="16"/>
      <c r="PBC22" s="41"/>
      <c r="PBD22" s="41"/>
      <c r="PBE22" s="28"/>
      <c r="PBF22" s="29"/>
      <c r="PBG22" s="24"/>
      <c r="PBH22" s="13"/>
      <c r="PBI22" s="13"/>
      <c r="PBJ22" s="14"/>
      <c r="PBK22" s="15"/>
      <c r="PBL22" s="15"/>
      <c r="PBM22" s="16"/>
      <c r="PBN22" s="41"/>
      <c r="PBO22" s="41"/>
      <c r="PBP22" s="28"/>
      <c r="PBQ22" s="29"/>
      <c r="PBR22" s="24"/>
      <c r="PBS22" s="13"/>
      <c r="PBT22" s="13"/>
      <c r="PBU22" s="14"/>
      <c r="PBV22" s="15"/>
      <c r="PBW22" s="15"/>
      <c r="PBX22" s="16"/>
      <c r="PBY22" s="41"/>
      <c r="PBZ22" s="41"/>
      <c r="PCA22" s="28"/>
      <c r="PCB22" s="29"/>
      <c r="PCC22" s="24"/>
      <c r="PCD22" s="13"/>
      <c r="PCE22" s="13"/>
      <c r="PCF22" s="14"/>
      <c r="PCG22" s="15"/>
      <c r="PCH22" s="15"/>
      <c r="PCI22" s="16"/>
      <c r="PCJ22" s="41"/>
      <c r="PCK22" s="41"/>
      <c r="PCL22" s="28"/>
      <c r="PCM22" s="29"/>
      <c r="PCN22" s="24"/>
      <c r="PCO22" s="13"/>
      <c r="PCP22" s="13"/>
      <c r="PCQ22" s="14"/>
      <c r="PCR22" s="15"/>
      <c r="PCS22" s="15"/>
      <c r="PCT22" s="16"/>
      <c r="PCU22" s="41"/>
      <c r="PCV22" s="41"/>
      <c r="PCW22" s="28"/>
      <c r="PCX22" s="29"/>
      <c r="PCY22" s="24"/>
      <c r="PCZ22" s="13"/>
      <c r="PDA22" s="13"/>
      <c r="PDB22" s="14"/>
      <c r="PDC22" s="15"/>
      <c r="PDD22" s="15"/>
      <c r="PDE22" s="16"/>
      <c r="PDF22" s="41"/>
      <c r="PDG22" s="41"/>
      <c r="PDH22" s="28"/>
      <c r="PDI22" s="29"/>
      <c r="PDJ22" s="24"/>
      <c r="PDK22" s="13"/>
      <c r="PDL22" s="13"/>
      <c r="PDM22" s="14"/>
      <c r="PDN22" s="15"/>
      <c r="PDO22" s="15"/>
      <c r="PDP22" s="16"/>
      <c r="PDQ22" s="41"/>
      <c r="PDR22" s="41"/>
      <c r="PDS22" s="28"/>
      <c r="PDT22" s="29"/>
      <c r="PDU22" s="24"/>
      <c r="PDV22" s="13"/>
      <c r="PDW22" s="13"/>
      <c r="PDX22" s="14"/>
      <c r="PDY22" s="15"/>
      <c r="PDZ22" s="15"/>
      <c r="PEA22" s="16"/>
      <c r="PEB22" s="41"/>
      <c r="PEC22" s="41"/>
      <c r="PED22" s="28"/>
      <c r="PEE22" s="29"/>
      <c r="PEF22" s="24"/>
      <c r="PEG22" s="13"/>
      <c r="PEH22" s="13"/>
      <c r="PEI22" s="14"/>
      <c r="PEJ22" s="15"/>
      <c r="PEK22" s="15"/>
      <c r="PEL22" s="16"/>
      <c r="PEM22" s="41"/>
      <c r="PEN22" s="41"/>
      <c r="PEO22" s="28"/>
      <c r="PEP22" s="29"/>
      <c r="PEQ22" s="24"/>
      <c r="PER22" s="13"/>
      <c r="PES22" s="13"/>
      <c r="PET22" s="14"/>
      <c r="PEU22" s="15"/>
      <c r="PEV22" s="15"/>
      <c r="PEW22" s="16"/>
      <c r="PEX22" s="41"/>
      <c r="PEY22" s="41"/>
      <c r="PEZ22" s="28"/>
      <c r="PFA22" s="29"/>
      <c r="PFB22" s="24"/>
      <c r="PFC22" s="13"/>
      <c r="PFD22" s="13"/>
      <c r="PFE22" s="14"/>
      <c r="PFF22" s="15"/>
      <c r="PFG22" s="15"/>
      <c r="PFH22" s="16"/>
      <c r="PFI22" s="41"/>
      <c r="PFJ22" s="41"/>
      <c r="PFK22" s="28"/>
      <c r="PFL22" s="29"/>
      <c r="PFM22" s="24"/>
      <c r="PFN22" s="13"/>
      <c r="PFO22" s="13"/>
      <c r="PFP22" s="14"/>
      <c r="PFQ22" s="15"/>
      <c r="PFR22" s="15"/>
      <c r="PFS22" s="16"/>
      <c r="PFT22" s="41"/>
      <c r="PFU22" s="41"/>
      <c r="PFV22" s="28"/>
      <c r="PFW22" s="29"/>
      <c r="PFX22" s="24"/>
      <c r="PFY22" s="13"/>
      <c r="PFZ22" s="13"/>
      <c r="PGA22" s="14"/>
      <c r="PGB22" s="15"/>
      <c r="PGC22" s="15"/>
      <c r="PGD22" s="16"/>
      <c r="PGE22" s="41"/>
      <c r="PGF22" s="41"/>
      <c r="PGG22" s="28"/>
      <c r="PGH22" s="29"/>
      <c r="PGI22" s="24"/>
      <c r="PGJ22" s="13"/>
      <c r="PGK22" s="13"/>
      <c r="PGL22" s="14"/>
      <c r="PGM22" s="15"/>
      <c r="PGN22" s="15"/>
      <c r="PGO22" s="16"/>
      <c r="PGP22" s="41"/>
      <c r="PGQ22" s="41"/>
      <c r="PGR22" s="28"/>
      <c r="PGS22" s="29"/>
      <c r="PGT22" s="24"/>
      <c r="PGU22" s="13"/>
      <c r="PGV22" s="13"/>
      <c r="PGW22" s="14"/>
      <c r="PGX22" s="15"/>
      <c r="PGY22" s="15"/>
      <c r="PGZ22" s="16"/>
      <c r="PHA22" s="41"/>
      <c r="PHB22" s="41"/>
      <c r="PHC22" s="28"/>
      <c r="PHD22" s="29"/>
      <c r="PHE22" s="24"/>
      <c r="PHF22" s="13"/>
      <c r="PHG22" s="13"/>
      <c r="PHH22" s="14"/>
      <c r="PHI22" s="15"/>
      <c r="PHJ22" s="15"/>
      <c r="PHK22" s="16"/>
      <c r="PHL22" s="41"/>
      <c r="PHM22" s="41"/>
      <c r="PHN22" s="28"/>
      <c r="PHO22" s="29"/>
      <c r="PHP22" s="24"/>
      <c r="PHQ22" s="13"/>
      <c r="PHR22" s="13"/>
      <c r="PHS22" s="14"/>
      <c r="PHT22" s="15"/>
      <c r="PHU22" s="15"/>
      <c r="PHV22" s="16"/>
      <c r="PHW22" s="41"/>
      <c r="PHX22" s="41"/>
      <c r="PHY22" s="28"/>
      <c r="PHZ22" s="29"/>
      <c r="PIA22" s="24"/>
      <c r="PIB22" s="13"/>
      <c r="PIC22" s="13"/>
      <c r="PID22" s="14"/>
      <c r="PIE22" s="15"/>
      <c r="PIF22" s="15"/>
      <c r="PIG22" s="16"/>
      <c r="PIH22" s="41"/>
      <c r="PII22" s="41"/>
      <c r="PIJ22" s="28"/>
      <c r="PIK22" s="29"/>
      <c r="PIL22" s="24"/>
      <c r="PIM22" s="13"/>
      <c r="PIN22" s="13"/>
      <c r="PIO22" s="14"/>
      <c r="PIP22" s="15"/>
      <c r="PIQ22" s="15"/>
      <c r="PIR22" s="16"/>
      <c r="PIS22" s="41"/>
      <c r="PIT22" s="41"/>
      <c r="PIU22" s="28"/>
      <c r="PIV22" s="29"/>
      <c r="PIW22" s="24"/>
      <c r="PIX22" s="13"/>
      <c r="PIY22" s="13"/>
      <c r="PIZ22" s="14"/>
      <c r="PJA22" s="15"/>
      <c r="PJB22" s="15"/>
      <c r="PJC22" s="16"/>
      <c r="PJD22" s="41"/>
      <c r="PJE22" s="41"/>
      <c r="PJF22" s="28"/>
      <c r="PJG22" s="29"/>
      <c r="PJH22" s="24"/>
      <c r="PJI22" s="13"/>
      <c r="PJJ22" s="13"/>
      <c r="PJK22" s="14"/>
      <c r="PJL22" s="15"/>
      <c r="PJM22" s="15"/>
      <c r="PJN22" s="16"/>
      <c r="PJO22" s="41"/>
      <c r="PJP22" s="41"/>
      <c r="PJQ22" s="28"/>
      <c r="PJR22" s="29"/>
      <c r="PJS22" s="24"/>
      <c r="PJT22" s="13"/>
      <c r="PJU22" s="13"/>
      <c r="PJV22" s="14"/>
      <c r="PJW22" s="15"/>
      <c r="PJX22" s="15"/>
      <c r="PJY22" s="16"/>
      <c r="PJZ22" s="41"/>
      <c r="PKA22" s="41"/>
      <c r="PKB22" s="28"/>
      <c r="PKC22" s="29"/>
      <c r="PKD22" s="24"/>
      <c r="PKE22" s="13"/>
      <c r="PKF22" s="13"/>
      <c r="PKG22" s="14"/>
      <c r="PKH22" s="15"/>
      <c r="PKI22" s="15"/>
      <c r="PKJ22" s="16"/>
      <c r="PKK22" s="41"/>
      <c r="PKL22" s="41"/>
      <c r="PKM22" s="28"/>
      <c r="PKN22" s="29"/>
      <c r="PKO22" s="24"/>
      <c r="PKP22" s="13"/>
      <c r="PKQ22" s="13"/>
      <c r="PKR22" s="14"/>
      <c r="PKS22" s="15"/>
      <c r="PKT22" s="15"/>
      <c r="PKU22" s="16"/>
      <c r="PKV22" s="41"/>
      <c r="PKW22" s="41"/>
      <c r="PKX22" s="28"/>
      <c r="PKY22" s="29"/>
      <c r="PKZ22" s="24"/>
      <c r="PLA22" s="13"/>
      <c r="PLB22" s="13"/>
      <c r="PLC22" s="14"/>
      <c r="PLD22" s="15"/>
      <c r="PLE22" s="15"/>
      <c r="PLF22" s="16"/>
      <c r="PLG22" s="41"/>
      <c r="PLH22" s="41"/>
      <c r="PLI22" s="28"/>
      <c r="PLJ22" s="29"/>
      <c r="PLK22" s="24"/>
      <c r="PLL22" s="13"/>
      <c r="PLM22" s="13"/>
      <c r="PLN22" s="14"/>
      <c r="PLO22" s="15"/>
      <c r="PLP22" s="15"/>
      <c r="PLQ22" s="16"/>
      <c r="PLR22" s="41"/>
      <c r="PLS22" s="41"/>
      <c r="PLT22" s="28"/>
      <c r="PLU22" s="29"/>
      <c r="PLV22" s="24"/>
      <c r="PLW22" s="13"/>
      <c r="PLX22" s="13"/>
      <c r="PLY22" s="14"/>
      <c r="PLZ22" s="15"/>
      <c r="PMA22" s="15"/>
      <c r="PMB22" s="16"/>
      <c r="PMC22" s="41"/>
      <c r="PMD22" s="41"/>
      <c r="PME22" s="28"/>
      <c r="PMF22" s="29"/>
      <c r="PMG22" s="24"/>
      <c r="PMH22" s="13"/>
      <c r="PMI22" s="13"/>
      <c r="PMJ22" s="14"/>
      <c r="PMK22" s="15"/>
      <c r="PML22" s="15"/>
      <c r="PMM22" s="16"/>
      <c r="PMN22" s="41"/>
      <c r="PMO22" s="41"/>
      <c r="PMP22" s="28"/>
      <c r="PMQ22" s="29"/>
      <c r="PMR22" s="24"/>
      <c r="PMS22" s="13"/>
      <c r="PMT22" s="13"/>
      <c r="PMU22" s="14"/>
      <c r="PMV22" s="15"/>
      <c r="PMW22" s="15"/>
      <c r="PMX22" s="16"/>
      <c r="PMY22" s="41"/>
      <c r="PMZ22" s="41"/>
      <c r="PNA22" s="28"/>
      <c r="PNB22" s="29"/>
      <c r="PNC22" s="24"/>
      <c r="PND22" s="13"/>
      <c r="PNE22" s="13"/>
      <c r="PNF22" s="14"/>
      <c r="PNG22" s="15"/>
      <c r="PNH22" s="15"/>
      <c r="PNI22" s="16"/>
      <c r="PNJ22" s="41"/>
      <c r="PNK22" s="41"/>
      <c r="PNL22" s="28"/>
      <c r="PNM22" s="29"/>
      <c r="PNN22" s="24"/>
      <c r="PNO22" s="13"/>
      <c r="PNP22" s="13"/>
      <c r="PNQ22" s="14"/>
      <c r="PNR22" s="15"/>
      <c r="PNS22" s="15"/>
      <c r="PNT22" s="16"/>
      <c r="PNU22" s="41"/>
      <c r="PNV22" s="41"/>
      <c r="PNW22" s="28"/>
      <c r="PNX22" s="29"/>
      <c r="PNY22" s="24"/>
      <c r="PNZ22" s="13"/>
      <c r="POA22" s="13"/>
      <c r="POB22" s="14"/>
      <c r="POC22" s="15"/>
      <c r="POD22" s="15"/>
      <c r="POE22" s="16"/>
      <c r="POF22" s="41"/>
      <c r="POG22" s="41"/>
      <c r="POH22" s="28"/>
      <c r="POI22" s="29"/>
      <c r="POJ22" s="24"/>
      <c r="POK22" s="13"/>
      <c r="POL22" s="13"/>
      <c r="POM22" s="14"/>
      <c r="PON22" s="15"/>
      <c r="POO22" s="15"/>
      <c r="POP22" s="16"/>
      <c r="POQ22" s="41"/>
      <c r="POR22" s="41"/>
      <c r="POS22" s="28"/>
      <c r="POT22" s="29"/>
      <c r="POU22" s="24"/>
      <c r="POV22" s="13"/>
      <c r="POW22" s="13"/>
      <c r="POX22" s="14"/>
      <c r="POY22" s="15"/>
      <c r="POZ22" s="15"/>
      <c r="PPA22" s="16"/>
      <c r="PPB22" s="41"/>
      <c r="PPC22" s="41"/>
      <c r="PPD22" s="28"/>
      <c r="PPE22" s="29"/>
      <c r="PPF22" s="24"/>
      <c r="PPG22" s="13"/>
      <c r="PPH22" s="13"/>
      <c r="PPI22" s="14"/>
      <c r="PPJ22" s="15"/>
      <c r="PPK22" s="15"/>
      <c r="PPL22" s="16"/>
      <c r="PPM22" s="41"/>
      <c r="PPN22" s="41"/>
      <c r="PPO22" s="28"/>
      <c r="PPP22" s="29"/>
      <c r="PPQ22" s="24"/>
      <c r="PPR22" s="13"/>
      <c r="PPS22" s="13"/>
      <c r="PPT22" s="14"/>
      <c r="PPU22" s="15"/>
      <c r="PPV22" s="15"/>
      <c r="PPW22" s="16"/>
      <c r="PPX22" s="41"/>
      <c r="PPY22" s="41"/>
      <c r="PPZ22" s="28"/>
      <c r="PQA22" s="29"/>
      <c r="PQB22" s="24"/>
      <c r="PQC22" s="13"/>
      <c r="PQD22" s="13"/>
      <c r="PQE22" s="14"/>
      <c r="PQF22" s="15"/>
      <c r="PQG22" s="15"/>
      <c r="PQH22" s="16"/>
      <c r="PQI22" s="41"/>
      <c r="PQJ22" s="41"/>
      <c r="PQK22" s="28"/>
      <c r="PQL22" s="29"/>
      <c r="PQM22" s="24"/>
      <c r="PQN22" s="13"/>
      <c r="PQO22" s="13"/>
      <c r="PQP22" s="14"/>
      <c r="PQQ22" s="15"/>
      <c r="PQR22" s="15"/>
      <c r="PQS22" s="16"/>
      <c r="PQT22" s="41"/>
      <c r="PQU22" s="41"/>
      <c r="PQV22" s="28"/>
      <c r="PQW22" s="29"/>
      <c r="PQX22" s="24"/>
      <c r="PQY22" s="13"/>
      <c r="PQZ22" s="13"/>
      <c r="PRA22" s="14"/>
      <c r="PRB22" s="15"/>
      <c r="PRC22" s="15"/>
      <c r="PRD22" s="16"/>
      <c r="PRE22" s="41"/>
      <c r="PRF22" s="41"/>
      <c r="PRG22" s="28"/>
      <c r="PRH22" s="29"/>
      <c r="PRI22" s="24"/>
      <c r="PRJ22" s="13"/>
      <c r="PRK22" s="13"/>
      <c r="PRL22" s="14"/>
      <c r="PRM22" s="15"/>
      <c r="PRN22" s="15"/>
      <c r="PRO22" s="16"/>
      <c r="PRP22" s="41"/>
      <c r="PRQ22" s="41"/>
      <c r="PRR22" s="28"/>
      <c r="PRS22" s="29"/>
      <c r="PRT22" s="24"/>
      <c r="PRU22" s="13"/>
      <c r="PRV22" s="13"/>
      <c r="PRW22" s="14"/>
      <c r="PRX22" s="15"/>
      <c r="PRY22" s="15"/>
      <c r="PRZ22" s="16"/>
      <c r="PSA22" s="41"/>
      <c r="PSB22" s="41"/>
      <c r="PSC22" s="28"/>
      <c r="PSD22" s="29"/>
      <c r="PSE22" s="24"/>
      <c r="PSF22" s="13"/>
      <c r="PSG22" s="13"/>
      <c r="PSH22" s="14"/>
      <c r="PSI22" s="15"/>
      <c r="PSJ22" s="15"/>
      <c r="PSK22" s="16"/>
      <c r="PSL22" s="41"/>
      <c r="PSM22" s="41"/>
      <c r="PSN22" s="28"/>
      <c r="PSO22" s="29"/>
      <c r="PSP22" s="24"/>
      <c r="PSQ22" s="13"/>
      <c r="PSR22" s="13"/>
      <c r="PSS22" s="14"/>
      <c r="PST22" s="15"/>
      <c r="PSU22" s="15"/>
      <c r="PSV22" s="16"/>
      <c r="PSW22" s="41"/>
      <c r="PSX22" s="41"/>
      <c r="PSY22" s="28"/>
      <c r="PSZ22" s="29"/>
      <c r="PTA22" s="24"/>
      <c r="PTB22" s="13"/>
      <c r="PTC22" s="13"/>
      <c r="PTD22" s="14"/>
      <c r="PTE22" s="15"/>
      <c r="PTF22" s="15"/>
      <c r="PTG22" s="16"/>
      <c r="PTH22" s="41"/>
      <c r="PTI22" s="41"/>
      <c r="PTJ22" s="28"/>
      <c r="PTK22" s="29"/>
      <c r="PTL22" s="24"/>
      <c r="PTM22" s="13"/>
      <c r="PTN22" s="13"/>
      <c r="PTO22" s="14"/>
      <c r="PTP22" s="15"/>
      <c r="PTQ22" s="15"/>
      <c r="PTR22" s="16"/>
      <c r="PTS22" s="41"/>
      <c r="PTT22" s="41"/>
      <c r="PTU22" s="28"/>
      <c r="PTV22" s="29"/>
      <c r="PTW22" s="24"/>
      <c r="PTX22" s="13"/>
      <c r="PTY22" s="13"/>
      <c r="PTZ22" s="14"/>
      <c r="PUA22" s="15"/>
      <c r="PUB22" s="15"/>
      <c r="PUC22" s="16"/>
      <c r="PUD22" s="41"/>
      <c r="PUE22" s="41"/>
      <c r="PUF22" s="28"/>
      <c r="PUG22" s="29"/>
      <c r="PUH22" s="24"/>
      <c r="PUI22" s="13"/>
      <c r="PUJ22" s="13"/>
      <c r="PUK22" s="14"/>
      <c r="PUL22" s="15"/>
      <c r="PUM22" s="15"/>
      <c r="PUN22" s="16"/>
      <c r="PUO22" s="41"/>
      <c r="PUP22" s="41"/>
      <c r="PUQ22" s="28"/>
      <c r="PUR22" s="29"/>
      <c r="PUS22" s="24"/>
      <c r="PUT22" s="13"/>
      <c r="PUU22" s="13"/>
      <c r="PUV22" s="14"/>
      <c r="PUW22" s="15"/>
      <c r="PUX22" s="15"/>
      <c r="PUY22" s="16"/>
      <c r="PUZ22" s="41"/>
      <c r="PVA22" s="41"/>
      <c r="PVB22" s="28"/>
      <c r="PVC22" s="29"/>
      <c r="PVD22" s="24"/>
      <c r="PVE22" s="13"/>
      <c r="PVF22" s="13"/>
      <c r="PVG22" s="14"/>
      <c r="PVH22" s="15"/>
      <c r="PVI22" s="15"/>
      <c r="PVJ22" s="16"/>
      <c r="PVK22" s="41"/>
      <c r="PVL22" s="41"/>
      <c r="PVM22" s="28"/>
      <c r="PVN22" s="29"/>
      <c r="PVO22" s="24"/>
      <c r="PVP22" s="13"/>
      <c r="PVQ22" s="13"/>
      <c r="PVR22" s="14"/>
      <c r="PVS22" s="15"/>
      <c r="PVT22" s="15"/>
      <c r="PVU22" s="16"/>
      <c r="PVV22" s="41"/>
      <c r="PVW22" s="41"/>
      <c r="PVX22" s="28"/>
      <c r="PVY22" s="29"/>
      <c r="PVZ22" s="24"/>
      <c r="PWA22" s="13"/>
      <c r="PWB22" s="13"/>
      <c r="PWC22" s="14"/>
      <c r="PWD22" s="15"/>
      <c r="PWE22" s="15"/>
      <c r="PWF22" s="16"/>
      <c r="PWG22" s="41"/>
      <c r="PWH22" s="41"/>
      <c r="PWI22" s="28"/>
      <c r="PWJ22" s="29"/>
      <c r="PWK22" s="24"/>
      <c r="PWL22" s="13"/>
      <c r="PWM22" s="13"/>
      <c r="PWN22" s="14"/>
      <c r="PWO22" s="15"/>
      <c r="PWP22" s="15"/>
      <c r="PWQ22" s="16"/>
      <c r="PWR22" s="41"/>
      <c r="PWS22" s="41"/>
      <c r="PWT22" s="28"/>
      <c r="PWU22" s="29"/>
      <c r="PWV22" s="24"/>
      <c r="PWW22" s="13"/>
      <c r="PWX22" s="13"/>
      <c r="PWY22" s="14"/>
      <c r="PWZ22" s="15"/>
      <c r="PXA22" s="15"/>
      <c r="PXB22" s="16"/>
      <c r="PXC22" s="41"/>
      <c r="PXD22" s="41"/>
      <c r="PXE22" s="28"/>
      <c r="PXF22" s="29"/>
      <c r="PXG22" s="24"/>
      <c r="PXH22" s="13"/>
      <c r="PXI22" s="13"/>
      <c r="PXJ22" s="14"/>
      <c r="PXK22" s="15"/>
      <c r="PXL22" s="15"/>
      <c r="PXM22" s="16"/>
      <c r="PXN22" s="41"/>
      <c r="PXO22" s="41"/>
      <c r="PXP22" s="28"/>
      <c r="PXQ22" s="29"/>
      <c r="PXR22" s="24"/>
      <c r="PXS22" s="13"/>
      <c r="PXT22" s="13"/>
      <c r="PXU22" s="14"/>
      <c r="PXV22" s="15"/>
      <c r="PXW22" s="15"/>
      <c r="PXX22" s="16"/>
      <c r="PXY22" s="41"/>
      <c r="PXZ22" s="41"/>
      <c r="PYA22" s="28"/>
      <c r="PYB22" s="29"/>
      <c r="PYC22" s="24"/>
      <c r="PYD22" s="13"/>
      <c r="PYE22" s="13"/>
      <c r="PYF22" s="14"/>
      <c r="PYG22" s="15"/>
      <c r="PYH22" s="15"/>
      <c r="PYI22" s="16"/>
      <c r="PYJ22" s="41"/>
      <c r="PYK22" s="41"/>
      <c r="PYL22" s="28"/>
      <c r="PYM22" s="29"/>
      <c r="PYN22" s="24"/>
      <c r="PYO22" s="13"/>
      <c r="PYP22" s="13"/>
      <c r="PYQ22" s="14"/>
      <c r="PYR22" s="15"/>
      <c r="PYS22" s="15"/>
      <c r="PYT22" s="16"/>
      <c r="PYU22" s="41"/>
      <c r="PYV22" s="41"/>
      <c r="PYW22" s="28"/>
      <c r="PYX22" s="29"/>
      <c r="PYY22" s="24"/>
      <c r="PYZ22" s="13"/>
      <c r="PZA22" s="13"/>
      <c r="PZB22" s="14"/>
      <c r="PZC22" s="15"/>
      <c r="PZD22" s="15"/>
      <c r="PZE22" s="16"/>
      <c r="PZF22" s="41"/>
      <c r="PZG22" s="41"/>
      <c r="PZH22" s="28"/>
      <c r="PZI22" s="29"/>
      <c r="PZJ22" s="24"/>
      <c r="PZK22" s="13"/>
      <c r="PZL22" s="13"/>
      <c r="PZM22" s="14"/>
      <c r="PZN22" s="15"/>
      <c r="PZO22" s="15"/>
      <c r="PZP22" s="16"/>
      <c r="PZQ22" s="41"/>
      <c r="PZR22" s="41"/>
      <c r="PZS22" s="28"/>
      <c r="PZT22" s="29"/>
      <c r="PZU22" s="24"/>
      <c r="PZV22" s="13"/>
      <c r="PZW22" s="13"/>
      <c r="PZX22" s="14"/>
      <c r="PZY22" s="15"/>
      <c r="PZZ22" s="15"/>
      <c r="QAA22" s="16"/>
      <c r="QAB22" s="41"/>
      <c r="QAC22" s="41"/>
      <c r="QAD22" s="28"/>
      <c r="QAE22" s="29"/>
      <c r="QAF22" s="24"/>
      <c r="QAG22" s="13"/>
      <c r="QAH22" s="13"/>
      <c r="QAI22" s="14"/>
      <c r="QAJ22" s="15"/>
      <c r="QAK22" s="15"/>
      <c r="QAL22" s="16"/>
      <c r="QAM22" s="41"/>
      <c r="QAN22" s="41"/>
      <c r="QAO22" s="28"/>
      <c r="QAP22" s="29"/>
      <c r="QAQ22" s="24"/>
      <c r="QAR22" s="13"/>
      <c r="QAS22" s="13"/>
      <c r="QAT22" s="14"/>
      <c r="QAU22" s="15"/>
      <c r="QAV22" s="15"/>
      <c r="QAW22" s="16"/>
      <c r="QAX22" s="41"/>
      <c r="QAY22" s="41"/>
      <c r="QAZ22" s="28"/>
      <c r="QBA22" s="29"/>
      <c r="QBB22" s="24"/>
      <c r="QBC22" s="13"/>
      <c r="QBD22" s="13"/>
      <c r="QBE22" s="14"/>
      <c r="QBF22" s="15"/>
      <c r="QBG22" s="15"/>
      <c r="QBH22" s="16"/>
      <c r="QBI22" s="41"/>
      <c r="QBJ22" s="41"/>
      <c r="QBK22" s="28"/>
      <c r="QBL22" s="29"/>
      <c r="QBM22" s="24"/>
      <c r="QBN22" s="13"/>
      <c r="QBO22" s="13"/>
      <c r="QBP22" s="14"/>
      <c r="QBQ22" s="15"/>
      <c r="QBR22" s="15"/>
      <c r="QBS22" s="16"/>
      <c r="QBT22" s="41"/>
      <c r="QBU22" s="41"/>
      <c r="QBV22" s="28"/>
      <c r="QBW22" s="29"/>
      <c r="QBX22" s="24"/>
      <c r="QBY22" s="13"/>
      <c r="QBZ22" s="13"/>
      <c r="QCA22" s="14"/>
      <c r="QCB22" s="15"/>
      <c r="QCC22" s="15"/>
      <c r="QCD22" s="16"/>
      <c r="QCE22" s="41"/>
      <c r="QCF22" s="41"/>
      <c r="QCG22" s="28"/>
      <c r="QCH22" s="29"/>
      <c r="QCI22" s="24"/>
      <c r="QCJ22" s="13"/>
      <c r="QCK22" s="13"/>
      <c r="QCL22" s="14"/>
      <c r="QCM22" s="15"/>
      <c r="QCN22" s="15"/>
      <c r="QCO22" s="16"/>
      <c r="QCP22" s="41"/>
      <c r="QCQ22" s="41"/>
      <c r="QCR22" s="28"/>
      <c r="QCS22" s="29"/>
      <c r="QCT22" s="24"/>
      <c r="QCU22" s="13"/>
      <c r="QCV22" s="13"/>
      <c r="QCW22" s="14"/>
      <c r="QCX22" s="15"/>
      <c r="QCY22" s="15"/>
      <c r="QCZ22" s="16"/>
      <c r="QDA22" s="41"/>
      <c r="QDB22" s="41"/>
      <c r="QDC22" s="28"/>
      <c r="QDD22" s="29"/>
      <c r="QDE22" s="24"/>
      <c r="QDF22" s="13"/>
      <c r="QDG22" s="13"/>
      <c r="QDH22" s="14"/>
      <c r="QDI22" s="15"/>
      <c r="QDJ22" s="15"/>
      <c r="QDK22" s="16"/>
      <c r="QDL22" s="41"/>
      <c r="QDM22" s="41"/>
      <c r="QDN22" s="28"/>
      <c r="QDO22" s="29"/>
      <c r="QDP22" s="24"/>
      <c r="QDQ22" s="13"/>
      <c r="QDR22" s="13"/>
      <c r="QDS22" s="14"/>
      <c r="QDT22" s="15"/>
      <c r="QDU22" s="15"/>
      <c r="QDV22" s="16"/>
      <c r="QDW22" s="41"/>
      <c r="QDX22" s="41"/>
      <c r="QDY22" s="28"/>
      <c r="QDZ22" s="29"/>
      <c r="QEA22" s="24"/>
      <c r="QEB22" s="13"/>
      <c r="QEC22" s="13"/>
      <c r="QED22" s="14"/>
      <c r="QEE22" s="15"/>
      <c r="QEF22" s="15"/>
      <c r="QEG22" s="16"/>
      <c r="QEH22" s="41"/>
      <c r="QEI22" s="41"/>
      <c r="QEJ22" s="28"/>
      <c r="QEK22" s="29"/>
      <c r="QEL22" s="24"/>
      <c r="QEM22" s="13"/>
      <c r="QEN22" s="13"/>
      <c r="QEO22" s="14"/>
      <c r="QEP22" s="15"/>
      <c r="QEQ22" s="15"/>
      <c r="QER22" s="16"/>
      <c r="QES22" s="41"/>
      <c r="QET22" s="41"/>
      <c r="QEU22" s="28"/>
      <c r="QEV22" s="29"/>
      <c r="QEW22" s="24"/>
      <c r="QEX22" s="13"/>
      <c r="QEY22" s="13"/>
      <c r="QEZ22" s="14"/>
      <c r="QFA22" s="15"/>
      <c r="QFB22" s="15"/>
      <c r="QFC22" s="16"/>
      <c r="QFD22" s="41"/>
      <c r="QFE22" s="41"/>
      <c r="QFF22" s="28"/>
      <c r="QFG22" s="29"/>
      <c r="QFH22" s="24"/>
      <c r="QFI22" s="13"/>
      <c r="QFJ22" s="13"/>
      <c r="QFK22" s="14"/>
      <c r="QFL22" s="15"/>
      <c r="QFM22" s="15"/>
      <c r="QFN22" s="16"/>
      <c r="QFO22" s="41"/>
      <c r="QFP22" s="41"/>
      <c r="QFQ22" s="28"/>
      <c r="QFR22" s="29"/>
      <c r="QFS22" s="24"/>
      <c r="QFT22" s="13"/>
      <c r="QFU22" s="13"/>
      <c r="QFV22" s="14"/>
      <c r="QFW22" s="15"/>
      <c r="QFX22" s="15"/>
      <c r="QFY22" s="16"/>
      <c r="QFZ22" s="41"/>
      <c r="QGA22" s="41"/>
      <c r="QGB22" s="28"/>
      <c r="QGC22" s="29"/>
      <c r="QGD22" s="24"/>
      <c r="QGE22" s="13"/>
      <c r="QGF22" s="13"/>
      <c r="QGG22" s="14"/>
      <c r="QGH22" s="15"/>
      <c r="QGI22" s="15"/>
      <c r="QGJ22" s="16"/>
      <c r="QGK22" s="41"/>
      <c r="QGL22" s="41"/>
      <c r="QGM22" s="28"/>
      <c r="QGN22" s="29"/>
      <c r="QGO22" s="24"/>
      <c r="QGP22" s="13"/>
      <c r="QGQ22" s="13"/>
      <c r="QGR22" s="14"/>
      <c r="QGS22" s="15"/>
      <c r="QGT22" s="15"/>
      <c r="QGU22" s="16"/>
      <c r="QGV22" s="41"/>
      <c r="QGW22" s="41"/>
      <c r="QGX22" s="28"/>
      <c r="QGY22" s="29"/>
      <c r="QGZ22" s="24"/>
      <c r="QHA22" s="13"/>
      <c r="QHB22" s="13"/>
      <c r="QHC22" s="14"/>
      <c r="QHD22" s="15"/>
      <c r="QHE22" s="15"/>
      <c r="QHF22" s="16"/>
      <c r="QHG22" s="41"/>
      <c r="QHH22" s="41"/>
      <c r="QHI22" s="28"/>
      <c r="QHJ22" s="29"/>
      <c r="QHK22" s="24"/>
      <c r="QHL22" s="13"/>
      <c r="QHM22" s="13"/>
      <c r="QHN22" s="14"/>
      <c r="QHO22" s="15"/>
      <c r="QHP22" s="15"/>
      <c r="QHQ22" s="16"/>
      <c r="QHR22" s="41"/>
      <c r="QHS22" s="41"/>
      <c r="QHT22" s="28"/>
      <c r="QHU22" s="29"/>
      <c r="QHV22" s="24"/>
      <c r="QHW22" s="13"/>
      <c r="QHX22" s="13"/>
      <c r="QHY22" s="14"/>
      <c r="QHZ22" s="15"/>
      <c r="QIA22" s="15"/>
      <c r="QIB22" s="16"/>
      <c r="QIC22" s="41"/>
      <c r="QID22" s="41"/>
      <c r="QIE22" s="28"/>
      <c r="QIF22" s="29"/>
      <c r="QIG22" s="24"/>
      <c r="QIH22" s="13"/>
      <c r="QII22" s="13"/>
      <c r="QIJ22" s="14"/>
      <c r="QIK22" s="15"/>
      <c r="QIL22" s="15"/>
      <c r="QIM22" s="16"/>
      <c r="QIN22" s="41"/>
      <c r="QIO22" s="41"/>
      <c r="QIP22" s="28"/>
      <c r="QIQ22" s="29"/>
      <c r="QIR22" s="24"/>
      <c r="QIS22" s="13"/>
      <c r="QIT22" s="13"/>
      <c r="QIU22" s="14"/>
      <c r="QIV22" s="15"/>
      <c r="QIW22" s="15"/>
      <c r="QIX22" s="16"/>
      <c r="QIY22" s="41"/>
      <c r="QIZ22" s="41"/>
      <c r="QJA22" s="28"/>
      <c r="QJB22" s="29"/>
      <c r="QJC22" s="24"/>
      <c r="QJD22" s="13"/>
      <c r="QJE22" s="13"/>
      <c r="QJF22" s="14"/>
      <c r="QJG22" s="15"/>
      <c r="QJH22" s="15"/>
      <c r="QJI22" s="16"/>
      <c r="QJJ22" s="41"/>
      <c r="QJK22" s="41"/>
      <c r="QJL22" s="28"/>
      <c r="QJM22" s="29"/>
      <c r="QJN22" s="24"/>
      <c r="QJO22" s="13"/>
      <c r="QJP22" s="13"/>
      <c r="QJQ22" s="14"/>
      <c r="QJR22" s="15"/>
      <c r="QJS22" s="15"/>
      <c r="QJT22" s="16"/>
      <c r="QJU22" s="41"/>
      <c r="QJV22" s="41"/>
      <c r="QJW22" s="28"/>
      <c r="QJX22" s="29"/>
      <c r="QJY22" s="24"/>
      <c r="QJZ22" s="13"/>
      <c r="QKA22" s="13"/>
      <c r="QKB22" s="14"/>
      <c r="QKC22" s="15"/>
      <c r="QKD22" s="15"/>
      <c r="QKE22" s="16"/>
      <c r="QKF22" s="41"/>
      <c r="QKG22" s="41"/>
      <c r="QKH22" s="28"/>
      <c r="QKI22" s="29"/>
      <c r="QKJ22" s="24"/>
      <c r="QKK22" s="13"/>
      <c r="QKL22" s="13"/>
      <c r="QKM22" s="14"/>
      <c r="QKN22" s="15"/>
      <c r="QKO22" s="15"/>
      <c r="QKP22" s="16"/>
      <c r="QKQ22" s="41"/>
      <c r="QKR22" s="41"/>
      <c r="QKS22" s="28"/>
      <c r="QKT22" s="29"/>
      <c r="QKU22" s="24"/>
      <c r="QKV22" s="13"/>
      <c r="QKW22" s="13"/>
      <c r="QKX22" s="14"/>
      <c r="QKY22" s="15"/>
      <c r="QKZ22" s="15"/>
      <c r="QLA22" s="16"/>
      <c r="QLB22" s="41"/>
      <c r="QLC22" s="41"/>
      <c r="QLD22" s="28"/>
      <c r="QLE22" s="29"/>
      <c r="QLF22" s="24"/>
      <c r="QLG22" s="13"/>
      <c r="QLH22" s="13"/>
      <c r="QLI22" s="14"/>
      <c r="QLJ22" s="15"/>
      <c r="QLK22" s="15"/>
      <c r="QLL22" s="16"/>
      <c r="QLM22" s="41"/>
      <c r="QLN22" s="41"/>
      <c r="QLO22" s="28"/>
      <c r="QLP22" s="29"/>
      <c r="QLQ22" s="24"/>
      <c r="QLR22" s="13"/>
      <c r="QLS22" s="13"/>
      <c r="QLT22" s="14"/>
      <c r="QLU22" s="15"/>
      <c r="QLV22" s="15"/>
      <c r="QLW22" s="16"/>
      <c r="QLX22" s="41"/>
      <c r="QLY22" s="41"/>
      <c r="QLZ22" s="28"/>
      <c r="QMA22" s="29"/>
      <c r="QMB22" s="24"/>
      <c r="QMC22" s="13"/>
      <c r="QMD22" s="13"/>
      <c r="QME22" s="14"/>
      <c r="QMF22" s="15"/>
      <c r="QMG22" s="15"/>
      <c r="QMH22" s="16"/>
      <c r="QMI22" s="41"/>
      <c r="QMJ22" s="41"/>
      <c r="QMK22" s="28"/>
      <c r="QML22" s="29"/>
      <c r="QMM22" s="24"/>
      <c r="QMN22" s="13"/>
      <c r="QMO22" s="13"/>
      <c r="QMP22" s="14"/>
      <c r="QMQ22" s="15"/>
      <c r="QMR22" s="15"/>
      <c r="QMS22" s="16"/>
      <c r="QMT22" s="41"/>
      <c r="QMU22" s="41"/>
      <c r="QMV22" s="28"/>
      <c r="QMW22" s="29"/>
      <c r="QMX22" s="24"/>
      <c r="QMY22" s="13"/>
      <c r="QMZ22" s="13"/>
      <c r="QNA22" s="14"/>
      <c r="QNB22" s="15"/>
      <c r="QNC22" s="15"/>
      <c r="QND22" s="16"/>
      <c r="QNE22" s="41"/>
      <c r="QNF22" s="41"/>
      <c r="QNG22" s="28"/>
      <c r="QNH22" s="29"/>
      <c r="QNI22" s="24"/>
      <c r="QNJ22" s="13"/>
      <c r="QNK22" s="13"/>
      <c r="QNL22" s="14"/>
      <c r="QNM22" s="15"/>
      <c r="QNN22" s="15"/>
      <c r="QNO22" s="16"/>
      <c r="QNP22" s="41"/>
      <c r="QNQ22" s="41"/>
      <c r="QNR22" s="28"/>
      <c r="QNS22" s="29"/>
      <c r="QNT22" s="24"/>
      <c r="QNU22" s="13"/>
      <c r="QNV22" s="13"/>
      <c r="QNW22" s="14"/>
      <c r="QNX22" s="15"/>
      <c r="QNY22" s="15"/>
      <c r="QNZ22" s="16"/>
      <c r="QOA22" s="41"/>
      <c r="QOB22" s="41"/>
      <c r="QOC22" s="28"/>
      <c r="QOD22" s="29"/>
      <c r="QOE22" s="24"/>
      <c r="QOF22" s="13"/>
      <c r="QOG22" s="13"/>
      <c r="QOH22" s="14"/>
      <c r="QOI22" s="15"/>
      <c r="QOJ22" s="15"/>
      <c r="QOK22" s="16"/>
      <c r="QOL22" s="41"/>
      <c r="QOM22" s="41"/>
      <c r="QON22" s="28"/>
      <c r="QOO22" s="29"/>
      <c r="QOP22" s="24"/>
      <c r="QOQ22" s="13"/>
      <c r="QOR22" s="13"/>
      <c r="QOS22" s="14"/>
      <c r="QOT22" s="15"/>
      <c r="QOU22" s="15"/>
      <c r="QOV22" s="16"/>
      <c r="QOW22" s="41"/>
      <c r="QOX22" s="41"/>
      <c r="QOY22" s="28"/>
      <c r="QOZ22" s="29"/>
      <c r="QPA22" s="24"/>
      <c r="QPB22" s="13"/>
      <c r="QPC22" s="13"/>
      <c r="QPD22" s="14"/>
      <c r="QPE22" s="15"/>
      <c r="QPF22" s="15"/>
      <c r="QPG22" s="16"/>
      <c r="QPH22" s="41"/>
      <c r="QPI22" s="41"/>
      <c r="QPJ22" s="28"/>
      <c r="QPK22" s="29"/>
      <c r="QPL22" s="24"/>
      <c r="QPM22" s="13"/>
      <c r="QPN22" s="13"/>
      <c r="QPO22" s="14"/>
      <c r="QPP22" s="15"/>
      <c r="QPQ22" s="15"/>
      <c r="QPR22" s="16"/>
      <c r="QPS22" s="41"/>
      <c r="QPT22" s="41"/>
      <c r="QPU22" s="28"/>
      <c r="QPV22" s="29"/>
      <c r="QPW22" s="24"/>
      <c r="QPX22" s="13"/>
      <c r="QPY22" s="13"/>
      <c r="QPZ22" s="14"/>
      <c r="QQA22" s="15"/>
      <c r="QQB22" s="15"/>
      <c r="QQC22" s="16"/>
      <c r="QQD22" s="41"/>
      <c r="QQE22" s="41"/>
      <c r="QQF22" s="28"/>
      <c r="QQG22" s="29"/>
      <c r="QQH22" s="24"/>
      <c r="QQI22" s="13"/>
      <c r="QQJ22" s="13"/>
      <c r="QQK22" s="14"/>
      <c r="QQL22" s="15"/>
      <c r="QQM22" s="15"/>
      <c r="QQN22" s="16"/>
      <c r="QQO22" s="41"/>
      <c r="QQP22" s="41"/>
      <c r="QQQ22" s="28"/>
      <c r="QQR22" s="29"/>
      <c r="QQS22" s="24"/>
      <c r="QQT22" s="13"/>
      <c r="QQU22" s="13"/>
      <c r="QQV22" s="14"/>
      <c r="QQW22" s="15"/>
      <c r="QQX22" s="15"/>
      <c r="QQY22" s="16"/>
      <c r="QQZ22" s="41"/>
      <c r="QRA22" s="41"/>
      <c r="QRB22" s="28"/>
      <c r="QRC22" s="29"/>
      <c r="QRD22" s="24"/>
      <c r="QRE22" s="13"/>
      <c r="QRF22" s="13"/>
      <c r="QRG22" s="14"/>
      <c r="QRH22" s="15"/>
      <c r="QRI22" s="15"/>
      <c r="QRJ22" s="16"/>
      <c r="QRK22" s="41"/>
      <c r="QRL22" s="41"/>
      <c r="QRM22" s="28"/>
      <c r="QRN22" s="29"/>
      <c r="QRO22" s="24"/>
      <c r="QRP22" s="13"/>
      <c r="QRQ22" s="13"/>
      <c r="QRR22" s="14"/>
      <c r="QRS22" s="15"/>
      <c r="QRT22" s="15"/>
      <c r="QRU22" s="16"/>
      <c r="QRV22" s="41"/>
      <c r="QRW22" s="41"/>
      <c r="QRX22" s="28"/>
      <c r="QRY22" s="29"/>
      <c r="QRZ22" s="24"/>
      <c r="QSA22" s="13"/>
      <c r="QSB22" s="13"/>
      <c r="QSC22" s="14"/>
      <c r="QSD22" s="15"/>
      <c r="QSE22" s="15"/>
      <c r="QSF22" s="16"/>
      <c r="QSG22" s="41"/>
      <c r="QSH22" s="41"/>
      <c r="QSI22" s="28"/>
      <c r="QSJ22" s="29"/>
      <c r="QSK22" s="24"/>
      <c r="QSL22" s="13"/>
      <c r="QSM22" s="13"/>
      <c r="QSN22" s="14"/>
      <c r="QSO22" s="15"/>
      <c r="QSP22" s="15"/>
      <c r="QSQ22" s="16"/>
      <c r="QSR22" s="41"/>
      <c r="QSS22" s="41"/>
      <c r="QST22" s="28"/>
      <c r="QSU22" s="29"/>
      <c r="QSV22" s="24"/>
      <c r="QSW22" s="13"/>
      <c r="QSX22" s="13"/>
      <c r="QSY22" s="14"/>
      <c r="QSZ22" s="15"/>
      <c r="QTA22" s="15"/>
      <c r="QTB22" s="16"/>
      <c r="QTC22" s="41"/>
      <c r="QTD22" s="41"/>
      <c r="QTE22" s="28"/>
      <c r="QTF22" s="29"/>
      <c r="QTG22" s="24"/>
      <c r="QTH22" s="13"/>
      <c r="QTI22" s="13"/>
      <c r="QTJ22" s="14"/>
      <c r="QTK22" s="15"/>
      <c r="QTL22" s="15"/>
      <c r="QTM22" s="16"/>
      <c r="QTN22" s="41"/>
      <c r="QTO22" s="41"/>
      <c r="QTP22" s="28"/>
      <c r="QTQ22" s="29"/>
      <c r="QTR22" s="24"/>
      <c r="QTS22" s="13"/>
      <c r="QTT22" s="13"/>
      <c r="QTU22" s="14"/>
      <c r="QTV22" s="15"/>
      <c r="QTW22" s="15"/>
      <c r="QTX22" s="16"/>
      <c r="QTY22" s="41"/>
      <c r="QTZ22" s="41"/>
      <c r="QUA22" s="28"/>
      <c r="QUB22" s="29"/>
      <c r="QUC22" s="24"/>
      <c r="QUD22" s="13"/>
      <c r="QUE22" s="13"/>
      <c r="QUF22" s="14"/>
      <c r="QUG22" s="15"/>
      <c r="QUH22" s="15"/>
      <c r="QUI22" s="16"/>
      <c r="QUJ22" s="41"/>
      <c r="QUK22" s="41"/>
      <c r="QUL22" s="28"/>
      <c r="QUM22" s="29"/>
      <c r="QUN22" s="24"/>
      <c r="QUO22" s="13"/>
      <c r="QUP22" s="13"/>
      <c r="QUQ22" s="14"/>
      <c r="QUR22" s="15"/>
      <c r="QUS22" s="15"/>
      <c r="QUT22" s="16"/>
      <c r="QUU22" s="41"/>
      <c r="QUV22" s="41"/>
      <c r="QUW22" s="28"/>
      <c r="QUX22" s="29"/>
      <c r="QUY22" s="24"/>
      <c r="QUZ22" s="13"/>
      <c r="QVA22" s="13"/>
      <c r="QVB22" s="14"/>
      <c r="QVC22" s="15"/>
      <c r="QVD22" s="15"/>
      <c r="QVE22" s="16"/>
      <c r="QVF22" s="41"/>
      <c r="QVG22" s="41"/>
      <c r="QVH22" s="28"/>
      <c r="QVI22" s="29"/>
      <c r="QVJ22" s="24"/>
      <c r="QVK22" s="13"/>
      <c r="QVL22" s="13"/>
      <c r="QVM22" s="14"/>
      <c r="QVN22" s="15"/>
      <c r="QVO22" s="15"/>
      <c r="QVP22" s="16"/>
      <c r="QVQ22" s="41"/>
      <c r="QVR22" s="41"/>
      <c r="QVS22" s="28"/>
      <c r="QVT22" s="29"/>
      <c r="QVU22" s="24"/>
      <c r="QVV22" s="13"/>
      <c r="QVW22" s="13"/>
      <c r="QVX22" s="14"/>
      <c r="QVY22" s="15"/>
      <c r="QVZ22" s="15"/>
      <c r="QWA22" s="16"/>
      <c r="QWB22" s="41"/>
      <c r="QWC22" s="41"/>
      <c r="QWD22" s="28"/>
      <c r="QWE22" s="29"/>
      <c r="QWF22" s="24"/>
      <c r="QWG22" s="13"/>
      <c r="QWH22" s="13"/>
      <c r="QWI22" s="14"/>
      <c r="QWJ22" s="15"/>
      <c r="QWK22" s="15"/>
      <c r="QWL22" s="16"/>
      <c r="QWM22" s="41"/>
      <c r="QWN22" s="41"/>
      <c r="QWO22" s="28"/>
      <c r="QWP22" s="29"/>
      <c r="QWQ22" s="24"/>
      <c r="QWR22" s="13"/>
      <c r="QWS22" s="13"/>
      <c r="QWT22" s="14"/>
      <c r="QWU22" s="15"/>
      <c r="QWV22" s="15"/>
      <c r="QWW22" s="16"/>
      <c r="QWX22" s="41"/>
      <c r="QWY22" s="41"/>
      <c r="QWZ22" s="28"/>
      <c r="QXA22" s="29"/>
      <c r="QXB22" s="24"/>
      <c r="QXC22" s="13"/>
      <c r="QXD22" s="13"/>
      <c r="QXE22" s="14"/>
      <c r="QXF22" s="15"/>
      <c r="QXG22" s="15"/>
      <c r="QXH22" s="16"/>
      <c r="QXI22" s="41"/>
      <c r="QXJ22" s="41"/>
      <c r="QXK22" s="28"/>
      <c r="QXL22" s="29"/>
      <c r="QXM22" s="24"/>
      <c r="QXN22" s="13"/>
      <c r="QXO22" s="13"/>
      <c r="QXP22" s="14"/>
      <c r="QXQ22" s="15"/>
      <c r="QXR22" s="15"/>
      <c r="QXS22" s="16"/>
      <c r="QXT22" s="41"/>
      <c r="QXU22" s="41"/>
      <c r="QXV22" s="28"/>
      <c r="QXW22" s="29"/>
      <c r="QXX22" s="24"/>
      <c r="QXY22" s="13"/>
      <c r="QXZ22" s="13"/>
      <c r="QYA22" s="14"/>
      <c r="QYB22" s="15"/>
      <c r="QYC22" s="15"/>
      <c r="QYD22" s="16"/>
      <c r="QYE22" s="41"/>
      <c r="QYF22" s="41"/>
      <c r="QYG22" s="28"/>
      <c r="QYH22" s="29"/>
      <c r="QYI22" s="24"/>
      <c r="QYJ22" s="13"/>
      <c r="QYK22" s="13"/>
      <c r="QYL22" s="14"/>
      <c r="QYM22" s="15"/>
      <c r="QYN22" s="15"/>
      <c r="QYO22" s="16"/>
      <c r="QYP22" s="41"/>
      <c r="QYQ22" s="41"/>
      <c r="QYR22" s="28"/>
      <c r="QYS22" s="29"/>
      <c r="QYT22" s="24"/>
      <c r="QYU22" s="13"/>
      <c r="QYV22" s="13"/>
      <c r="QYW22" s="14"/>
      <c r="QYX22" s="15"/>
      <c r="QYY22" s="15"/>
      <c r="QYZ22" s="16"/>
      <c r="QZA22" s="41"/>
      <c r="QZB22" s="41"/>
      <c r="QZC22" s="28"/>
      <c r="QZD22" s="29"/>
      <c r="QZE22" s="24"/>
      <c r="QZF22" s="13"/>
      <c r="QZG22" s="13"/>
      <c r="QZH22" s="14"/>
      <c r="QZI22" s="15"/>
      <c r="QZJ22" s="15"/>
      <c r="QZK22" s="16"/>
      <c r="QZL22" s="41"/>
      <c r="QZM22" s="41"/>
      <c r="QZN22" s="28"/>
      <c r="QZO22" s="29"/>
      <c r="QZP22" s="24"/>
      <c r="QZQ22" s="13"/>
      <c r="QZR22" s="13"/>
      <c r="QZS22" s="14"/>
      <c r="QZT22" s="15"/>
      <c r="QZU22" s="15"/>
      <c r="QZV22" s="16"/>
      <c r="QZW22" s="41"/>
      <c r="QZX22" s="41"/>
      <c r="QZY22" s="28"/>
      <c r="QZZ22" s="29"/>
      <c r="RAA22" s="24"/>
      <c r="RAB22" s="13"/>
      <c r="RAC22" s="13"/>
      <c r="RAD22" s="14"/>
      <c r="RAE22" s="15"/>
      <c r="RAF22" s="15"/>
      <c r="RAG22" s="16"/>
      <c r="RAH22" s="41"/>
      <c r="RAI22" s="41"/>
      <c r="RAJ22" s="28"/>
      <c r="RAK22" s="29"/>
      <c r="RAL22" s="24"/>
      <c r="RAM22" s="13"/>
      <c r="RAN22" s="13"/>
      <c r="RAO22" s="14"/>
      <c r="RAP22" s="15"/>
      <c r="RAQ22" s="15"/>
      <c r="RAR22" s="16"/>
      <c r="RAS22" s="41"/>
      <c r="RAT22" s="41"/>
      <c r="RAU22" s="28"/>
      <c r="RAV22" s="29"/>
      <c r="RAW22" s="24"/>
      <c r="RAX22" s="13"/>
      <c r="RAY22" s="13"/>
      <c r="RAZ22" s="14"/>
      <c r="RBA22" s="15"/>
      <c r="RBB22" s="15"/>
      <c r="RBC22" s="16"/>
      <c r="RBD22" s="41"/>
      <c r="RBE22" s="41"/>
      <c r="RBF22" s="28"/>
      <c r="RBG22" s="29"/>
      <c r="RBH22" s="24"/>
      <c r="RBI22" s="13"/>
      <c r="RBJ22" s="13"/>
      <c r="RBK22" s="14"/>
      <c r="RBL22" s="15"/>
      <c r="RBM22" s="15"/>
      <c r="RBN22" s="16"/>
      <c r="RBO22" s="41"/>
      <c r="RBP22" s="41"/>
      <c r="RBQ22" s="28"/>
      <c r="RBR22" s="29"/>
      <c r="RBS22" s="24"/>
      <c r="RBT22" s="13"/>
      <c r="RBU22" s="13"/>
      <c r="RBV22" s="14"/>
      <c r="RBW22" s="15"/>
      <c r="RBX22" s="15"/>
      <c r="RBY22" s="16"/>
      <c r="RBZ22" s="41"/>
      <c r="RCA22" s="41"/>
      <c r="RCB22" s="28"/>
      <c r="RCC22" s="29"/>
      <c r="RCD22" s="24"/>
      <c r="RCE22" s="13"/>
      <c r="RCF22" s="13"/>
      <c r="RCG22" s="14"/>
      <c r="RCH22" s="15"/>
      <c r="RCI22" s="15"/>
      <c r="RCJ22" s="16"/>
      <c r="RCK22" s="41"/>
      <c r="RCL22" s="41"/>
      <c r="RCM22" s="28"/>
      <c r="RCN22" s="29"/>
      <c r="RCO22" s="24"/>
      <c r="RCP22" s="13"/>
      <c r="RCQ22" s="13"/>
      <c r="RCR22" s="14"/>
      <c r="RCS22" s="15"/>
      <c r="RCT22" s="15"/>
      <c r="RCU22" s="16"/>
      <c r="RCV22" s="41"/>
      <c r="RCW22" s="41"/>
      <c r="RCX22" s="28"/>
      <c r="RCY22" s="29"/>
      <c r="RCZ22" s="24"/>
      <c r="RDA22" s="13"/>
      <c r="RDB22" s="13"/>
      <c r="RDC22" s="14"/>
      <c r="RDD22" s="15"/>
      <c r="RDE22" s="15"/>
      <c r="RDF22" s="16"/>
      <c r="RDG22" s="41"/>
      <c r="RDH22" s="41"/>
      <c r="RDI22" s="28"/>
      <c r="RDJ22" s="29"/>
      <c r="RDK22" s="24"/>
      <c r="RDL22" s="13"/>
      <c r="RDM22" s="13"/>
      <c r="RDN22" s="14"/>
      <c r="RDO22" s="15"/>
      <c r="RDP22" s="15"/>
      <c r="RDQ22" s="16"/>
      <c r="RDR22" s="41"/>
      <c r="RDS22" s="41"/>
      <c r="RDT22" s="28"/>
      <c r="RDU22" s="29"/>
      <c r="RDV22" s="24"/>
      <c r="RDW22" s="13"/>
      <c r="RDX22" s="13"/>
      <c r="RDY22" s="14"/>
      <c r="RDZ22" s="15"/>
      <c r="REA22" s="15"/>
      <c r="REB22" s="16"/>
      <c r="REC22" s="41"/>
      <c r="RED22" s="41"/>
      <c r="REE22" s="28"/>
      <c r="REF22" s="29"/>
      <c r="REG22" s="24"/>
      <c r="REH22" s="13"/>
      <c r="REI22" s="13"/>
      <c r="REJ22" s="14"/>
      <c r="REK22" s="15"/>
      <c r="REL22" s="15"/>
      <c r="REM22" s="16"/>
      <c r="REN22" s="41"/>
      <c r="REO22" s="41"/>
      <c r="REP22" s="28"/>
      <c r="REQ22" s="29"/>
      <c r="RER22" s="24"/>
      <c r="RES22" s="13"/>
      <c r="RET22" s="13"/>
      <c r="REU22" s="14"/>
      <c r="REV22" s="15"/>
      <c r="REW22" s="15"/>
      <c r="REX22" s="16"/>
      <c r="REY22" s="41"/>
      <c r="REZ22" s="41"/>
      <c r="RFA22" s="28"/>
      <c r="RFB22" s="29"/>
      <c r="RFC22" s="24"/>
      <c r="RFD22" s="13"/>
      <c r="RFE22" s="13"/>
      <c r="RFF22" s="14"/>
      <c r="RFG22" s="15"/>
      <c r="RFH22" s="15"/>
      <c r="RFI22" s="16"/>
      <c r="RFJ22" s="41"/>
      <c r="RFK22" s="41"/>
      <c r="RFL22" s="28"/>
      <c r="RFM22" s="29"/>
      <c r="RFN22" s="24"/>
      <c r="RFO22" s="13"/>
      <c r="RFP22" s="13"/>
      <c r="RFQ22" s="14"/>
      <c r="RFR22" s="15"/>
      <c r="RFS22" s="15"/>
      <c r="RFT22" s="16"/>
      <c r="RFU22" s="41"/>
      <c r="RFV22" s="41"/>
      <c r="RFW22" s="28"/>
      <c r="RFX22" s="29"/>
      <c r="RFY22" s="24"/>
      <c r="RFZ22" s="13"/>
      <c r="RGA22" s="13"/>
      <c r="RGB22" s="14"/>
      <c r="RGC22" s="15"/>
      <c r="RGD22" s="15"/>
      <c r="RGE22" s="16"/>
      <c r="RGF22" s="41"/>
      <c r="RGG22" s="41"/>
      <c r="RGH22" s="28"/>
      <c r="RGI22" s="29"/>
      <c r="RGJ22" s="24"/>
      <c r="RGK22" s="13"/>
      <c r="RGL22" s="13"/>
      <c r="RGM22" s="14"/>
      <c r="RGN22" s="15"/>
      <c r="RGO22" s="15"/>
      <c r="RGP22" s="16"/>
      <c r="RGQ22" s="41"/>
      <c r="RGR22" s="41"/>
      <c r="RGS22" s="28"/>
      <c r="RGT22" s="29"/>
      <c r="RGU22" s="24"/>
      <c r="RGV22" s="13"/>
      <c r="RGW22" s="13"/>
      <c r="RGX22" s="14"/>
      <c r="RGY22" s="15"/>
      <c r="RGZ22" s="15"/>
      <c r="RHA22" s="16"/>
      <c r="RHB22" s="41"/>
      <c r="RHC22" s="41"/>
      <c r="RHD22" s="28"/>
      <c r="RHE22" s="29"/>
      <c r="RHF22" s="24"/>
      <c r="RHG22" s="13"/>
      <c r="RHH22" s="13"/>
      <c r="RHI22" s="14"/>
      <c r="RHJ22" s="15"/>
      <c r="RHK22" s="15"/>
      <c r="RHL22" s="16"/>
      <c r="RHM22" s="41"/>
      <c r="RHN22" s="41"/>
      <c r="RHO22" s="28"/>
      <c r="RHP22" s="29"/>
      <c r="RHQ22" s="24"/>
      <c r="RHR22" s="13"/>
      <c r="RHS22" s="13"/>
      <c r="RHT22" s="14"/>
      <c r="RHU22" s="15"/>
      <c r="RHV22" s="15"/>
      <c r="RHW22" s="16"/>
      <c r="RHX22" s="41"/>
      <c r="RHY22" s="41"/>
      <c r="RHZ22" s="28"/>
      <c r="RIA22" s="29"/>
      <c r="RIB22" s="24"/>
      <c r="RIC22" s="13"/>
      <c r="RID22" s="13"/>
      <c r="RIE22" s="14"/>
      <c r="RIF22" s="15"/>
      <c r="RIG22" s="15"/>
      <c r="RIH22" s="16"/>
      <c r="RII22" s="41"/>
      <c r="RIJ22" s="41"/>
      <c r="RIK22" s="28"/>
      <c r="RIL22" s="29"/>
      <c r="RIM22" s="24"/>
      <c r="RIN22" s="13"/>
      <c r="RIO22" s="13"/>
      <c r="RIP22" s="14"/>
      <c r="RIQ22" s="15"/>
      <c r="RIR22" s="15"/>
      <c r="RIS22" s="16"/>
      <c r="RIT22" s="41"/>
      <c r="RIU22" s="41"/>
      <c r="RIV22" s="28"/>
      <c r="RIW22" s="29"/>
      <c r="RIX22" s="24"/>
      <c r="RIY22" s="13"/>
      <c r="RIZ22" s="13"/>
      <c r="RJA22" s="14"/>
      <c r="RJB22" s="15"/>
      <c r="RJC22" s="15"/>
      <c r="RJD22" s="16"/>
      <c r="RJE22" s="41"/>
      <c r="RJF22" s="41"/>
      <c r="RJG22" s="28"/>
      <c r="RJH22" s="29"/>
      <c r="RJI22" s="24"/>
      <c r="RJJ22" s="13"/>
      <c r="RJK22" s="13"/>
      <c r="RJL22" s="14"/>
      <c r="RJM22" s="15"/>
      <c r="RJN22" s="15"/>
      <c r="RJO22" s="16"/>
      <c r="RJP22" s="41"/>
      <c r="RJQ22" s="41"/>
      <c r="RJR22" s="28"/>
      <c r="RJS22" s="29"/>
      <c r="RJT22" s="24"/>
      <c r="RJU22" s="13"/>
      <c r="RJV22" s="13"/>
      <c r="RJW22" s="14"/>
      <c r="RJX22" s="15"/>
      <c r="RJY22" s="15"/>
      <c r="RJZ22" s="16"/>
      <c r="RKA22" s="41"/>
      <c r="RKB22" s="41"/>
      <c r="RKC22" s="28"/>
      <c r="RKD22" s="29"/>
      <c r="RKE22" s="24"/>
      <c r="RKF22" s="13"/>
      <c r="RKG22" s="13"/>
      <c r="RKH22" s="14"/>
      <c r="RKI22" s="15"/>
      <c r="RKJ22" s="15"/>
      <c r="RKK22" s="16"/>
      <c r="RKL22" s="41"/>
      <c r="RKM22" s="41"/>
      <c r="RKN22" s="28"/>
      <c r="RKO22" s="29"/>
      <c r="RKP22" s="24"/>
      <c r="RKQ22" s="13"/>
      <c r="RKR22" s="13"/>
      <c r="RKS22" s="14"/>
      <c r="RKT22" s="15"/>
      <c r="RKU22" s="15"/>
      <c r="RKV22" s="16"/>
      <c r="RKW22" s="41"/>
      <c r="RKX22" s="41"/>
      <c r="RKY22" s="28"/>
      <c r="RKZ22" s="29"/>
      <c r="RLA22" s="24"/>
      <c r="RLB22" s="13"/>
      <c r="RLC22" s="13"/>
      <c r="RLD22" s="14"/>
      <c r="RLE22" s="15"/>
      <c r="RLF22" s="15"/>
      <c r="RLG22" s="16"/>
      <c r="RLH22" s="41"/>
      <c r="RLI22" s="41"/>
      <c r="RLJ22" s="28"/>
      <c r="RLK22" s="29"/>
      <c r="RLL22" s="24"/>
      <c r="RLM22" s="13"/>
      <c r="RLN22" s="13"/>
      <c r="RLO22" s="14"/>
      <c r="RLP22" s="15"/>
      <c r="RLQ22" s="15"/>
      <c r="RLR22" s="16"/>
      <c r="RLS22" s="41"/>
      <c r="RLT22" s="41"/>
      <c r="RLU22" s="28"/>
      <c r="RLV22" s="29"/>
      <c r="RLW22" s="24"/>
      <c r="RLX22" s="13"/>
      <c r="RLY22" s="13"/>
      <c r="RLZ22" s="14"/>
      <c r="RMA22" s="15"/>
      <c r="RMB22" s="15"/>
      <c r="RMC22" s="16"/>
      <c r="RMD22" s="41"/>
      <c r="RME22" s="41"/>
      <c r="RMF22" s="28"/>
      <c r="RMG22" s="29"/>
      <c r="RMH22" s="24"/>
      <c r="RMI22" s="13"/>
      <c r="RMJ22" s="13"/>
      <c r="RMK22" s="14"/>
      <c r="RML22" s="15"/>
      <c r="RMM22" s="15"/>
      <c r="RMN22" s="16"/>
      <c r="RMO22" s="41"/>
      <c r="RMP22" s="41"/>
      <c r="RMQ22" s="28"/>
      <c r="RMR22" s="29"/>
      <c r="RMS22" s="24"/>
      <c r="RMT22" s="13"/>
      <c r="RMU22" s="13"/>
      <c r="RMV22" s="14"/>
      <c r="RMW22" s="15"/>
      <c r="RMX22" s="15"/>
      <c r="RMY22" s="16"/>
      <c r="RMZ22" s="41"/>
      <c r="RNA22" s="41"/>
      <c r="RNB22" s="28"/>
      <c r="RNC22" s="29"/>
      <c r="RND22" s="24"/>
      <c r="RNE22" s="13"/>
      <c r="RNF22" s="13"/>
      <c r="RNG22" s="14"/>
      <c r="RNH22" s="15"/>
      <c r="RNI22" s="15"/>
      <c r="RNJ22" s="16"/>
      <c r="RNK22" s="41"/>
      <c r="RNL22" s="41"/>
      <c r="RNM22" s="28"/>
      <c r="RNN22" s="29"/>
      <c r="RNO22" s="24"/>
      <c r="RNP22" s="13"/>
      <c r="RNQ22" s="13"/>
      <c r="RNR22" s="14"/>
      <c r="RNS22" s="15"/>
      <c r="RNT22" s="15"/>
      <c r="RNU22" s="16"/>
      <c r="RNV22" s="41"/>
      <c r="RNW22" s="41"/>
      <c r="RNX22" s="28"/>
      <c r="RNY22" s="29"/>
      <c r="RNZ22" s="24"/>
      <c r="ROA22" s="13"/>
      <c r="ROB22" s="13"/>
      <c r="ROC22" s="14"/>
      <c r="ROD22" s="15"/>
      <c r="ROE22" s="15"/>
      <c r="ROF22" s="16"/>
      <c r="ROG22" s="41"/>
      <c r="ROH22" s="41"/>
      <c r="ROI22" s="28"/>
      <c r="ROJ22" s="29"/>
      <c r="ROK22" s="24"/>
      <c r="ROL22" s="13"/>
      <c r="ROM22" s="13"/>
      <c r="RON22" s="14"/>
      <c r="ROO22" s="15"/>
      <c r="ROP22" s="15"/>
      <c r="ROQ22" s="16"/>
      <c r="ROR22" s="41"/>
      <c r="ROS22" s="41"/>
      <c r="ROT22" s="28"/>
      <c r="ROU22" s="29"/>
      <c r="ROV22" s="24"/>
      <c r="ROW22" s="13"/>
      <c r="ROX22" s="13"/>
      <c r="ROY22" s="14"/>
      <c r="ROZ22" s="15"/>
      <c r="RPA22" s="15"/>
      <c r="RPB22" s="16"/>
      <c r="RPC22" s="41"/>
      <c r="RPD22" s="41"/>
      <c r="RPE22" s="28"/>
      <c r="RPF22" s="29"/>
      <c r="RPG22" s="24"/>
      <c r="RPH22" s="13"/>
      <c r="RPI22" s="13"/>
      <c r="RPJ22" s="14"/>
      <c r="RPK22" s="15"/>
      <c r="RPL22" s="15"/>
      <c r="RPM22" s="16"/>
      <c r="RPN22" s="41"/>
      <c r="RPO22" s="41"/>
      <c r="RPP22" s="28"/>
      <c r="RPQ22" s="29"/>
      <c r="RPR22" s="24"/>
      <c r="RPS22" s="13"/>
      <c r="RPT22" s="13"/>
      <c r="RPU22" s="14"/>
      <c r="RPV22" s="15"/>
      <c r="RPW22" s="15"/>
      <c r="RPX22" s="16"/>
      <c r="RPY22" s="41"/>
      <c r="RPZ22" s="41"/>
      <c r="RQA22" s="28"/>
      <c r="RQB22" s="29"/>
      <c r="RQC22" s="24"/>
      <c r="RQD22" s="13"/>
      <c r="RQE22" s="13"/>
      <c r="RQF22" s="14"/>
      <c r="RQG22" s="15"/>
      <c r="RQH22" s="15"/>
      <c r="RQI22" s="16"/>
      <c r="RQJ22" s="41"/>
      <c r="RQK22" s="41"/>
      <c r="RQL22" s="28"/>
      <c r="RQM22" s="29"/>
      <c r="RQN22" s="24"/>
      <c r="RQO22" s="13"/>
      <c r="RQP22" s="13"/>
      <c r="RQQ22" s="14"/>
      <c r="RQR22" s="15"/>
      <c r="RQS22" s="15"/>
      <c r="RQT22" s="16"/>
      <c r="RQU22" s="41"/>
      <c r="RQV22" s="41"/>
      <c r="RQW22" s="28"/>
      <c r="RQX22" s="29"/>
      <c r="RQY22" s="24"/>
      <c r="RQZ22" s="13"/>
      <c r="RRA22" s="13"/>
      <c r="RRB22" s="14"/>
      <c r="RRC22" s="15"/>
      <c r="RRD22" s="15"/>
      <c r="RRE22" s="16"/>
      <c r="RRF22" s="41"/>
      <c r="RRG22" s="41"/>
      <c r="RRH22" s="28"/>
      <c r="RRI22" s="29"/>
      <c r="RRJ22" s="24"/>
      <c r="RRK22" s="13"/>
      <c r="RRL22" s="13"/>
      <c r="RRM22" s="14"/>
      <c r="RRN22" s="15"/>
      <c r="RRO22" s="15"/>
      <c r="RRP22" s="16"/>
      <c r="RRQ22" s="41"/>
      <c r="RRR22" s="41"/>
      <c r="RRS22" s="28"/>
      <c r="RRT22" s="29"/>
      <c r="RRU22" s="24"/>
      <c r="RRV22" s="13"/>
      <c r="RRW22" s="13"/>
      <c r="RRX22" s="14"/>
      <c r="RRY22" s="15"/>
      <c r="RRZ22" s="15"/>
      <c r="RSA22" s="16"/>
      <c r="RSB22" s="41"/>
      <c r="RSC22" s="41"/>
      <c r="RSD22" s="28"/>
      <c r="RSE22" s="29"/>
      <c r="RSF22" s="24"/>
      <c r="RSG22" s="13"/>
      <c r="RSH22" s="13"/>
      <c r="RSI22" s="14"/>
      <c r="RSJ22" s="15"/>
      <c r="RSK22" s="15"/>
      <c r="RSL22" s="16"/>
      <c r="RSM22" s="41"/>
      <c r="RSN22" s="41"/>
      <c r="RSO22" s="28"/>
      <c r="RSP22" s="29"/>
      <c r="RSQ22" s="24"/>
      <c r="RSR22" s="13"/>
      <c r="RSS22" s="13"/>
      <c r="RST22" s="14"/>
      <c r="RSU22" s="15"/>
      <c r="RSV22" s="15"/>
      <c r="RSW22" s="16"/>
      <c r="RSX22" s="41"/>
      <c r="RSY22" s="41"/>
      <c r="RSZ22" s="28"/>
      <c r="RTA22" s="29"/>
      <c r="RTB22" s="24"/>
      <c r="RTC22" s="13"/>
      <c r="RTD22" s="13"/>
      <c r="RTE22" s="14"/>
      <c r="RTF22" s="15"/>
      <c r="RTG22" s="15"/>
      <c r="RTH22" s="16"/>
      <c r="RTI22" s="41"/>
      <c r="RTJ22" s="41"/>
      <c r="RTK22" s="28"/>
      <c r="RTL22" s="29"/>
      <c r="RTM22" s="24"/>
      <c r="RTN22" s="13"/>
      <c r="RTO22" s="13"/>
      <c r="RTP22" s="14"/>
      <c r="RTQ22" s="15"/>
      <c r="RTR22" s="15"/>
      <c r="RTS22" s="16"/>
      <c r="RTT22" s="41"/>
      <c r="RTU22" s="41"/>
      <c r="RTV22" s="28"/>
      <c r="RTW22" s="29"/>
      <c r="RTX22" s="24"/>
      <c r="RTY22" s="13"/>
      <c r="RTZ22" s="13"/>
      <c r="RUA22" s="14"/>
      <c r="RUB22" s="15"/>
      <c r="RUC22" s="15"/>
      <c r="RUD22" s="16"/>
      <c r="RUE22" s="41"/>
      <c r="RUF22" s="41"/>
      <c r="RUG22" s="28"/>
      <c r="RUH22" s="29"/>
      <c r="RUI22" s="24"/>
      <c r="RUJ22" s="13"/>
      <c r="RUK22" s="13"/>
      <c r="RUL22" s="14"/>
      <c r="RUM22" s="15"/>
      <c r="RUN22" s="15"/>
      <c r="RUO22" s="16"/>
      <c r="RUP22" s="41"/>
      <c r="RUQ22" s="41"/>
      <c r="RUR22" s="28"/>
      <c r="RUS22" s="29"/>
      <c r="RUT22" s="24"/>
      <c r="RUU22" s="13"/>
      <c r="RUV22" s="13"/>
      <c r="RUW22" s="14"/>
      <c r="RUX22" s="15"/>
      <c r="RUY22" s="15"/>
      <c r="RUZ22" s="16"/>
      <c r="RVA22" s="41"/>
      <c r="RVB22" s="41"/>
      <c r="RVC22" s="28"/>
      <c r="RVD22" s="29"/>
      <c r="RVE22" s="24"/>
      <c r="RVF22" s="13"/>
      <c r="RVG22" s="13"/>
      <c r="RVH22" s="14"/>
      <c r="RVI22" s="15"/>
      <c r="RVJ22" s="15"/>
      <c r="RVK22" s="16"/>
      <c r="RVL22" s="41"/>
      <c r="RVM22" s="41"/>
      <c r="RVN22" s="28"/>
      <c r="RVO22" s="29"/>
      <c r="RVP22" s="24"/>
      <c r="RVQ22" s="13"/>
      <c r="RVR22" s="13"/>
      <c r="RVS22" s="14"/>
      <c r="RVT22" s="15"/>
      <c r="RVU22" s="15"/>
      <c r="RVV22" s="16"/>
      <c r="RVW22" s="41"/>
      <c r="RVX22" s="41"/>
      <c r="RVY22" s="28"/>
      <c r="RVZ22" s="29"/>
      <c r="RWA22" s="24"/>
      <c r="RWB22" s="13"/>
      <c r="RWC22" s="13"/>
      <c r="RWD22" s="14"/>
      <c r="RWE22" s="15"/>
      <c r="RWF22" s="15"/>
      <c r="RWG22" s="16"/>
      <c r="RWH22" s="41"/>
      <c r="RWI22" s="41"/>
      <c r="RWJ22" s="28"/>
      <c r="RWK22" s="29"/>
      <c r="RWL22" s="24"/>
      <c r="RWM22" s="13"/>
      <c r="RWN22" s="13"/>
      <c r="RWO22" s="14"/>
      <c r="RWP22" s="15"/>
      <c r="RWQ22" s="15"/>
      <c r="RWR22" s="16"/>
      <c r="RWS22" s="41"/>
      <c r="RWT22" s="41"/>
      <c r="RWU22" s="28"/>
      <c r="RWV22" s="29"/>
      <c r="RWW22" s="24"/>
      <c r="RWX22" s="13"/>
      <c r="RWY22" s="13"/>
      <c r="RWZ22" s="14"/>
      <c r="RXA22" s="15"/>
      <c r="RXB22" s="15"/>
      <c r="RXC22" s="16"/>
      <c r="RXD22" s="41"/>
      <c r="RXE22" s="41"/>
      <c r="RXF22" s="28"/>
      <c r="RXG22" s="29"/>
      <c r="RXH22" s="24"/>
      <c r="RXI22" s="13"/>
      <c r="RXJ22" s="13"/>
      <c r="RXK22" s="14"/>
      <c r="RXL22" s="15"/>
      <c r="RXM22" s="15"/>
      <c r="RXN22" s="16"/>
      <c r="RXO22" s="41"/>
      <c r="RXP22" s="41"/>
      <c r="RXQ22" s="28"/>
      <c r="RXR22" s="29"/>
      <c r="RXS22" s="24"/>
      <c r="RXT22" s="13"/>
      <c r="RXU22" s="13"/>
      <c r="RXV22" s="14"/>
      <c r="RXW22" s="15"/>
      <c r="RXX22" s="15"/>
      <c r="RXY22" s="16"/>
      <c r="RXZ22" s="41"/>
      <c r="RYA22" s="41"/>
      <c r="RYB22" s="28"/>
      <c r="RYC22" s="29"/>
      <c r="RYD22" s="24"/>
      <c r="RYE22" s="13"/>
      <c r="RYF22" s="13"/>
      <c r="RYG22" s="14"/>
      <c r="RYH22" s="15"/>
      <c r="RYI22" s="15"/>
      <c r="RYJ22" s="16"/>
      <c r="RYK22" s="41"/>
      <c r="RYL22" s="41"/>
      <c r="RYM22" s="28"/>
      <c r="RYN22" s="29"/>
      <c r="RYO22" s="24"/>
      <c r="RYP22" s="13"/>
      <c r="RYQ22" s="13"/>
      <c r="RYR22" s="14"/>
      <c r="RYS22" s="15"/>
      <c r="RYT22" s="15"/>
      <c r="RYU22" s="16"/>
      <c r="RYV22" s="41"/>
      <c r="RYW22" s="41"/>
      <c r="RYX22" s="28"/>
      <c r="RYY22" s="29"/>
      <c r="RYZ22" s="24"/>
      <c r="RZA22" s="13"/>
      <c r="RZB22" s="13"/>
      <c r="RZC22" s="14"/>
      <c r="RZD22" s="15"/>
      <c r="RZE22" s="15"/>
      <c r="RZF22" s="16"/>
      <c r="RZG22" s="41"/>
      <c r="RZH22" s="41"/>
      <c r="RZI22" s="28"/>
      <c r="RZJ22" s="29"/>
      <c r="RZK22" s="24"/>
      <c r="RZL22" s="13"/>
      <c r="RZM22" s="13"/>
      <c r="RZN22" s="14"/>
      <c r="RZO22" s="15"/>
      <c r="RZP22" s="15"/>
      <c r="RZQ22" s="16"/>
      <c r="RZR22" s="41"/>
      <c r="RZS22" s="41"/>
      <c r="RZT22" s="28"/>
      <c r="RZU22" s="29"/>
      <c r="RZV22" s="24"/>
      <c r="RZW22" s="13"/>
      <c r="RZX22" s="13"/>
      <c r="RZY22" s="14"/>
      <c r="RZZ22" s="15"/>
      <c r="SAA22" s="15"/>
      <c r="SAB22" s="16"/>
      <c r="SAC22" s="41"/>
      <c r="SAD22" s="41"/>
      <c r="SAE22" s="28"/>
      <c r="SAF22" s="29"/>
      <c r="SAG22" s="24"/>
      <c r="SAH22" s="13"/>
      <c r="SAI22" s="13"/>
      <c r="SAJ22" s="14"/>
      <c r="SAK22" s="15"/>
      <c r="SAL22" s="15"/>
      <c r="SAM22" s="16"/>
      <c r="SAN22" s="41"/>
      <c r="SAO22" s="41"/>
      <c r="SAP22" s="28"/>
      <c r="SAQ22" s="29"/>
      <c r="SAR22" s="24"/>
      <c r="SAS22" s="13"/>
      <c r="SAT22" s="13"/>
      <c r="SAU22" s="14"/>
      <c r="SAV22" s="15"/>
      <c r="SAW22" s="15"/>
      <c r="SAX22" s="16"/>
      <c r="SAY22" s="41"/>
      <c r="SAZ22" s="41"/>
      <c r="SBA22" s="28"/>
      <c r="SBB22" s="29"/>
      <c r="SBC22" s="24"/>
      <c r="SBD22" s="13"/>
      <c r="SBE22" s="13"/>
      <c r="SBF22" s="14"/>
      <c r="SBG22" s="15"/>
      <c r="SBH22" s="15"/>
      <c r="SBI22" s="16"/>
      <c r="SBJ22" s="41"/>
      <c r="SBK22" s="41"/>
      <c r="SBL22" s="28"/>
      <c r="SBM22" s="29"/>
      <c r="SBN22" s="24"/>
      <c r="SBO22" s="13"/>
      <c r="SBP22" s="13"/>
      <c r="SBQ22" s="14"/>
      <c r="SBR22" s="15"/>
      <c r="SBS22" s="15"/>
      <c r="SBT22" s="16"/>
      <c r="SBU22" s="41"/>
      <c r="SBV22" s="41"/>
      <c r="SBW22" s="28"/>
      <c r="SBX22" s="29"/>
      <c r="SBY22" s="24"/>
      <c r="SBZ22" s="13"/>
      <c r="SCA22" s="13"/>
      <c r="SCB22" s="14"/>
      <c r="SCC22" s="15"/>
      <c r="SCD22" s="15"/>
      <c r="SCE22" s="16"/>
      <c r="SCF22" s="41"/>
      <c r="SCG22" s="41"/>
      <c r="SCH22" s="28"/>
      <c r="SCI22" s="29"/>
      <c r="SCJ22" s="24"/>
      <c r="SCK22" s="13"/>
      <c r="SCL22" s="13"/>
      <c r="SCM22" s="14"/>
      <c r="SCN22" s="15"/>
      <c r="SCO22" s="15"/>
      <c r="SCP22" s="16"/>
      <c r="SCQ22" s="41"/>
      <c r="SCR22" s="41"/>
      <c r="SCS22" s="28"/>
      <c r="SCT22" s="29"/>
      <c r="SCU22" s="24"/>
      <c r="SCV22" s="13"/>
      <c r="SCW22" s="13"/>
      <c r="SCX22" s="14"/>
      <c r="SCY22" s="15"/>
      <c r="SCZ22" s="15"/>
      <c r="SDA22" s="16"/>
      <c r="SDB22" s="41"/>
      <c r="SDC22" s="41"/>
      <c r="SDD22" s="28"/>
      <c r="SDE22" s="29"/>
      <c r="SDF22" s="24"/>
      <c r="SDG22" s="13"/>
      <c r="SDH22" s="13"/>
      <c r="SDI22" s="14"/>
      <c r="SDJ22" s="15"/>
      <c r="SDK22" s="15"/>
      <c r="SDL22" s="16"/>
      <c r="SDM22" s="41"/>
      <c r="SDN22" s="41"/>
      <c r="SDO22" s="28"/>
      <c r="SDP22" s="29"/>
      <c r="SDQ22" s="24"/>
      <c r="SDR22" s="13"/>
      <c r="SDS22" s="13"/>
      <c r="SDT22" s="14"/>
      <c r="SDU22" s="15"/>
      <c r="SDV22" s="15"/>
      <c r="SDW22" s="16"/>
      <c r="SDX22" s="41"/>
      <c r="SDY22" s="41"/>
      <c r="SDZ22" s="28"/>
      <c r="SEA22" s="29"/>
      <c r="SEB22" s="24"/>
      <c r="SEC22" s="13"/>
      <c r="SED22" s="13"/>
      <c r="SEE22" s="14"/>
      <c r="SEF22" s="15"/>
      <c r="SEG22" s="15"/>
      <c r="SEH22" s="16"/>
      <c r="SEI22" s="41"/>
      <c r="SEJ22" s="41"/>
      <c r="SEK22" s="28"/>
      <c r="SEL22" s="29"/>
      <c r="SEM22" s="24"/>
      <c r="SEN22" s="13"/>
      <c r="SEO22" s="13"/>
      <c r="SEP22" s="14"/>
      <c r="SEQ22" s="15"/>
      <c r="SER22" s="15"/>
      <c r="SES22" s="16"/>
      <c r="SET22" s="41"/>
      <c r="SEU22" s="41"/>
      <c r="SEV22" s="28"/>
      <c r="SEW22" s="29"/>
      <c r="SEX22" s="24"/>
      <c r="SEY22" s="13"/>
      <c r="SEZ22" s="13"/>
      <c r="SFA22" s="14"/>
      <c r="SFB22" s="15"/>
      <c r="SFC22" s="15"/>
      <c r="SFD22" s="16"/>
      <c r="SFE22" s="41"/>
      <c r="SFF22" s="41"/>
      <c r="SFG22" s="28"/>
      <c r="SFH22" s="29"/>
      <c r="SFI22" s="24"/>
      <c r="SFJ22" s="13"/>
      <c r="SFK22" s="13"/>
      <c r="SFL22" s="14"/>
      <c r="SFM22" s="15"/>
      <c r="SFN22" s="15"/>
      <c r="SFO22" s="16"/>
      <c r="SFP22" s="41"/>
      <c r="SFQ22" s="41"/>
      <c r="SFR22" s="28"/>
      <c r="SFS22" s="29"/>
      <c r="SFT22" s="24"/>
      <c r="SFU22" s="13"/>
      <c r="SFV22" s="13"/>
      <c r="SFW22" s="14"/>
      <c r="SFX22" s="15"/>
      <c r="SFY22" s="15"/>
      <c r="SFZ22" s="16"/>
      <c r="SGA22" s="41"/>
      <c r="SGB22" s="41"/>
      <c r="SGC22" s="28"/>
      <c r="SGD22" s="29"/>
      <c r="SGE22" s="24"/>
      <c r="SGF22" s="13"/>
      <c r="SGG22" s="13"/>
      <c r="SGH22" s="14"/>
      <c r="SGI22" s="15"/>
      <c r="SGJ22" s="15"/>
      <c r="SGK22" s="16"/>
      <c r="SGL22" s="41"/>
      <c r="SGM22" s="41"/>
      <c r="SGN22" s="28"/>
      <c r="SGO22" s="29"/>
      <c r="SGP22" s="24"/>
      <c r="SGQ22" s="13"/>
      <c r="SGR22" s="13"/>
      <c r="SGS22" s="14"/>
      <c r="SGT22" s="15"/>
      <c r="SGU22" s="15"/>
      <c r="SGV22" s="16"/>
      <c r="SGW22" s="41"/>
      <c r="SGX22" s="41"/>
      <c r="SGY22" s="28"/>
      <c r="SGZ22" s="29"/>
      <c r="SHA22" s="24"/>
      <c r="SHB22" s="13"/>
      <c r="SHC22" s="13"/>
      <c r="SHD22" s="14"/>
      <c r="SHE22" s="15"/>
      <c r="SHF22" s="15"/>
      <c r="SHG22" s="16"/>
      <c r="SHH22" s="41"/>
      <c r="SHI22" s="41"/>
      <c r="SHJ22" s="28"/>
      <c r="SHK22" s="29"/>
      <c r="SHL22" s="24"/>
      <c r="SHM22" s="13"/>
      <c r="SHN22" s="13"/>
      <c r="SHO22" s="14"/>
      <c r="SHP22" s="15"/>
      <c r="SHQ22" s="15"/>
      <c r="SHR22" s="16"/>
      <c r="SHS22" s="41"/>
      <c r="SHT22" s="41"/>
      <c r="SHU22" s="28"/>
      <c r="SHV22" s="29"/>
      <c r="SHW22" s="24"/>
      <c r="SHX22" s="13"/>
      <c r="SHY22" s="13"/>
      <c r="SHZ22" s="14"/>
      <c r="SIA22" s="15"/>
      <c r="SIB22" s="15"/>
      <c r="SIC22" s="16"/>
      <c r="SID22" s="41"/>
      <c r="SIE22" s="41"/>
      <c r="SIF22" s="28"/>
      <c r="SIG22" s="29"/>
      <c r="SIH22" s="24"/>
      <c r="SII22" s="13"/>
      <c r="SIJ22" s="13"/>
      <c r="SIK22" s="14"/>
      <c r="SIL22" s="15"/>
      <c r="SIM22" s="15"/>
      <c r="SIN22" s="16"/>
      <c r="SIO22" s="41"/>
      <c r="SIP22" s="41"/>
      <c r="SIQ22" s="28"/>
      <c r="SIR22" s="29"/>
      <c r="SIS22" s="24"/>
      <c r="SIT22" s="13"/>
      <c r="SIU22" s="13"/>
      <c r="SIV22" s="14"/>
      <c r="SIW22" s="15"/>
      <c r="SIX22" s="15"/>
      <c r="SIY22" s="16"/>
      <c r="SIZ22" s="41"/>
      <c r="SJA22" s="41"/>
      <c r="SJB22" s="28"/>
      <c r="SJC22" s="29"/>
      <c r="SJD22" s="24"/>
      <c r="SJE22" s="13"/>
      <c r="SJF22" s="13"/>
      <c r="SJG22" s="14"/>
      <c r="SJH22" s="15"/>
      <c r="SJI22" s="15"/>
      <c r="SJJ22" s="16"/>
      <c r="SJK22" s="41"/>
      <c r="SJL22" s="41"/>
      <c r="SJM22" s="28"/>
      <c r="SJN22" s="29"/>
      <c r="SJO22" s="24"/>
      <c r="SJP22" s="13"/>
      <c r="SJQ22" s="13"/>
      <c r="SJR22" s="14"/>
      <c r="SJS22" s="15"/>
      <c r="SJT22" s="15"/>
      <c r="SJU22" s="16"/>
      <c r="SJV22" s="41"/>
      <c r="SJW22" s="41"/>
      <c r="SJX22" s="28"/>
      <c r="SJY22" s="29"/>
      <c r="SJZ22" s="24"/>
      <c r="SKA22" s="13"/>
      <c r="SKB22" s="13"/>
      <c r="SKC22" s="14"/>
      <c r="SKD22" s="15"/>
      <c r="SKE22" s="15"/>
      <c r="SKF22" s="16"/>
      <c r="SKG22" s="41"/>
      <c r="SKH22" s="41"/>
      <c r="SKI22" s="28"/>
      <c r="SKJ22" s="29"/>
      <c r="SKK22" s="24"/>
      <c r="SKL22" s="13"/>
      <c r="SKM22" s="13"/>
      <c r="SKN22" s="14"/>
      <c r="SKO22" s="15"/>
      <c r="SKP22" s="15"/>
      <c r="SKQ22" s="16"/>
      <c r="SKR22" s="41"/>
      <c r="SKS22" s="41"/>
      <c r="SKT22" s="28"/>
      <c r="SKU22" s="29"/>
      <c r="SKV22" s="24"/>
      <c r="SKW22" s="13"/>
      <c r="SKX22" s="13"/>
      <c r="SKY22" s="14"/>
      <c r="SKZ22" s="15"/>
      <c r="SLA22" s="15"/>
      <c r="SLB22" s="16"/>
      <c r="SLC22" s="41"/>
      <c r="SLD22" s="41"/>
      <c r="SLE22" s="28"/>
      <c r="SLF22" s="29"/>
      <c r="SLG22" s="24"/>
      <c r="SLH22" s="13"/>
      <c r="SLI22" s="13"/>
      <c r="SLJ22" s="14"/>
      <c r="SLK22" s="15"/>
      <c r="SLL22" s="15"/>
      <c r="SLM22" s="16"/>
      <c r="SLN22" s="41"/>
      <c r="SLO22" s="41"/>
      <c r="SLP22" s="28"/>
      <c r="SLQ22" s="29"/>
      <c r="SLR22" s="24"/>
      <c r="SLS22" s="13"/>
      <c r="SLT22" s="13"/>
      <c r="SLU22" s="14"/>
      <c r="SLV22" s="15"/>
      <c r="SLW22" s="15"/>
      <c r="SLX22" s="16"/>
      <c r="SLY22" s="41"/>
      <c r="SLZ22" s="41"/>
      <c r="SMA22" s="28"/>
      <c r="SMB22" s="29"/>
      <c r="SMC22" s="24"/>
      <c r="SMD22" s="13"/>
      <c r="SME22" s="13"/>
      <c r="SMF22" s="14"/>
      <c r="SMG22" s="15"/>
      <c r="SMH22" s="15"/>
      <c r="SMI22" s="16"/>
      <c r="SMJ22" s="41"/>
      <c r="SMK22" s="41"/>
      <c r="SML22" s="28"/>
      <c r="SMM22" s="29"/>
      <c r="SMN22" s="24"/>
      <c r="SMO22" s="13"/>
      <c r="SMP22" s="13"/>
      <c r="SMQ22" s="14"/>
      <c r="SMR22" s="15"/>
      <c r="SMS22" s="15"/>
      <c r="SMT22" s="16"/>
      <c r="SMU22" s="41"/>
      <c r="SMV22" s="41"/>
      <c r="SMW22" s="28"/>
      <c r="SMX22" s="29"/>
      <c r="SMY22" s="24"/>
      <c r="SMZ22" s="13"/>
      <c r="SNA22" s="13"/>
      <c r="SNB22" s="14"/>
      <c r="SNC22" s="15"/>
      <c r="SND22" s="15"/>
      <c r="SNE22" s="16"/>
      <c r="SNF22" s="41"/>
      <c r="SNG22" s="41"/>
      <c r="SNH22" s="28"/>
      <c r="SNI22" s="29"/>
      <c r="SNJ22" s="24"/>
      <c r="SNK22" s="13"/>
      <c r="SNL22" s="13"/>
      <c r="SNM22" s="14"/>
      <c r="SNN22" s="15"/>
      <c r="SNO22" s="15"/>
      <c r="SNP22" s="16"/>
      <c r="SNQ22" s="41"/>
      <c r="SNR22" s="41"/>
      <c r="SNS22" s="28"/>
      <c r="SNT22" s="29"/>
      <c r="SNU22" s="24"/>
      <c r="SNV22" s="13"/>
      <c r="SNW22" s="13"/>
      <c r="SNX22" s="14"/>
      <c r="SNY22" s="15"/>
      <c r="SNZ22" s="15"/>
      <c r="SOA22" s="16"/>
      <c r="SOB22" s="41"/>
      <c r="SOC22" s="41"/>
      <c r="SOD22" s="28"/>
      <c r="SOE22" s="29"/>
      <c r="SOF22" s="24"/>
      <c r="SOG22" s="13"/>
      <c r="SOH22" s="13"/>
      <c r="SOI22" s="14"/>
      <c r="SOJ22" s="15"/>
      <c r="SOK22" s="15"/>
      <c r="SOL22" s="16"/>
      <c r="SOM22" s="41"/>
      <c r="SON22" s="41"/>
      <c r="SOO22" s="28"/>
      <c r="SOP22" s="29"/>
      <c r="SOQ22" s="24"/>
      <c r="SOR22" s="13"/>
      <c r="SOS22" s="13"/>
      <c r="SOT22" s="14"/>
      <c r="SOU22" s="15"/>
      <c r="SOV22" s="15"/>
      <c r="SOW22" s="16"/>
      <c r="SOX22" s="41"/>
      <c r="SOY22" s="41"/>
      <c r="SOZ22" s="28"/>
      <c r="SPA22" s="29"/>
      <c r="SPB22" s="24"/>
      <c r="SPC22" s="13"/>
      <c r="SPD22" s="13"/>
      <c r="SPE22" s="14"/>
      <c r="SPF22" s="15"/>
      <c r="SPG22" s="15"/>
      <c r="SPH22" s="16"/>
      <c r="SPI22" s="41"/>
      <c r="SPJ22" s="41"/>
      <c r="SPK22" s="28"/>
      <c r="SPL22" s="29"/>
      <c r="SPM22" s="24"/>
      <c r="SPN22" s="13"/>
      <c r="SPO22" s="13"/>
      <c r="SPP22" s="14"/>
      <c r="SPQ22" s="15"/>
      <c r="SPR22" s="15"/>
      <c r="SPS22" s="16"/>
      <c r="SPT22" s="41"/>
      <c r="SPU22" s="41"/>
      <c r="SPV22" s="28"/>
      <c r="SPW22" s="29"/>
      <c r="SPX22" s="24"/>
      <c r="SPY22" s="13"/>
      <c r="SPZ22" s="13"/>
      <c r="SQA22" s="14"/>
      <c r="SQB22" s="15"/>
      <c r="SQC22" s="15"/>
      <c r="SQD22" s="16"/>
      <c r="SQE22" s="41"/>
      <c r="SQF22" s="41"/>
      <c r="SQG22" s="28"/>
      <c r="SQH22" s="29"/>
      <c r="SQI22" s="24"/>
      <c r="SQJ22" s="13"/>
      <c r="SQK22" s="13"/>
      <c r="SQL22" s="14"/>
      <c r="SQM22" s="15"/>
      <c r="SQN22" s="15"/>
      <c r="SQO22" s="16"/>
      <c r="SQP22" s="41"/>
      <c r="SQQ22" s="41"/>
      <c r="SQR22" s="28"/>
      <c r="SQS22" s="29"/>
      <c r="SQT22" s="24"/>
      <c r="SQU22" s="13"/>
      <c r="SQV22" s="13"/>
      <c r="SQW22" s="14"/>
      <c r="SQX22" s="15"/>
      <c r="SQY22" s="15"/>
      <c r="SQZ22" s="16"/>
      <c r="SRA22" s="41"/>
      <c r="SRB22" s="41"/>
      <c r="SRC22" s="28"/>
      <c r="SRD22" s="29"/>
      <c r="SRE22" s="24"/>
      <c r="SRF22" s="13"/>
      <c r="SRG22" s="13"/>
      <c r="SRH22" s="14"/>
      <c r="SRI22" s="15"/>
      <c r="SRJ22" s="15"/>
      <c r="SRK22" s="16"/>
      <c r="SRL22" s="41"/>
      <c r="SRM22" s="41"/>
      <c r="SRN22" s="28"/>
      <c r="SRO22" s="29"/>
      <c r="SRP22" s="24"/>
      <c r="SRQ22" s="13"/>
      <c r="SRR22" s="13"/>
      <c r="SRS22" s="14"/>
      <c r="SRT22" s="15"/>
      <c r="SRU22" s="15"/>
      <c r="SRV22" s="16"/>
      <c r="SRW22" s="41"/>
      <c r="SRX22" s="41"/>
      <c r="SRY22" s="28"/>
      <c r="SRZ22" s="29"/>
      <c r="SSA22" s="24"/>
      <c r="SSB22" s="13"/>
      <c r="SSC22" s="13"/>
      <c r="SSD22" s="14"/>
      <c r="SSE22" s="15"/>
      <c r="SSF22" s="15"/>
      <c r="SSG22" s="16"/>
      <c r="SSH22" s="41"/>
      <c r="SSI22" s="41"/>
      <c r="SSJ22" s="28"/>
      <c r="SSK22" s="29"/>
      <c r="SSL22" s="24"/>
      <c r="SSM22" s="13"/>
      <c r="SSN22" s="13"/>
      <c r="SSO22" s="14"/>
      <c r="SSP22" s="15"/>
      <c r="SSQ22" s="15"/>
      <c r="SSR22" s="16"/>
      <c r="SSS22" s="41"/>
      <c r="SST22" s="41"/>
      <c r="SSU22" s="28"/>
      <c r="SSV22" s="29"/>
      <c r="SSW22" s="24"/>
      <c r="SSX22" s="13"/>
      <c r="SSY22" s="13"/>
      <c r="SSZ22" s="14"/>
      <c r="STA22" s="15"/>
      <c r="STB22" s="15"/>
      <c r="STC22" s="16"/>
      <c r="STD22" s="41"/>
      <c r="STE22" s="41"/>
      <c r="STF22" s="28"/>
      <c r="STG22" s="29"/>
      <c r="STH22" s="24"/>
      <c r="STI22" s="13"/>
      <c r="STJ22" s="13"/>
      <c r="STK22" s="14"/>
      <c r="STL22" s="15"/>
      <c r="STM22" s="15"/>
      <c r="STN22" s="16"/>
      <c r="STO22" s="41"/>
      <c r="STP22" s="41"/>
      <c r="STQ22" s="28"/>
      <c r="STR22" s="29"/>
      <c r="STS22" s="24"/>
      <c r="STT22" s="13"/>
      <c r="STU22" s="13"/>
      <c r="STV22" s="14"/>
      <c r="STW22" s="15"/>
      <c r="STX22" s="15"/>
      <c r="STY22" s="16"/>
      <c r="STZ22" s="41"/>
      <c r="SUA22" s="41"/>
      <c r="SUB22" s="28"/>
      <c r="SUC22" s="29"/>
      <c r="SUD22" s="24"/>
      <c r="SUE22" s="13"/>
      <c r="SUF22" s="13"/>
      <c r="SUG22" s="14"/>
      <c r="SUH22" s="15"/>
      <c r="SUI22" s="15"/>
      <c r="SUJ22" s="16"/>
      <c r="SUK22" s="41"/>
      <c r="SUL22" s="41"/>
      <c r="SUM22" s="28"/>
      <c r="SUN22" s="29"/>
      <c r="SUO22" s="24"/>
      <c r="SUP22" s="13"/>
      <c r="SUQ22" s="13"/>
      <c r="SUR22" s="14"/>
      <c r="SUS22" s="15"/>
      <c r="SUT22" s="15"/>
      <c r="SUU22" s="16"/>
      <c r="SUV22" s="41"/>
      <c r="SUW22" s="41"/>
      <c r="SUX22" s="28"/>
      <c r="SUY22" s="29"/>
      <c r="SUZ22" s="24"/>
      <c r="SVA22" s="13"/>
      <c r="SVB22" s="13"/>
      <c r="SVC22" s="14"/>
      <c r="SVD22" s="15"/>
      <c r="SVE22" s="15"/>
      <c r="SVF22" s="16"/>
      <c r="SVG22" s="41"/>
      <c r="SVH22" s="41"/>
      <c r="SVI22" s="28"/>
      <c r="SVJ22" s="29"/>
      <c r="SVK22" s="24"/>
      <c r="SVL22" s="13"/>
      <c r="SVM22" s="13"/>
      <c r="SVN22" s="14"/>
      <c r="SVO22" s="15"/>
      <c r="SVP22" s="15"/>
      <c r="SVQ22" s="16"/>
      <c r="SVR22" s="41"/>
      <c r="SVS22" s="41"/>
      <c r="SVT22" s="28"/>
      <c r="SVU22" s="29"/>
      <c r="SVV22" s="24"/>
      <c r="SVW22" s="13"/>
      <c r="SVX22" s="13"/>
      <c r="SVY22" s="14"/>
      <c r="SVZ22" s="15"/>
      <c r="SWA22" s="15"/>
      <c r="SWB22" s="16"/>
      <c r="SWC22" s="41"/>
      <c r="SWD22" s="41"/>
      <c r="SWE22" s="28"/>
      <c r="SWF22" s="29"/>
      <c r="SWG22" s="24"/>
      <c r="SWH22" s="13"/>
      <c r="SWI22" s="13"/>
      <c r="SWJ22" s="14"/>
      <c r="SWK22" s="15"/>
      <c r="SWL22" s="15"/>
      <c r="SWM22" s="16"/>
      <c r="SWN22" s="41"/>
      <c r="SWO22" s="41"/>
      <c r="SWP22" s="28"/>
      <c r="SWQ22" s="29"/>
      <c r="SWR22" s="24"/>
      <c r="SWS22" s="13"/>
      <c r="SWT22" s="13"/>
      <c r="SWU22" s="14"/>
      <c r="SWV22" s="15"/>
      <c r="SWW22" s="15"/>
      <c r="SWX22" s="16"/>
      <c r="SWY22" s="41"/>
      <c r="SWZ22" s="41"/>
      <c r="SXA22" s="28"/>
      <c r="SXB22" s="29"/>
      <c r="SXC22" s="24"/>
      <c r="SXD22" s="13"/>
      <c r="SXE22" s="13"/>
      <c r="SXF22" s="14"/>
      <c r="SXG22" s="15"/>
      <c r="SXH22" s="15"/>
      <c r="SXI22" s="16"/>
      <c r="SXJ22" s="41"/>
      <c r="SXK22" s="41"/>
      <c r="SXL22" s="28"/>
      <c r="SXM22" s="29"/>
      <c r="SXN22" s="24"/>
      <c r="SXO22" s="13"/>
      <c r="SXP22" s="13"/>
      <c r="SXQ22" s="14"/>
      <c r="SXR22" s="15"/>
      <c r="SXS22" s="15"/>
      <c r="SXT22" s="16"/>
      <c r="SXU22" s="41"/>
      <c r="SXV22" s="41"/>
      <c r="SXW22" s="28"/>
      <c r="SXX22" s="29"/>
      <c r="SXY22" s="24"/>
      <c r="SXZ22" s="13"/>
      <c r="SYA22" s="13"/>
      <c r="SYB22" s="14"/>
      <c r="SYC22" s="15"/>
      <c r="SYD22" s="15"/>
      <c r="SYE22" s="16"/>
      <c r="SYF22" s="41"/>
      <c r="SYG22" s="41"/>
      <c r="SYH22" s="28"/>
      <c r="SYI22" s="29"/>
      <c r="SYJ22" s="24"/>
      <c r="SYK22" s="13"/>
      <c r="SYL22" s="13"/>
      <c r="SYM22" s="14"/>
      <c r="SYN22" s="15"/>
      <c r="SYO22" s="15"/>
      <c r="SYP22" s="16"/>
      <c r="SYQ22" s="41"/>
      <c r="SYR22" s="41"/>
      <c r="SYS22" s="28"/>
      <c r="SYT22" s="29"/>
      <c r="SYU22" s="24"/>
      <c r="SYV22" s="13"/>
      <c r="SYW22" s="13"/>
      <c r="SYX22" s="14"/>
      <c r="SYY22" s="15"/>
      <c r="SYZ22" s="15"/>
      <c r="SZA22" s="16"/>
      <c r="SZB22" s="41"/>
      <c r="SZC22" s="41"/>
      <c r="SZD22" s="28"/>
      <c r="SZE22" s="29"/>
      <c r="SZF22" s="24"/>
      <c r="SZG22" s="13"/>
      <c r="SZH22" s="13"/>
      <c r="SZI22" s="14"/>
      <c r="SZJ22" s="15"/>
      <c r="SZK22" s="15"/>
      <c r="SZL22" s="16"/>
      <c r="SZM22" s="41"/>
      <c r="SZN22" s="41"/>
      <c r="SZO22" s="28"/>
      <c r="SZP22" s="29"/>
      <c r="SZQ22" s="24"/>
      <c r="SZR22" s="13"/>
      <c r="SZS22" s="13"/>
      <c r="SZT22" s="14"/>
      <c r="SZU22" s="15"/>
      <c r="SZV22" s="15"/>
      <c r="SZW22" s="16"/>
      <c r="SZX22" s="41"/>
      <c r="SZY22" s="41"/>
      <c r="SZZ22" s="28"/>
      <c r="TAA22" s="29"/>
      <c r="TAB22" s="24"/>
      <c r="TAC22" s="13"/>
      <c r="TAD22" s="13"/>
      <c r="TAE22" s="14"/>
      <c r="TAF22" s="15"/>
      <c r="TAG22" s="15"/>
      <c r="TAH22" s="16"/>
      <c r="TAI22" s="41"/>
      <c r="TAJ22" s="41"/>
      <c r="TAK22" s="28"/>
      <c r="TAL22" s="29"/>
      <c r="TAM22" s="24"/>
      <c r="TAN22" s="13"/>
      <c r="TAO22" s="13"/>
      <c r="TAP22" s="14"/>
      <c r="TAQ22" s="15"/>
      <c r="TAR22" s="15"/>
      <c r="TAS22" s="16"/>
      <c r="TAT22" s="41"/>
      <c r="TAU22" s="41"/>
      <c r="TAV22" s="28"/>
      <c r="TAW22" s="29"/>
      <c r="TAX22" s="24"/>
      <c r="TAY22" s="13"/>
      <c r="TAZ22" s="13"/>
      <c r="TBA22" s="14"/>
      <c r="TBB22" s="15"/>
      <c r="TBC22" s="15"/>
      <c r="TBD22" s="16"/>
      <c r="TBE22" s="41"/>
      <c r="TBF22" s="41"/>
      <c r="TBG22" s="28"/>
      <c r="TBH22" s="29"/>
      <c r="TBI22" s="24"/>
      <c r="TBJ22" s="13"/>
      <c r="TBK22" s="13"/>
      <c r="TBL22" s="14"/>
      <c r="TBM22" s="15"/>
      <c r="TBN22" s="15"/>
      <c r="TBO22" s="16"/>
      <c r="TBP22" s="41"/>
      <c r="TBQ22" s="41"/>
      <c r="TBR22" s="28"/>
      <c r="TBS22" s="29"/>
      <c r="TBT22" s="24"/>
      <c r="TBU22" s="13"/>
      <c r="TBV22" s="13"/>
      <c r="TBW22" s="14"/>
      <c r="TBX22" s="15"/>
      <c r="TBY22" s="15"/>
      <c r="TBZ22" s="16"/>
      <c r="TCA22" s="41"/>
      <c r="TCB22" s="41"/>
      <c r="TCC22" s="28"/>
      <c r="TCD22" s="29"/>
      <c r="TCE22" s="24"/>
      <c r="TCF22" s="13"/>
      <c r="TCG22" s="13"/>
      <c r="TCH22" s="14"/>
      <c r="TCI22" s="15"/>
      <c r="TCJ22" s="15"/>
      <c r="TCK22" s="16"/>
      <c r="TCL22" s="41"/>
      <c r="TCM22" s="41"/>
      <c r="TCN22" s="28"/>
      <c r="TCO22" s="29"/>
      <c r="TCP22" s="24"/>
      <c r="TCQ22" s="13"/>
      <c r="TCR22" s="13"/>
      <c r="TCS22" s="14"/>
      <c r="TCT22" s="15"/>
      <c r="TCU22" s="15"/>
      <c r="TCV22" s="16"/>
      <c r="TCW22" s="41"/>
      <c r="TCX22" s="41"/>
      <c r="TCY22" s="28"/>
      <c r="TCZ22" s="29"/>
      <c r="TDA22" s="24"/>
      <c r="TDB22" s="13"/>
      <c r="TDC22" s="13"/>
      <c r="TDD22" s="14"/>
      <c r="TDE22" s="15"/>
      <c r="TDF22" s="15"/>
      <c r="TDG22" s="16"/>
      <c r="TDH22" s="41"/>
      <c r="TDI22" s="41"/>
      <c r="TDJ22" s="28"/>
      <c r="TDK22" s="29"/>
      <c r="TDL22" s="24"/>
      <c r="TDM22" s="13"/>
      <c r="TDN22" s="13"/>
      <c r="TDO22" s="14"/>
      <c r="TDP22" s="15"/>
      <c r="TDQ22" s="15"/>
      <c r="TDR22" s="16"/>
      <c r="TDS22" s="41"/>
      <c r="TDT22" s="41"/>
      <c r="TDU22" s="28"/>
      <c r="TDV22" s="29"/>
      <c r="TDW22" s="24"/>
      <c r="TDX22" s="13"/>
      <c r="TDY22" s="13"/>
      <c r="TDZ22" s="14"/>
      <c r="TEA22" s="15"/>
      <c r="TEB22" s="15"/>
      <c r="TEC22" s="16"/>
      <c r="TED22" s="41"/>
      <c r="TEE22" s="41"/>
      <c r="TEF22" s="28"/>
      <c r="TEG22" s="29"/>
      <c r="TEH22" s="24"/>
      <c r="TEI22" s="13"/>
      <c r="TEJ22" s="13"/>
      <c r="TEK22" s="14"/>
      <c r="TEL22" s="15"/>
      <c r="TEM22" s="15"/>
      <c r="TEN22" s="16"/>
      <c r="TEO22" s="41"/>
      <c r="TEP22" s="41"/>
      <c r="TEQ22" s="28"/>
      <c r="TER22" s="29"/>
      <c r="TES22" s="24"/>
      <c r="TET22" s="13"/>
      <c r="TEU22" s="13"/>
      <c r="TEV22" s="14"/>
      <c r="TEW22" s="15"/>
      <c r="TEX22" s="15"/>
      <c r="TEY22" s="16"/>
      <c r="TEZ22" s="41"/>
      <c r="TFA22" s="41"/>
      <c r="TFB22" s="28"/>
      <c r="TFC22" s="29"/>
      <c r="TFD22" s="24"/>
      <c r="TFE22" s="13"/>
      <c r="TFF22" s="13"/>
      <c r="TFG22" s="14"/>
      <c r="TFH22" s="15"/>
      <c r="TFI22" s="15"/>
      <c r="TFJ22" s="16"/>
      <c r="TFK22" s="41"/>
      <c r="TFL22" s="41"/>
      <c r="TFM22" s="28"/>
      <c r="TFN22" s="29"/>
      <c r="TFO22" s="24"/>
      <c r="TFP22" s="13"/>
      <c r="TFQ22" s="13"/>
      <c r="TFR22" s="14"/>
      <c r="TFS22" s="15"/>
      <c r="TFT22" s="15"/>
      <c r="TFU22" s="16"/>
      <c r="TFV22" s="41"/>
      <c r="TFW22" s="41"/>
      <c r="TFX22" s="28"/>
      <c r="TFY22" s="29"/>
      <c r="TFZ22" s="24"/>
      <c r="TGA22" s="13"/>
      <c r="TGB22" s="13"/>
      <c r="TGC22" s="14"/>
      <c r="TGD22" s="15"/>
      <c r="TGE22" s="15"/>
      <c r="TGF22" s="16"/>
      <c r="TGG22" s="41"/>
      <c r="TGH22" s="41"/>
      <c r="TGI22" s="28"/>
      <c r="TGJ22" s="29"/>
      <c r="TGK22" s="24"/>
      <c r="TGL22" s="13"/>
      <c r="TGM22" s="13"/>
      <c r="TGN22" s="14"/>
      <c r="TGO22" s="15"/>
      <c r="TGP22" s="15"/>
      <c r="TGQ22" s="16"/>
      <c r="TGR22" s="41"/>
      <c r="TGS22" s="41"/>
      <c r="TGT22" s="28"/>
      <c r="TGU22" s="29"/>
      <c r="TGV22" s="24"/>
      <c r="TGW22" s="13"/>
      <c r="TGX22" s="13"/>
      <c r="TGY22" s="14"/>
      <c r="TGZ22" s="15"/>
      <c r="THA22" s="15"/>
      <c r="THB22" s="16"/>
      <c r="THC22" s="41"/>
      <c r="THD22" s="41"/>
      <c r="THE22" s="28"/>
      <c r="THF22" s="29"/>
      <c r="THG22" s="24"/>
      <c r="THH22" s="13"/>
      <c r="THI22" s="13"/>
      <c r="THJ22" s="14"/>
      <c r="THK22" s="15"/>
      <c r="THL22" s="15"/>
      <c r="THM22" s="16"/>
      <c r="THN22" s="41"/>
      <c r="THO22" s="41"/>
      <c r="THP22" s="28"/>
      <c r="THQ22" s="29"/>
      <c r="THR22" s="24"/>
      <c r="THS22" s="13"/>
      <c r="THT22" s="13"/>
      <c r="THU22" s="14"/>
      <c r="THV22" s="15"/>
      <c r="THW22" s="15"/>
      <c r="THX22" s="16"/>
      <c r="THY22" s="41"/>
      <c r="THZ22" s="41"/>
      <c r="TIA22" s="28"/>
      <c r="TIB22" s="29"/>
      <c r="TIC22" s="24"/>
      <c r="TID22" s="13"/>
      <c r="TIE22" s="13"/>
      <c r="TIF22" s="14"/>
      <c r="TIG22" s="15"/>
      <c r="TIH22" s="15"/>
      <c r="TII22" s="16"/>
      <c r="TIJ22" s="41"/>
      <c r="TIK22" s="41"/>
      <c r="TIL22" s="28"/>
      <c r="TIM22" s="29"/>
      <c r="TIN22" s="24"/>
      <c r="TIO22" s="13"/>
      <c r="TIP22" s="13"/>
      <c r="TIQ22" s="14"/>
      <c r="TIR22" s="15"/>
      <c r="TIS22" s="15"/>
      <c r="TIT22" s="16"/>
      <c r="TIU22" s="41"/>
      <c r="TIV22" s="41"/>
      <c r="TIW22" s="28"/>
      <c r="TIX22" s="29"/>
      <c r="TIY22" s="24"/>
      <c r="TIZ22" s="13"/>
      <c r="TJA22" s="13"/>
      <c r="TJB22" s="14"/>
      <c r="TJC22" s="15"/>
      <c r="TJD22" s="15"/>
      <c r="TJE22" s="16"/>
      <c r="TJF22" s="41"/>
      <c r="TJG22" s="41"/>
      <c r="TJH22" s="28"/>
      <c r="TJI22" s="29"/>
      <c r="TJJ22" s="24"/>
      <c r="TJK22" s="13"/>
      <c r="TJL22" s="13"/>
      <c r="TJM22" s="14"/>
      <c r="TJN22" s="15"/>
      <c r="TJO22" s="15"/>
      <c r="TJP22" s="16"/>
      <c r="TJQ22" s="41"/>
      <c r="TJR22" s="41"/>
      <c r="TJS22" s="28"/>
      <c r="TJT22" s="29"/>
      <c r="TJU22" s="24"/>
      <c r="TJV22" s="13"/>
      <c r="TJW22" s="13"/>
      <c r="TJX22" s="14"/>
      <c r="TJY22" s="15"/>
      <c r="TJZ22" s="15"/>
      <c r="TKA22" s="16"/>
      <c r="TKB22" s="41"/>
      <c r="TKC22" s="41"/>
      <c r="TKD22" s="28"/>
      <c r="TKE22" s="29"/>
      <c r="TKF22" s="24"/>
      <c r="TKG22" s="13"/>
      <c r="TKH22" s="13"/>
      <c r="TKI22" s="14"/>
      <c r="TKJ22" s="15"/>
      <c r="TKK22" s="15"/>
      <c r="TKL22" s="16"/>
      <c r="TKM22" s="41"/>
      <c r="TKN22" s="41"/>
      <c r="TKO22" s="28"/>
      <c r="TKP22" s="29"/>
      <c r="TKQ22" s="24"/>
      <c r="TKR22" s="13"/>
      <c r="TKS22" s="13"/>
      <c r="TKT22" s="14"/>
      <c r="TKU22" s="15"/>
      <c r="TKV22" s="15"/>
      <c r="TKW22" s="16"/>
      <c r="TKX22" s="41"/>
      <c r="TKY22" s="41"/>
      <c r="TKZ22" s="28"/>
      <c r="TLA22" s="29"/>
      <c r="TLB22" s="24"/>
      <c r="TLC22" s="13"/>
      <c r="TLD22" s="13"/>
      <c r="TLE22" s="14"/>
      <c r="TLF22" s="15"/>
      <c r="TLG22" s="15"/>
      <c r="TLH22" s="16"/>
      <c r="TLI22" s="41"/>
      <c r="TLJ22" s="41"/>
      <c r="TLK22" s="28"/>
      <c r="TLL22" s="29"/>
      <c r="TLM22" s="24"/>
      <c r="TLN22" s="13"/>
      <c r="TLO22" s="13"/>
      <c r="TLP22" s="14"/>
      <c r="TLQ22" s="15"/>
      <c r="TLR22" s="15"/>
      <c r="TLS22" s="16"/>
      <c r="TLT22" s="41"/>
      <c r="TLU22" s="41"/>
      <c r="TLV22" s="28"/>
      <c r="TLW22" s="29"/>
      <c r="TLX22" s="24"/>
      <c r="TLY22" s="13"/>
      <c r="TLZ22" s="13"/>
      <c r="TMA22" s="14"/>
      <c r="TMB22" s="15"/>
      <c r="TMC22" s="15"/>
      <c r="TMD22" s="16"/>
      <c r="TME22" s="41"/>
      <c r="TMF22" s="41"/>
      <c r="TMG22" s="28"/>
      <c r="TMH22" s="29"/>
      <c r="TMI22" s="24"/>
      <c r="TMJ22" s="13"/>
      <c r="TMK22" s="13"/>
      <c r="TML22" s="14"/>
      <c r="TMM22" s="15"/>
      <c r="TMN22" s="15"/>
      <c r="TMO22" s="16"/>
      <c r="TMP22" s="41"/>
      <c r="TMQ22" s="41"/>
      <c r="TMR22" s="28"/>
      <c r="TMS22" s="29"/>
      <c r="TMT22" s="24"/>
      <c r="TMU22" s="13"/>
      <c r="TMV22" s="13"/>
      <c r="TMW22" s="14"/>
      <c r="TMX22" s="15"/>
      <c r="TMY22" s="15"/>
      <c r="TMZ22" s="16"/>
      <c r="TNA22" s="41"/>
      <c r="TNB22" s="41"/>
      <c r="TNC22" s="28"/>
      <c r="TND22" s="29"/>
      <c r="TNE22" s="24"/>
      <c r="TNF22" s="13"/>
      <c r="TNG22" s="13"/>
      <c r="TNH22" s="14"/>
      <c r="TNI22" s="15"/>
      <c r="TNJ22" s="15"/>
      <c r="TNK22" s="16"/>
      <c r="TNL22" s="41"/>
      <c r="TNM22" s="41"/>
      <c r="TNN22" s="28"/>
      <c r="TNO22" s="29"/>
      <c r="TNP22" s="24"/>
      <c r="TNQ22" s="13"/>
      <c r="TNR22" s="13"/>
      <c r="TNS22" s="14"/>
      <c r="TNT22" s="15"/>
      <c r="TNU22" s="15"/>
      <c r="TNV22" s="16"/>
      <c r="TNW22" s="41"/>
      <c r="TNX22" s="41"/>
      <c r="TNY22" s="28"/>
      <c r="TNZ22" s="29"/>
      <c r="TOA22" s="24"/>
      <c r="TOB22" s="13"/>
      <c r="TOC22" s="13"/>
      <c r="TOD22" s="14"/>
      <c r="TOE22" s="15"/>
      <c r="TOF22" s="15"/>
      <c r="TOG22" s="16"/>
      <c r="TOH22" s="41"/>
      <c r="TOI22" s="41"/>
      <c r="TOJ22" s="28"/>
      <c r="TOK22" s="29"/>
      <c r="TOL22" s="24"/>
      <c r="TOM22" s="13"/>
      <c r="TON22" s="13"/>
      <c r="TOO22" s="14"/>
      <c r="TOP22" s="15"/>
      <c r="TOQ22" s="15"/>
      <c r="TOR22" s="16"/>
      <c r="TOS22" s="41"/>
      <c r="TOT22" s="41"/>
      <c r="TOU22" s="28"/>
      <c r="TOV22" s="29"/>
      <c r="TOW22" s="24"/>
      <c r="TOX22" s="13"/>
      <c r="TOY22" s="13"/>
      <c r="TOZ22" s="14"/>
      <c r="TPA22" s="15"/>
      <c r="TPB22" s="15"/>
      <c r="TPC22" s="16"/>
      <c r="TPD22" s="41"/>
      <c r="TPE22" s="41"/>
      <c r="TPF22" s="28"/>
      <c r="TPG22" s="29"/>
      <c r="TPH22" s="24"/>
      <c r="TPI22" s="13"/>
      <c r="TPJ22" s="13"/>
      <c r="TPK22" s="14"/>
      <c r="TPL22" s="15"/>
      <c r="TPM22" s="15"/>
      <c r="TPN22" s="16"/>
      <c r="TPO22" s="41"/>
      <c r="TPP22" s="41"/>
      <c r="TPQ22" s="28"/>
      <c r="TPR22" s="29"/>
      <c r="TPS22" s="24"/>
      <c r="TPT22" s="13"/>
      <c r="TPU22" s="13"/>
      <c r="TPV22" s="14"/>
      <c r="TPW22" s="15"/>
      <c r="TPX22" s="15"/>
      <c r="TPY22" s="16"/>
      <c r="TPZ22" s="41"/>
      <c r="TQA22" s="41"/>
      <c r="TQB22" s="28"/>
      <c r="TQC22" s="29"/>
      <c r="TQD22" s="24"/>
      <c r="TQE22" s="13"/>
      <c r="TQF22" s="13"/>
      <c r="TQG22" s="14"/>
      <c r="TQH22" s="15"/>
      <c r="TQI22" s="15"/>
      <c r="TQJ22" s="16"/>
      <c r="TQK22" s="41"/>
      <c r="TQL22" s="41"/>
      <c r="TQM22" s="28"/>
      <c r="TQN22" s="29"/>
      <c r="TQO22" s="24"/>
      <c r="TQP22" s="13"/>
      <c r="TQQ22" s="13"/>
      <c r="TQR22" s="14"/>
      <c r="TQS22" s="15"/>
      <c r="TQT22" s="15"/>
      <c r="TQU22" s="16"/>
      <c r="TQV22" s="41"/>
      <c r="TQW22" s="41"/>
      <c r="TQX22" s="28"/>
      <c r="TQY22" s="29"/>
      <c r="TQZ22" s="24"/>
      <c r="TRA22" s="13"/>
      <c r="TRB22" s="13"/>
      <c r="TRC22" s="14"/>
      <c r="TRD22" s="15"/>
      <c r="TRE22" s="15"/>
      <c r="TRF22" s="16"/>
      <c r="TRG22" s="41"/>
      <c r="TRH22" s="41"/>
      <c r="TRI22" s="28"/>
      <c r="TRJ22" s="29"/>
      <c r="TRK22" s="24"/>
      <c r="TRL22" s="13"/>
      <c r="TRM22" s="13"/>
      <c r="TRN22" s="14"/>
      <c r="TRO22" s="15"/>
      <c r="TRP22" s="15"/>
      <c r="TRQ22" s="16"/>
      <c r="TRR22" s="41"/>
      <c r="TRS22" s="41"/>
      <c r="TRT22" s="28"/>
      <c r="TRU22" s="29"/>
      <c r="TRV22" s="24"/>
      <c r="TRW22" s="13"/>
      <c r="TRX22" s="13"/>
      <c r="TRY22" s="14"/>
      <c r="TRZ22" s="15"/>
      <c r="TSA22" s="15"/>
      <c r="TSB22" s="16"/>
      <c r="TSC22" s="41"/>
      <c r="TSD22" s="41"/>
      <c r="TSE22" s="28"/>
      <c r="TSF22" s="29"/>
      <c r="TSG22" s="24"/>
      <c r="TSH22" s="13"/>
      <c r="TSI22" s="13"/>
      <c r="TSJ22" s="14"/>
      <c r="TSK22" s="15"/>
      <c r="TSL22" s="15"/>
      <c r="TSM22" s="16"/>
      <c r="TSN22" s="41"/>
      <c r="TSO22" s="41"/>
      <c r="TSP22" s="28"/>
      <c r="TSQ22" s="29"/>
      <c r="TSR22" s="24"/>
      <c r="TSS22" s="13"/>
      <c r="TST22" s="13"/>
      <c r="TSU22" s="14"/>
      <c r="TSV22" s="15"/>
      <c r="TSW22" s="15"/>
      <c r="TSX22" s="16"/>
      <c r="TSY22" s="41"/>
      <c r="TSZ22" s="41"/>
      <c r="TTA22" s="28"/>
      <c r="TTB22" s="29"/>
      <c r="TTC22" s="24"/>
      <c r="TTD22" s="13"/>
      <c r="TTE22" s="13"/>
      <c r="TTF22" s="14"/>
      <c r="TTG22" s="15"/>
      <c r="TTH22" s="15"/>
      <c r="TTI22" s="16"/>
      <c r="TTJ22" s="41"/>
      <c r="TTK22" s="41"/>
      <c r="TTL22" s="28"/>
      <c r="TTM22" s="29"/>
      <c r="TTN22" s="24"/>
      <c r="TTO22" s="13"/>
      <c r="TTP22" s="13"/>
      <c r="TTQ22" s="14"/>
      <c r="TTR22" s="15"/>
      <c r="TTS22" s="15"/>
      <c r="TTT22" s="16"/>
      <c r="TTU22" s="41"/>
      <c r="TTV22" s="41"/>
      <c r="TTW22" s="28"/>
      <c r="TTX22" s="29"/>
      <c r="TTY22" s="24"/>
      <c r="TTZ22" s="13"/>
      <c r="TUA22" s="13"/>
      <c r="TUB22" s="14"/>
      <c r="TUC22" s="15"/>
      <c r="TUD22" s="15"/>
      <c r="TUE22" s="16"/>
      <c r="TUF22" s="41"/>
      <c r="TUG22" s="41"/>
      <c r="TUH22" s="28"/>
      <c r="TUI22" s="29"/>
      <c r="TUJ22" s="24"/>
      <c r="TUK22" s="13"/>
      <c r="TUL22" s="13"/>
      <c r="TUM22" s="14"/>
      <c r="TUN22" s="15"/>
      <c r="TUO22" s="15"/>
      <c r="TUP22" s="16"/>
      <c r="TUQ22" s="41"/>
      <c r="TUR22" s="41"/>
      <c r="TUS22" s="28"/>
      <c r="TUT22" s="29"/>
      <c r="TUU22" s="24"/>
      <c r="TUV22" s="13"/>
      <c r="TUW22" s="13"/>
      <c r="TUX22" s="14"/>
      <c r="TUY22" s="15"/>
      <c r="TUZ22" s="15"/>
      <c r="TVA22" s="16"/>
      <c r="TVB22" s="41"/>
      <c r="TVC22" s="41"/>
      <c r="TVD22" s="28"/>
      <c r="TVE22" s="29"/>
      <c r="TVF22" s="24"/>
      <c r="TVG22" s="13"/>
      <c r="TVH22" s="13"/>
      <c r="TVI22" s="14"/>
      <c r="TVJ22" s="15"/>
      <c r="TVK22" s="15"/>
      <c r="TVL22" s="16"/>
      <c r="TVM22" s="41"/>
      <c r="TVN22" s="41"/>
      <c r="TVO22" s="28"/>
      <c r="TVP22" s="29"/>
      <c r="TVQ22" s="24"/>
      <c r="TVR22" s="13"/>
      <c r="TVS22" s="13"/>
      <c r="TVT22" s="14"/>
      <c r="TVU22" s="15"/>
      <c r="TVV22" s="15"/>
      <c r="TVW22" s="16"/>
      <c r="TVX22" s="41"/>
      <c r="TVY22" s="41"/>
      <c r="TVZ22" s="28"/>
      <c r="TWA22" s="29"/>
      <c r="TWB22" s="24"/>
      <c r="TWC22" s="13"/>
      <c r="TWD22" s="13"/>
      <c r="TWE22" s="14"/>
      <c r="TWF22" s="15"/>
      <c r="TWG22" s="15"/>
      <c r="TWH22" s="16"/>
      <c r="TWI22" s="41"/>
      <c r="TWJ22" s="41"/>
      <c r="TWK22" s="28"/>
      <c r="TWL22" s="29"/>
      <c r="TWM22" s="24"/>
      <c r="TWN22" s="13"/>
      <c r="TWO22" s="13"/>
      <c r="TWP22" s="14"/>
      <c r="TWQ22" s="15"/>
      <c r="TWR22" s="15"/>
      <c r="TWS22" s="16"/>
      <c r="TWT22" s="41"/>
      <c r="TWU22" s="41"/>
      <c r="TWV22" s="28"/>
      <c r="TWW22" s="29"/>
      <c r="TWX22" s="24"/>
      <c r="TWY22" s="13"/>
      <c r="TWZ22" s="13"/>
      <c r="TXA22" s="14"/>
      <c r="TXB22" s="15"/>
      <c r="TXC22" s="15"/>
      <c r="TXD22" s="16"/>
      <c r="TXE22" s="41"/>
      <c r="TXF22" s="41"/>
      <c r="TXG22" s="28"/>
      <c r="TXH22" s="29"/>
      <c r="TXI22" s="24"/>
      <c r="TXJ22" s="13"/>
      <c r="TXK22" s="13"/>
      <c r="TXL22" s="14"/>
      <c r="TXM22" s="15"/>
      <c r="TXN22" s="15"/>
      <c r="TXO22" s="16"/>
      <c r="TXP22" s="41"/>
      <c r="TXQ22" s="41"/>
      <c r="TXR22" s="28"/>
      <c r="TXS22" s="29"/>
      <c r="TXT22" s="24"/>
      <c r="TXU22" s="13"/>
      <c r="TXV22" s="13"/>
      <c r="TXW22" s="14"/>
      <c r="TXX22" s="15"/>
      <c r="TXY22" s="15"/>
      <c r="TXZ22" s="16"/>
      <c r="TYA22" s="41"/>
      <c r="TYB22" s="41"/>
      <c r="TYC22" s="28"/>
      <c r="TYD22" s="29"/>
      <c r="TYE22" s="24"/>
      <c r="TYF22" s="13"/>
      <c r="TYG22" s="13"/>
      <c r="TYH22" s="14"/>
      <c r="TYI22" s="15"/>
      <c r="TYJ22" s="15"/>
      <c r="TYK22" s="16"/>
      <c r="TYL22" s="41"/>
      <c r="TYM22" s="41"/>
      <c r="TYN22" s="28"/>
      <c r="TYO22" s="29"/>
      <c r="TYP22" s="24"/>
      <c r="TYQ22" s="13"/>
      <c r="TYR22" s="13"/>
      <c r="TYS22" s="14"/>
      <c r="TYT22" s="15"/>
      <c r="TYU22" s="15"/>
      <c r="TYV22" s="16"/>
      <c r="TYW22" s="41"/>
      <c r="TYX22" s="41"/>
      <c r="TYY22" s="28"/>
      <c r="TYZ22" s="29"/>
      <c r="TZA22" s="24"/>
      <c r="TZB22" s="13"/>
      <c r="TZC22" s="13"/>
      <c r="TZD22" s="14"/>
      <c r="TZE22" s="15"/>
      <c r="TZF22" s="15"/>
      <c r="TZG22" s="16"/>
      <c r="TZH22" s="41"/>
      <c r="TZI22" s="41"/>
      <c r="TZJ22" s="28"/>
      <c r="TZK22" s="29"/>
      <c r="TZL22" s="24"/>
      <c r="TZM22" s="13"/>
      <c r="TZN22" s="13"/>
      <c r="TZO22" s="14"/>
      <c r="TZP22" s="15"/>
      <c r="TZQ22" s="15"/>
      <c r="TZR22" s="16"/>
      <c r="TZS22" s="41"/>
      <c r="TZT22" s="41"/>
      <c r="TZU22" s="28"/>
      <c r="TZV22" s="29"/>
      <c r="TZW22" s="24"/>
      <c r="TZX22" s="13"/>
      <c r="TZY22" s="13"/>
      <c r="TZZ22" s="14"/>
      <c r="UAA22" s="15"/>
      <c r="UAB22" s="15"/>
      <c r="UAC22" s="16"/>
      <c r="UAD22" s="41"/>
      <c r="UAE22" s="41"/>
      <c r="UAF22" s="28"/>
      <c r="UAG22" s="29"/>
      <c r="UAH22" s="24"/>
      <c r="UAI22" s="13"/>
      <c r="UAJ22" s="13"/>
      <c r="UAK22" s="14"/>
      <c r="UAL22" s="15"/>
      <c r="UAM22" s="15"/>
      <c r="UAN22" s="16"/>
      <c r="UAO22" s="41"/>
      <c r="UAP22" s="41"/>
      <c r="UAQ22" s="28"/>
      <c r="UAR22" s="29"/>
      <c r="UAS22" s="24"/>
      <c r="UAT22" s="13"/>
      <c r="UAU22" s="13"/>
      <c r="UAV22" s="14"/>
      <c r="UAW22" s="15"/>
      <c r="UAX22" s="15"/>
      <c r="UAY22" s="16"/>
      <c r="UAZ22" s="41"/>
      <c r="UBA22" s="41"/>
      <c r="UBB22" s="28"/>
      <c r="UBC22" s="29"/>
      <c r="UBD22" s="24"/>
      <c r="UBE22" s="13"/>
      <c r="UBF22" s="13"/>
      <c r="UBG22" s="14"/>
      <c r="UBH22" s="15"/>
      <c r="UBI22" s="15"/>
      <c r="UBJ22" s="16"/>
      <c r="UBK22" s="41"/>
      <c r="UBL22" s="41"/>
      <c r="UBM22" s="28"/>
      <c r="UBN22" s="29"/>
      <c r="UBO22" s="24"/>
      <c r="UBP22" s="13"/>
      <c r="UBQ22" s="13"/>
      <c r="UBR22" s="14"/>
      <c r="UBS22" s="15"/>
      <c r="UBT22" s="15"/>
      <c r="UBU22" s="16"/>
      <c r="UBV22" s="41"/>
      <c r="UBW22" s="41"/>
      <c r="UBX22" s="28"/>
      <c r="UBY22" s="29"/>
      <c r="UBZ22" s="24"/>
      <c r="UCA22" s="13"/>
      <c r="UCB22" s="13"/>
      <c r="UCC22" s="14"/>
      <c r="UCD22" s="15"/>
      <c r="UCE22" s="15"/>
      <c r="UCF22" s="16"/>
      <c r="UCG22" s="41"/>
      <c r="UCH22" s="41"/>
      <c r="UCI22" s="28"/>
      <c r="UCJ22" s="29"/>
      <c r="UCK22" s="24"/>
      <c r="UCL22" s="13"/>
      <c r="UCM22" s="13"/>
      <c r="UCN22" s="14"/>
      <c r="UCO22" s="15"/>
      <c r="UCP22" s="15"/>
      <c r="UCQ22" s="16"/>
      <c r="UCR22" s="41"/>
      <c r="UCS22" s="41"/>
      <c r="UCT22" s="28"/>
      <c r="UCU22" s="29"/>
      <c r="UCV22" s="24"/>
      <c r="UCW22" s="13"/>
      <c r="UCX22" s="13"/>
      <c r="UCY22" s="14"/>
      <c r="UCZ22" s="15"/>
      <c r="UDA22" s="15"/>
      <c r="UDB22" s="16"/>
      <c r="UDC22" s="41"/>
      <c r="UDD22" s="41"/>
      <c r="UDE22" s="28"/>
      <c r="UDF22" s="29"/>
      <c r="UDG22" s="24"/>
      <c r="UDH22" s="13"/>
      <c r="UDI22" s="13"/>
      <c r="UDJ22" s="14"/>
      <c r="UDK22" s="15"/>
      <c r="UDL22" s="15"/>
      <c r="UDM22" s="16"/>
      <c r="UDN22" s="41"/>
      <c r="UDO22" s="41"/>
      <c r="UDP22" s="28"/>
      <c r="UDQ22" s="29"/>
      <c r="UDR22" s="24"/>
      <c r="UDS22" s="13"/>
      <c r="UDT22" s="13"/>
      <c r="UDU22" s="14"/>
      <c r="UDV22" s="15"/>
      <c r="UDW22" s="15"/>
      <c r="UDX22" s="16"/>
      <c r="UDY22" s="41"/>
      <c r="UDZ22" s="41"/>
      <c r="UEA22" s="28"/>
      <c r="UEB22" s="29"/>
      <c r="UEC22" s="24"/>
      <c r="UED22" s="13"/>
      <c r="UEE22" s="13"/>
      <c r="UEF22" s="14"/>
      <c r="UEG22" s="15"/>
      <c r="UEH22" s="15"/>
      <c r="UEI22" s="16"/>
      <c r="UEJ22" s="41"/>
      <c r="UEK22" s="41"/>
      <c r="UEL22" s="28"/>
      <c r="UEM22" s="29"/>
      <c r="UEN22" s="24"/>
      <c r="UEO22" s="13"/>
      <c r="UEP22" s="13"/>
      <c r="UEQ22" s="14"/>
      <c r="UER22" s="15"/>
      <c r="UES22" s="15"/>
      <c r="UET22" s="16"/>
      <c r="UEU22" s="41"/>
      <c r="UEV22" s="41"/>
      <c r="UEW22" s="28"/>
      <c r="UEX22" s="29"/>
      <c r="UEY22" s="24"/>
      <c r="UEZ22" s="13"/>
      <c r="UFA22" s="13"/>
      <c r="UFB22" s="14"/>
      <c r="UFC22" s="15"/>
      <c r="UFD22" s="15"/>
      <c r="UFE22" s="16"/>
      <c r="UFF22" s="41"/>
      <c r="UFG22" s="41"/>
      <c r="UFH22" s="28"/>
      <c r="UFI22" s="29"/>
      <c r="UFJ22" s="24"/>
      <c r="UFK22" s="13"/>
      <c r="UFL22" s="13"/>
      <c r="UFM22" s="14"/>
      <c r="UFN22" s="15"/>
      <c r="UFO22" s="15"/>
      <c r="UFP22" s="16"/>
      <c r="UFQ22" s="41"/>
      <c r="UFR22" s="41"/>
      <c r="UFS22" s="28"/>
      <c r="UFT22" s="29"/>
      <c r="UFU22" s="24"/>
      <c r="UFV22" s="13"/>
      <c r="UFW22" s="13"/>
      <c r="UFX22" s="14"/>
      <c r="UFY22" s="15"/>
      <c r="UFZ22" s="15"/>
      <c r="UGA22" s="16"/>
      <c r="UGB22" s="41"/>
      <c r="UGC22" s="41"/>
      <c r="UGD22" s="28"/>
      <c r="UGE22" s="29"/>
      <c r="UGF22" s="24"/>
      <c r="UGG22" s="13"/>
      <c r="UGH22" s="13"/>
      <c r="UGI22" s="14"/>
      <c r="UGJ22" s="15"/>
      <c r="UGK22" s="15"/>
      <c r="UGL22" s="16"/>
      <c r="UGM22" s="41"/>
      <c r="UGN22" s="41"/>
      <c r="UGO22" s="28"/>
      <c r="UGP22" s="29"/>
      <c r="UGQ22" s="24"/>
      <c r="UGR22" s="13"/>
      <c r="UGS22" s="13"/>
      <c r="UGT22" s="14"/>
      <c r="UGU22" s="15"/>
      <c r="UGV22" s="15"/>
      <c r="UGW22" s="16"/>
      <c r="UGX22" s="41"/>
      <c r="UGY22" s="41"/>
      <c r="UGZ22" s="28"/>
      <c r="UHA22" s="29"/>
      <c r="UHB22" s="24"/>
      <c r="UHC22" s="13"/>
      <c r="UHD22" s="13"/>
      <c r="UHE22" s="14"/>
      <c r="UHF22" s="15"/>
      <c r="UHG22" s="15"/>
      <c r="UHH22" s="16"/>
      <c r="UHI22" s="41"/>
      <c r="UHJ22" s="41"/>
      <c r="UHK22" s="28"/>
      <c r="UHL22" s="29"/>
      <c r="UHM22" s="24"/>
      <c r="UHN22" s="13"/>
      <c r="UHO22" s="13"/>
      <c r="UHP22" s="14"/>
      <c r="UHQ22" s="15"/>
      <c r="UHR22" s="15"/>
      <c r="UHS22" s="16"/>
      <c r="UHT22" s="41"/>
      <c r="UHU22" s="41"/>
      <c r="UHV22" s="28"/>
      <c r="UHW22" s="29"/>
      <c r="UHX22" s="24"/>
      <c r="UHY22" s="13"/>
      <c r="UHZ22" s="13"/>
      <c r="UIA22" s="14"/>
      <c r="UIB22" s="15"/>
      <c r="UIC22" s="15"/>
      <c r="UID22" s="16"/>
      <c r="UIE22" s="41"/>
      <c r="UIF22" s="41"/>
      <c r="UIG22" s="28"/>
      <c r="UIH22" s="29"/>
      <c r="UII22" s="24"/>
      <c r="UIJ22" s="13"/>
      <c r="UIK22" s="13"/>
      <c r="UIL22" s="14"/>
      <c r="UIM22" s="15"/>
      <c r="UIN22" s="15"/>
      <c r="UIO22" s="16"/>
      <c r="UIP22" s="41"/>
      <c r="UIQ22" s="41"/>
      <c r="UIR22" s="28"/>
      <c r="UIS22" s="29"/>
      <c r="UIT22" s="24"/>
      <c r="UIU22" s="13"/>
      <c r="UIV22" s="13"/>
      <c r="UIW22" s="14"/>
      <c r="UIX22" s="15"/>
      <c r="UIY22" s="15"/>
      <c r="UIZ22" s="16"/>
      <c r="UJA22" s="41"/>
      <c r="UJB22" s="41"/>
      <c r="UJC22" s="28"/>
      <c r="UJD22" s="29"/>
      <c r="UJE22" s="24"/>
      <c r="UJF22" s="13"/>
      <c r="UJG22" s="13"/>
      <c r="UJH22" s="14"/>
      <c r="UJI22" s="15"/>
      <c r="UJJ22" s="15"/>
      <c r="UJK22" s="16"/>
      <c r="UJL22" s="41"/>
      <c r="UJM22" s="41"/>
      <c r="UJN22" s="28"/>
      <c r="UJO22" s="29"/>
      <c r="UJP22" s="24"/>
      <c r="UJQ22" s="13"/>
      <c r="UJR22" s="13"/>
      <c r="UJS22" s="14"/>
      <c r="UJT22" s="15"/>
      <c r="UJU22" s="15"/>
      <c r="UJV22" s="16"/>
      <c r="UJW22" s="41"/>
      <c r="UJX22" s="41"/>
      <c r="UJY22" s="28"/>
      <c r="UJZ22" s="29"/>
      <c r="UKA22" s="24"/>
      <c r="UKB22" s="13"/>
      <c r="UKC22" s="13"/>
      <c r="UKD22" s="14"/>
      <c r="UKE22" s="15"/>
      <c r="UKF22" s="15"/>
      <c r="UKG22" s="16"/>
      <c r="UKH22" s="41"/>
      <c r="UKI22" s="41"/>
      <c r="UKJ22" s="28"/>
      <c r="UKK22" s="29"/>
      <c r="UKL22" s="24"/>
      <c r="UKM22" s="13"/>
      <c r="UKN22" s="13"/>
      <c r="UKO22" s="14"/>
      <c r="UKP22" s="15"/>
      <c r="UKQ22" s="15"/>
      <c r="UKR22" s="16"/>
      <c r="UKS22" s="41"/>
      <c r="UKT22" s="41"/>
      <c r="UKU22" s="28"/>
      <c r="UKV22" s="29"/>
      <c r="UKW22" s="24"/>
      <c r="UKX22" s="13"/>
      <c r="UKY22" s="13"/>
      <c r="UKZ22" s="14"/>
      <c r="ULA22" s="15"/>
      <c r="ULB22" s="15"/>
      <c r="ULC22" s="16"/>
      <c r="ULD22" s="41"/>
      <c r="ULE22" s="41"/>
      <c r="ULF22" s="28"/>
      <c r="ULG22" s="29"/>
      <c r="ULH22" s="24"/>
      <c r="ULI22" s="13"/>
      <c r="ULJ22" s="13"/>
      <c r="ULK22" s="14"/>
      <c r="ULL22" s="15"/>
      <c r="ULM22" s="15"/>
      <c r="ULN22" s="16"/>
      <c r="ULO22" s="41"/>
      <c r="ULP22" s="41"/>
      <c r="ULQ22" s="28"/>
      <c r="ULR22" s="29"/>
      <c r="ULS22" s="24"/>
      <c r="ULT22" s="13"/>
      <c r="ULU22" s="13"/>
      <c r="ULV22" s="14"/>
      <c r="ULW22" s="15"/>
      <c r="ULX22" s="15"/>
      <c r="ULY22" s="16"/>
      <c r="ULZ22" s="41"/>
      <c r="UMA22" s="41"/>
      <c r="UMB22" s="28"/>
      <c r="UMC22" s="29"/>
      <c r="UMD22" s="24"/>
      <c r="UME22" s="13"/>
      <c r="UMF22" s="13"/>
      <c r="UMG22" s="14"/>
      <c r="UMH22" s="15"/>
      <c r="UMI22" s="15"/>
      <c r="UMJ22" s="16"/>
      <c r="UMK22" s="41"/>
      <c r="UML22" s="41"/>
      <c r="UMM22" s="28"/>
      <c r="UMN22" s="29"/>
      <c r="UMO22" s="24"/>
      <c r="UMP22" s="13"/>
      <c r="UMQ22" s="13"/>
      <c r="UMR22" s="14"/>
      <c r="UMS22" s="15"/>
      <c r="UMT22" s="15"/>
      <c r="UMU22" s="16"/>
      <c r="UMV22" s="41"/>
      <c r="UMW22" s="41"/>
      <c r="UMX22" s="28"/>
      <c r="UMY22" s="29"/>
      <c r="UMZ22" s="24"/>
      <c r="UNA22" s="13"/>
      <c r="UNB22" s="13"/>
      <c r="UNC22" s="14"/>
      <c r="UND22" s="15"/>
      <c r="UNE22" s="15"/>
      <c r="UNF22" s="16"/>
      <c r="UNG22" s="41"/>
      <c r="UNH22" s="41"/>
      <c r="UNI22" s="28"/>
      <c r="UNJ22" s="29"/>
      <c r="UNK22" s="24"/>
      <c r="UNL22" s="13"/>
      <c r="UNM22" s="13"/>
      <c r="UNN22" s="14"/>
      <c r="UNO22" s="15"/>
      <c r="UNP22" s="15"/>
      <c r="UNQ22" s="16"/>
      <c r="UNR22" s="41"/>
      <c r="UNS22" s="41"/>
      <c r="UNT22" s="28"/>
      <c r="UNU22" s="29"/>
      <c r="UNV22" s="24"/>
      <c r="UNW22" s="13"/>
      <c r="UNX22" s="13"/>
      <c r="UNY22" s="14"/>
      <c r="UNZ22" s="15"/>
      <c r="UOA22" s="15"/>
      <c r="UOB22" s="16"/>
      <c r="UOC22" s="41"/>
      <c r="UOD22" s="41"/>
      <c r="UOE22" s="28"/>
      <c r="UOF22" s="29"/>
      <c r="UOG22" s="24"/>
      <c r="UOH22" s="13"/>
      <c r="UOI22" s="13"/>
      <c r="UOJ22" s="14"/>
      <c r="UOK22" s="15"/>
      <c r="UOL22" s="15"/>
      <c r="UOM22" s="16"/>
      <c r="UON22" s="41"/>
      <c r="UOO22" s="41"/>
      <c r="UOP22" s="28"/>
      <c r="UOQ22" s="29"/>
      <c r="UOR22" s="24"/>
      <c r="UOS22" s="13"/>
      <c r="UOT22" s="13"/>
      <c r="UOU22" s="14"/>
      <c r="UOV22" s="15"/>
      <c r="UOW22" s="15"/>
      <c r="UOX22" s="16"/>
      <c r="UOY22" s="41"/>
      <c r="UOZ22" s="41"/>
      <c r="UPA22" s="28"/>
      <c r="UPB22" s="29"/>
      <c r="UPC22" s="24"/>
      <c r="UPD22" s="13"/>
      <c r="UPE22" s="13"/>
      <c r="UPF22" s="14"/>
      <c r="UPG22" s="15"/>
      <c r="UPH22" s="15"/>
      <c r="UPI22" s="16"/>
      <c r="UPJ22" s="41"/>
      <c r="UPK22" s="41"/>
      <c r="UPL22" s="28"/>
      <c r="UPM22" s="29"/>
      <c r="UPN22" s="24"/>
      <c r="UPO22" s="13"/>
      <c r="UPP22" s="13"/>
      <c r="UPQ22" s="14"/>
      <c r="UPR22" s="15"/>
      <c r="UPS22" s="15"/>
      <c r="UPT22" s="16"/>
      <c r="UPU22" s="41"/>
      <c r="UPV22" s="41"/>
      <c r="UPW22" s="28"/>
      <c r="UPX22" s="29"/>
      <c r="UPY22" s="24"/>
      <c r="UPZ22" s="13"/>
      <c r="UQA22" s="13"/>
      <c r="UQB22" s="14"/>
      <c r="UQC22" s="15"/>
      <c r="UQD22" s="15"/>
      <c r="UQE22" s="16"/>
      <c r="UQF22" s="41"/>
      <c r="UQG22" s="41"/>
      <c r="UQH22" s="28"/>
      <c r="UQI22" s="29"/>
      <c r="UQJ22" s="24"/>
      <c r="UQK22" s="13"/>
      <c r="UQL22" s="13"/>
      <c r="UQM22" s="14"/>
      <c r="UQN22" s="15"/>
      <c r="UQO22" s="15"/>
      <c r="UQP22" s="16"/>
      <c r="UQQ22" s="41"/>
      <c r="UQR22" s="41"/>
      <c r="UQS22" s="28"/>
      <c r="UQT22" s="29"/>
      <c r="UQU22" s="24"/>
      <c r="UQV22" s="13"/>
      <c r="UQW22" s="13"/>
      <c r="UQX22" s="14"/>
      <c r="UQY22" s="15"/>
      <c r="UQZ22" s="15"/>
      <c r="URA22" s="16"/>
      <c r="URB22" s="41"/>
      <c r="URC22" s="41"/>
      <c r="URD22" s="28"/>
      <c r="URE22" s="29"/>
      <c r="URF22" s="24"/>
      <c r="URG22" s="13"/>
      <c r="URH22" s="13"/>
      <c r="URI22" s="14"/>
      <c r="URJ22" s="15"/>
      <c r="URK22" s="15"/>
      <c r="URL22" s="16"/>
      <c r="URM22" s="41"/>
      <c r="URN22" s="41"/>
      <c r="URO22" s="28"/>
      <c r="URP22" s="29"/>
      <c r="URQ22" s="24"/>
      <c r="URR22" s="13"/>
      <c r="URS22" s="13"/>
      <c r="URT22" s="14"/>
      <c r="URU22" s="15"/>
      <c r="URV22" s="15"/>
      <c r="URW22" s="16"/>
      <c r="URX22" s="41"/>
      <c r="URY22" s="41"/>
      <c r="URZ22" s="28"/>
      <c r="USA22" s="29"/>
      <c r="USB22" s="24"/>
      <c r="USC22" s="13"/>
      <c r="USD22" s="13"/>
      <c r="USE22" s="14"/>
      <c r="USF22" s="15"/>
      <c r="USG22" s="15"/>
      <c r="USH22" s="16"/>
      <c r="USI22" s="41"/>
      <c r="USJ22" s="41"/>
      <c r="USK22" s="28"/>
      <c r="USL22" s="29"/>
      <c r="USM22" s="24"/>
      <c r="USN22" s="13"/>
      <c r="USO22" s="13"/>
      <c r="USP22" s="14"/>
      <c r="USQ22" s="15"/>
      <c r="USR22" s="15"/>
      <c r="USS22" s="16"/>
      <c r="UST22" s="41"/>
      <c r="USU22" s="41"/>
      <c r="USV22" s="28"/>
      <c r="USW22" s="29"/>
      <c r="USX22" s="24"/>
      <c r="USY22" s="13"/>
      <c r="USZ22" s="13"/>
      <c r="UTA22" s="14"/>
      <c r="UTB22" s="15"/>
      <c r="UTC22" s="15"/>
      <c r="UTD22" s="16"/>
      <c r="UTE22" s="41"/>
      <c r="UTF22" s="41"/>
      <c r="UTG22" s="28"/>
      <c r="UTH22" s="29"/>
      <c r="UTI22" s="24"/>
      <c r="UTJ22" s="13"/>
      <c r="UTK22" s="13"/>
      <c r="UTL22" s="14"/>
      <c r="UTM22" s="15"/>
      <c r="UTN22" s="15"/>
      <c r="UTO22" s="16"/>
      <c r="UTP22" s="41"/>
      <c r="UTQ22" s="41"/>
      <c r="UTR22" s="28"/>
      <c r="UTS22" s="29"/>
      <c r="UTT22" s="24"/>
      <c r="UTU22" s="13"/>
      <c r="UTV22" s="13"/>
      <c r="UTW22" s="14"/>
      <c r="UTX22" s="15"/>
      <c r="UTY22" s="15"/>
      <c r="UTZ22" s="16"/>
      <c r="UUA22" s="41"/>
      <c r="UUB22" s="41"/>
      <c r="UUC22" s="28"/>
      <c r="UUD22" s="29"/>
      <c r="UUE22" s="24"/>
      <c r="UUF22" s="13"/>
      <c r="UUG22" s="13"/>
      <c r="UUH22" s="14"/>
      <c r="UUI22" s="15"/>
      <c r="UUJ22" s="15"/>
      <c r="UUK22" s="16"/>
      <c r="UUL22" s="41"/>
      <c r="UUM22" s="41"/>
      <c r="UUN22" s="28"/>
      <c r="UUO22" s="29"/>
      <c r="UUP22" s="24"/>
      <c r="UUQ22" s="13"/>
      <c r="UUR22" s="13"/>
      <c r="UUS22" s="14"/>
      <c r="UUT22" s="15"/>
      <c r="UUU22" s="15"/>
      <c r="UUV22" s="16"/>
      <c r="UUW22" s="41"/>
      <c r="UUX22" s="41"/>
      <c r="UUY22" s="28"/>
      <c r="UUZ22" s="29"/>
      <c r="UVA22" s="24"/>
      <c r="UVB22" s="13"/>
      <c r="UVC22" s="13"/>
      <c r="UVD22" s="14"/>
      <c r="UVE22" s="15"/>
      <c r="UVF22" s="15"/>
      <c r="UVG22" s="16"/>
      <c r="UVH22" s="41"/>
      <c r="UVI22" s="41"/>
      <c r="UVJ22" s="28"/>
      <c r="UVK22" s="29"/>
      <c r="UVL22" s="24"/>
      <c r="UVM22" s="13"/>
      <c r="UVN22" s="13"/>
      <c r="UVO22" s="14"/>
      <c r="UVP22" s="15"/>
      <c r="UVQ22" s="15"/>
      <c r="UVR22" s="16"/>
      <c r="UVS22" s="41"/>
      <c r="UVT22" s="41"/>
      <c r="UVU22" s="28"/>
      <c r="UVV22" s="29"/>
      <c r="UVW22" s="24"/>
      <c r="UVX22" s="13"/>
      <c r="UVY22" s="13"/>
      <c r="UVZ22" s="14"/>
      <c r="UWA22" s="15"/>
      <c r="UWB22" s="15"/>
      <c r="UWC22" s="16"/>
      <c r="UWD22" s="41"/>
      <c r="UWE22" s="41"/>
      <c r="UWF22" s="28"/>
      <c r="UWG22" s="29"/>
      <c r="UWH22" s="24"/>
      <c r="UWI22" s="13"/>
      <c r="UWJ22" s="13"/>
      <c r="UWK22" s="14"/>
      <c r="UWL22" s="15"/>
      <c r="UWM22" s="15"/>
      <c r="UWN22" s="16"/>
      <c r="UWO22" s="41"/>
      <c r="UWP22" s="41"/>
      <c r="UWQ22" s="28"/>
      <c r="UWR22" s="29"/>
      <c r="UWS22" s="24"/>
      <c r="UWT22" s="13"/>
      <c r="UWU22" s="13"/>
      <c r="UWV22" s="14"/>
      <c r="UWW22" s="15"/>
      <c r="UWX22" s="15"/>
      <c r="UWY22" s="16"/>
      <c r="UWZ22" s="41"/>
      <c r="UXA22" s="41"/>
      <c r="UXB22" s="28"/>
      <c r="UXC22" s="29"/>
      <c r="UXD22" s="24"/>
      <c r="UXE22" s="13"/>
      <c r="UXF22" s="13"/>
      <c r="UXG22" s="14"/>
      <c r="UXH22" s="15"/>
      <c r="UXI22" s="15"/>
      <c r="UXJ22" s="16"/>
      <c r="UXK22" s="41"/>
      <c r="UXL22" s="41"/>
      <c r="UXM22" s="28"/>
      <c r="UXN22" s="29"/>
      <c r="UXO22" s="24"/>
      <c r="UXP22" s="13"/>
      <c r="UXQ22" s="13"/>
      <c r="UXR22" s="14"/>
      <c r="UXS22" s="15"/>
      <c r="UXT22" s="15"/>
      <c r="UXU22" s="16"/>
      <c r="UXV22" s="41"/>
      <c r="UXW22" s="41"/>
      <c r="UXX22" s="28"/>
      <c r="UXY22" s="29"/>
      <c r="UXZ22" s="24"/>
      <c r="UYA22" s="13"/>
      <c r="UYB22" s="13"/>
      <c r="UYC22" s="14"/>
      <c r="UYD22" s="15"/>
      <c r="UYE22" s="15"/>
      <c r="UYF22" s="16"/>
      <c r="UYG22" s="41"/>
      <c r="UYH22" s="41"/>
      <c r="UYI22" s="28"/>
      <c r="UYJ22" s="29"/>
      <c r="UYK22" s="24"/>
      <c r="UYL22" s="13"/>
      <c r="UYM22" s="13"/>
      <c r="UYN22" s="14"/>
      <c r="UYO22" s="15"/>
      <c r="UYP22" s="15"/>
      <c r="UYQ22" s="16"/>
      <c r="UYR22" s="41"/>
      <c r="UYS22" s="41"/>
      <c r="UYT22" s="28"/>
      <c r="UYU22" s="29"/>
      <c r="UYV22" s="24"/>
      <c r="UYW22" s="13"/>
      <c r="UYX22" s="13"/>
      <c r="UYY22" s="14"/>
      <c r="UYZ22" s="15"/>
      <c r="UZA22" s="15"/>
      <c r="UZB22" s="16"/>
      <c r="UZC22" s="41"/>
      <c r="UZD22" s="41"/>
      <c r="UZE22" s="28"/>
      <c r="UZF22" s="29"/>
      <c r="UZG22" s="24"/>
      <c r="UZH22" s="13"/>
      <c r="UZI22" s="13"/>
      <c r="UZJ22" s="14"/>
      <c r="UZK22" s="15"/>
      <c r="UZL22" s="15"/>
      <c r="UZM22" s="16"/>
      <c r="UZN22" s="41"/>
      <c r="UZO22" s="41"/>
      <c r="UZP22" s="28"/>
      <c r="UZQ22" s="29"/>
      <c r="UZR22" s="24"/>
      <c r="UZS22" s="13"/>
      <c r="UZT22" s="13"/>
      <c r="UZU22" s="14"/>
      <c r="UZV22" s="15"/>
      <c r="UZW22" s="15"/>
      <c r="UZX22" s="16"/>
      <c r="UZY22" s="41"/>
      <c r="UZZ22" s="41"/>
      <c r="VAA22" s="28"/>
      <c r="VAB22" s="29"/>
      <c r="VAC22" s="24"/>
      <c r="VAD22" s="13"/>
      <c r="VAE22" s="13"/>
      <c r="VAF22" s="14"/>
      <c r="VAG22" s="15"/>
      <c r="VAH22" s="15"/>
      <c r="VAI22" s="16"/>
      <c r="VAJ22" s="41"/>
      <c r="VAK22" s="41"/>
      <c r="VAL22" s="28"/>
      <c r="VAM22" s="29"/>
      <c r="VAN22" s="24"/>
      <c r="VAO22" s="13"/>
      <c r="VAP22" s="13"/>
      <c r="VAQ22" s="14"/>
      <c r="VAR22" s="15"/>
      <c r="VAS22" s="15"/>
      <c r="VAT22" s="16"/>
      <c r="VAU22" s="41"/>
      <c r="VAV22" s="41"/>
      <c r="VAW22" s="28"/>
      <c r="VAX22" s="29"/>
      <c r="VAY22" s="24"/>
      <c r="VAZ22" s="13"/>
      <c r="VBA22" s="13"/>
      <c r="VBB22" s="14"/>
      <c r="VBC22" s="15"/>
      <c r="VBD22" s="15"/>
      <c r="VBE22" s="16"/>
      <c r="VBF22" s="41"/>
      <c r="VBG22" s="41"/>
      <c r="VBH22" s="28"/>
      <c r="VBI22" s="29"/>
      <c r="VBJ22" s="24"/>
      <c r="VBK22" s="13"/>
      <c r="VBL22" s="13"/>
      <c r="VBM22" s="14"/>
      <c r="VBN22" s="15"/>
      <c r="VBO22" s="15"/>
      <c r="VBP22" s="16"/>
      <c r="VBQ22" s="41"/>
      <c r="VBR22" s="41"/>
      <c r="VBS22" s="28"/>
      <c r="VBT22" s="29"/>
      <c r="VBU22" s="24"/>
      <c r="VBV22" s="13"/>
      <c r="VBW22" s="13"/>
      <c r="VBX22" s="14"/>
      <c r="VBY22" s="15"/>
      <c r="VBZ22" s="15"/>
      <c r="VCA22" s="16"/>
      <c r="VCB22" s="41"/>
      <c r="VCC22" s="41"/>
      <c r="VCD22" s="28"/>
      <c r="VCE22" s="29"/>
      <c r="VCF22" s="24"/>
      <c r="VCG22" s="13"/>
      <c r="VCH22" s="13"/>
      <c r="VCI22" s="14"/>
      <c r="VCJ22" s="15"/>
      <c r="VCK22" s="15"/>
      <c r="VCL22" s="16"/>
      <c r="VCM22" s="41"/>
      <c r="VCN22" s="41"/>
      <c r="VCO22" s="28"/>
      <c r="VCP22" s="29"/>
      <c r="VCQ22" s="24"/>
      <c r="VCR22" s="13"/>
      <c r="VCS22" s="13"/>
      <c r="VCT22" s="14"/>
      <c r="VCU22" s="15"/>
      <c r="VCV22" s="15"/>
      <c r="VCW22" s="16"/>
      <c r="VCX22" s="41"/>
      <c r="VCY22" s="41"/>
      <c r="VCZ22" s="28"/>
      <c r="VDA22" s="29"/>
      <c r="VDB22" s="24"/>
      <c r="VDC22" s="13"/>
      <c r="VDD22" s="13"/>
      <c r="VDE22" s="14"/>
      <c r="VDF22" s="15"/>
      <c r="VDG22" s="15"/>
      <c r="VDH22" s="16"/>
      <c r="VDI22" s="41"/>
      <c r="VDJ22" s="41"/>
      <c r="VDK22" s="28"/>
      <c r="VDL22" s="29"/>
      <c r="VDM22" s="24"/>
      <c r="VDN22" s="13"/>
      <c r="VDO22" s="13"/>
      <c r="VDP22" s="14"/>
      <c r="VDQ22" s="15"/>
      <c r="VDR22" s="15"/>
      <c r="VDS22" s="16"/>
      <c r="VDT22" s="41"/>
      <c r="VDU22" s="41"/>
      <c r="VDV22" s="28"/>
      <c r="VDW22" s="29"/>
      <c r="VDX22" s="24"/>
      <c r="VDY22" s="13"/>
      <c r="VDZ22" s="13"/>
      <c r="VEA22" s="14"/>
      <c r="VEB22" s="15"/>
      <c r="VEC22" s="15"/>
      <c r="VED22" s="16"/>
      <c r="VEE22" s="41"/>
      <c r="VEF22" s="41"/>
      <c r="VEG22" s="28"/>
      <c r="VEH22" s="29"/>
      <c r="VEI22" s="24"/>
      <c r="VEJ22" s="13"/>
      <c r="VEK22" s="13"/>
      <c r="VEL22" s="14"/>
      <c r="VEM22" s="15"/>
      <c r="VEN22" s="15"/>
      <c r="VEO22" s="16"/>
      <c r="VEP22" s="41"/>
      <c r="VEQ22" s="41"/>
      <c r="VER22" s="28"/>
      <c r="VES22" s="29"/>
      <c r="VET22" s="24"/>
      <c r="VEU22" s="13"/>
      <c r="VEV22" s="13"/>
      <c r="VEW22" s="14"/>
      <c r="VEX22" s="15"/>
      <c r="VEY22" s="15"/>
      <c r="VEZ22" s="16"/>
      <c r="VFA22" s="41"/>
      <c r="VFB22" s="41"/>
      <c r="VFC22" s="28"/>
      <c r="VFD22" s="29"/>
      <c r="VFE22" s="24"/>
      <c r="VFF22" s="13"/>
      <c r="VFG22" s="13"/>
      <c r="VFH22" s="14"/>
      <c r="VFI22" s="15"/>
      <c r="VFJ22" s="15"/>
      <c r="VFK22" s="16"/>
      <c r="VFL22" s="41"/>
      <c r="VFM22" s="41"/>
      <c r="VFN22" s="28"/>
      <c r="VFO22" s="29"/>
      <c r="VFP22" s="24"/>
      <c r="VFQ22" s="13"/>
      <c r="VFR22" s="13"/>
      <c r="VFS22" s="14"/>
      <c r="VFT22" s="15"/>
      <c r="VFU22" s="15"/>
      <c r="VFV22" s="16"/>
      <c r="VFW22" s="41"/>
      <c r="VFX22" s="41"/>
      <c r="VFY22" s="28"/>
      <c r="VFZ22" s="29"/>
      <c r="VGA22" s="24"/>
      <c r="VGB22" s="13"/>
      <c r="VGC22" s="13"/>
      <c r="VGD22" s="14"/>
      <c r="VGE22" s="15"/>
      <c r="VGF22" s="15"/>
      <c r="VGG22" s="16"/>
      <c r="VGH22" s="41"/>
      <c r="VGI22" s="41"/>
      <c r="VGJ22" s="28"/>
      <c r="VGK22" s="29"/>
      <c r="VGL22" s="24"/>
      <c r="VGM22" s="13"/>
      <c r="VGN22" s="13"/>
      <c r="VGO22" s="14"/>
      <c r="VGP22" s="15"/>
      <c r="VGQ22" s="15"/>
      <c r="VGR22" s="16"/>
      <c r="VGS22" s="41"/>
      <c r="VGT22" s="41"/>
      <c r="VGU22" s="28"/>
      <c r="VGV22" s="29"/>
      <c r="VGW22" s="24"/>
      <c r="VGX22" s="13"/>
      <c r="VGY22" s="13"/>
      <c r="VGZ22" s="14"/>
      <c r="VHA22" s="15"/>
      <c r="VHB22" s="15"/>
      <c r="VHC22" s="16"/>
      <c r="VHD22" s="41"/>
      <c r="VHE22" s="41"/>
      <c r="VHF22" s="28"/>
      <c r="VHG22" s="29"/>
      <c r="VHH22" s="24"/>
      <c r="VHI22" s="13"/>
      <c r="VHJ22" s="13"/>
      <c r="VHK22" s="14"/>
      <c r="VHL22" s="15"/>
      <c r="VHM22" s="15"/>
      <c r="VHN22" s="16"/>
      <c r="VHO22" s="41"/>
      <c r="VHP22" s="41"/>
      <c r="VHQ22" s="28"/>
      <c r="VHR22" s="29"/>
      <c r="VHS22" s="24"/>
      <c r="VHT22" s="13"/>
      <c r="VHU22" s="13"/>
      <c r="VHV22" s="14"/>
      <c r="VHW22" s="15"/>
      <c r="VHX22" s="15"/>
      <c r="VHY22" s="16"/>
      <c r="VHZ22" s="41"/>
      <c r="VIA22" s="41"/>
      <c r="VIB22" s="28"/>
      <c r="VIC22" s="29"/>
      <c r="VID22" s="24"/>
      <c r="VIE22" s="13"/>
      <c r="VIF22" s="13"/>
      <c r="VIG22" s="14"/>
      <c r="VIH22" s="15"/>
      <c r="VII22" s="15"/>
      <c r="VIJ22" s="16"/>
      <c r="VIK22" s="41"/>
      <c r="VIL22" s="41"/>
      <c r="VIM22" s="28"/>
      <c r="VIN22" s="29"/>
      <c r="VIO22" s="24"/>
      <c r="VIP22" s="13"/>
      <c r="VIQ22" s="13"/>
      <c r="VIR22" s="14"/>
      <c r="VIS22" s="15"/>
      <c r="VIT22" s="15"/>
      <c r="VIU22" s="16"/>
      <c r="VIV22" s="41"/>
      <c r="VIW22" s="41"/>
      <c r="VIX22" s="28"/>
      <c r="VIY22" s="29"/>
      <c r="VIZ22" s="24"/>
      <c r="VJA22" s="13"/>
      <c r="VJB22" s="13"/>
      <c r="VJC22" s="14"/>
      <c r="VJD22" s="15"/>
      <c r="VJE22" s="15"/>
      <c r="VJF22" s="16"/>
      <c r="VJG22" s="41"/>
      <c r="VJH22" s="41"/>
      <c r="VJI22" s="28"/>
      <c r="VJJ22" s="29"/>
      <c r="VJK22" s="24"/>
      <c r="VJL22" s="13"/>
      <c r="VJM22" s="13"/>
      <c r="VJN22" s="14"/>
      <c r="VJO22" s="15"/>
      <c r="VJP22" s="15"/>
      <c r="VJQ22" s="16"/>
      <c r="VJR22" s="41"/>
      <c r="VJS22" s="41"/>
      <c r="VJT22" s="28"/>
      <c r="VJU22" s="29"/>
      <c r="VJV22" s="24"/>
      <c r="VJW22" s="13"/>
      <c r="VJX22" s="13"/>
      <c r="VJY22" s="14"/>
      <c r="VJZ22" s="15"/>
      <c r="VKA22" s="15"/>
      <c r="VKB22" s="16"/>
      <c r="VKC22" s="41"/>
      <c r="VKD22" s="41"/>
      <c r="VKE22" s="28"/>
      <c r="VKF22" s="29"/>
      <c r="VKG22" s="24"/>
      <c r="VKH22" s="13"/>
      <c r="VKI22" s="13"/>
      <c r="VKJ22" s="14"/>
      <c r="VKK22" s="15"/>
      <c r="VKL22" s="15"/>
      <c r="VKM22" s="16"/>
      <c r="VKN22" s="41"/>
      <c r="VKO22" s="41"/>
      <c r="VKP22" s="28"/>
      <c r="VKQ22" s="29"/>
      <c r="VKR22" s="24"/>
      <c r="VKS22" s="13"/>
      <c r="VKT22" s="13"/>
      <c r="VKU22" s="14"/>
      <c r="VKV22" s="15"/>
      <c r="VKW22" s="15"/>
      <c r="VKX22" s="16"/>
      <c r="VKY22" s="41"/>
      <c r="VKZ22" s="41"/>
      <c r="VLA22" s="28"/>
      <c r="VLB22" s="29"/>
      <c r="VLC22" s="24"/>
      <c r="VLD22" s="13"/>
      <c r="VLE22" s="13"/>
      <c r="VLF22" s="14"/>
      <c r="VLG22" s="15"/>
      <c r="VLH22" s="15"/>
      <c r="VLI22" s="16"/>
      <c r="VLJ22" s="41"/>
      <c r="VLK22" s="41"/>
      <c r="VLL22" s="28"/>
      <c r="VLM22" s="29"/>
      <c r="VLN22" s="24"/>
      <c r="VLO22" s="13"/>
      <c r="VLP22" s="13"/>
      <c r="VLQ22" s="14"/>
      <c r="VLR22" s="15"/>
      <c r="VLS22" s="15"/>
      <c r="VLT22" s="16"/>
      <c r="VLU22" s="41"/>
      <c r="VLV22" s="41"/>
      <c r="VLW22" s="28"/>
      <c r="VLX22" s="29"/>
      <c r="VLY22" s="24"/>
      <c r="VLZ22" s="13"/>
      <c r="VMA22" s="13"/>
      <c r="VMB22" s="14"/>
      <c r="VMC22" s="15"/>
      <c r="VMD22" s="15"/>
      <c r="VME22" s="16"/>
      <c r="VMF22" s="41"/>
      <c r="VMG22" s="41"/>
      <c r="VMH22" s="28"/>
      <c r="VMI22" s="29"/>
      <c r="VMJ22" s="24"/>
      <c r="VMK22" s="13"/>
      <c r="VML22" s="13"/>
      <c r="VMM22" s="14"/>
      <c r="VMN22" s="15"/>
      <c r="VMO22" s="15"/>
      <c r="VMP22" s="16"/>
      <c r="VMQ22" s="41"/>
      <c r="VMR22" s="41"/>
      <c r="VMS22" s="28"/>
      <c r="VMT22" s="29"/>
      <c r="VMU22" s="24"/>
      <c r="VMV22" s="13"/>
      <c r="VMW22" s="13"/>
      <c r="VMX22" s="14"/>
      <c r="VMY22" s="15"/>
      <c r="VMZ22" s="15"/>
      <c r="VNA22" s="16"/>
      <c r="VNB22" s="41"/>
      <c r="VNC22" s="41"/>
      <c r="VND22" s="28"/>
      <c r="VNE22" s="29"/>
      <c r="VNF22" s="24"/>
      <c r="VNG22" s="13"/>
      <c r="VNH22" s="13"/>
      <c r="VNI22" s="14"/>
      <c r="VNJ22" s="15"/>
      <c r="VNK22" s="15"/>
      <c r="VNL22" s="16"/>
      <c r="VNM22" s="41"/>
      <c r="VNN22" s="41"/>
      <c r="VNO22" s="28"/>
      <c r="VNP22" s="29"/>
      <c r="VNQ22" s="24"/>
      <c r="VNR22" s="13"/>
      <c r="VNS22" s="13"/>
      <c r="VNT22" s="14"/>
      <c r="VNU22" s="15"/>
      <c r="VNV22" s="15"/>
      <c r="VNW22" s="16"/>
      <c r="VNX22" s="41"/>
      <c r="VNY22" s="41"/>
      <c r="VNZ22" s="28"/>
      <c r="VOA22" s="29"/>
      <c r="VOB22" s="24"/>
      <c r="VOC22" s="13"/>
      <c r="VOD22" s="13"/>
      <c r="VOE22" s="14"/>
      <c r="VOF22" s="15"/>
      <c r="VOG22" s="15"/>
      <c r="VOH22" s="16"/>
      <c r="VOI22" s="41"/>
      <c r="VOJ22" s="41"/>
      <c r="VOK22" s="28"/>
      <c r="VOL22" s="29"/>
      <c r="VOM22" s="24"/>
      <c r="VON22" s="13"/>
      <c r="VOO22" s="13"/>
      <c r="VOP22" s="14"/>
      <c r="VOQ22" s="15"/>
      <c r="VOR22" s="15"/>
      <c r="VOS22" s="16"/>
      <c r="VOT22" s="41"/>
      <c r="VOU22" s="41"/>
      <c r="VOV22" s="28"/>
      <c r="VOW22" s="29"/>
      <c r="VOX22" s="24"/>
      <c r="VOY22" s="13"/>
      <c r="VOZ22" s="13"/>
      <c r="VPA22" s="14"/>
      <c r="VPB22" s="15"/>
      <c r="VPC22" s="15"/>
      <c r="VPD22" s="16"/>
      <c r="VPE22" s="41"/>
      <c r="VPF22" s="41"/>
      <c r="VPG22" s="28"/>
      <c r="VPH22" s="29"/>
      <c r="VPI22" s="24"/>
      <c r="VPJ22" s="13"/>
      <c r="VPK22" s="13"/>
      <c r="VPL22" s="14"/>
      <c r="VPM22" s="15"/>
      <c r="VPN22" s="15"/>
      <c r="VPO22" s="16"/>
      <c r="VPP22" s="41"/>
      <c r="VPQ22" s="41"/>
      <c r="VPR22" s="28"/>
      <c r="VPS22" s="29"/>
      <c r="VPT22" s="24"/>
      <c r="VPU22" s="13"/>
      <c r="VPV22" s="13"/>
      <c r="VPW22" s="14"/>
      <c r="VPX22" s="15"/>
      <c r="VPY22" s="15"/>
      <c r="VPZ22" s="16"/>
      <c r="VQA22" s="41"/>
      <c r="VQB22" s="41"/>
      <c r="VQC22" s="28"/>
      <c r="VQD22" s="29"/>
      <c r="VQE22" s="24"/>
      <c r="VQF22" s="13"/>
      <c r="VQG22" s="13"/>
      <c r="VQH22" s="14"/>
      <c r="VQI22" s="15"/>
      <c r="VQJ22" s="15"/>
      <c r="VQK22" s="16"/>
      <c r="VQL22" s="41"/>
      <c r="VQM22" s="41"/>
      <c r="VQN22" s="28"/>
      <c r="VQO22" s="29"/>
      <c r="VQP22" s="24"/>
      <c r="VQQ22" s="13"/>
      <c r="VQR22" s="13"/>
      <c r="VQS22" s="14"/>
      <c r="VQT22" s="15"/>
      <c r="VQU22" s="15"/>
      <c r="VQV22" s="16"/>
      <c r="VQW22" s="41"/>
      <c r="VQX22" s="41"/>
      <c r="VQY22" s="28"/>
      <c r="VQZ22" s="29"/>
      <c r="VRA22" s="24"/>
      <c r="VRB22" s="13"/>
      <c r="VRC22" s="13"/>
      <c r="VRD22" s="14"/>
      <c r="VRE22" s="15"/>
      <c r="VRF22" s="15"/>
      <c r="VRG22" s="16"/>
      <c r="VRH22" s="41"/>
      <c r="VRI22" s="41"/>
      <c r="VRJ22" s="28"/>
      <c r="VRK22" s="29"/>
      <c r="VRL22" s="24"/>
      <c r="VRM22" s="13"/>
      <c r="VRN22" s="13"/>
      <c r="VRO22" s="14"/>
      <c r="VRP22" s="15"/>
      <c r="VRQ22" s="15"/>
      <c r="VRR22" s="16"/>
      <c r="VRS22" s="41"/>
      <c r="VRT22" s="41"/>
      <c r="VRU22" s="28"/>
      <c r="VRV22" s="29"/>
      <c r="VRW22" s="24"/>
      <c r="VRX22" s="13"/>
      <c r="VRY22" s="13"/>
      <c r="VRZ22" s="14"/>
      <c r="VSA22" s="15"/>
      <c r="VSB22" s="15"/>
      <c r="VSC22" s="16"/>
      <c r="VSD22" s="41"/>
      <c r="VSE22" s="41"/>
      <c r="VSF22" s="28"/>
      <c r="VSG22" s="29"/>
      <c r="VSH22" s="24"/>
      <c r="VSI22" s="13"/>
      <c r="VSJ22" s="13"/>
      <c r="VSK22" s="14"/>
      <c r="VSL22" s="15"/>
      <c r="VSM22" s="15"/>
      <c r="VSN22" s="16"/>
      <c r="VSO22" s="41"/>
      <c r="VSP22" s="41"/>
      <c r="VSQ22" s="28"/>
      <c r="VSR22" s="29"/>
      <c r="VSS22" s="24"/>
      <c r="VST22" s="13"/>
      <c r="VSU22" s="13"/>
      <c r="VSV22" s="14"/>
      <c r="VSW22" s="15"/>
      <c r="VSX22" s="15"/>
      <c r="VSY22" s="16"/>
      <c r="VSZ22" s="41"/>
      <c r="VTA22" s="41"/>
      <c r="VTB22" s="28"/>
      <c r="VTC22" s="29"/>
      <c r="VTD22" s="24"/>
      <c r="VTE22" s="13"/>
      <c r="VTF22" s="13"/>
      <c r="VTG22" s="14"/>
      <c r="VTH22" s="15"/>
      <c r="VTI22" s="15"/>
      <c r="VTJ22" s="16"/>
      <c r="VTK22" s="41"/>
      <c r="VTL22" s="41"/>
      <c r="VTM22" s="28"/>
      <c r="VTN22" s="29"/>
      <c r="VTO22" s="24"/>
      <c r="VTP22" s="13"/>
      <c r="VTQ22" s="13"/>
      <c r="VTR22" s="14"/>
      <c r="VTS22" s="15"/>
      <c r="VTT22" s="15"/>
      <c r="VTU22" s="16"/>
      <c r="VTV22" s="41"/>
      <c r="VTW22" s="41"/>
      <c r="VTX22" s="28"/>
      <c r="VTY22" s="29"/>
      <c r="VTZ22" s="24"/>
      <c r="VUA22" s="13"/>
      <c r="VUB22" s="13"/>
      <c r="VUC22" s="14"/>
      <c r="VUD22" s="15"/>
      <c r="VUE22" s="15"/>
      <c r="VUF22" s="16"/>
      <c r="VUG22" s="41"/>
      <c r="VUH22" s="41"/>
      <c r="VUI22" s="28"/>
      <c r="VUJ22" s="29"/>
      <c r="VUK22" s="24"/>
      <c r="VUL22" s="13"/>
      <c r="VUM22" s="13"/>
      <c r="VUN22" s="14"/>
      <c r="VUO22" s="15"/>
      <c r="VUP22" s="15"/>
      <c r="VUQ22" s="16"/>
      <c r="VUR22" s="41"/>
      <c r="VUS22" s="41"/>
      <c r="VUT22" s="28"/>
      <c r="VUU22" s="29"/>
      <c r="VUV22" s="24"/>
      <c r="VUW22" s="13"/>
      <c r="VUX22" s="13"/>
      <c r="VUY22" s="14"/>
      <c r="VUZ22" s="15"/>
      <c r="VVA22" s="15"/>
      <c r="VVB22" s="16"/>
      <c r="VVC22" s="41"/>
      <c r="VVD22" s="41"/>
      <c r="VVE22" s="28"/>
      <c r="VVF22" s="29"/>
      <c r="VVG22" s="24"/>
      <c r="VVH22" s="13"/>
      <c r="VVI22" s="13"/>
      <c r="VVJ22" s="14"/>
      <c r="VVK22" s="15"/>
      <c r="VVL22" s="15"/>
      <c r="VVM22" s="16"/>
      <c r="VVN22" s="41"/>
      <c r="VVO22" s="41"/>
      <c r="VVP22" s="28"/>
      <c r="VVQ22" s="29"/>
      <c r="VVR22" s="24"/>
      <c r="VVS22" s="13"/>
      <c r="VVT22" s="13"/>
      <c r="VVU22" s="14"/>
      <c r="VVV22" s="15"/>
      <c r="VVW22" s="15"/>
      <c r="VVX22" s="16"/>
      <c r="VVY22" s="41"/>
      <c r="VVZ22" s="41"/>
      <c r="VWA22" s="28"/>
      <c r="VWB22" s="29"/>
      <c r="VWC22" s="24"/>
      <c r="VWD22" s="13"/>
      <c r="VWE22" s="13"/>
      <c r="VWF22" s="14"/>
      <c r="VWG22" s="15"/>
      <c r="VWH22" s="15"/>
      <c r="VWI22" s="16"/>
      <c r="VWJ22" s="41"/>
      <c r="VWK22" s="41"/>
      <c r="VWL22" s="28"/>
      <c r="VWM22" s="29"/>
      <c r="VWN22" s="24"/>
      <c r="VWO22" s="13"/>
      <c r="VWP22" s="13"/>
      <c r="VWQ22" s="14"/>
      <c r="VWR22" s="15"/>
      <c r="VWS22" s="15"/>
      <c r="VWT22" s="16"/>
      <c r="VWU22" s="41"/>
      <c r="VWV22" s="41"/>
      <c r="VWW22" s="28"/>
      <c r="VWX22" s="29"/>
      <c r="VWY22" s="24"/>
      <c r="VWZ22" s="13"/>
      <c r="VXA22" s="13"/>
      <c r="VXB22" s="14"/>
      <c r="VXC22" s="15"/>
      <c r="VXD22" s="15"/>
      <c r="VXE22" s="16"/>
      <c r="VXF22" s="41"/>
      <c r="VXG22" s="41"/>
      <c r="VXH22" s="28"/>
      <c r="VXI22" s="29"/>
      <c r="VXJ22" s="24"/>
      <c r="VXK22" s="13"/>
      <c r="VXL22" s="13"/>
      <c r="VXM22" s="14"/>
      <c r="VXN22" s="15"/>
      <c r="VXO22" s="15"/>
      <c r="VXP22" s="16"/>
      <c r="VXQ22" s="41"/>
      <c r="VXR22" s="41"/>
      <c r="VXS22" s="28"/>
      <c r="VXT22" s="29"/>
      <c r="VXU22" s="24"/>
      <c r="VXV22" s="13"/>
      <c r="VXW22" s="13"/>
      <c r="VXX22" s="14"/>
      <c r="VXY22" s="15"/>
      <c r="VXZ22" s="15"/>
      <c r="VYA22" s="16"/>
      <c r="VYB22" s="41"/>
      <c r="VYC22" s="41"/>
      <c r="VYD22" s="28"/>
      <c r="VYE22" s="29"/>
      <c r="VYF22" s="24"/>
      <c r="VYG22" s="13"/>
      <c r="VYH22" s="13"/>
      <c r="VYI22" s="14"/>
      <c r="VYJ22" s="15"/>
      <c r="VYK22" s="15"/>
      <c r="VYL22" s="16"/>
      <c r="VYM22" s="41"/>
      <c r="VYN22" s="41"/>
      <c r="VYO22" s="28"/>
      <c r="VYP22" s="29"/>
      <c r="VYQ22" s="24"/>
      <c r="VYR22" s="13"/>
      <c r="VYS22" s="13"/>
      <c r="VYT22" s="14"/>
      <c r="VYU22" s="15"/>
      <c r="VYV22" s="15"/>
      <c r="VYW22" s="16"/>
      <c r="VYX22" s="41"/>
      <c r="VYY22" s="41"/>
      <c r="VYZ22" s="28"/>
      <c r="VZA22" s="29"/>
      <c r="VZB22" s="24"/>
      <c r="VZC22" s="13"/>
      <c r="VZD22" s="13"/>
      <c r="VZE22" s="14"/>
      <c r="VZF22" s="15"/>
      <c r="VZG22" s="15"/>
      <c r="VZH22" s="16"/>
      <c r="VZI22" s="41"/>
      <c r="VZJ22" s="41"/>
      <c r="VZK22" s="28"/>
      <c r="VZL22" s="29"/>
      <c r="VZM22" s="24"/>
      <c r="VZN22" s="13"/>
      <c r="VZO22" s="13"/>
      <c r="VZP22" s="14"/>
      <c r="VZQ22" s="15"/>
      <c r="VZR22" s="15"/>
      <c r="VZS22" s="16"/>
      <c r="VZT22" s="41"/>
      <c r="VZU22" s="41"/>
      <c r="VZV22" s="28"/>
      <c r="VZW22" s="29"/>
      <c r="VZX22" s="24"/>
      <c r="VZY22" s="13"/>
      <c r="VZZ22" s="13"/>
      <c r="WAA22" s="14"/>
      <c r="WAB22" s="15"/>
      <c r="WAC22" s="15"/>
      <c r="WAD22" s="16"/>
      <c r="WAE22" s="41"/>
      <c r="WAF22" s="41"/>
      <c r="WAG22" s="28"/>
      <c r="WAH22" s="29"/>
      <c r="WAI22" s="24"/>
      <c r="WAJ22" s="13"/>
      <c r="WAK22" s="13"/>
      <c r="WAL22" s="14"/>
      <c r="WAM22" s="15"/>
      <c r="WAN22" s="15"/>
      <c r="WAO22" s="16"/>
      <c r="WAP22" s="41"/>
      <c r="WAQ22" s="41"/>
      <c r="WAR22" s="28"/>
      <c r="WAS22" s="29"/>
      <c r="WAT22" s="24"/>
      <c r="WAU22" s="13"/>
      <c r="WAV22" s="13"/>
      <c r="WAW22" s="14"/>
      <c r="WAX22" s="15"/>
      <c r="WAY22" s="15"/>
      <c r="WAZ22" s="16"/>
      <c r="WBA22" s="41"/>
      <c r="WBB22" s="41"/>
      <c r="WBC22" s="28"/>
      <c r="WBD22" s="29"/>
      <c r="WBE22" s="24"/>
      <c r="WBF22" s="13"/>
      <c r="WBG22" s="13"/>
      <c r="WBH22" s="14"/>
      <c r="WBI22" s="15"/>
      <c r="WBJ22" s="15"/>
      <c r="WBK22" s="16"/>
      <c r="WBL22" s="41"/>
      <c r="WBM22" s="41"/>
      <c r="WBN22" s="28"/>
      <c r="WBO22" s="29"/>
      <c r="WBP22" s="24"/>
      <c r="WBQ22" s="13"/>
      <c r="WBR22" s="13"/>
      <c r="WBS22" s="14"/>
      <c r="WBT22" s="15"/>
      <c r="WBU22" s="15"/>
      <c r="WBV22" s="16"/>
      <c r="WBW22" s="41"/>
      <c r="WBX22" s="41"/>
      <c r="WBY22" s="28"/>
      <c r="WBZ22" s="29"/>
      <c r="WCA22" s="24"/>
      <c r="WCB22" s="13"/>
      <c r="WCC22" s="13"/>
      <c r="WCD22" s="14"/>
      <c r="WCE22" s="15"/>
      <c r="WCF22" s="15"/>
      <c r="WCG22" s="16"/>
      <c r="WCH22" s="41"/>
      <c r="WCI22" s="41"/>
      <c r="WCJ22" s="28"/>
      <c r="WCK22" s="29"/>
      <c r="WCL22" s="24"/>
      <c r="WCM22" s="13"/>
      <c r="WCN22" s="13"/>
      <c r="WCO22" s="14"/>
      <c r="WCP22" s="15"/>
      <c r="WCQ22" s="15"/>
      <c r="WCR22" s="16"/>
      <c r="WCS22" s="41"/>
      <c r="WCT22" s="41"/>
      <c r="WCU22" s="28"/>
      <c r="WCV22" s="29"/>
      <c r="WCW22" s="24"/>
      <c r="WCX22" s="13"/>
      <c r="WCY22" s="13"/>
      <c r="WCZ22" s="14"/>
      <c r="WDA22" s="15"/>
      <c r="WDB22" s="15"/>
      <c r="WDC22" s="16"/>
      <c r="WDD22" s="41"/>
      <c r="WDE22" s="41"/>
      <c r="WDF22" s="28"/>
      <c r="WDG22" s="29"/>
      <c r="WDH22" s="24"/>
      <c r="WDI22" s="13"/>
      <c r="WDJ22" s="13"/>
      <c r="WDK22" s="14"/>
      <c r="WDL22" s="15"/>
      <c r="WDM22" s="15"/>
      <c r="WDN22" s="16"/>
      <c r="WDO22" s="41"/>
      <c r="WDP22" s="41"/>
      <c r="WDQ22" s="28"/>
      <c r="WDR22" s="29"/>
      <c r="WDS22" s="24"/>
      <c r="WDT22" s="13"/>
      <c r="WDU22" s="13"/>
      <c r="WDV22" s="14"/>
      <c r="WDW22" s="15"/>
      <c r="WDX22" s="15"/>
      <c r="WDY22" s="16"/>
      <c r="WDZ22" s="41"/>
      <c r="WEA22" s="41"/>
      <c r="WEB22" s="28"/>
      <c r="WEC22" s="29"/>
      <c r="WED22" s="24"/>
      <c r="WEE22" s="13"/>
      <c r="WEF22" s="13"/>
      <c r="WEG22" s="14"/>
      <c r="WEH22" s="15"/>
      <c r="WEI22" s="15"/>
      <c r="WEJ22" s="16"/>
      <c r="WEK22" s="41"/>
      <c r="WEL22" s="41"/>
      <c r="WEM22" s="28"/>
      <c r="WEN22" s="29"/>
      <c r="WEO22" s="24"/>
      <c r="WEP22" s="13"/>
      <c r="WEQ22" s="13"/>
      <c r="WER22" s="14"/>
      <c r="WES22" s="15"/>
      <c r="WET22" s="15"/>
      <c r="WEU22" s="16"/>
      <c r="WEV22" s="41"/>
      <c r="WEW22" s="41"/>
      <c r="WEX22" s="28"/>
      <c r="WEY22" s="29"/>
      <c r="WEZ22" s="24"/>
      <c r="WFA22" s="13"/>
      <c r="WFB22" s="13"/>
      <c r="WFC22" s="14"/>
      <c r="WFD22" s="15"/>
      <c r="WFE22" s="15"/>
      <c r="WFF22" s="16"/>
      <c r="WFG22" s="41"/>
      <c r="WFH22" s="41"/>
      <c r="WFI22" s="28"/>
      <c r="WFJ22" s="29"/>
      <c r="WFK22" s="24"/>
      <c r="WFL22" s="13"/>
      <c r="WFM22" s="13"/>
      <c r="WFN22" s="14"/>
      <c r="WFO22" s="15"/>
      <c r="WFP22" s="15"/>
      <c r="WFQ22" s="16"/>
      <c r="WFR22" s="41"/>
      <c r="WFS22" s="41"/>
      <c r="WFT22" s="28"/>
      <c r="WFU22" s="29"/>
      <c r="WFV22" s="24"/>
      <c r="WFW22" s="13"/>
      <c r="WFX22" s="13"/>
      <c r="WFY22" s="14"/>
      <c r="WFZ22" s="15"/>
      <c r="WGA22" s="15"/>
      <c r="WGB22" s="16"/>
      <c r="WGC22" s="41"/>
      <c r="WGD22" s="41"/>
      <c r="WGE22" s="28"/>
      <c r="WGF22" s="29"/>
      <c r="WGG22" s="24"/>
      <c r="WGH22" s="13"/>
      <c r="WGI22" s="13"/>
      <c r="WGJ22" s="14"/>
      <c r="WGK22" s="15"/>
      <c r="WGL22" s="15"/>
      <c r="WGM22" s="16"/>
      <c r="WGN22" s="41"/>
      <c r="WGO22" s="41"/>
      <c r="WGP22" s="28"/>
      <c r="WGQ22" s="29"/>
      <c r="WGR22" s="24"/>
      <c r="WGS22" s="13"/>
      <c r="WGT22" s="13"/>
      <c r="WGU22" s="14"/>
      <c r="WGV22" s="15"/>
      <c r="WGW22" s="15"/>
      <c r="WGX22" s="16"/>
      <c r="WGY22" s="41"/>
      <c r="WGZ22" s="41"/>
      <c r="WHA22" s="28"/>
      <c r="WHB22" s="29"/>
      <c r="WHC22" s="24"/>
      <c r="WHD22" s="13"/>
      <c r="WHE22" s="13"/>
      <c r="WHF22" s="14"/>
      <c r="WHG22" s="15"/>
      <c r="WHH22" s="15"/>
      <c r="WHI22" s="16"/>
      <c r="WHJ22" s="41"/>
      <c r="WHK22" s="41"/>
      <c r="WHL22" s="28"/>
      <c r="WHM22" s="29"/>
      <c r="WHN22" s="24"/>
      <c r="WHO22" s="13"/>
      <c r="WHP22" s="13"/>
      <c r="WHQ22" s="14"/>
      <c r="WHR22" s="15"/>
      <c r="WHS22" s="15"/>
      <c r="WHT22" s="16"/>
      <c r="WHU22" s="41"/>
      <c r="WHV22" s="41"/>
      <c r="WHW22" s="28"/>
      <c r="WHX22" s="29"/>
      <c r="WHY22" s="24"/>
      <c r="WHZ22" s="13"/>
      <c r="WIA22" s="13"/>
      <c r="WIB22" s="14"/>
      <c r="WIC22" s="15"/>
      <c r="WID22" s="15"/>
      <c r="WIE22" s="16"/>
      <c r="WIF22" s="41"/>
      <c r="WIG22" s="41"/>
      <c r="WIH22" s="28"/>
      <c r="WII22" s="29"/>
      <c r="WIJ22" s="24"/>
      <c r="WIK22" s="13"/>
      <c r="WIL22" s="13"/>
      <c r="WIM22" s="14"/>
      <c r="WIN22" s="15"/>
      <c r="WIO22" s="15"/>
      <c r="WIP22" s="16"/>
      <c r="WIQ22" s="41"/>
      <c r="WIR22" s="41"/>
      <c r="WIS22" s="28"/>
      <c r="WIT22" s="29"/>
      <c r="WIU22" s="24"/>
      <c r="WIV22" s="13"/>
      <c r="WIW22" s="13"/>
      <c r="WIX22" s="14"/>
      <c r="WIY22" s="15"/>
      <c r="WIZ22" s="15"/>
      <c r="WJA22" s="16"/>
      <c r="WJB22" s="41"/>
      <c r="WJC22" s="41"/>
      <c r="WJD22" s="28"/>
      <c r="WJE22" s="29"/>
      <c r="WJF22" s="24"/>
      <c r="WJG22" s="13"/>
      <c r="WJH22" s="13"/>
      <c r="WJI22" s="14"/>
      <c r="WJJ22" s="15"/>
      <c r="WJK22" s="15"/>
      <c r="WJL22" s="16"/>
      <c r="WJM22" s="41"/>
      <c r="WJN22" s="41"/>
      <c r="WJO22" s="28"/>
      <c r="WJP22" s="29"/>
      <c r="WJQ22" s="24"/>
      <c r="WJR22" s="13"/>
      <c r="WJS22" s="13"/>
      <c r="WJT22" s="14"/>
      <c r="WJU22" s="15"/>
      <c r="WJV22" s="15"/>
      <c r="WJW22" s="16"/>
      <c r="WJX22" s="41"/>
      <c r="WJY22" s="41"/>
      <c r="WJZ22" s="28"/>
      <c r="WKA22" s="29"/>
      <c r="WKB22" s="24"/>
      <c r="WKC22" s="13"/>
      <c r="WKD22" s="13"/>
      <c r="WKE22" s="14"/>
      <c r="WKF22" s="15"/>
      <c r="WKG22" s="15"/>
      <c r="WKH22" s="16"/>
      <c r="WKI22" s="41"/>
      <c r="WKJ22" s="41"/>
      <c r="WKK22" s="28"/>
      <c r="WKL22" s="29"/>
      <c r="WKM22" s="24"/>
      <c r="WKN22" s="13"/>
      <c r="WKO22" s="13"/>
      <c r="WKP22" s="14"/>
      <c r="WKQ22" s="15"/>
      <c r="WKR22" s="15"/>
      <c r="WKS22" s="16"/>
      <c r="WKT22" s="41"/>
      <c r="WKU22" s="41"/>
      <c r="WKV22" s="28"/>
      <c r="WKW22" s="29"/>
      <c r="WKX22" s="24"/>
      <c r="WKY22" s="13"/>
      <c r="WKZ22" s="13"/>
      <c r="WLA22" s="14"/>
      <c r="WLB22" s="15"/>
      <c r="WLC22" s="15"/>
      <c r="WLD22" s="16"/>
      <c r="WLE22" s="41"/>
      <c r="WLF22" s="41"/>
      <c r="WLG22" s="28"/>
      <c r="WLH22" s="29"/>
      <c r="WLI22" s="24"/>
      <c r="WLJ22" s="13"/>
      <c r="WLK22" s="13"/>
      <c r="WLL22" s="14"/>
      <c r="WLM22" s="15"/>
      <c r="WLN22" s="15"/>
      <c r="WLO22" s="16"/>
      <c r="WLP22" s="41"/>
      <c r="WLQ22" s="41"/>
      <c r="WLR22" s="28"/>
      <c r="WLS22" s="29"/>
      <c r="WLT22" s="24"/>
      <c r="WLU22" s="13"/>
      <c r="WLV22" s="13"/>
      <c r="WLW22" s="14"/>
      <c r="WLX22" s="15"/>
      <c r="WLY22" s="15"/>
      <c r="WLZ22" s="16"/>
      <c r="WMA22" s="41"/>
      <c r="WMB22" s="41"/>
      <c r="WMC22" s="28"/>
      <c r="WMD22" s="29"/>
      <c r="WME22" s="24"/>
      <c r="WMF22" s="13"/>
      <c r="WMG22" s="13"/>
      <c r="WMH22" s="14"/>
      <c r="WMI22" s="15"/>
      <c r="WMJ22" s="15"/>
      <c r="WMK22" s="16"/>
      <c r="WML22" s="41"/>
      <c r="WMM22" s="41"/>
      <c r="WMN22" s="28"/>
      <c r="WMO22" s="29"/>
      <c r="WMP22" s="24"/>
      <c r="WMQ22" s="13"/>
      <c r="WMR22" s="13"/>
      <c r="WMS22" s="14"/>
      <c r="WMT22" s="15"/>
      <c r="WMU22" s="15"/>
      <c r="WMV22" s="16"/>
      <c r="WMW22" s="41"/>
      <c r="WMX22" s="41"/>
      <c r="WMY22" s="28"/>
      <c r="WMZ22" s="29"/>
      <c r="WNA22" s="24"/>
      <c r="WNB22" s="13"/>
      <c r="WNC22" s="13"/>
      <c r="WND22" s="14"/>
      <c r="WNE22" s="15"/>
      <c r="WNF22" s="15"/>
      <c r="WNG22" s="16"/>
      <c r="WNH22" s="41"/>
      <c r="WNI22" s="41"/>
      <c r="WNJ22" s="28"/>
      <c r="WNK22" s="29"/>
      <c r="WNL22" s="24"/>
      <c r="WNM22" s="13"/>
      <c r="WNN22" s="13"/>
      <c r="WNO22" s="14"/>
      <c r="WNP22" s="15"/>
      <c r="WNQ22" s="15"/>
      <c r="WNR22" s="16"/>
      <c r="WNS22" s="41"/>
      <c r="WNT22" s="41"/>
      <c r="WNU22" s="28"/>
      <c r="WNV22" s="29"/>
      <c r="WNW22" s="24"/>
      <c r="WNX22" s="13"/>
      <c r="WNY22" s="13"/>
      <c r="WNZ22" s="14"/>
      <c r="WOA22" s="15"/>
      <c r="WOB22" s="15"/>
      <c r="WOC22" s="16"/>
      <c r="WOD22" s="41"/>
      <c r="WOE22" s="41"/>
      <c r="WOF22" s="28"/>
      <c r="WOG22" s="29"/>
      <c r="WOH22" s="24"/>
      <c r="WOI22" s="13"/>
      <c r="WOJ22" s="13"/>
      <c r="WOK22" s="14"/>
      <c r="WOL22" s="15"/>
      <c r="WOM22" s="15"/>
      <c r="WON22" s="16"/>
      <c r="WOO22" s="41"/>
      <c r="WOP22" s="41"/>
      <c r="WOQ22" s="28"/>
      <c r="WOR22" s="29"/>
      <c r="WOS22" s="24"/>
      <c r="WOT22" s="13"/>
      <c r="WOU22" s="13"/>
      <c r="WOV22" s="14"/>
      <c r="WOW22" s="15"/>
      <c r="WOX22" s="15"/>
      <c r="WOY22" s="16"/>
      <c r="WOZ22" s="41"/>
      <c r="WPA22" s="41"/>
      <c r="WPB22" s="28"/>
      <c r="WPC22" s="29"/>
      <c r="WPD22" s="24"/>
      <c r="WPE22" s="13"/>
      <c r="WPF22" s="13"/>
      <c r="WPG22" s="14"/>
      <c r="WPH22" s="15"/>
      <c r="WPI22" s="15"/>
      <c r="WPJ22" s="16"/>
      <c r="WPK22" s="41"/>
      <c r="WPL22" s="41"/>
      <c r="WPM22" s="28"/>
      <c r="WPN22" s="29"/>
      <c r="WPO22" s="24"/>
      <c r="WPP22" s="13"/>
      <c r="WPQ22" s="13"/>
      <c r="WPR22" s="14"/>
      <c r="WPS22" s="15"/>
      <c r="WPT22" s="15"/>
      <c r="WPU22" s="16"/>
      <c r="WPV22" s="41"/>
      <c r="WPW22" s="41"/>
      <c r="WPX22" s="28"/>
      <c r="WPY22" s="29"/>
      <c r="WPZ22" s="24"/>
      <c r="WQA22" s="13"/>
      <c r="WQB22" s="13"/>
      <c r="WQC22" s="14"/>
      <c r="WQD22" s="15"/>
      <c r="WQE22" s="15"/>
      <c r="WQF22" s="16"/>
      <c r="WQG22" s="41"/>
      <c r="WQH22" s="41"/>
      <c r="WQI22" s="28"/>
      <c r="WQJ22" s="29"/>
      <c r="WQK22" s="24"/>
      <c r="WQL22" s="13"/>
      <c r="WQM22" s="13"/>
      <c r="WQN22" s="14"/>
      <c r="WQO22" s="15"/>
      <c r="WQP22" s="15"/>
      <c r="WQQ22" s="16"/>
      <c r="WQR22" s="41"/>
      <c r="WQS22" s="41"/>
      <c r="WQT22" s="28"/>
      <c r="WQU22" s="29"/>
      <c r="WQV22" s="24"/>
      <c r="WQW22" s="13"/>
      <c r="WQX22" s="13"/>
      <c r="WQY22" s="14"/>
      <c r="WQZ22" s="15"/>
      <c r="WRA22" s="15"/>
      <c r="WRB22" s="16"/>
      <c r="WRC22" s="41"/>
      <c r="WRD22" s="41"/>
      <c r="WRE22" s="28"/>
      <c r="WRF22" s="29"/>
      <c r="WRG22" s="24"/>
      <c r="WRH22" s="13"/>
      <c r="WRI22" s="13"/>
      <c r="WRJ22" s="14"/>
      <c r="WRK22" s="15"/>
      <c r="WRL22" s="15"/>
      <c r="WRM22" s="16"/>
      <c r="WRN22" s="41"/>
      <c r="WRO22" s="41"/>
      <c r="WRP22" s="28"/>
      <c r="WRQ22" s="29"/>
      <c r="WRR22" s="24"/>
      <c r="WRS22" s="13"/>
      <c r="WRT22" s="13"/>
      <c r="WRU22" s="14"/>
      <c r="WRV22" s="15"/>
      <c r="WRW22" s="15"/>
      <c r="WRX22" s="16"/>
      <c r="WRY22" s="41"/>
      <c r="WRZ22" s="41"/>
      <c r="WSA22" s="28"/>
      <c r="WSB22" s="29"/>
      <c r="WSC22" s="24"/>
      <c r="WSD22" s="13"/>
      <c r="WSE22" s="13"/>
      <c r="WSF22" s="14"/>
      <c r="WSG22" s="15"/>
      <c r="WSH22" s="15"/>
      <c r="WSI22" s="16"/>
      <c r="WSJ22" s="41"/>
      <c r="WSK22" s="41"/>
      <c r="WSL22" s="28"/>
      <c r="WSM22" s="29"/>
      <c r="WSN22" s="24"/>
      <c r="WSO22" s="13"/>
      <c r="WSP22" s="13"/>
      <c r="WSQ22" s="14"/>
      <c r="WSR22" s="15"/>
      <c r="WSS22" s="15"/>
      <c r="WST22" s="16"/>
      <c r="WSU22" s="41"/>
      <c r="WSV22" s="41"/>
      <c r="WSW22" s="28"/>
      <c r="WSX22" s="29"/>
      <c r="WSY22" s="24"/>
      <c r="WSZ22" s="13"/>
      <c r="WTA22" s="13"/>
      <c r="WTB22" s="14"/>
      <c r="WTC22" s="15"/>
      <c r="WTD22" s="15"/>
      <c r="WTE22" s="16"/>
      <c r="WTF22" s="41"/>
      <c r="WTG22" s="41"/>
      <c r="WTH22" s="28"/>
      <c r="WTI22" s="29"/>
      <c r="WTJ22" s="24"/>
      <c r="WTK22" s="13"/>
      <c r="WTL22" s="13"/>
      <c r="WTM22" s="14"/>
      <c r="WTN22" s="15"/>
      <c r="WTO22" s="15"/>
      <c r="WTP22" s="16"/>
      <c r="WTQ22" s="41"/>
      <c r="WTR22" s="41"/>
      <c r="WTS22" s="28"/>
      <c r="WTT22" s="29"/>
      <c r="WTU22" s="24"/>
      <c r="WTV22" s="13"/>
      <c r="WTW22" s="13"/>
      <c r="WTX22" s="14"/>
      <c r="WTY22" s="15"/>
      <c r="WTZ22" s="15"/>
      <c r="WUA22" s="16"/>
      <c r="WUB22" s="41"/>
      <c r="WUC22" s="41"/>
      <c r="WUD22" s="28"/>
      <c r="WUE22" s="29"/>
      <c r="WUF22" s="24"/>
      <c r="WUG22" s="13"/>
      <c r="WUH22" s="13"/>
      <c r="WUI22" s="14"/>
      <c r="WUJ22" s="15"/>
      <c r="WUK22" s="15"/>
      <c r="WUL22" s="16"/>
      <c r="WUM22" s="41"/>
      <c r="WUN22" s="41"/>
      <c r="WUO22" s="28"/>
      <c r="WUP22" s="29"/>
      <c r="WUQ22" s="24"/>
      <c r="WUR22" s="13"/>
      <c r="WUS22" s="13"/>
      <c r="WUT22" s="14"/>
      <c r="WUU22" s="15"/>
      <c r="WUV22" s="15"/>
      <c r="WUW22" s="16"/>
      <c r="WUX22" s="41"/>
      <c r="WUY22" s="41"/>
      <c r="WUZ22" s="28"/>
      <c r="WVA22" s="29"/>
      <c r="WVB22" s="24"/>
      <c r="WVC22" s="13"/>
      <c r="WVD22" s="13"/>
      <c r="WVE22" s="14"/>
      <c r="WVF22" s="15"/>
      <c r="WVG22" s="15"/>
      <c r="WVH22" s="16"/>
      <c r="WVI22" s="41"/>
      <c r="WVJ22" s="41"/>
      <c r="WVK22" s="28"/>
      <c r="WVL22" s="29"/>
      <c r="WVM22" s="24"/>
      <c r="WVN22" s="13"/>
      <c r="WVO22" s="13"/>
      <c r="WVP22" s="14"/>
      <c r="WVQ22" s="15"/>
      <c r="WVR22" s="15"/>
      <c r="WVS22" s="16"/>
      <c r="WVT22" s="41"/>
      <c r="WVU22" s="41"/>
      <c r="WVV22" s="28"/>
      <c r="WVW22" s="29"/>
      <c r="WVX22" s="24"/>
      <c r="WVY22" s="13"/>
      <c r="WVZ22" s="13"/>
      <c r="WWA22" s="14"/>
      <c r="WWB22" s="15"/>
      <c r="WWC22" s="15"/>
      <c r="WWD22" s="16"/>
      <c r="WWE22" s="41"/>
      <c r="WWF22" s="41"/>
      <c r="WWG22" s="28"/>
      <c r="WWH22" s="29"/>
      <c r="WWI22" s="24"/>
      <c r="WWJ22" s="13"/>
      <c r="WWK22" s="13"/>
      <c r="WWL22" s="14"/>
      <c r="WWM22" s="15"/>
      <c r="WWN22" s="15"/>
      <c r="WWO22" s="16"/>
      <c r="WWP22" s="41"/>
      <c r="WWQ22" s="41"/>
      <c r="WWR22" s="28"/>
      <c r="WWS22" s="29"/>
      <c r="WWT22" s="24"/>
      <c r="WWU22" s="13"/>
      <c r="WWV22" s="13"/>
      <c r="WWW22" s="14"/>
      <c r="WWX22" s="15"/>
      <c r="WWY22" s="15"/>
      <c r="WWZ22" s="16"/>
      <c r="WXA22" s="41"/>
      <c r="WXB22" s="41"/>
      <c r="WXC22" s="28"/>
      <c r="WXD22" s="29"/>
      <c r="WXE22" s="24"/>
      <c r="WXF22" s="13"/>
      <c r="WXG22" s="13"/>
      <c r="WXH22" s="14"/>
      <c r="WXI22" s="15"/>
      <c r="WXJ22" s="15"/>
      <c r="WXK22" s="16"/>
      <c r="WXL22" s="41"/>
      <c r="WXM22" s="41"/>
      <c r="WXN22" s="28"/>
      <c r="WXO22" s="29"/>
      <c r="WXP22" s="24"/>
      <c r="WXQ22" s="13"/>
      <c r="WXR22" s="13"/>
      <c r="WXS22" s="14"/>
      <c r="WXT22" s="15"/>
      <c r="WXU22" s="15"/>
      <c r="WXV22" s="16"/>
      <c r="WXW22" s="41"/>
      <c r="WXX22" s="41"/>
      <c r="WXY22" s="28"/>
      <c r="WXZ22" s="29"/>
      <c r="WYA22" s="24"/>
      <c r="WYB22" s="13"/>
      <c r="WYC22" s="13"/>
      <c r="WYD22" s="14"/>
      <c r="WYE22" s="15"/>
      <c r="WYF22" s="15"/>
      <c r="WYG22" s="16"/>
      <c r="WYH22" s="41"/>
      <c r="WYI22" s="41"/>
      <c r="WYJ22" s="28"/>
      <c r="WYK22" s="29"/>
      <c r="WYL22" s="24"/>
      <c r="WYM22" s="13"/>
      <c r="WYN22" s="13"/>
      <c r="WYO22" s="14"/>
      <c r="WYP22" s="15"/>
      <c r="WYQ22" s="15"/>
      <c r="WYR22" s="16"/>
      <c r="WYS22" s="41"/>
      <c r="WYT22" s="41"/>
      <c r="WYU22" s="28"/>
      <c r="WYV22" s="29"/>
      <c r="WYW22" s="24"/>
      <c r="WYX22" s="13"/>
      <c r="WYY22" s="13"/>
      <c r="WYZ22" s="14"/>
      <c r="WZA22" s="15"/>
      <c r="WZB22" s="15"/>
      <c r="WZC22" s="16"/>
      <c r="WZD22" s="41"/>
      <c r="WZE22" s="41"/>
      <c r="WZF22" s="28"/>
      <c r="WZG22" s="29"/>
      <c r="WZH22" s="24"/>
      <c r="WZI22" s="13"/>
      <c r="WZJ22" s="13"/>
      <c r="WZK22" s="14"/>
      <c r="WZL22" s="15"/>
      <c r="WZM22" s="15"/>
      <c r="WZN22" s="16"/>
      <c r="WZO22" s="41"/>
      <c r="WZP22" s="41"/>
      <c r="WZQ22" s="28"/>
      <c r="WZR22" s="29"/>
      <c r="WZS22" s="24"/>
      <c r="WZT22" s="13"/>
      <c r="WZU22" s="13"/>
      <c r="WZV22" s="14"/>
      <c r="WZW22" s="15"/>
      <c r="WZX22" s="15"/>
      <c r="WZY22" s="16"/>
      <c r="WZZ22" s="41"/>
      <c r="XAA22" s="41"/>
      <c r="XAB22" s="28"/>
      <c r="XAC22" s="29"/>
      <c r="XAD22" s="24"/>
      <c r="XAE22" s="13"/>
      <c r="XAF22" s="13"/>
      <c r="XAG22" s="14"/>
      <c r="XAH22" s="15"/>
      <c r="XAI22" s="15"/>
      <c r="XAJ22" s="16"/>
      <c r="XAK22" s="41"/>
      <c r="XAL22" s="41"/>
      <c r="XAM22" s="28"/>
      <c r="XAN22" s="29"/>
      <c r="XAO22" s="24"/>
      <c r="XAP22" s="13"/>
      <c r="XAQ22" s="13"/>
      <c r="XAR22" s="14"/>
      <c r="XAS22" s="15"/>
      <c r="XAT22" s="15"/>
      <c r="XAU22" s="16"/>
      <c r="XAV22" s="41"/>
      <c r="XAW22" s="41"/>
      <c r="XAX22" s="28"/>
      <c r="XAY22" s="29"/>
      <c r="XAZ22" s="24"/>
      <c r="XBA22" s="13"/>
      <c r="XBB22" s="13"/>
      <c r="XBC22" s="14"/>
      <c r="XBD22" s="15"/>
      <c r="XBE22" s="15"/>
      <c r="XBF22" s="16"/>
      <c r="XBG22" s="41"/>
      <c r="XBH22" s="41"/>
      <c r="XBI22" s="28"/>
      <c r="XBJ22" s="29"/>
      <c r="XBK22" s="24"/>
      <c r="XBL22" s="13"/>
      <c r="XBM22" s="13"/>
      <c r="XBN22" s="14"/>
      <c r="XBO22" s="15"/>
      <c r="XBP22" s="15"/>
      <c r="XBQ22" s="16"/>
      <c r="XBR22" s="41"/>
      <c r="XBS22" s="41"/>
      <c r="XBT22" s="28"/>
      <c r="XBU22" s="29"/>
      <c r="XBV22" s="24"/>
      <c r="XBW22" s="13"/>
      <c r="XBX22" s="13"/>
      <c r="XBY22" s="14"/>
      <c r="XBZ22" s="15"/>
      <c r="XCA22" s="15"/>
      <c r="XCB22" s="16"/>
      <c r="XCC22" s="41"/>
      <c r="XCD22" s="41"/>
      <c r="XCE22" s="28"/>
      <c r="XCF22" s="29"/>
      <c r="XCG22" s="24"/>
      <c r="XCH22" s="13"/>
      <c r="XCI22" s="13"/>
      <c r="XCJ22" s="14"/>
      <c r="XCK22" s="15"/>
      <c r="XCL22" s="15"/>
      <c r="XCM22" s="16"/>
      <c r="XCN22" s="41"/>
      <c r="XCO22" s="41"/>
      <c r="XCP22" s="28"/>
      <c r="XCQ22" s="29"/>
      <c r="XCR22" s="24"/>
      <c r="XCS22" s="13"/>
      <c r="XCT22" s="13"/>
      <c r="XCU22" s="14"/>
      <c r="XCV22" s="15"/>
      <c r="XCW22" s="15"/>
      <c r="XCX22" s="16"/>
      <c r="XCY22" s="41"/>
      <c r="XCZ22" s="41"/>
      <c r="XDA22" s="28"/>
      <c r="XDB22" s="29"/>
      <c r="XDC22" s="24"/>
      <c r="XDD22" s="13"/>
      <c r="XDE22" s="13"/>
    </row>
    <row r="23" spans="1:16333" ht="15.6">
      <c r="A23" s="30" t="str">
        <v>Chandler - B of A Campus Bldg A</v>
      </c>
      <c r="B23" s="31" t="str">
        <v>AZ</v>
      </c>
      <c r="C23" s="11"/>
      <c r="D23" s="18"/>
      <c r="E23" s="18" t="str">
        <f t="shared" si="0"/>
        <v/>
      </c>
      <c r="F23" s="19" t="str">
        <f t="shared" ref="F23" si="4">IFERROR(E23/D23, "")</f>
        <v/>
      </c>
      <c r="G23" s="20"/>
      <c r="H23" s="20" t="str">
        <f t="shared" si="1"/>
        <v/>
      </c>
      <c r="I23" s="19" t="str">
        <f t="shared" ref="I23:I28" si="5">IFERROR(H23/G23, "")</f>
        <v/>
      </c>
      <c r="J23" s="42"/>
      <c r="K23" s="43"/>
    </row>
    <row r="24" spans="1:16333" ht="15.6">
      <c r="A24" s="28" t="str">
        <v>Chandler - B of A Campus Bldg B</v>
      </c>
      <c r="B24" s="29" t="str">
        <v>AZ</v>
      </c>
      <c r="C24" s="24"/>
      <c r="D24" s="13"/>
      <c r="E24" s="13" t="str">
        <f t="shared" si="0"/>
        <v/>
      </c>
      <c r="F24" s="14" t="str">
        <f>IFERROR(E24/D24, "")</f>
        <v/>
      </c>
      <c r="G24" s="15"/>
      <c r="H24" s="15" t="str">
        <f t="shared" si="1"/>
        <v/>
      </c>
      <c r="I24" s="16" t="str">
        <f t="shared" si="5"/>
        <v/>
      </c>
      <c r="J24" s="41"/>
      <c r="K24" s="41"/>
    </row>
    <row r="25" spans="1:16333" ht="15.6">
      <c r="A25" s="30" t="str">
        <v>Chandler - B of A Campus Bldg C</v>
      </c>
      <c r="B25" s="31" t="str">
        <v>AZ</v>
      </c>
      <c r="C25" s="11"/>
      <c r="D25" s="18"/>
      <c r="E25" s="18" t="str">
        <f t="shared" si="0"/>
        <v/>
      </c>
      <c r="F25" s="19" t="str">
        <f t="shared" ref="F25" si="6">IFERROR(E25/D25, "")</f>
        <v/>
      </c>
      <c r="G25" s="20"/>
      <c r="H25" s="20" t="str">
        <f t="shared" si="1"/>
        <v/>
      </c>
      <c r="I25" s="19" t="str">
        <f t="shared" si="5"/>
        <v/>
      </c>
      <c r="J25" s="59"/>
      <c r="K25" s="60"/>
    </row>
    <row r="26" spans="1:16333" ht="15.6">
      <c r="A26" s="28" t="str">
        <v>Chandler - B of A Campus Bldg D</v>
      </c>
      <c r="B26" s="29" t="str">
        <v>AZ</v>
      </c>
      <c r="C26" s="24"/>
      <c r="D26" s="13"/>
      <c r="E26" s="13" t="str">
        <f t="shared" si="0"/>
        <v/>
      </c>
      <c r="F26" s="14" t="str">
        <f>IFERROR(E26/D26, "")</f>
        <v/>
      </c>
      <c r="G26" s="15"/>
      <c r="H26" s="15" t="str">
        <f t="shared" si="1"/>
        <v/>
      </c>
      <c r="I26" s="16" t="str">
        <f t="shared" si="5"/>
        <v/>
      </c>
      <c r="J26" s="50"/>
      <c r="K26" s="50"/>
    </row>
    <row r="27" spans="1:16333" ht="15.6">
      <c r="A27" s="30" t="str">
        <v>Tampa - BoA Ekman</v>
      </c>
      <c r="B27" s="31" t="str">
        <v>FL</v>
      </c>
      <c r="C27" s="11"/>
      <c r="D27" s="18"/>
      <c r="E27" s="18" t="str">
        <f t="shared" si="0"/>
        <v/>
      </c>
      <c r="F27" s="19" t="str">
        <f>IFERROR(E27/D27, "")</f>
        <v/>
      </c>
      <c r="G27" s="20"/>
      <c r="H27" s="20" t="str">
        <f t="shared" si="1"/>
        <v/>
      </c>
      <c r="I27" s="19" t="str">
        <f t="shared" si="5"/>
        <v/>
      </c>
      <c r="J27" s="53"/>
      <c r="K27" s="48"/>
    </row>
    <row r="28" spans="1:16333" ht="15.6">
      <c r="A28" s="28" t="str">
        <v>Charlotte - B of A - Sherrill</v>
      </c>
      <c r="B28" s="29" t="str">
        <v>NC</v>
      </c>
      <c r="C28" s="24"/>
      <c r="D28" s="13"/>
      <c r="E28" s="13" t="str">
        <f t="shared" si="0"/>
        <v/>
      </c>
      <c r="F28" s="14" t="str">
        <f>IFERROR(E28/D28, "")</f>
        <v/>
      </c>
      <c r="G28" s="15"/>
      <c r="H28" s="15" t="str">
        <f t="shared" si="1"/>
        <v/>
      </c>
      <c r="I28" s="16" t="str">
        <f t="shared" si="5"/>
        <v/>
      </c>
      <c r="J28" s="41"/>
      <c r="K28" s="41"/>
    </row>
    <row r="29" spans="1:16333" ht="14.45">
      <c r="A29" s="21"/>
      <c r="B29" s="33"/>
      <c r="C29" s="21"/>
      <c r="D29" s="21"/>
      <c r="E29" s="21"/>
      <c r="F29" s="21"/>
      <c r="G29" s="21"/>
      <c r="H29" s="21"/>
      <c r="I29" s="21"/>
      <c r="J29" s="21"/>
      <c r="K29" s="21"/>
    </row>
    <row r="30" spans="1:16333" ht="14.45">
      <c r="A30" s="21"/>
      <c r="B30" s="33"/>
      <c r="C30" s="21"/>
      <c r="D30" s="21"/>
      <c r="E30" s="21"/>
      <c r="F30" s="21"/>
      <c r="G30" s="21"/>
      <c r="H30" s="21"/>
      <c r="I30" s="21"/>
      <c r="J30" s="21"/>
      <c r="K30" s="21"/>
    </row>
    <row r="31" spans="1:16333" ht="14.45">
      <c r="A31" s="21"/>
      <c r="B31" s="33"/>
      <c r="C31" s="21"/>
      <c r="D31" s="21"/>
      <c r="E31" s="21"/>
      <c r="F31" s="22"/>
      <c r="G31" s="21"/>
      <c r="H31" s="21"/>
      <c r="I31" s="22"/>
      <c r="J31" s="21"/>
      <c r="K31" s="21"/>
    </row>
    <row r="32" spans="1:16333"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phoneticPr fontId="37" type="noConversion"/>
  <conditionalFormatting sqref="F2 I2 F4:F98 I4:I98 BB22 BE22 BM22 BP22 BX22 CA22 CI22 CL22 CT22 CW22 DE22 DH22 DP22 DS22 EA22 ED22 EL22 EO22 EW22 EZ22 FH22 FK22 FS22 FV22 GD22 GG22 GO22 GR22 GZ22 HC22 HK22 HN22 HV22 HY22 IG22 IJ22 IR22 IU22 JC22 JF22 JN22 JQ22 JY22 KB22 KJ22 KM22 KU22 KX22 LF22 LI22 LQ22 LT22 MB22 ME22 MM22 MP22 MX22 NA22 NI22 NL22 NT22 NW22 OE22 OH22 OP22 OS22 PA22 PD22 PL22 PO22 PW22 PZ22 QH22 QK22 QS22 QV22 RD22 RG22 RO22 RR22 RZ22 SC22 SK22 SN22 SV22 SY22 TG22 TJ22 TR22 TU22 UC22 UF22 UN22 UQ22 UY22 VB22 VJ22 VM22 VU22 VX22 WF22 WI22 WQ22 WT22 XB22 XE22 XM22 XP22 XX22 YA22 YI22 YL22 YT22 YW22 ZE22 ZH22 ZP22 ZS22 AAA22 AAD22 AAL22 AAO22 AAW22 AAZ22 ABH22 ABK22 ABS22 ABV22 ACD22 ACG22 ACO22 ACR22 ACZ22 ADC22 ADK22 ADN22 ADV22 ADY22 AEG22 AEJ22 AER22 AEU22 AFC22 AFF22 AFN22 AFQ22 AFY22 AGB22 AGJ22 AGM22 AGU22 AGX22 AHF22 AHI22 AHQ22 AHT22 AIB22 AIE22 AIM22 AIP22 AIX22 AJA22 AJI22 AJL22 AJT22 AJW22 AKE22 AKH22 AKP22 AKS22 ALA22 ALD22 ALL22 ALO22 ALW22 ALZ22 AMH22 AMK22 AMS22 AMV22 AND22 ANG22 ANO22 ANR22 ANZ22 AOC22 AOK22 AON22 AOV22 AOY22 APG22 APJ22 APR22 APU22 AQC22 AQF22 AQN22 AQQ22 AQY22 ARB22 ARJ22 ARM22 ARU22 ARX22 ASF22 ASI22 ASQ22 AST22 ATB22 ATE22 ATM22 ATP22 ATX22 AUA22 AUI22 AUL22 AUT22 AUW22 AVE22 AVH22 AVP22 AVS22 AWA22 AWD22 AWL22 AWO22 AWW22 AWZ22 AXH22 AXK22 AXS22 AXV22 AYD22 AYG22 AYO22 AYR22 AYZ22 AZC22 AZK22 AZN22 AZV22 AZY22 BAG22 BAJ22 BAR22 BAU22 BBC22 BBF22 BBN22 BBQ22 BBY22 BCB22 BCJ22 BCM22 BCU22 BCX22 BDF22 BDI22 BDQ22 BDT22 BEB22 BEE22 BEM22 BEP22 BEX22 BFA22 BFI22 BFL22 BFT22 BFW22 BGE22 BGH22 BGP22 BGS22 BHA22 BHD22 BHL22 BHO22 BHW22 BHZ22 BIH22 BIK22 BIS22 BIV22 BJD22 BJG22 BJO22 BJR22 BJZ22 BKC22 BKK22 BKN22 BKV22 BKY22 BLG22 BLJ22 BLR22 BLU22 BMC22 BMF22 BMN22 BMQ22 BMY22 BNB22 BNJ22 BNM22 BNU22 BNX22 BOF22 BOI22 BOQ22 BOT22 BPB22 BPE22 BPM22 BPP22 BPX22 BQA22 BQI22 BQL22 BQT22 BQW22 BRE22 BRH22 BRP22 BRS22 BSA22 BSD22 BSL22 BSO22 BSW22 BSZ22 BTH22 BTK22 BTS22 BTV22 BUD22 BUG22 BUO22 BUR22 BUZ22 BVC22 BVK22 BVN22 BVV22 BVY22 BWG22 BWJ22 BWR22 BWU22 BXC22 BXF22 BXN22 BXQ22 BXY22 BYB22 BYJ22 BYM22 BYU22 BYX22 BZF22 BZI22 BZQ22 BZT22 CAB22 CAE22 CAM22 CAP22 CAX22 CBA22 CBI22 CBL22 CBT22 CBW22 CCE22 CCH22 CCP22 CCS22 CDA22 CDD22 CDL22 CDO22 CDW22 CDZ22 CEH22 CEK22 CES22 CEV22 CFD22 CFG22 CFO22 CFR22 CFZ22 CGC22 CGK22 CGN22 CGV22 CGY22 CHG22 CHJ22 CHR22 CHU22 CIC22 CIF22 CIN22 CIQ22 CIY22 CJB22 CJJ22 CJM22 CJU22 CJX22 CKF22 CKI22 CKQ22 CKT22 CLB22 CLE22 CLM22 CLP22 CLX22 CMA22 CMI22 CML22 CMT22 CMW22 CNE22 CNH22 CNP22 CNS22 COA22 COD22 COL22 COO22 COW22 COZ22 CPH22 CPK22 CPS22 CPV22 CQD22 CQG22 CQO22 CQR22 CQZ22 CRC22 CRK22 CRN22 CRV22 CRY22 CSG22 CSJ22 CSR22 CSU22 CTC22 CTF22 CTN22 CTQ22 CTY22 CUB22 CUJ22 CUM22 CUU22 CUX22 CVF22 CVI22 CVQ22 CVT22 CWB22 CWE22 CWM22 CWP22 CWX22 CXA22 CXI22 CXL22 CXT22 CXW22 CYE22 CYH22 CYP22 CYS22 CZA22 CZD22 CZL22 CZO22 CZW22 CZZ22 DAH22 DAK22 DAS22 DAV22 DBD22 DBG22 DBO22 DBR22 DBZ22 DCC22 DCK22 DCN22 DCV22 DCY22 DDG22 DDJ22 DDR22 DDU22 DEC22 DEF22 DEN22 DEQ22 DEY22 DFB22 DFJ22 DFM22 DFU22 DFX22 DGF22 DGI22 DGQ22 DGT22 DHB22 DHE22 DHM22 DHP22 DHX22 DIA22 DII22 DIL22 DIT22 DIW22 DJE22 DJH22 DJP22 DJS22 DKA22 DKD22 DKL22 DKO22 DKW22 DKZ22 DLH22 DLK22 DLS22 DLV22 DMD22 DMG22 DMO22 DMR22 DMZ22 DNC22 DNK22 DNN22 DNV22 DNY22 DOG22 DOJ22 DOR22 DOU22 DPC22 DPF22 DPN22 DPQ22 DPY22 DQB22 DQJ22 DQM22 DQU22 DQX22 DRF22 DRI22 DRQ22 DRT22 DSB22 DSE22 DSM22 DSP22 DSX22 DTA22 DTI22 DTL22 DTT22 DTW22 DUE22 DUH22 DUP22 DUS22 DVA22 DVD22 DVL22 DVO22 DVW22 DVZ22 DWH22 DWK22 DWS22 DWV22 DXD22 DXG22 DXO22 DXR22 DXZ22 DYC22 DYK22 DYN22 DYV22 DYY22 DZG22 DZJ22 DZR22 DZU22 EAC22 EAF22 EAN22 EAQ22 EAY22 EBB22 EBJ22 EBM22 EBU22 EBX22 ECF22 ECI22 ECQ22 ECT22 EDB22 EDE22 EDM22 EDP22 EDX22 EEA22 EEI22 EEL22 EET22 EEW22 EFE22 EFH22 EFP22 EFS22 EGA22 EGD22 EGL22 EGO22 EGW22 EGZ22 EHH22 EHK22 EHS22 EHV22 EID22 EIG22 EIO22 EIR22 EIZ22 EJC22 EJK22 EJN22 EJV22 EJY22 EKG22 EKJ22 EKR22 EKU22 ELC22 ELF22 ELN22 ELQ22 ELY22 EMB22 EMJ22 EMM22 EMU22 EMX22 ENF22 ENI22 ENQ22 ENT22 EOB22 EOE22 EOM22 EOP22 EOX22 EPA22 EPI22 EPL22 EPT22 EPW22 EQE22 EQH22 EQP22 EQS22 ERA22 ERD22 ERL22 ERO22 ERW22 ERZ22 ESH22 ESK22 ESS22 ESV22 ETD22 ETG22 ETO22 ETR22 ETZ22 EUC22 EUK22 EUN22 EUV22 EUY22 EVG22 EVJ22 EVR22 EVU22 EWC22 EWF22 EWN22 EWQ22 EWY22 EXB22 EXJ22 EXM22 EXU22 EXX22 EYF22 EYI22 EYQ22 EYT22 EZB22 EZE22 EZM22 EZP22 EZX22 FAA22 FAI22 FAL22 FAT22 FAW22 FBE22 FBH22 FBP22 FBS22 FCA22 FCD22 FCL22 FCO22 FCW22 FCZ22 FDH22 FDK22 FDS22 FDV22 FED22 FEG22 FEO22 FER22 FEZ22 FFC22 FFK22 FFN22 FFV22 FFY22 FGG22 FGJ22 FGR22 FGU22 FHC22 FHF22 FHN22 FHQ22 FHY22 FIB22 FIJ22 FIM22 FIU22 FIX22 FJF22 FJI22 FJQ22 FJT22 FKB22 FKE22 FKM22 FKP22 FKX22 FLA22 FLI22 FLL22 FLT22 FLW22 FME22 FMH22 FMP22 FMS22 FNA22 FND22 FNL22 FNO22 FNW22 FNZ22 FOH22 FOK22 FOS22 FOV22 FPD22 FPG22 FPO22 FPR22 FPZ22 FQC22 FQK22 FQN22 FQV22 FQY22 FRG22 FRJ22 FRR22 FRU22 FSC22 FSF22 FSN22 FSQ22 FSY22 FTB22 FTJ22 FTM22 FTU22 FTX22 FUF22 FUI22 FUQ22 FUT22 FVB22 FVE22 FVM22 FVP22 FVX22 FWA22 FWI22 FWL22 FWT22 FWW22 FXE22 FXH22 FXP22 FXS22 FYA22 FYD22 FYL22 FYO22 FYW22 FYZ22 FZH22 FZK22 FZS22 FZV22 GAD22 GAG22 GAO22 GAR22 GAZ22 GBC22 GBK22 GBN22 GBV22 GBY22 GCG22 GCJ22 GCR22 GCU22 GDC22 GDF22 GDN22 GDQ22 GDY22 GEB22 GEJ22 GEM22 GEU22 GEX22 GFF22 GFI22 GFQ22 GFT22 GGB22 GGE22 GGM22 GGP22 GGX22 GHA22 GHI22 GHL22 GHT22 GHW22 GIE22 GIH22 GIP22 GIS22 GJA22 GJD22 GJL22 GJO22 GJW22 GJZ22 GKH22 GKK22 GKS22 GKV22 GLD22 GLG22 GLO22 GLR22 GLZ22 GMC22 GMK22 GMN22 GMV22 GMY22 GNG22 GNJ22 GNR22 GNU22 GOC22 GOF22 GON22 GOQ22 GOY22 GPB22 GPJ22 GPM22 GPU22 GPX22 GQF22 GQI22 GQQ22 GQT22 GRB22 GRE22 GRM22 GRP22 GRX22 GSA22 GSI22 GSL22 GST22 GSW22 GTE22 GTH22 GTP22 GTS22 GUA22 GUD22 GUL22 GUO22 GUW22 GUZ22 GVH22 GVK22 GVS22 GVV22 GWD22 GWG22 GWO22 GWR22 GWZ22 GXC22 GXK22 GXN22 GXV22 GXY22 GYG22 GYJ22 GYR22 GYU22 GZC22 GZF22 GZN22 GZQ22 GZY22 HAB22 HAJ22 HAM22 HAU22 HAX22 HBF22 HBI22 HBQ22 HBT22 HCB22 HCE22 HCM22 HCP22 HCX22 HDA22 HDI22 HDL22 HDT22 HDW22 HEE22 HEH22 HEP22 HES22 HFA22 HFD22 HFL22 HFO22 HFW22 HFZ22 HGH22 HGK22 HGS22 HGV22 HHD22 HHG22 HHO22 HHR22 HHZ22 HIC22 HIK22 HIN22 HIV22 HIY22 HJG22 HJJ22 HJR22 HJU22 HKC22 HKF22 HKN22 HKQ22 HKY22 HLB22 HLJ22 HLM22 HLU22 HLX22 HMF22 HMI22 HMQ22 HMT22 HNB22 HNE22 HNM22 HNP22 HNX22 HOA22 HOI22 HOL22 HOT22 HOW22 HPE22 HPH22 HPP22 HPS22 HQA22 HQD22 HQL22 HQO22 HQW22 HQZ22 HRH22 HRK22 HRS22 HRV22 HSD22 HSG22 HSO22 HSR22 HSZ22 HTC22 HTK22 HTN22 HTV22 HTY22 HUG22 HUJ22 HUR22 HUU22 HVC22 HVF22 HVN22 HVQ22 HVY22 HWB22 HWJ22 HWM22 HWU22 HWX22 HXF22 HXI22 HXQ22 HXT22 HYB22 HYE22 HYM22 HYP22 HYX22 HZA22 HZI22 HZL22 HZT22 HZW22 IAE22 IAH22 IAP22 IAS22 IBA22 IBD22 IBL22 IBO22 IBW22 IBZ22 ICH22 ICK22 ICS22 ICV22 IDD22 IDG22 IDO22 IDR22 IDZ22 IEC22 IEK22 IEN22 IEV22 IEY22 IFG22 IFJ22 IFR22 IFU22 IGC22 IGF22 IGN22 IGQ22 IGY22 IHB22 IHJ22 IHM22 IHU22 IHX22 IIF22 III22 IIQ22 IIT22 IJB22 IJE22 IJM22 IJP22 IJX22 IKA22 IKI22 IKL22 IKT22 IKW22 ILE22 ILH22 ILP22 ILS22 IMA22 IMD22 IML22 IMO22 IMW22 IMZ22 INH22 INK22 INS22 INV22 IOD22 IOG22 IOO22 IOR22 IOZ22 IPC22 IPK22 IPN22 IPV22 IPY22 IQG22 IQJ22 IQR22 IQU22 IRC22 IRF22 IRN22 IRQ22 IRY22 ISB22 ISJ22 ISM22 ISU22 ISX22 ITF22 ITI22 ITQ22 ITT22 IUB22 IUE22 IUM22 IUP22 IUX22 IVA22 IVI22 IVL22 IVT22 IVW22 IWE22 IWH22 IWP22 IWS22 IXA22 IXD22 IXL22 IXO22 IXW22 IXZ22 IYH22 IYK22 IYS22 IYV22 IZD22 IZG22 IZO22 IZR22 IZZ22 JAC22 JAK22 JAN22 JAV22 JAY22 JBG22 JBJ22 JBR22 JBU22 JCC22 JCF22 JCN22 JCQ22 JCY22 JDB22 JDJ22 JDM22 JDU22 JDX22 JEF22 JEI22 JEQ22 JET22 JFB22 JFE22 JFM22 JFP22 JFX22 JGA22 JGI22 JGL22 JGT22 JGW22 JHE22 JHH22 JHP22 JHS22 JIA22 JID22 JIL22 JIO22 JIW22 JIZ22 JJH22 JJK22 JJS22 JJV22 JKD22 JKG22 JKO22 JKR22 JKZ22 JLC22 JLK22 JLN22 JLV22 JLY22 JMG22 JMJ22 JMR22 JMU22 JNC22 JNF22 JNN22 JNQ22 JNY22 JOB22 JOJ22 JOM22 JOU22 JOX22 JPF22 JPI22 JPQ22 JPT22 JQB22 JQE22 JQM22 JQP22 JQX22 JRA22 JRI22 JRL22 JRT22 JRW22 JSE22 JSH22 JSP22 JSS22 JTA22 JTD22 JTL22 JTO22 JTW22 JTZ22 JUH22 JUK22 JUS22 JUV22 JVD22 JVG22 JVO22 JVR22 JVZ22 JWC22 JWK22 JWN22 JWV22 JWY22 JXG22 JXJ22 JXR22 JXU22 JYC22 JYF22 JYN22 JYQ22 JYY22 JZB22 JZJ22 JZM22 JZU22 JZX22 KAF22 KAI22 KAQ22 KAT22 KBB22 KBE22 KBM22 KBP22 KBX22 KCA22 KCI22 KCL22 KCT22 KCW22 KDE22 KDH22 KDP22 KDS22 KEA22 KED22 KEL22 KEO22 KEW22 KEZ22 KFH22 KFK22 KFS22 KFV22 KGD22 KGG22 KGO22 KGR22 KGZ22 KHC22 KHK22 KHN22 KHV22 KHY22 KIG22 KIJ22 KIR22 KIU22 KJC22 KJF22 KJN22 KJQ22 KJY22 KKB22 KKJ22 KKM22 KKU22 KKX22 KLF22 KLI22 KLQ22 KLT22 KMB22 KME22 KMM22 KMP22 KMX22 KNA22 KNI22 KNL22 KNT22 KNW22 KOE22 KOH22 KOP22 KOS22 KPA22 KPD22 KPL22 KPO22 KPW22 KPZ22 KQH22 KQK22 KQS22 KQV22 KRD22 KRG22 KRO22 KRR22 KRZ22 KSC22 KSK22 KSN22 KSV22 KSY22 KTG22 KTJ22 KTR22 KTU22 KUC22 KUF22 KUN22 KUQ22 KUY22 KVB22 KVJ22 KVM22 KVU22 KVX22 KWF22 KWI22 KWQ22 KWT22 KXB22 KXE22 KXM22 KXP22 KXX22 KYA22 KYI22 KYL22 KYT22 KYW22 KZE22 KZH22 KZP22 KZS22 LAA22 LAD22 LAL22 LAO22 LAW22 LAZ22 LBH22 LBK22 LBS22 LBV22 LCD22 LCG22 LCO22 LCR22 LCZ22 LDC22 LDK22 LDN22 LDV22 LDY22 LEG22 LEJ22 LER22 LEU22 LFC22 LFF22 LFN22 LFQ22 LFY22 LGB22 LGJ22 LGM22 LGU22 LGX22 LHF22 LHI22 LHQ22 LHT22 LIB22 LIE22 LIM22 LIP22 LIX22 LJA22 LJI22 LJL22 LJT22 LJW22 LKE22 LKH22 LKP22 LKS22 LLA22 LLD22 LLL22 LLO22 LLW22 LLZ22 LMH22 LMK22 LMS22 LMV22 LND22 LNG22 LNO22 LNR22 LNZ22 LOC22 LOK22 LON22 LOV22 LOY22 LPG22 LPJ22 LPR22 LPU22 LQC22 LQF22 LQN22 LQQ22 LQY22 LRB22 LRJ22 LRM22 LRU22 LRX22 LSF22 LSI22 LSQ22 LST22 LTB22 LTE22 LTM22 LTP22 LTX22 LUA22 LUI22 LUL22 LUT22 LUW22 LVE22 LVH22 LVP22 LVS22 LWA22 LWD22 LWL22 LWO22 LWW22 LWZ22 LXH22 LXK22 LXS22 LXV22 LYD22 LYG22 LYO22 LYR22 LYZ22 LZC22 LZK22 LZN22 LZV22 LZY22 MAG22 MAJ22 MAR22 MAU22 MBC22 MBF22 MBN22 MBQ22 MBY22 MCB22 MCJ22 MCM22 MCU22 MCX22 MDF22 MDI22 MDQ22 MDT22 MEB22 MEE22 MEM22 MEP22 MEX22 MFA22 MFI22 MFL22 MFT22 MFW22 MGE22 MGH22 MGP22 MGS22 MHA22 MHD22 MHL22 MHO22 MHW22 MHZ22 MIH22 MIK22 MIS22 MIV22 MJD22 MJG22 MJO22 MJR22 MJZ22 MKC22 MKK22 MKN22 MKV22 MKY22 MLG22 MLJ22 MLR22 MLU22 MMC22 MMF22 MMN22 MMQ22 MMY22 MNB22 MNJ22 MNM22 MNU22 MNX22 MOF22 MOI22 MOQ22 MOT22 MPB22 MPE22 MPM22 MPP22 MPX22 MQA22 MQI22 MQL22 MQT22 MQW22 MRE22 MRH22 MRP22 MRS22 MSA22 MSD22 MSL22 MSO22 MSW22 MSZ22 MTH22 MTK22 MTS22 MTV22 MUD22 MUG22 MUO22 MUR22 MUZ22 MVC22 MVK22 MVN22 MVV22 MVY22 MWG22 MWJ22 MWR22 MWU22 MXC22 MXF22 MXN22 MXQ22 MXY22 MYB22 MYJ22 MYM22 MYU22 MYX22 MZF22 MZI22 MZQ22 MZT22 NAB22 NAE22 NAM22 NAP22 NAX22 NBA22 NBI22 NBL22 NBT22 NBW22 NCE22 NCH22 NCP22 NCS22 NDA22 NDD22 NDL22 NDO22 NDW22 NDZ22 NEH22 NEK22 NES22 NEV22 NFD22 NFG22 NFO22 NFR22 NFZ22 NGC22 NGK22 NGN22 NGV22 NGY22 NHG22 NHJ22 NHR22 NHU22 NIC22 NIF22 NIN22 NIQ22 NIY22 NJB22 NJJ22 NJM22 NJU22 NJX22 NKF22 NKI22 NKQ22 NKT22 NLB22 NLE22 NLM22 NLP22 NLX22 NMA22 NMI22 NML22 NMT22 NMW22 NNE22 NNH22 NNP22 NNS22 NOA22 NOD22 NOL22 NOO22 NOW22 NOZ22 NPH22 NPK22 NPS22 NPV22 NQD22 NQG22 NQO22 NQR22 NQZ22 NRC22 NRK22 NRN22 NRV22 NRY22 NSG22 NSJ22 NSR22 NSU22 NTC22 NTF22 NTN22 NTQ22 NTY22 NUB22 NUJ22 NUM22 NUU22 NUX22 NVF22 NVI22 NVQ22 NVT22 NWB22 NWE22 NWM22 NWP22 NWX22 NXA22 NXI22 NXL22 NXT22 NXW22 NYE22 NYH22 NYP22 NYS22 NZA22 NZD22 NZL22 NZO22 NZW22 NZZ22 OAH22 OAK22 OAS22 OAV22 OBD22 OBG22 OBO22 OBR22 OBZ22 OCC22 OCK22 OCN22 OCV22 OCY22 ODG22 ODJ22 ODR22 ODU22 OEC22 OEF22 OEN22 OEQ22 OEY22 OFB22 OFJ22 OFM22 OFU22 OFX22 OGF22 OGI22 OGQ22 OGT22 OHB22 OHE22 OHM22 OHP22 OHX22 OIA22 OII22 OIL22 OIT22 OIW22 OJE22 OJH22 OJP22 OJS22 OKA22 OKD22 OKL22 OKO22 OKW22 OKZ22 OLH22 OLK22 OLS22 OLV22 OMD22 OMG22 OMO22 OMR22 OMZ22 ONC22 ONK22 ONN22 ONV22 ONY22 OOG22 OOJ22 OOR22 OOU22 OPC22 OPF22 OPN22 OPQ22 OPY22 OQB22 OQJ22 OQM22 OQU22 OQX22 ORF22 ORI22 ORQ22 ORT22 OSB22 OSE22 OSM22 OSP22 OSX22 OTA22 OTI22 OTL22 OTT22 OTW22 OUE22 OUH22 OUP22 OUS22 OVA22 OVD22 OVL22 OVO22 OVW22 OVZ22 OWH22 OWK22 OWS22 OWV22 OXD22 OXG22 OXO22 OXR22 OXZ22 OYC22 OYK22 OYN22 OYV22 OYY22 OZG22 OZJ22 OZR22 OZU22 PAC22 PAF22 PAN22 PAQ22 PAY22 PBB22 PBJ22 PBM22 PBU22 PBX22 PCF22 PCI22 PCQ22 PCT22 PDB22 PDE22 PDM22 PDP22 PDX22 PEA22 PEI22 PEL22 PET22 PEW22 PFE22 PFH22 PFP22 PFS22 PGA22 PGD22 PGL22 PGO22 PGW22 PGZ22 PHH22 PHK22 PHS22 PHV22 PID22 PIG22 PIO22 PIR22 PIZ22 PJC22 PJK22 PJN22 PJV22 PJY22 PKG22 PKJ22 PKR22 PKU22 PLC22 PLF22 PLN22 PLQ22 PLY22 PMB22 PMJ22 PMM22 PMU22 PMX22 PNF22 PNI22 PNQ22 PNT22 POB22 POE22 POM22 POP22 POX22 PPA22 PPI22 PPL22 PPT22 PPW22 PQE22 PQH22 PQP22 PQS22 PRA22 PRD22 PRL22 PRO22 PRW22 PRZ22 PSH22 PSK22 PSS22 PSV22 PTD22 PTG22 PTO22 PTR22 PTZ22 PUC22 PUK22 PUN22 PUV22 PUY22 PVG22 PVJ22 PVR22 PVU22 PWC22 PWF22 PWN22 PWQ22 PWY22 PXB22 PXJ22 PXM22 PXU22 PXX22 PYF22 PYI22 PYQ22 PYT22 PZB22 PZE22 PZM22 PZP22 PZX22 QAA22 QAI22 QAL22 QAT22 QAW22 QBE22 QBH22 QBP22 QBS22 QCA22 QCD22 QCL22 QCO22 QCW22 QCZ22 QDH22 QDK22 QDS22 QDV22 QED22 QEG22 QEO22 QER22 QEZ22 QFC22 QFK22 QFN22 QFV22 QFY22 QGG22 QGJ22 QGR22 QGU22 QHC22 QHF22 QHN22 QHQ22 QHY22 QIB22 QIJ22 QIM22 QIU22 QIX22 QJF22 QJI22 QJQ22 QJT22 QKB22 QKE22 QKM22 QKP22 QKX22 QLA22 QLI22 QLL22 QLT22 QLW22 QME22 QMH22 QMP22 QMS22 QNA22 QND22 QNL22 QNO22 QNW22 QNZ22 QOH22 QOK22 QOS22 QOV22 QPD22 QPG22 QPO22 QPR22 QPZ22 QQC22 QQK22 QQN22 QQV22 QQY22 QRG22 QRJ22 QRR22 QRU22 QSC22 QSF22 QSN22 QSQ22 QSY22 QTB22 QTJ22 QTM22 QTU22 QTX22 QUF22 QUI22 QUQ22 QUT22 QVB22 QVE22 QVM22 QVP22 QVX22 QWA22 QWI22 QWL22 QWT22 QWW22 QXE22 QXH22 QXP22 QXS22 QYA22 QYD22 QYL22 QYO22 QYW22 QYZ22 QZH22 QZK22 QZS22 QZV22 RAD22 RAG22 RAO22 RAR22 RAZ22 RBC22 RBK22 RBN22 RBV22 RBY22 RCG22 RCJ22 RCR22 RCU22 RDC22 RDF22 RDN22 RDQ22 RDY22 REB22 REJ22 REM22 REU22 REX22 RFF22 RFI22 RFQ22 RFT22 RGB22 RGE22 RGM22 RGP22 RGX22 RHA22 RHI22 RHL22 RHT22 RHW22 RIE22 RIH22 RIP22 RIS22 RJA22 RJD22 RJL22 RJO22 RJW22 RJZ22 RKH22 RKK22 RKS22 RKV22 RLD22 RLG22 RLO22 RLR22 RLZ22 RMC22 RMK22 RMN22 RMV22 RMY22 RNG22 RNJ22 RNR22 RNU22 ROC22 ROF22 RON22 ROQ22 ROY22 RPB22 RPJ22 RPM22 RPU22 RPX22 RQF22 RQI22 RQQ22 RQT22 RRB22 RRE22 RRM22 RRP22 RRX22 RSA22 RSI22 RSL22 RST22 RSW22 RTE22 RTH22 RTP22 RTS22 RUA22 RUD22 RUL22 RUO22 RUW22 RUZ22 RVH22 RVK22 RVS22 RVV22 RWD22 RWG22 RWO22 RWR22 RWZ22 RXC22 RXK22 RXN22 RXV22 RXY22 RYG22 RYJ22 RYR22 RYU22 RZC22 RZF22 RZN22 RZQ22 RZY22 SAB22 SAJ22 SAM22 SAU22 SAX22 SBF22 SBI22 SBQ22 SBT22 SCB22 SCE22 SCM22 SCP22 SCX22 SDA22 SDI22 SDL22 SDT22 SDW22 SEE22 SEH22 SEP22 SES22 SFA22 SFD22 SFL22 SFO22 SFW22 SFZ22 SGH22 SGK22 SGS22 SGV22 SHD22 SHG22 SHO22 SHR22 SHZ22 SIC22 SIK22 SIN22 SIV22 SIY22 SJG22 SJJ22 SJR22 SJU22 SKC22 SKF22 SKN22 SKQ22 SKY22 SLB22 SLJ22 SLM22 SLU22 SLX22 SMF22 SMI22 SMQ22 SMT22 SNB22 SNE22 SNM22 SNP22 SNX22 SOA22 SOI22 SOL22 SOT22 SOW22 SPE22 SPH22 SPP22 SPS22 SQA22 SQD22 SQL22 SQO22 SQW22 SQZ22 SRH22 SRK22 SRS22 SRV22 SSD22 SSG22 SSO22 SSR22 SSZ22 STC22 STK22 STN22 STV22 STY22 SUG22 SUJ22 SUR22 SUU22 SVC22 SVF22 SVN22 SVQ22 SVY22 SWB22 SWJ22 SWM22 SWU22 SWX22 SXF22 SXI22 SXQ22 SXT22 SYB22 SYE22 SYM22 SYP22 SYX22 SZA22 SZI22 SZL22 SZT22 SZW22 TAE22 TAH22 TAP22 TAS22 TBA22 TBD22 TBL22 TBO22 TBW22 TBZ22 TCH22 TCK22 TCS22 TCV22 TDD22 TDG22 TDO22 TDR22 TDZ22 TEC22 TEK22 TEN22 TEV22 TEY22 TFG22 TFJ22 TFR22 TFU22 TGC22 TGF22 TGN22 TGQ22 TGY22 THB22 THJ22 THM22 THU22 THX22 TIF22 TII22 TIQ22 TIT22 TJB22 TJE22 TJM22 TJP22 TJX22 TKA22 TKI22 TKL22 TKT22 TKW22 TLE22 TLH22 TLP22 TLS22 TMA22 TMD22 TML22 TMO22 TMW22 TMZ22 TNH22 TNK22 TNS22 TNV22 TOD22 TOG22 TOO22 TOR22 TOZ22 TPC22 TPK22 TPN22 TPV22 TPY22 TQG22 TQJ22 TQR22 TQU22 TRC22 TRF22 TRN22 TRQ22 TRY22 TSB22 TSJ22 TSM22 TSU22 TSX22 TTF22 TTI22 TTQ22 TTT22 TUB22 TUE22 TUM22 TUP22 TUX22 TVA22 TVI22 TVL22 TVT22 TVW22 TWE22 TWH22 TWP22 TWS22 TXA22 TXD22 TXL22 TXO22 TXW22 TXZ22 TYH22 TYK22 TYS22 TYV22 TZD22 TZG22 TZO22 TZR22 TZZ22 UAC22 UAK22 UAN22 UAV22 UAY22 UBG22 UBJ22 UBR22 UBU22 UCC22 UCF22 UCN22 UCQ22 UCY22 UDB22 UDJ22 UDM22 UDU22 UDX22 UEF22 UEI22 UEQ22 UET22 UFB22 UFE22 UFM22 UFP22 UFX22 UGA22 UGI22 UGL22 UGT22 UGW22 UHE22 UHH22 UHP22 UHS22 UIA22 UID22 UIL22 UIO22 UIW22 UIZ22 UJH22 UJK22 UJS22 UJV22 UKD22 UKG22 UKO22 UKR22 UKZ22 ULC22 ULK22 ULN22 ULV22 ULY22 UMG22 UMJ22 UMR22 UMU22 UNC22 UNF22 UNN22 UNQ22 UNY22 UOB22 UOJ22 UOM22 UOU22 UOX22 UPF22 UPI22 UPQ22 UPT22 UQB22 UQE22 UQM22 UQP22 UQX22 URA22 URI22 URL22 URT22 URW22 USE22 USH22 USP22 USS22 UTA22 UTD22 UTL22 UTO22 UTW22 UTZ22 UUH22 UUK22 UUS22 UUV22 UVD22 UVG22 UVO22 UVR22 UVZ22 UWC22 UWK22 UWN22 UWV22 UWY22 UXG22 UXJ22 UXR22 UXU22 UYC22 UYF22 UYN22 UYQ22 UYY22 UZB22 UZJ22 UZM22 UZU22 UZX22 VAF22 VAI22 VAQ22 VAT22 VBB22 VBE22 VBM22 VBP22 VBX22 VCA22 VCI22 VCL22 VCT22 VCW22 VDE22 VDH22 VDP22 VDS22 VEA22 VED22 VEL22 VEO22 VEW22 VEZ22 VFH22 VFK22 VFS22 VFV22 VGD22 VGG22 VGO22 VGR22 VGZ22 VHC22 VHK22 VHN22 VHV22 VHY22 VIG22 VIJ22 VIR22 VIU22 VJC22 VJF22 VJN22 VJQ22 VJY22 VKB22 VKJ22 VKM22 VKU22 VKX22 VLF22 VLI22 VLQ22 VLT22 VMB22 VME22 VMM22 VMP22 VMX22 VNA22 VNI22 VNL22 VNT22 VNW22 VOE22 VOH22 VOP22 VOS22 VPA22 VPD22 VPL22 VPO22 VPW22 VPZ22 VQH22 VQK22 VQS22 VQV22 VRD22 VRG22 VRO22 VRR22 VRZ22 VSC22 VSK22 VSN22 VSV22 VSY22 VTG22 VTJ22 VTR22 VTU22 VUC22 VUF22 VUN22 VUQ22 VUY22 VVB22 VVJ22 VVM22 VVU22 VVX22 VWF22 VWI22 VWQ22 VWT22 VXB22 VXE22 VXM22 VXP22 VXX22 VYA22 VYI22 VYL22 VYT22 VYW22 VZE22 VZH22 VZP22 VZS22 WAA22 WAD22 WAL22 WAO22 WAW22 WAZ22 WBH22 WBK22 WBS22 WBV22 WCD22 WCG22 WCO22 WCR22 WCZ22 WDC22 WDK22 WDN22 WDV22 WDY22 WEG22 WEJ22 WER22 WEU22 WFC22 WFF22 WFN22 WFQ22 WFY22 WGB22 WGJ22 WGM22 WGU22 WGX22 WHF22 WHI22 WHQ22 WHT22 WIB22 WIE22 WIM22 WIP22 WIX22 WJA22 WJI22 WJL22 WJT22 WJW22 WKE22 WKH22 WKP22 WKS22 WLA22 WLD22 WLL22 WLO22 WLW22 WLZ22 WMH22 WMK22 WMS22 WMV22 WND22 WNG22 WNO22 WNR22 WNZ22 WOC22 WOK22 WON22 WOV22 WOY22 WPG22 WPJ22 WPR22 WPU22 WQC22 WQF22 WQN22 WQQ22 WQY22 WRB22 WRJ22 WRM22 WRU22 WRX22 WSF22 WSI22 WSQ22 WST22 WTB22 WTE22 WTM22 WTP22 WTX22 WUA22 WUI22 WUL22 WUT22 WUW22 WVE22 WVH22 WVP22 WVS22 WWA22 WWD22 WWL22 WWO22 WWW22 WWZ22 WXH22 WXK22 WXS22 WXV22 WYD22 WYG22 WYO22 WYR22 WYZ22 WZC22 WZK22 WZN22 WZV22 WZY22 XAG22 XAJ22 XAR22 XAU22 XBC22 XBF22 XBN22 XBQ22 XBY22 XCB22 XCJ22 XCM22 XCU22 XCX22">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XFD340"/>
  <sheetViews>
    <sheetView zoomScale="50" zoomScaleNormal="50" workbookViewId="0">
      <pane xSplit="2" ySplit="3" topLeftCell="C4" activePane="bottomRight" state="frozen"/>
      <selection pane="bottomRight" activeCell="K28" sqref="K28"/>
      <selection pane="bottomLeft" activeCell="J21" sqref="J21"/>
      <selection pane="topRight" activeCell="J21" sqref="J21"/>
    </sheetView>
  </sheetViews>
  <sheetFormatPr defaultRowHeight="13.9"/>
  <cols>
    <col min="1" max="1" width="35.85546875" bestFit="1" customWidth="1"/>
    <col min="2" max="2" width="8.42578125" style="34" customWidth="1"/>
    <col min="3" max="3" width="15.425781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JLL</v>
      </c>
      <c r="B1" s="91"/>
      <c r="C1" s="91"/>
      <c r="D1" s="92" t="s">
        <v>126</v>
      </c>
      <c r="E1" s="92"/>
      <c r="F1" s="92"/>
      <c r="G1" s="90" t="s">
        <v>127</v>
      </c>
      <c r="H1" s="90"/>
      <c r="I1" s="90"/>
      <c r="J1" s="4"/>
      <c r="K1" s="4"/>
    </row>
    <row r="2" spans="1:11" ht="19.5" customHeight="1">
      <c r="A2" s="93" t="s">
        <v>2</v>
      </c>
      <c r="B2" s="93"/>
      <c r="C2" s="5">
        <f>SUM(C4:C98)</f>
        <v>0</v>
      </c>
      <c r="D2" s="5">
        <f>SUM(D4:D98)</f>
        <v>0</v>
      </c>
      <c r="E2" s="5">
        <f>C2-D2</f>
        <v>0</v>
      </c>
      <c r="F2" s="6">
        <f>IFERROR(E2/D2, 0)</f>
        <v>0</v>
      </c>
      <c r="G2" s="5">
        <f>SUM(G4:G98)</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 t="shared" ref="E4:E28" si="0">IF(AND(ISNUMBER(C4),ISNUMBER(D4)), C4-D4, "")</f>
        <v/>
      </c>
      <c r="F4" s="14" t="str">
        <f>IFERROR(E4/D4, "")</f>
        <v/>
      </c>
      <c r="G4" s="15">
        <v>0</v>
      </c>
      <c r="H4" s="15" t="str">
        <f t="shared" ref="H4:H28" si="1">IF(AND(ISNUMBER(C4),ISNUMBER(G4)), C4-G4, "")</f>
        <v/>
      </c>
      <c r="I4" s="16" t="str">
        <f>IFERROR(H4/G4, "")</f>
        <v/>
      </c>
      <c r="J4" s="41"/>
      <c r="K4" s="41"/>
    </row>
    <row r="5" spans="1:11" ht="15.6">
      <c r="A5" s="30" t="str">
        <v>Peoria</v>
      </c>
      <c r="B5" s="31" t="str">
        <v>AZ</v>
      </c>
      <c r="C5" s="11"/>
      <c r="D5" s="18">
        <v>0</v>
      </c>
      <c r="E5" s="18" t="str">
        <f t="shared" si="0"/>
        <v/>
      </c>
      <c r="F5" s="19" t="str">
        <f>IFERROR(E5/D5, "")</f>
        <v/>
      </c>
      <c r="G5" s="20">
        <v>0</v>
      </c>
      <c r="H5" s="20" t="str">
        <f t="shared" si="1"/>
        <v/>
      </c>
      <c r="I5" s="19" t="str">
        <f t="shared" ref="I5:I17" si="2">IFERROR(H5/G5, "")</f>
        <v/>
      </c>
      <c r="J5" s="42"/>
      <c r="K5" s="42"/>
    </row>
    <row r="6" spans="1:11" ht="15.6">
      <c r="A6" s="28" t="str">
        <v>Tucson</v>
      </c>
      <c r="B6" s="29" t="str">
        <v>AZ</v>
      </c>
      <c r="C6" s="24"/>
      <c r="D6" s="13">
        <v>0</v>
      </c>
      <c r="E6" s="13" t="str">
        <f t="shared" si="0"/>
        <v/>
      </c>
      <c r="F6" s="14" t="str">
        <f t="shared" ref="F6:F17" si="3">IFERROR(E6/D6, "")</f>
        <v/>
      </c>
      <c r="G6" s="15">
        <v>0</v>
      </c>
      <c r="H6" s="15" t="str">
        <f t="shared" si="1"/>
        <v/>
      </c>
      <c r="I6" s="16" t="str">
        <f t="shared" si="2"/>
        <v/>
      </c>
      <c r="J6" s="41"/>
      <c r="K6" s="41"/>
    </row>
    <row r="7" spans="1:11" ht="15.6">
      <c r="A7" s="30" t="str">
        <v>Hialeah</v>
      </c>
      <c r="B7" s="31" t="str">
        <v>FL</v>
      </c>
      <c r="C7" s="11"/>
      <c r="D7" s="18"/>
      <c r="E7" s="18" t="str">
        <f t="shared" si="0"/>
        <v/>
      </c>
      <c r="F7" s="19" t="str">
        <f t="shared" si="3"/>
        <v/>
      </c>
      <c r="G7" s="20"/>
      <c r="H7" s="20" t="str">
        <f t="shared" si="1"/>
        <v/>
      </c>
      <c r="I7" s="19" t="str">
        <f t="shared" si="2"/>
        <v/>
      </c>
      <c r="J7" s="42"/>
      <c r="K7" s="54"/>
    </row>
    <row r="8" spans="1:11" ht="15.6">
      <c r="A8" s="28" t="str">
        <v>Jacksonville</v>
      </c>
      <c r="B8" s="29" t="str">
        <v>FL</v>
      </c>
      <c r="C8" s="24"/>
      <c r="D8" s="13"/>
      <c r="E8" s="13" t="str">
        <f t="shared" si="0"/>
        <v/>
      </c>
      <c r="F8" s="14" t="str">
        <f t="shared" si="3"/>
        <v/>
      </c>
      <c r="G8" s="15"/>
      <c r="H8" s="15" t="str">
        <f t="shared" si="1"/>
        <v/>
      </c>
      <c r="I8" s="16" t="str">
        <f t="shared" si="2"/>
        <v/>
      </c>
      <c r="J8" s="41"/>
      <c r="K8" s="41"/>
    </row>
    <row r="9" spans="1:11" ht="15.6">
      <c r="A9" s="30" t="str">
        <v>Miami Gardens</v>
      </c>
      <c r="B9" s="31" t="str">
        <v>FL</v>
      </c>
      <c r="C9" s="11"/>
      <c r="D9" s="18"/>
      <c r="E9" s="18" t="str">
        <f t="shared" si="0"/>
        <v/>
      </c>
      <c r="F9" s="19" t="str">
        <f t="shared" si="3"/>
        <v/>
      </c>
      <c r="G9" s="20"/>
      <c r="H9" s="20" t="str">
        <f t="shared" si="1"/>
        <v/>
      </c>
      <c r="I9" s="19" t="str">
        <f t="shared" si="2"/>
        <v/>
      </c>
      <c r="J9" s="42"/>
      <c r="K9" s="43"/>
    </row>
    <row r="10" spans="1:11" ht="38.25" customHeight="1">
      <c r="A10" s="28" t="str">
        <v>Fort Myers</v>
      </c>
      <c r="B10" s="29" t="str">
        <v>FL</v>
      </c>
      <c r="C10" s="24"/>
      <c r="D10" s="13"/>
      <c r="E10" s="13" t="str">
        <f t="shared" si="0"/>
        <v/>
      </c>
      <c r="F10" s="14" t="str">
        <f t="shared" si="3"/>
        <v/>
      </c>
      <c r="G10" s="15"/>
      <c r="H10" s="15" t="str">
        <f t="shared" si="1"/>
        <v/>
      </c>
      <c r="I10" s="16" t="str">
        <f t="shared" si="2"/>
        <v/>
      </c>
      <c r="J10" s="41"/>
      <c r="K10" s="41"/>
    </row>
    <row r="11" spans="1:11" ht="15.6">
      <c r="A11" s="30" t="str">
        <v>Orlando</v>
      </c>
      <c r="B11" s="31" t="str">
        <v>FL</v>
      </c>
      <c r="C11" s="11"/>
      <c r="D11" s="18"/>
      <c r="E11" s="18" t="str">
        <f t="shared" si="0"/>
        <v/>
      </c>
      <c r="F11" s="19" t="str">
        <f t="shared" si="3"/>
        <v/>
      </c>
      <c r="G11" s="20"/>
      <c r="H11" s="20" t="str">
        <f t="shared" si="1"/>
        <v/>
      </c>
      <c r="I11" s="19" t="str">
        <f t="shared" si="2"/>
        <v/>
      </c>
      <c r="J11" s="42"/>
      <c r="K11" s="43"/>
    </row>
    <row r="12" spans="1:11" ht="15.6">
      <c r="A12" s="28" t="str">
        <v>Port St. Lucie</v>
      </c>
      <c r="B12" s="29" t="str">
        <v>FL</v>
      </c>
      <c r="C12" s="24"/>
      <c r="D12" s="13"/>
      <c r="E12" s="13" t="str">
        <f t="shared" si="0"/>
        <v/>
      </c>
      <c r="F12" s="14" t="str">
        <f t="shared" si="3"/>
        <v/>
      </c>
      <c r="G12" s="15"/>
      <c r="H12" s="15" t="str">
        <f t="shared" si="1"/>
        <v/>
      </c>
      <c r="I12" s="16" t="str">
        <f t="shared" si="2"/>
        <v/>
      </c>
      <c r="J12" s="41"/>
      <c r="K12" s="41"/>
    </row>
    <row r="13" spans="1:11" ht="15.6">
      <c r="A13" s="30" t="str">
        <v>Tampa</v>
      </c>
      <c r="B13" s="31" t="str">
        <v>FL</v>
      </c>
      <c r="C13" s="11"/>
      <c r="D13" s="18"/>
      <c r="E13" s="18" t="str">
        <f t="shared" si="0"/>
        <v/>
      </c>
      <c r="F13" s="19" t="str">
        <f t="shared" si="3"/>
        <v/>
      </c>
      <c r="G13" s="20"/>
      <c r="H13" s="20" t="str">
        <f t="shared" si="1"/>
        <v/>
      </c>
      <c r="I13" s="19" t="str">
        <f t="shared" si="2"/>
        <v/>
      </c>
      <c r="J13" s="42"/>
      <c r="K13" s="43"/>
    </row>
    <row r="14" spans="1:11" ht="15.6">
      <c r="A14" s="28" t="str">
        <v>Roswell</v>
      </c>
      <c r="B14" s="29" t="str">
        <v>GA</v>
      </c>
      <c r="C14" s="24"/>
      <c r="D14" s="13"/>
      <c r="E14" s="13" t="str">
        <f t="shared" si="0"/>
        <v/>
      </c>
      <c r="F14" s="14" t="str">
        <f t="shared" si="3"/>
        <v/>
      </c>
      <c r="G14" s="15"/>
      <c r="H14" s="15" t="str">
        <f t="shared" si="1"/>
        <v/>
      </c>
      <c r="I14" s="16" t="str">
        <f t="shared" si="2"/>
        <v/>
      </c>
      <c r="J14" s="41"/>
      <c r="K14" s="41"/>
    </row>
    <row r="15" spans="1:11" ht="15.6">
      <c r="A15" s="30" t="str">
        <v>Charlotte</v>
      </c>
      <c r="B15" s="31" t="str">
        <v>NC</v>
      </c>
      <c r="C15" s="11"/>
      <c r="D15" s="18"/>
      <c r="E15" s="18" t="str">
        <f t="shared" si="0"/>
        <v/>
      </c>
      <c r="F15" s="19" t="str">
        <f t="shared" si="3"/>
        <v/>
      </c>
      <c r="G15" s="20"/>
      <c r="H15" s="20" t="str">
        <f t="shared" si="1"/>
        <v/>
      </c>
      <c r="I15" s="19" t="str">
        <f t="shared" si="2"/>
        <v/>
      </c>
      <c r="J15" s="42"/>
      <c r="K15" s="43"/>
    </row>
    <row r="16" spans="1:11" ht="15.6">
      <c r="A16" s="28" t="str">
        <v>Raleigh</v>
      </c>
      <c r="B16" s="29" t="str">
        <v>NC</v>
      </c>
      <c r="C16" s="24"/>
      <c r="D16" s="13"/>
      <c r="E16" s="13" t="str">
        <f t="shared" si="0"/>
        <v/>
      </c>
      <c r="F16" s="14" t="str">
        <f t="shared" si="3"/>
        <v/>
      </c>
      <c r="G16" s="15"/>
      <c r="H16" s="15" t="str">
        <f t="shared" si="1"/>
        <v/>
      </c>
      <c r="I16" s="16" t="str">
        <f t="shared" si="2"/>
        <v/>
      </c>
      <c r="J16" s="41"/>
      <c r="K16" s="41"/>
    </row>
    <row r="17" spans="1:16384" ht="15.6">
      <c r="A17" s="30" t="str">
        <v>Cordova</v>
      </c>
      <c r="B17" s="31" t="str">
        <v>TN</v>
      </c>
      <c r="C17" s="11"/>
      <c r="D17" s="18"/>
      <c r="E17" s="18" t="str">
        <f t="shared" si="0"/>
        <v/>
      </c>
      <c r="F17" s="19" t="str">
        <f t="shared" si="3"/>
        <v/>
      </c>
      <c r="G17" s="20"/>
      <c r="H17" s="20" t="str">
        <f t="shared" si="1"/>
        <v/>
      </c>
      <c r="I17" s="19" t="str">
        <f t="shared" si="2"/>
        <v/>
      </c>
      <c r="J17" s="42"/>
      <c r="K17" s="43"/>
    </row>
    <row r="18" spans="1:16384" ht="12.75" customHeight="1">
      <c r="A18" s="28" t="str">
        <v>Austin</v>
      </c>
      <c r="B18" s="29" t="str">
        <v>TX</v>
      </c>
      <c r="C18" s="24"/>
      <c r="D18" s="13"/>
      <c r="E18" s="13" t="str">
        <f t="shared" si="0"/>
        <v/>
      </c>
      <c r="F18" s="14" t="str">
        <f t="shared" ref="F18:F28" si="4">IFERROR(E18/D18, "")</f>
        <v/>
      </c>
      <c r="G18" s="15"/>
      <c r="H18" s="15" t="str">
        <f t="shared" si="1"/>
        <v/>
      </c>
      <c r="I18" s="16" t="str">
        <f t="shared" ref="I18:I28" si="5">IFERROR(H18/G18, "")</f>
        <v/>
      </c>
      <c r="J18" s="41"/>
      <c r="K18" s="41"/>
    </row>
    <row r="19" spans="1:16384" ht="15.6">
      <c r="A19" s="30" t="str">
        <v>Frisco</v>
      </c>
      <c r="B19" s="31" t="str">
        <v>TX</v>
      </c>
      <c r="C19" s="11"/>
      <c r="D19" s="18"/>
      <c r="E19" s="18" t="str">
        <f t="shared" si="0"/>
        <v/>
      </c>
      <c r="F19" s="19" t="str">
        <f t="shared" si="4"/>
        <v/>
      </c>
      <c r="G19" s="20"/>
      <c r="H19" s="20" t="str">
        <f t="shared" si="1"/>
        <v/>
      </c>
      <c r="I19" s="19" t="str">
        <f t="shared" si="5"/>
        <v/>
      </c>
      <c r="J19" s="42"/>
      <c r="K19" s="43"/>
    </row>
    <row r="20" spans="1:16384" ht="15.6">
      <c r="A20" s="28" t="str">
        <v>Copperfield</v>
      </c>
      <c r="B20" s="29" t="str">
        <v>TX</v>
      </c>
      <c r="C20" s="24"/>
      <c r="D20" s="13"/>
      <c r="E20" s="13" t="str">
        <f t="shared" si="0"/>
        <v/>
      </c>
      <c r="F20" s="14" t="str">
        <f t="shared" si="4"/>
        <v/>
      </c>
      <c r="G20" s="15"/>
      <c r="H20" s="15" t="str">
        <f t="shared" si="1"/>
        <v/>
      </c>
      <c r="I20" s="16" t="str">
        <f t="shared" si="5"/>
        <v/>
      </c>
      <c r="J20" s="41"/>
      <c r="K20" s="41"/>
    </row>
    <row r="21" spans="1:16384" ht="15.6">
      <c r="A21" s="30" t="str">
        <v>Charlotte - B of A - 1 BAC</v>
      </c>
      <c r="B21" s="31" t="str">
        <v>NC</v>
      </c>
      <c r="C21" s="11"/>
      <c r="D21" s="18"/>
      <c r="E21" s="18" t="str">
        <f t="shared" si="0"/>
        <v/>
      </c>
      <c r="F21" s="19" t="str">
        <f t="shared" si="4"/>
        <v/>
      </c>
      <c r="G21" s="20"/>
      <c r="H21" s="20" t="str">
        <f t="shared" si="1"/>
        <v/>
      </c>
      <c r="I21" s="19" t="str">
        <f t="shared" si="5"/>
        <v/>
      </c>
      <c r="J21" s="42"/>
      <c r="K21" s="43"/>
    </row>
    <row r="22" spans="1:16384" ht="15.6">
      <c r="A22" s="28" t="str">
        <v>Charlotte - B of A - 401 N Tryon</v>
      </c>
      <c r="B22" s="29" t="str">
        <v>NC</v>
      </c>
      <c r="C22" s="24"/>
      <c r="D22" s="13"/>
      <c r="E22" s="13" t="str">
        <f t="shared" si="0"/>
        <v/>
      </c>
      <c r="F22" s="14" t="str">
        <f t="shared" si="4"/>
        <v/>
      </c>
      <c r="G22" s="15"/>
      <c r="H22" s="15" t="str">
        <f t="shared" si="1"/>
        <v/>
      </c>
      <c r="I22" s="16" t="str">
        <f t="shared" si="5"/>
        <v/>
      </c>
      <c r="J22" s="41"/>
      <c r="K22" s="41"/>
      <c r="L22" s="61"/>
      <c r="M22" s="62"/>
      <c r="N22" s="63"/>
      <c r="O22" s="64"/>
      <c r="DI22" s="24"/>
      <c r="DJ22" s="13"/>
      <c r="DK22" s="13"/>
      <c r="DL22" s="14"/>
      <c r="DM22" s="15"/>
      <c r="DN22" s="15"/>
      <c r="DO22" s="16"/>
      <c r="DP22" s="41"/>
      <c r="DQ22" s="41"/>
      <c r="DR22" s="28"/>
      <c r="DS22" s="29"/>
      <c r="DT22" s="24"/>
      <c r="DU22" s="13"/>
      <c r="DV22" s="13"/>
      <c r="DW22" s="14"/>
      <c r="DX22" s="15"/>
      <c r="DY22" s="15"/>
      <c r="DZ22" s="16"/>
      <c r="EA22" s="41"/>
      <c r="EB22" s="41"/>
      <c r="EC22" s="28"/>
      <c r="ED22" s="29"/>
      <c r="EE22" s="24"/>
      <c r="EF22" s="13"/>
      <c r="EG22" s="13"/>
      <c r="EH22" s="14"/>
      <c r="EI22" s="15"/>
      <c r="EJ22" s="15"/>
      <c r="EK22" s="16"/>
      <c r="EL22" s="41"/>
      <c r="EM22" s="41"/>
      <c r="EN22" s="28"/>
      <c r="EO22" s="29"/>
      <c r="EP22" s="24"/>
      <c r="EQ22" s="13"/>
      <c r="ER22" s="13"/>
      <c r="ES22" s="14"/>
      <c r="ET22" s="15"/>
      <c r="EU22" s="15"/>
      <c r="EV22" s="16"/>
      <c r="EW22" s="41"/>
      <c r="EX22" s="41"/>
      <c r="EY22" s="28"/>
      <c r="EZ22" s="29"/>
      <c r="FA22" s="24"/>
      <c r="FB22" s="13"/>
      <c r="FC22" s="13"/>
      <c r="FD22" s="14"/>
      <c r="FE22" s="15"/>
      <c r="FF22" s="15"/>
      <c r="FG22" s="16"/>
      <c r="FH22" s="41"/>
      <c r="FI22" s="41"/>
      <c r="FJ22" s="28"/>
      <c r="FK22" s="29"/>
      <c r="FL22" s="24"/>
      <c r="FM22" s="13"/>
      <c r="FN22" s="13"/>
      <c r="FO22" s="14"/>
      <c r="FP22" s="15"/>
      <c r="FQ22" s="15"/>
      <c r="FR22" s="16"/>
      <c r="FS22" s="41"/>
      <c r="FT22" s="41"/>
      <c r="FU22" s="28"/>
      <c r="FV22" s="29"/>
      <c r="FW22" s="24"/>
      <c r="FX22" s="13"/>
      <c r="FY22" s="13"/>
      <c r="FZ22" s="14"/>
      <c r="GA22" s="15"/>
      <c r="GB22" s="15"/>
      <c r="GC22" s="16"/>
      <c r="GD22" s="41"/>
      <c r="GE22" s="41"/>
      <c r="GF22" s="28"/>
      <c r="GG22" s="29"/>
      <c r="GH22" s="24"/>
      <c r="GI22" s="13"/>
      <c r="GJ22" s="13"/>
      <c r="GK22" s="14"/>
      <c r="GL22" s="15"/>
      <c r="GM22" s="15"/>
      <c r="GN22" s="16"/>
      <c r="GO22" s="41"/>
      <c r="GP22" s="41"/>
      <c r="GQ22" s="28"/>
      <c r="GR22" s="29"/>
      <c r="GS22" s="24"/>
      <c r="GT22" s="13"/>
      <c r="GU22" s="13"/>
      <c r="GV22" s="14"/>
      <c r="GW22" s="15"/>
      <c r="GX22" s="15"/>
      <c r="GY22" s="16"/>
      <c r="GZ22" s="41"/>
      <c r="HA22" s="41"/>
      <c r="HB22" s="28"/>
      <c r="HC22" s="29"/>
      <c r="HD22" s="24"/>
      <c r="HE22" s="13"/>
      <c r="HF22" s="13"/>
      <c r="HG22" s="14"/>
      <c r="HH22" s="15"/>
      <c r="HI22" s="15"/>
      <c r="HJ22" s="16"/>
      <c r="HK22" s="41"/>
      <c r="HL22" s="41"/>
      <c r="HM22" s="28"/>
      <c r="HN22" s="29"/>
      <c r="HO22" s="24"/>
      <c r="HP22" s="13"/>
      <c r="HQ22" s="13"/>
      <c r="HR22" s="14"/>
      <c r="HS22" s="15"/>
      <c r="HT22" s="15"/>
      <c r="HU22" s="16"/>
      <c r="HV22" s="41"/>
      <c r="HW22" s="41"/>
      <c r="HX22" s="28"/>
      <c r="HY22" s="29"/>
      <c r="HZ22" s="24"/>
      <c r="IA22" s="13"/>
      <c r="IB22" s="13"/>
      <c r="IC22" s="14"/>
      <c r="ID22" s="15"/>
      <c r="IE22" s="15"/>
      <c r="IF22" s="16"/>
      <c r="IG22" s="41"/>
      <c r="IH22" s="41"/>
      <c r="II22" s="28"/>
      <c r="IJ22" s="29"/>
      <c r="IK22" s="24"/>
      <c r="IL22" s="13"/>
      <c r="IM22" s="13"/>
      <c r="IN22" s="14"/>
      <c r="IO22" s="15"/>
      <c r="IP22" s="15"/>
      <c r="IQ22" s="16"/>
      <c r="IR22" s="41"/>
      <c r="IS22" s="41"/>
      <c r="IT22" s="28"/>
      <c r="IU22" s="29"/>
      <c r="IV22" s="24"/>
      <c r="IW22" s="13"/>
      <c r="IX22" s="13"/>
      <c r="IY22" s="14"/>
      <c r="IZ22" s="15"/>
      <c r="JA22" s="15"/>
      <c r="JB22" s="16"/>
      <c r="JC22" s="41"/>
      <c r="JD22" s="41"/>
      <c r="JE22" s="28"/>
      <c r="JF22" s="29"/>
      <c r="JG22" s="24"/>
      <c r="JH22" s="13"/>
      <c r="JI22" s="13"/>
      <c r="JJ22" s="14"/>
      <c r="JK22" s="15"/>
      <c r="JL22" s="15"/>
      <c r="JM22" s="16"/>
      <c r="JN22" s="41"/>
      <c r="JO22" s="41"/>
      <c r="JP22" s="28"/>
      <c r="JQ22" s="29"/>
      <c r="JR22" s="24"/>
      <c r="JS22" s="13"/>
      <c r="JT22" s="13"/>
      <c r="JU22" s="14"/>
      <c r="JV22" s="15"/>
      <c r="JW22" s="15"/>
      <c r="JX22" s="16"/>
      <c r="JY22" s="41"/>
      <c r="JZ22" s="41"/>
      <c r="KA22" s="28"/>
      <c r="KB22" s="29"/>
      <c r="KC22" s="24"/>
      <c r="KD22" s="13"/>
      <c r="KE22" s="13"/>
      <c r="KF22" s="14"/>
      <c r="KG22" s="15"/>
      <c r="KH22" s="15"/>
      <c r="KI22" s="16"/>
      <c r="KJ22" s="41"/>
      <c r="KK22" s="41"/>
      <c r="KL22" s="28"/>
      <c r="KM22" s="29"/>
      <c r="KN22" s="24"/>
      <c r="KO22" s="13"/>
      <c r="KP22" s="13"/>
      <c r="KQ22" s="14"/>
      <c r="KR22" s="15"/>
      <c r="KS22" s="15"/>
      <c r="KT22" s="16"/>
      <c r="KU22" s="41"/>
      <c r="KV22" s="41"/>
      <c r="KW22" s="28"/>
      <c r="KX22" s="29"/>
      <c r="KY22" s="24"/>
      <c r="KZ22" s="13"/>
      <c r="LA22" s="13"/>
      <c r="LB22" s="14"/>
      <c r="LC22" s="15"/>
      <c r="LD22" s="15"/>
      <c r="LE22" s="16"/>
      <c r="LF22" s="41"/>
      <c r="LG22" s="41"/>
      <c r="LH22" s="28"/>
      <c r="LI22" s="29"/>
      <c r="LJ22" s="24"/>
      <c r="LK22" s="13"/>
      <c r="LL22" s="13"/>
      <c r="LM22" s="14"/>
      <c r="LN22" s="15"/>
      <c r="LO22" s="15"/>
      <c r="LP22" s="16"/>
      <c r="LQ22" s="41"/>
      <c r="LR22" s="41"/>
      <c r="LS22" s="28"/>
      <c r="LT22" s="29"/>
      <c r="LU22" s="24"/>
      <c r="LV22" s="13"/>
      <c r="LW22" s="13"/>
      <c r="LX22" s="14"/>
      <c r="LY22" s="15"/>
      <c r="LZ22" s="15"/>
      <c r="MA22" s="16"/>
      <c r="MB22" s="41"/>
      <c r="MC22" s="41"/>
      <c r="MD22" s="28"/>
      <c r="ME22" s="29"/>
      <c r="MF22" s="24"/>
      <c r="MG22" s="13"/>
      <c r="MH22" s="13"/>
      <c r="MI22" s="14"/>
      <c r="MJ22" s="15"/>
      <c r="MK22" s="15"/>
      <c r="ML22" s="16"/>
      <c r="MM22" s="41"/>
      <c r="MN22" s="41"/>
      <c r="MO22" s="28"/>
      <c r="MP22" s="29"/>
      <c r="MQ22" s="24"/>
      <c r="MR22" s="13"/>
      <c r="MS22" s="13"/>
      <c r="MT22" s="14"/>
      <c r="MU22" s="15"/>
      <c r="MV22" s="15"/>
      <c r="MW22" s="16"/>
      <c r="MX22" s="41"/>
      <c r="MY22" s="41"/>
      <c r="MZ22" s="28"/>
      <c r="NA22" s="29"/>
      <c r="NB22" s="24"/>
      <c r="NC22" s="13"/>
      <c r="ND22" s="13"/>
      <c r="NE22" s="14"/>
      <c r="NF22" s="15"/>
      <c r="NG22" s="15"/>
      <c r="NH22" s="16"/>
      <c r="NI22" s="41"/>
      <c r="NJ22" s="41"/>
      <c r="NK22" s="28"/>
      <c r="NL22" s="29"/>
      <c r="NM22" s="24"/>
      <c r="NN22" s="13"/>
      <c r="NO22" s="13"/>
      <c r="NP22" s="14"/>
      <c r="NQ22" s="15"/>
      <c r="NR22" s="15"/>
      <c r="NS22" s="16"/>
      <c r="NT22" s="41"/>
      <c r="NU22" s="41"/>
      <c r="NV22" s="28"/>
      <c r="NW22" s="29"/>
      <c r="NX22" s="24"/>
      <c r="NY22" s="13"/>
      <c r="NZ22" s="13"/>
      <c r="OA22" s="14"/>
      <c r="OB22" s="15"/>
      <c r="OC22" s="15"/>
      <c r="OD22" s="16"/>
      <c r="OE22" s="41"/>
      <c r="OF22" s="41"/>
      <c r="OG22" s="28"/>
      <c r="OH22" s="29"/>
      <c r="OI22" s="24"/>
      <c r="OJ22" s="13"/>
      <c r="OK22" s="13"/>
      <c r="OL22" s="14"/>
      <c r="OM22" s="15"/>
      <c r="ON22" s="15"/>
      <c r="OO22" s="16"/>
      <c r="OP22" s="41"/>
      <c r="OQ22" s="41"/>
      <c r="OR22" s="28"/>
      <c r="OS22" s="29"/>
      <c r="OT22" s="24"/>
      <c r="OU22" s="13"/>
      <c r="OV22" s="13"/>
      <c r="OW22" s="14"/>
      <c r="OX22" s="15"/>
      <c r="OY22" s="15"/>
      <c r="OZ22" s="16"/>
      <c r="PA22" s="41"/>
      <c r="PB22" s="41"/>
      <c r="PC22" s="28"/>
      <c r="PD22" s="29"/>
      <c r="PE22" s="24"/>
      <c r="PF22" s="13"/>
      <c r="PG22" s="13"/>
      <c r="PH22" s="14"/>
      <c r="PI22" s="15"/>
      <c r="PJ22" s="15"/>
      <c r="PK22" s="16"/>
      <c r="PL22" s="41"/>
      <c r="PM22" s="41"/>
      <c r="PN22" s="28"/>
      <c r="PO22" s="29"/>
      <c r="PP22" s="24"/>
      <c r="PQ22" s="13"/>
      <c r="PR22" s="13"/>
      <c r="PS22" s="14"/>
      <c r="PT22" s="15"/>
      <c r="PU22" s="15"/>
      <c r="PV22" s="16"/>
      <c r="PW22" s="41"/>
      <c r="PX22" s="41"/>
      <c r="PY22" s="28"/>
      <c r="PZ22" s="29"/>
      <c r="QA22" s="24"/>
      <c r="QB22" s="13"/>
      <c r="QC22" s="13"/>
      <c r="QD22" s="14"/>
      <c r="QE22" s="15"/>
      <c r="QF22" s="15"/>
      <c r="QG22" s="16"/>
      <c r="QH22" s="41"/>
      <c r="QI22" s="41"/>
      <c r="QJ22" s="28"/>
      <c r="QK22" s="29"/>
      <c r="QL22" s="24"/>
      <c r="QM22" s="13"/>
      <c r="QN22" s="13"/>
      <c r="QO22" s="14"/>
      <c r="QP22" s="15"/>
      <c r="QQ22" s="15"/>
      <c r="QR22" s="16"/>
      <c r="QS22" s="41"/>
      <c r="QT22" s="41"/>
      <c r="QU22" s="28"/>
      <c r="QV22" s="29"/>
      <c r="QW22" s="24"/>
      <c r="QX22" s="13"/>
      <c r="QY22" s="13"/>
      <c r="QZ22" s="14"/>
      <c r="RA22" s="15"/>
      <c r="RB22" s="15"/>
      <c r="RC22" s="16"/>
      <c r="RD22" s="41"/>
      <c r="RE22" s="41"/>
      <c r="RF22" s="28"/>
      <c r="RG22" s="29"/>
      <c r="RH22" s="24"/>
      <c r="RI22" s="13"/>
      <c r="RJ22" s="13"/>
      <c r="RK22" s="14"/>
      <c r="RL22" s="15"/>
      <c r="RM22" s="15"/>
      <c r="RN22" s="16"/>
      <c r="RO22" s="41"/>
      <c r="RP22" s="41"/>
      <c r="RQ22" s="28"/>
      <c r="RR22" s="29"/>
      <c r="RS22" s="24"/>
      <c r="RT22" s="13"/>
      <c r="RU22" s="13"/>
      <c r="RV22" s="14"/>
      <c r="RW22" s="15"/>
      <c r="RX22" s="15"/>
      <c r="RY22" s="16"/>
      <c r="RZ22" s="41"/>
      <c r="SA22" s="41"/>
      <c r="SB22" s="28"/>
      <c r="SC22" s="29"/>
      <c r="SD22" s="24"/>
      <c r="SE22" s="13"/>
      <c r="SF22" s="13"/>
      <c r="SG22" s="14"/>
      <c r="SH22" s="15"/>
      <c r="SI22" s="15"/>
      <c r="SJ22" s="16"/>
      <c r="SK22" s="41"/>
      <c r="SL22" s="41"/>
      <c r="SM22" s="28"/>
      <c r="SN22" s="29"/>
      <c r="SO22" s="24"/>
      <c r="SP22" s="13"/>
      <c r="SQ22" s="13"/>
      <c r="SR22" s="14"/>
      <c r="SS22" s="15"/>
      <c r="ST22" s="15"/>
      <c r="SU22" s="16"/>
      <c r="SV22" s="41"/>
      <c r="SW22" s="41"/>
      <c r="SX22" s="28"/>
      <c r="SY22" s="29"/>
      <c r="SZ22" s="24"/>
      <c r="TA22" s="13"/>
      <c r="TB22" s="13"/>
      <c r="TC22" s="14"/>
      <c r="TD22" s="15"/>
      <c r="TE22" s="15"/>
      <c r="TF22" s="16"/>
      <c r="TG22" s="41"/>
      <c r="TH22" s="41"/>
      <c r="TI22" s="28"/>
      <c r="TJ22" s="29"/>
      <c r="TK22" s="24"/>
      <c r="TL22" s="13"/>
      <c r="TM22" s="13"/>
      <c r="TN22" s="14"/>
      <c r="TO22" s="15"/>
      <c r="TP22" s="15"/>
      <c r="TQ22" s="16"/>
      <c r="TR22" s="41"/>
      <c r="TS22" s="41"/>
      <c r="TT22" s="28"/>
      <c r="TU22" s="29"/>
      <c r="TV22" s="24"/>
      <c r="TW22" s="13"/>
      <c r="TX22" s="13"/>
      <c r="TY22" s="14"/>
      <c r="TZ22" s="15"/>
      <c r="UA22" s="15"/>
      <c r="UB22" s="16"/>
      <c r="UC22" s="41"/>
      <c r="UD22" s="41"/>
      <c r="UE22" s="28"/>
      <c r="UF22" s="29"/>
      <c r="UG22" s="24"/>
      <c r="UH22" s="13"/>
      <c r="UI22" s="13"/>
      <c r="UJ22" s="14"/>
      <c r="UK22" s="15"/>
      <c r="UL22" s="15"/>
      <c r="UM22" s="16"/>
      <c r="UN22" s="41"/>
      <c r="UO22" s="41"/>
      <c r="UP22" s="28"/>
      <c r="UQ22" s="29"/>
      <c r="UR22" s="24"/>
      <c r="US22" s="13"/>
      <c r="UT22" s="13"/>
      <c r="UU22" s="14"/>
      <c r="UV22" s="15"/>
      <c r="UW22" s="15"/>
      <c r="UX22" s="16"/>
      <c r="UY22" s="41"/>
      <c r="UZ22" s="41"/>
      <c r="VA22" s="28"/>
      <c r="VB22" s="29"/>
      <c r="VC22" s="24"/>
      <c r="VD22" s="13"/>
      <c r="VE22" s="13"/>
      <c r="VF22" s="14"/>
      <c r="VG22" s="15"/>
      <c r="VH22" s="15"/>
      <c r="VI22" s="16"/>
      <c r="VJ22" s="41"/>
      <c r="VK22" s="41"/>
      <c r="VL22" s="28"/>
      <c r="VM22" s="29"/>
      <c r="VN22" s="24"/>
      <c r="VO22" s="13"/>
      <c r="VP22" s="13"/>
      <c r="VQ22" s="14"/>
      <c r="VR22" s="15"/>
      <c r="VS22" s="15"/>
      <c r="VT22" s="16"/>
      <c r="VU22" s="41"/>
      <c r="VV22" s="41"/>
      <c r="VW22" s="28"/>
      <c r="VX22" s="29"/>
      <c r="VY22" s="24"/>
      <c r="VZ22" s="13"/>
      <c r="WA22" s="13"/>
      <c r="WB22" s="14"/>
      <c r="WC22" s="15"/>
      <c r="WD22" s="15"/>
      <c r="WE22" s="16"/>
      <c r="WF22" s="41"/>
      <c r="WG22" s="41"/>
      <c r="WH22" s="28"/>
      <c r="WI22" s="29"/>
      <c r="WJ22" s="24"/>
      <c r="WK22" s="13"/>
      <c r="WL22" s="13"/>
      <c r="WM22" s="14"/>
      <c r="WN22" s="15"/>
      <c r="WO22" s="15"/>
      <c r="WP22" s="16"/>
      <c r="WQ22" s="41"/>
      <c r="WR22" s="41"/>
      <c r="WS22" s="28"/>
      <c r="WT22" s="29"/>
      <c r="WU22" s="24"/>
      <c r="WV22" s="13"/>
      <c r="WW22" s="13"/>
      <c r="WX22" s="14"/>
      <c r="WY22" s="15"/>
      <c r="WZ22" s="15"/>
      <c r="XA22" s="16"/>
      <c r="XB22" s="41"/>
      <c r="XC22" s="41"/>
      <c r="XD22" s="28"/>
      <c r="XE22" s="29"/>
      <c r="XF22" s="24"/>
      <c r="XG22" s="13"/>
      <c r="XH22" s="13"/>
      <c r="XI22" s="14"/>
      <c r="XJ22" s="15"/>
      <c r="XK22" s="15"/>
      <c r="XL22" s="16"/>
      <c r="XM22" s="41"/>
      <c r="XN22" s="41"/>
      <c r="XO22" s="28"/>
      <c r="XP22" s="29"/>
      <c r="XQ22" s="24"/>
      <c r="XR22" s="13"/>
      <c r="XS22" s="13"/>
      <c r="XT22" s="14"/>
      <c r="XU22" s="15"/>
      <c r="XV22" s="15"/>
      <c r="XW22" s="16"/>
      <c r="XX22" s="41"/>
      <c r="XY22" s="41"/>
      <c r="XZ22" s="28"/>
      <c r="YA22" s="29"/>
      <c r="YB22" s="24"/>
      <c r="YC22" s="13"/>
      <c r="YD22" s="13"/>
      <c r="YE22" s="14"/>
      <c r="YF22" s="15"/>
      <c r="YG22" s="15"/>
      <c r="YH22" s="16"/>
      <c r="YI22" s="41"/>
      <c r="YJ22" s="41"/>
      <c r="YK22" s="28"/>
      <c r="YL22" s="29"/>
      <c r="YM22" s="24"/>
      <c r="YN22" s="13"/>
      <c r="YO22" s="13"/>
      <c r="YP22" s="14"/>
      <c r="YQ22" s="15"/>
      <c r="YR22" s="15"/>
      <c r="YS22" s="16"/>
      <c r="YT22" s="41"/>
      <c r="YU22" s="41"/>
      <c r="YV22" s="28"/>
      <c r="YW22" s="29"/>
      <c r="YX22" s="24"/>
      <c r="YY22" s="13"/>
      <c r="YZ22" s="13"/>
      <c r="ZA22" s="14"/>
      <c r="ZB22" s="15"/>
      <c r="ZC22" s="15"/>
      <c r="ZD22" s="16"/>
      <c r="ZE22" s="41"/>
      <c r="ZF22" s="41"/>
      <c r="ZG22" s="28"/>
      <c r="ZH22" s="29"/>
      <c r="ZI22" s="24"/>
      <c r="ZJ22" s="13"/>
      <c r="ZK22" s="13"/>
      <c r="ZL22" s="14"/>
      <c r="ZM22" s="15"/>
      <c r="ZN22" s="15"/>
      <c r="ZO22" s="16"/>
      <c r="ZP22" s="41"/>
      <c r="ZQ22" s="41"/>
      <c r="ZR22" s="28"/>
      <c r="ZS22" s="29"/>
      <c r="ZT22" s="24"/>
      <c r="ZU22" s="13"/>
      <c r="ZV22" s="13"/>
      <c r="ZW22" s="14"/>
      <c r="ZX22" s="15"/>
      <c r="ZY22" s="15"/>
      <c r="ZZ22" s="16"/>
      <c r="AAA22" s="41"/>
      <c r="AAB22" s="41"/>
      <c r="AAC22" s="28"/>
      <c r="AAD22" s="29"/>
      <c r="AAE22" s="24"/>
      <c r="AAF22" s="13"/>
      <c r="AAG22" s="13"/>
      <c r="AAH22" s="14"/>
      <c r="AAI22" s="15"/>
      <c r="AAJ22" s="15"/>
      <c r="AAK22" s="16"/>
      <c r="AAL22" s="41"/>
      <c r="AAM22" s="41"/>
      <c r="AAN22" s="28"/>
      <c r="AAO22" s="29"/>
      <c r="AAP22" s="24"/>
      <c r="AAQ22" s="13"/>
      <c r="AAR22" s="13"/>
      <c r="AAS22" s="14"/>
      <c r="AAT22" s="15"/>
      <c r="AAU22" s="15"/>
      <c r="AAV22" s="16"/>
      <c r="AAW22" s="41"/>
      <c r="AAX22" s="41"/>
      <c r="AAY22" s="28"/>
      <c r="AAZ22" s="29"/>
      <c r="ABA22" s="24"/>
      <c r="ABB22" s="13"/>
      <c r="ABC22" s="13"/>
      <c r="ABD22" s="14"/>
      <c r="ABE22" s="15"/>
      <c r="ABF22" s="15"/>
      <c r="ABG22" s="16"/>
      <c r="ABH22" s="41"/>
      <c r="ABI22" s="41"/>
      <c r="ABJ22" s="28"/>
      <c r="ABK22" s="29"/>
      <c r="ABL22" s="24"/>
      <c r="ABM22" s="13"/>
      <c r="ABN22" s="13"/>
      <c r="ABO22" s="14"/>
      <c r="ABP22" s="15"/>
      <c r="ABQ22" s="15"/>
      <c r="ABR22" s="16"/>
      <c r="ABS22" s="41"/>
      <c r="ABT22" s="41"/>
      <c r="ABU22" s="28"/>
      <c r="ABV22" s="29"/>
      <c r="ABW22" s="24"/>
      <c r="ABX22" s="13"/>
      <c r="ABY22" s="13"/>
      <c r="ABZ22" s="14"/>
      <c r="ACA22" s="15"/>
      <c r="ACB22" s="15"/>
      <c r="ACC22" s="16"/>
      <c r="ACD22" s="41"/>
      <c r="ACE22" s="41"/>
      <c r="ACF22" s="28"/>
      <c r="ACG22" s="29"/>
      <c r="ACH22" s="24"/>
      <c r="ACI22" s="13"/>
      <c r="ACJ22" s="13"/>
      <c r="ACK22" s="14"/>
      <c r="ACL22" s="15"/>
      <c r="ACM22" s="15"/>
      <c r="ACN22" s="16"/>
      <c r="ACO22" s="41"/>
      <c r="ACP22" s="41"/>
      <c r="ACQ22" s="28"/>
      <c r="ACR22" s="29"/>
      <c r="ACS22" s="24"/>
      <c r="ACT22" s="13"/>
      <c r="ACU22" s="13"/>
      <c r="ACV22" s="14"/>
      <c r="ACW22" s="15"/>
      <c r="ACX22" s="15"/>
      <c r="ACY22" s="16"/>
      <c r="ACZ22" s="41"/>
      <c r="ADA22" s="41"/>
      <c r="ADB22" s="28"/>
      <c r="ADC22" s="29"/>
      <c r="ADD22" s="24"/>
      <c r="ADE22" s="13"/>
      <c r="ADF22" s="13"/>
      <c r="ADG22" s="14"/>
      <c r="ADH22" s="15"/>
      <c r="ADI22" s="15"/>
      <c r="ADJ22" s="16"/>
      <c r="ADK22" s="41"/>
      <c r="ADL22" s="41"/>
      <c r="ADM22" s="28"/>
      <c r="ADN22" s="29"/>
      <c r="ADO22" s="24"/>
      <c r="ADP22" s="13"/>
      <c r="ADQ22" s="13"/>
      <c r="ADR22" s="14"/>
      <c r="ADS22" s="15"/>
      <c r="ADT22" s="15"/>
      <c r="ADU22" s="16"/>
      <c r="ADV22" s="41"/>
      <c r="ADW22" s="41"/>
      <c r="ADX22" s="28"/>
      <c r="ADY22" s="29"/>
      <c r="ADZ22" s="24"/>
      <c r="AEA22" s="13"/>
      <c r="AEB22" s="13"/>
      <c r="AEC22" s="14"/>
      <c r="AED22" s="15"/>
      <c r="AEE22" s="15"/>
      <c r="AEF22" s="16"/>
      <c r="AEG22" s="41"/>
      <c r="AEH22" s="41"/>
      <c r="AEI22" s="28"/>
      <c r="AEJ22" s="29"/>
      <c r="AEK22" s="24"/>
      <c r="AEL22" s="13"/>
      <c r="AEM22" s="13"/>
      <c r="AEN22" s="14"/>
      <c r="AEO22" s="15"/>
      <c r="AEP22" s="15"/>
      <c r="AEQ22" s="16"/>
      <c r="AER22" s="41"/>
      <c r="AES22" s="41"/>
      <c r="AET22" s="28"/>
      <c r="AEU22" s="29"/>
      <c r="AEV22" s="24"/>
      <c r="AEW22" s="13"/>
      <c r="AEX22" s="13"/>
      <c r="AEY22" s="14"/>
      <c r="AEZ22" s="15"/>
      <c r="AFA22" s="15"/>
      <c r="AFB22" s="16"/>
      <c r="AFC22" s="41"/>
      <c r="AFD22" s="41"/>
      <c r="AFE22" s="28"/>
      <c r="AFF22" s="29"/>
      <c r="AFG22" s="24"/>
      <c r="AFH22" s="13"/>
      <c r="AFI22" s="13"/>
      <c r="AFJ22" s="14"/>
      <c r="AFK22" s="15"/>
      <c r="AFL22" s="15"/>
      <c r="AFM22" s="16"/>
      <c r="AFN22" s="41"/>
      <c r="AFO22" s="41"/>
      <c r="AFP22" s="28"/>
      <c r="AFQ22" s="29"/>
      <c r="AFR22" s="24"/>
      <c r="AFS22" s="13"/>
      <c r="AFT22" s="13"/>
      <c r="AFU22" s="14"/>
      <c r="AFV22" s="15"/>
      <c r="AFW22" s="15"/>
      <c r="AFX22" s="16"/>
      <c r="AFY22" s="41"/>
      <c r="AFZ22" s="41"/>
      <c r="AGA22" s="28"/>
      <c r="AGB22" s="29"/>
      <c r="AGC22" s="24"/>
      <c r="AGD22" s="13"/>
      <c r="AGE22" s="13"/>
      <c r="AGF22" s="14"/>
      <c r="AGG22" s="15"/>
      <c r="AGH22" s="15"/>
      <c r="AGI22" s="16"/>
      <c r="AGJ22" s="41"/>
      <c r="AGK22" s="41"/>
      <c r="AGL22" s="28"/>
      <c r="AGM22" s="29"/>
      <c r="AGN22" s="24"/>
      <c r="AGO22" s="13"/>
      <c r="AGP22" s="13"/>
      <c r="AGQ22" s="14"/>
      <c r="AGR22" s="15"/>
      <c r="AGS22" s="15"/>
      <c r="AGT22" s="16"/>
      <c r="AGU22" s="41"/>
      <c r="AGV22" s="41"/>
      <c r="AGW22" s="28"/>
      <c r="AGX22" s="29"/>
      <c r="AGY22" s="24"/>
      <c r="AGZ22" s="13"/>
      <c r="AHA22" s="13"/>
      <c r="AHB22" s="14"/>
      <c r="AHC22" s="15"/>
      <c r="AHD22" s="15"/>
      <c r="AHE22" s="16"/>
      <c r="AHF22" s="41"/>
      <c r="AHG22" s="41"/>
      <c r="AHH22" s="28"/>
      <c r="AHI22" s="29"/>
      <c r="AHJ22" s="24"/>
      <c r="AHK22" s="13"/>
      <c r="AHL22" s="13"/>
      <c r="AHM22" s="14"/>
      <c r="AHN22" s="15"/>
      <c r="AHO22" s="15"/>
      <c r="AHP22" s="16"/>
      <c r="AHQ22" s="41"/>
      <c r="AHR22" s="41"/>
      <c r="AHS22" s="28"/>
      <c r="AHT22" s="29"/>
      <c r="AHU22" s="24"/>
      <c r="AHV22" s="13"/>
      <c r="AHW22" s="13"/>
      <c r="AHX22" s="14"/>
      <c r="AHY22" s="15"/>
      <c r="AHZ22" s="15"/>
      <c r="AIA22" s="16"/>
      <c r="AIB22" s="41"/>
      <c r="AIC22" s="41"/>
      <c r="AID22" s="28"/>
      <c r="AIE22" s="29"/>
      <c r="AIF22" s="24"/>
      <c r="AIG22" s="13"/>
      <c r="AIH22" s="13"/>
      <c r="AII22" s="14"/>
      <c r="AIJ22" s="15"/>
      <c r="AIK22" s="15"/>
      <c r="AIL22" s="16"/>
      <c r="AIM22" s="41"/>
      <c r="AIN22" s="41"/>
      <c r="AIO22" s="28"/>
      <c r="AIP22" s="29"/>
      <c r="AIQ22" s="24"/>
      <c r="AIR22" s="13"/>
      <c r="AIS22" s="13"/>
      <c r="AIT22" s="14"/>
      <c r="AIU22" s="15"/>
      <c r="AIV22" s="15"/>
      <c r="AIW22" s="16"/>
      <c r="AIX22" s="41"/>
      <c r="AIY22" s="41"/>
      <c r="AIZ22" s="28"/>
      <c r="AJA22" s="29"/>
      <c r="AJB22" s="24"/>
      <c r="AJC22" s="13"/>
      <c r="AJD22" s="13"/>
      <c r="AJE22" s="14"/>
      <c r="AJF22" s="15"/>
      <c r="AJG22" s="15"/>
      <c r="AJH22" s="16"/>
      <c r="AJI22" s="41"/>
      <c r="AJJ22" s="41"/>
      <c r="AJK22" s="28"/>
      <c r="AJL22" s="29"/>
      <c r="AJM22" s="24"/>
      <c r="AJN22" s="13"/>
      <c r="AJO22" s="13"/>
      <c r="AJP22" s="14"/>
      <c r="AJQ22" s="15"/>
      <c r="AJR22" s="15"/>
      <c r="AJS22" s="16"/>
      <c r="AJT22" s="41"/>
      <c r="AJU22" s="41"/>
      <c r="AJV22" s="28"/>
      <c r="AJW22" s="29"/>
      <c r="AJX22" s="24"/>
      <c r="AJY22" s="13"/>
      <c r="AJZ22" s="13"/>
      <c r="AKA22" s="14"/>
      <c r="AKB22" s="15"/>
      <c r="AKC22" s="15"/>
      <c r="AKD22" s="16"/>
      <c r="AKE22" s="41"/>
      <c r="AKF22" s="41"/>
      <c r="AKG22" s="28"/>
      <c r="AKH22" s="29"/>
      <c r="AKI22" s="24"/>
      <c r="AKJ22" s="13"/>
      <c r="AKK22" s="13"/>
      <c r="AKL22" s="14"/>
      <c r="AKM22" s="15"/>
      <c r="AKN22" s="15"/>
      <c r="AKO22" s="16"/>
      <c r="AKP22" s="41"/>
      <c r="AKQ22" s="41"/>
      <c r="AKR22" s="28"/>
      <c r="AKS22" s="29"/>
      <c r="AKT22" s="24"/>
      <c r="AKU22" s="13"/>
      <c r="AKV22" s="13"/>
      <c r="AKW22" s="14"/>
      <c r="AKX22" s="15"/>
      <c r="AKY22" s="15"/>
      <c r="AKZ22" s="16"/>
      <c r="ALA22" s="41"/>
      <c r="ALB22" s="41"/>
      <c r="ALC22" s="28"/>
      <c r="ALD22" s="29"/>
      <c r="ALE22" s="24"/>
      <c r="ALF22" s="13"/>
      <c r="ALG22" s="13"/>
      <c r="ALH22" s="14"/>
      <c r="ALI22" s="15"/>
      <c r="ALJ22" s="15"/>
      <c r="ALK22" s="16"/>
      <c r="ALL22" s="41"/>
      <c r="ALM22" s="41"/>
      <c r="ALN22" s="28"/>
      <c r="ALO22" s="29"/>
      <c r="ALP22" s="24"/>
      <c r="ALQ22" s="13"/>
      <c r="ALR22" s="13"/>
      <c r="ALS22" s="14"/>
      <c r="ALT22" s="15"/>
      <c r="ALU22" s="15"/>
      <c r="ALV22" s="16"/>
      <c r="ALW22" s="41"/>
      <c r="ALX22" s="41"/>
      <c r="ALY22" s="28"/>
      <c r="ALZ22" s="29"/>
      <c r="AMA22" s="24"/>
      <c r="AMB22" s="13"/>
      <c r="AMC22" s="13"/>
      <c r="AMD22" s="14"/>
      <c r="AME22" s="15"/>
      <c r="AMF22" s="15"/>
      <c r="AMG22" s="16"/>
      <c r="AMH22" s="41"/>
      <c r="AMI22" s="41"/>
      <c r="AMJ22" s="28"/>
      <c r="AMK22" s="29"/>
      <c r="AML22" s="24"/>
      <c r="AMM22" s="13"/>
      <c r="AMN22" s="13"/>
      <c r="AMO22" s="14"/>
      <c r="AMP22" s="15"/>
      <c r="AMQ22" s="15"/>
      <c r="AMR22" s="16"/>
      <c r="AMS22" s="41"/>
      <c r="AMT22" s="41"/>
      <c r="AMU22" s="28"/>
      <c r="AMV22" s="29"/>
      <c r="AMW22" s="24"/>
      <c r="AMX22" s="13"/>
      <c r="AMY22" s="13"/>
      <c r="AMZ22" s="14"/>
      <c r="ANA22" s="15"/>
      <c r="ANB22" s="15"/>
      <c r="ANC22" s="16"/>
      <c r="AND22" s="41"/>
      <c r="ANE22" s="41"/>
      <c r="ANF22" s="28"/>
      <c r="ANG22" s="29"/>
      <c r="ANH22" s="24"/>
      <c r="ANI22" s="13"/>
      <c r="ANJ22" s="13"/>
      <c r="ANK22" s="14"/>
      <c r="ANL22" s="15"/>
      <c r="ANM22" s="15"/>
      <c r="ANN22" s="16"/>
      <c r="ANO22" s="41"/>
      <c r="ANP22" s="41"/>
      <c r="ANQ22" s="28"/>
      <c r="ANR22" s="29"/>
      <c r="ANS22" s="24"/>
      <c r="ANT22" s="13"/>
      <c r="ANU22" s="13"/>
      <c r="ANV22" s="14"/>
      <c r="ANW22" s="15"/>
      <c r="ANX22" s="15"/>
      <c r="ANY22" s="16"/>
      <c r="ANZ22" s="41"/>
      <c r="AOA22" s="41"/>
      <c r="AOB22" s="28"/>
      <c r="AOC22" s="29"/>
      <c r="AOD22" s="24"/>
      <c r="AOE22" s="13"/>
      <c r="AOF22" s="13"/>
      <c r="AOG22" s="14"/>
      <c r="AOH22" s="15"/>
      <c r="AOI22" s="15"/>
      <c r="AOJ22" s="16"/>
      <c r="AOK22" s="41"/>
      <c r="AOL22" s="41"/>
      <c r="AOM22" s="28"/>
      <c r="AON22" s="29"/>
      <c r="AOO22" s="24"/>
      <c r="AOP22" s="13"/>
      <c r="AOQ22" s="13"/>
      <c r="AOR22" s="14"/>
      <c r="AOS22" s="15"/>
      <c r="AOT22" s="15"/>
      <c r="AOU22" s="16"/>
      <c r="AOV22" s="41"/>
      <c r="AOW22" s="41"/>
      <c r="AOX22" s="28"/>
      <c r="AOY22" s="29"/>
      <c r="AOZ22" s="24"/>
      <c r="APA22" s="13"/>
      <c r="APB22" s="13"/>
      <c r="APC22" s="14"/>
      <c r="APD22" s="15"/>
      <c r="APE22" s="15"/>
      <c r="APF22" s="16"/>
      <c r="APG22" s="41"/>
      <c r="APH22" s="41"/>
      <c r="API22" s="28"/>
      <c r="APJ22" s="29"/>
      <c r="APK22" s="24"/>
      <c r="APL22" s="13"/>
      <c r="APM22" s="13"/>
      <c r="APN22" s="14"/>
      <c r="APO22" s="15"/>
      <c r="APP22" s="15"/>
      <c r="APQ22" s="16"/>
      <c r="APR22" s="41"/>
      <c r="APS22" s="41"/>
      <c r="APT22" s="28"/>
      <c r="APU22" s="29"/>
      <c r="APV22" s="24"/>
      <c r="APW22" s="13"/>
      <c r="APX22" s="13"/>
      <c r="APY22" s="14"/>
      <c r="APZ22" s="15"/>
      <c r="AQA22" s="15"/>
      <c r="AQB22" s="16"/>
      <c r="AQC22" s="41"/>
      <c r="AQD22" s="41"/>
      <c r="AQE22" s="28"/>
      <c r="AQF22" s="29"/>
      <c r="AQG22" s="24"/>
      <c r="AQH22" s="13"/>
      <c r="AQI22" s="13"/>
      <c r="AQJ22" s="14"/>
      <c r="AQK22" s="15"/>
      <c r="AQL22" s="15"/>
      <c r="AQM22" s="16"/>
      <c r="AQN22" s="41"/>
      <c r="AQO22" s="41"/>
      <c r="AQP22" s="28"/>
      <c r="AQQ22" s="29"/>
      <c r="AQR22" s="24"/>
      <c r="AQS22" s="13"/>
      <c r="AQT22" s="13"/>
      <c r="AQU22" s="14"/>
      <c r="AQV22" s="15"/>
      <c r="AQW22" s="15"/>
      <c r="AQX22" s="16"/>
      <c r="AQY22" s="41"/>
      <c r="AQZ22" s="41"/>
      <c r="ARA22" s="28"/>
      <c r="ARB22" s="29"/>
      <c r="ARC22" s="24"/>
      <c r="ARD22" s="13"/>
      <c r="ARE22" s="13"/>
      <c r="ARF22" s="14"/>
      <c r="ARG22" s="15"/>
      <c r="ARH22" s="15"/>
      <c r="ARI22" s="16"/>
      <c r="ARJ22" s="41"/>
      <c r="ARK22" s="41"/>
      <c r="ARL22" s="28"/>
      <c r="ARM22" s="29"/>
      <c r="ARN22" s="24"/>
      <c r="ARO22" s="13"/>
      <c r="ARP22" s="13"/>
      <c r="ARQ22" s="14"/>
      <c r="ARR22" s="15"/>
      <c r="ARS22" s="15"/>
      <c r="ART22" s="16"/>
      <c r="ARU22" s="41"/>
      <c r="ARV22" s="41"/>
      <c r="ARW22" s="28"/>
      <c r="ARX22" s="29"/>
      <c r="ARY22" s="24"/>
      <c r="ARZ22" s="13"/>
      <c r="ASA22" s="13"/>
      <c r="ASB22" s="14"/>
      <c r="ASC22" s="15"/>
      <c r="ASD22" s="15"/>
      <c r="ASE22" s="16"/>
      <c r="ASF22" s="41"/>
      <c r="ASG22" s="41"/>
      <c r="ASH22" s="28"/>
      <c r="ASI22" s="29"/>
      <c r="ASJ22" s="24"/>
      <c r="ASK22" s="13"/>
      <c r="ASL22" s="13"/>
      <c r="ASM22" s="14"/>
      <c r="ASN22" s="15"/>
      <c r="ASO22" s="15"/>
      <c r="ASP22" s="16"/>
      <c r="ASQ22" s="41"/>
      <c r="ASR22" s="41"/>
      <c r="ASS22" s="28"/>
      <c r="AST22" s="29"/>
      <c r="ASU22" s="24"/>
      <c r="ASV22" s="13"/>
      <c r="ASW22" s="13"/>
      <c r="ASX22" s="14"/>
      <c r="ASY22" s="15"/>
      <c r="ASZ22" s="15"/>
      <c r="ATA22" s="16"/>
      <c r="ATB22" s="41"/>
      <c r="ATC22" s="41"/>
      <c r="ATD22" s="28"/>
      <c r="ATE22" s="29"/>
      <c r="ATF22" s="24"/>
      <c r="ATG22" s="13"/>
      <c r="ATH22" s="13"/>
      <c r="ATI22" s="14"/>
      <c r="ATJ22" s="15"/>
      <c r="ATK22" s="15"/>
      <c r="ATL22" s="16"/>
      <c r="ATM22" s="41"/>
      <c r="ATN22" s="41"/>
      <c r="ATO22" s="28"/>
      <c r="ATP22" s="29"/>
      <c r="ATQ22" s="24"/>
      <c r="ATR22" s="13"/>
      <c r="ATS22" s="13"/>
      <c r="ATT22" s="14"/>
      <c r="ATU22" s="15"/>
      <c r="ATV22" s="15"/>
      <c r="ATW22" s="16"/>
      <c r="ATX22" s="41"/>
      <c r="ATY22" s="41"/>
      <c r="ATZ22" s="28"/>
      <c r="AUA22" s="29"/>
      <c r="AUB22" s="24"/>
      <c r="AUC22" s="13"/>
      <c r="AUD22" s="13"/>
      <c r="AUE22" s="14"/>
      <c r="AUF22" s="15"/>
      <c r="AUG22" s="15"/>
      <c r="AUH22" s="16"/>
      <c r="AUI22" s="41"/>
      <c r="AUJ22" s="41"/>
      <c r="AUK22" s="28"/>
      <c r="AUL22" s="29"/>
      <c r="AUM22" s="24"/>
      <c r="AUN22" s="13"/>
      <c r="AUO22" s="13"/>
      <c r="AUP22" s="14"/>
      <c r="AUQ22" s="15"/>
      <c r="AUR22" s="15"/>
      <c r="AUS22" s="16"/>
      <c r="AUT22" s="41"/>
      <c r="AUU22" s="41"/>
      <c r="AUV22" s="28"/>
      <c r="AUW22" s="29"/>
      <c r="AUX22" s="24"/>
      <c r="AUY22" s="13"/>
      <c r="AUZ22" s="13"/>
      <c r="AVA22" s="14"/>
      <c r="AVB22" s="15"/>
      <c r="AVC22" s="15"/>
      <c r="AVD22" s="16"/>
      <c r="AVE22" s="41"/>
      <c r="AVF22" s="41"/>
      <c r="AVG22" s="28"/>
      <c r="AVH22" s="29"/>
      <c r="AVI22" s="24"/>
      <c r="AVJ22" s="13"/>
      <c r="AVK22" s="13"/>
      <c r="AVL22" s="14"/>
      <c r="AVM22" s="15"/>
      <c r="AVN22" s="15"/>
      <c r="AVO22" s="16"/>
      <c r="AVP22" s="41"/>
      <c r="AVQ22" s="41"/>
      <c r="AVR22" s="28"/>
      <c r="AVS22" s="29"/>
      <c r="AVT22" s="24"/>
      <c r="AVU22" s="13"/>
      <c r="AVV22" s="13"/>
      <c r="AVW22" s="14"/>
      <c r="AVX22" s="15"/>
      <c r="AVY22" s="15"/>
      <c r="AVZ22" s="16"/>
      <c r="AWA22" s="41"/>
      <c r="AWB22" s="41"/>
      <c r="AWC22" s="28"/>
      <c r="AWD22" s="29"/>
      <c r="AWE22" s="24"/>
      <c r="AWF22" s="13"/>
      <c r="AWG22" s="13"/>
      <c r="AWH22" s="14"/>
      <c r="AWI22" s="15"/>
      <c r="AWJ22" s="15"/>
      <c r="AWK22" s="16"/>
      <c r="AWL22" s="41"/>
      <c r="AWM22" s="41"/>
      <c r="AWN22" s="28"/>
      <c r="AWO22" s="29"/>
      <c r="AWP22" s="24"/>
      <c r="AWQ22" s="13"/>
      <c r="AWR22" s="13"/>
      <c r="AWS22" s="14"/>
      <c r="AWT22" s="15"/>
      <c r="AWU22" s="15"/>
      <c r="AWV22" s="16"/>
      <c r="AWW22" s="41"/>
      <c r="AWX22" s="41"/>
      <c r="AWY22" s="28"/>
      <c r="AWZ22" s="29"/>
      <c r="AXA22" s="24"/>
      <c r="AXB22" s="13"/>
      <c r="AXC22" s="13"/>
      <c r="AXD22" s="14"/>
      <c r="AXE22" s="15"/>
      <c r="AXF22" s="15"/>
      <c r="AXG22" s="16"/>
      <c r="AXH22" s="41"/>
      <c r="AXI22" s="41"/>
      <c r="AXJ22" s="28"/>
      <c r="AXK22" s="29"/>
      <c r="AXL22" s="24"/>
      <c r="AXM22" s="13"/>
      <c r="AXN22" s="13"/>
      <c r="AXO22" s="14"/>
      <c r="AXP22" s="15"/>
      <c r="AXQ22" s="15"/>
      <c r="AXR22" s="16"/>
      <c r="AXS22" s="41"/>
      <c r="AXT22" s="41"/>
      <c r="AXU22" s="28"/>
      <c r="AXV22" s="29"/>
      <c r="AXW22" s="24"/>
      <c r="AXX22" s="13"/>
      <c r="AXY22" s="13"/>
      <c r="AXZ22" s="14"/>
      <c r="AYA22" s="15"/>
      <c r="AYB22" s="15"/>
      <c r="AYC22" s="16"/>
      <c r="AYD22" s="41"/>
      <c r="AYE22" s="41"/>
      <c r="AYF22" s="28"/>
      <c r="AYG22" s="29"/>
      <c r="AYH22" s="24"/>
      <c r="AYI22" s="13"/>
      <c r="AYJ22" s="13"/>
      <c r="AYK22" s="14"/>
      <c r="AYL22" s="15"/>
      <c r="AYM22" s="15"/>
      <c r="AYN22" s="16"/>
      <c r="AYO22" s="41"/>
      <c r="AYP22" s="41"/>
      <c r="AYQ22" s="28"/>
      <c r="AYR22" s="29"/>
      <c r="AYS22" s="24"/>
      <c r="AYT22" s="13"/>
      <c r="AYU22" s="13"/>
      <c r="AYV22" s="14"/>
      <c r="AYW22" s="15"/>
      <c r="AYX22" s="15"/>
      <c r="AYY22" s="16"/>
      <c r="AYZ22" s="41"/>
      <c r="AZA22" s="41"/>
      <c r="AZB22" s="28"/>
      <c r="AZC22" s="29"/>
      <c r="AZD22" s="24"/>
      <c r="AZE22" s="13"/>
      <c r="AZF22" s="13"/>
      <c r="AZG22" s="14"/>
      <c r="AZH22" s="15"/>
      <c r="AZI22" s="15"/>
      <c r="AZJ22" s="16"/>
      <c r="AZK22" s="41"/>
      <c r="AZL22" s="41"/>
      <c r="AZM22" s="28"/>
      <c r="AZN22" s="29"/>
      <c r="AZO22" s="24"/>
      <c r="AZP22" s="13"/>
      <c r="AZQ22" s="13"/>
      <c r="AZR22" s="14"/>
      <c r="AZS22" s="15"/>
      <c r="AZT22" s="15"/>
      <c r="AZU22" s="16"/>
      <c r="AZV22" s="41"/>
      <c r="AZW22" s="41"/>
      <c r="AZX22" s="28"/>
      <c r="AZY22" s="29"/>
      <c r="AZZ22" s="24"/>
      <c r="BAA22" s="13"/>
      <c r="BAB22" s="13"/>
      <c r="BAC22" s="14"/>
      <c r="BAD22" s="15"/>
      <c r="BAE22" s="15"/>
      <c r="BAF22" s="16"/>
      <c r="BAG22" s="41"/>
      <c r="BAH22" s="41"/>
      <c r="BAI22" s="28"/>
      <c r="BAJ22" s="29"/>
      <c r="BAK22" s="24"/>
      <c r="BAL22" s="13"/>
      <c r="BAM22" s="13"/>
      <c r="BAN22" s="14"/>
      <c r="BAO22" s="15"/>
      <c r="BAP22" s="15"/>
      <c r="BAQ22" s="16"/>
      <c r="BAR22" s="41"/>
      <c r="BAS22" s="41"/>
      <c r="BAT22" s="28"/>
      <c r="BAU22" s="29"/>
      <c r="BAV22" s="24"/>
      <c r="BAW22" s="13"/>
      <c r="BAX22" s="13"/>
      <c r="BAY22" s="14"/>
      <c r="BAZ22" s="15"/>
      <c r="BBA22" s="15"/>
      <c r="BBB22" s="16"/>
      <c r="BBC22" s="41"/>
      <c r="BBD22" s="41"/>
      <c r="BBE22" s="28"/>
      <c r="BBF22" s="29"/>
      <c r="BBG22" s="24"/>
      <c r="BBH22" s="13"/>
      <c r="BBI22" s="13"/>
      <c r="BBJ22" s="14"/>
      <c r="BBK22" s="15"/>
      <c r="BBL22" s="15"/>
      <c r="BBM22" s="16"/>
      <c r="BBN22" s="41"/>
      <c r="BBO22" s="41"/>
      <c r="BBP22" s="28"/>
      <c r="BBQ22" s="29"/>
      <c r="BBR22" s="24"/>
      <c r="BBS22" s="13"/>
      <c r="BBT22" s="13"/>
      <c r="BBU22" s="14"/>
      <c r="BBV22" s="15"/>
      <c r="BBW22" s="15"/>
      <c r="BBX22" s="16"/>
      <c r="BBY22" s="41"/>
      <c r="BBZ22" s="41"/>
      <c r="BCA22" s="28"/>
      <c r="BCB22" s="29"/>
      <c r="BCC22" s="24"/>
      <c r="BCD22" s="13"/>
      <c r="BCE22" s="13"/>
      <c r="BCF22" s="14"/>
      <c r="BCG22" s="15"/>
      <c r="BCH22" s="15"/>
      <c r="BCI22" s="16"/>
      <c r="BCJ22" s="41"/>
      <c r="BCK22" s="41"/>
      <c r="BCL22" s="28"/>
      <c r="BCM22" s="29"/>
      <c r="BCN22" s="24"/>
      <c r="BCO22" s="13"/>
      <c r="BCP22" s="13"/>
      <c r="BCQ22" s="14"/>
      <c r="BCR22" s="15"/>
      <c r="BCS22" s="15"/>
      <c r="BCT22" s="16"/>
      <c r="BCU22" s="41"/>
      <c r="BCV22" s="41"/>
      <c r="BCW22" s="28"/>
      <c r="BCX22" s="29"/>
      <c r="BCY22" s="24"/>
      <c r="BCZ22" s="13"/>
      <c r="BDA22" s="13"/>
      <c r="BDB22" s="14"/>
      <c r="BDC22" s="15"/>
      <c r="BDD22" s="15"/>
      <c r="BDE22" s="16"/>
      <c r="BDF22" s="41"/>
      <c r="BDG22" s="41"/>
      <c r="BDH22" s="28"/>
      <c r="BDI22" s="29"/>
      <c r="BDJ22" s="24"/>
      <c r="BDK22" s="13"/>
      <c r="BDL22" s="13"/>
      <c r="BDM22" s="14"/>
      <c r="BDN22" s="15"/>
      <c r="BDO22" s="15"/>
      <c r="BDP22" s="16"/>
      <c r="BDQ22" s="41"/>
      <c r="BDR22" s="41"/>
      <c r="BDS22" s="28"/>
      <c r="BDT22" s="29"/>
      <c r="BDU22" s="24"/>
      <c r="BDV22" s="13"/>
      <c r="BDW22" s="13"/>
      <c r="BDX22" s="14"/>
      <c r="BDY22" s="15"/>
      <c r="BDZ22" s="15"/>
      <c r="BEA22" s="16"/>
      <c r="BEB22" s="41"/>
      <c r="BEC22" s="41"/>
      <c r="BED22" s="28"/>
      <c r="BEE22" s="29"/>
      <c r="BEF22" s="24"/>
      <c r="BEG22" s="13"/>
      <c r="BEH22" s="13"/>
      <c r="BEI22" s="14"/>
      <c r="BEJ22" s="15"/>
      <c r="BEK22" s="15"/>
      <c r="BEL22" s="16"/>
      <c r="BEM22" s="41"/>
      <c r="BEN22" s="41"/>
      <c r="BEO22" s="28"/>
      <c r="BEP22" s="29"/>
      <c r="BEQ22" s="24"/>
      <c r="BER22" s="13"/>
      <c r="BES22" s="13"/>
      <c r="BET22" s="14"/>
      <c r="BEU22" s="15"/>
      <c r="BEV22" s="15"/>
      <c r="BEW22" s="16"/>
      <c r="BEX22" s="41"/>
      <c r="BEY22" s="41"/>
      <c r="BEZ22" s="28"/>
      <c r="BFA22" s="29"/>
      <c r="BFB22" s="24"/>
      <c r="BFC22" s="13"/>
      <c r="BFD22" s="13"/>
      <c r="BFE22" s="14"/>
      <c r="BFF22" s="15"/>
      <c r="BFG22" s="15"/>
      <c r="BFH22" s="16"/>
      <c r="BFI22" s="41"/>
      <c r="BFJ22" s="41"/>
      <c r="BFK22" s="28"/>
      <c r="BFL22" s="29"/>
      <c r="BFM22" s="24"/>
      <c r="BFN22" s="13"/>
      <c r="BFO22" s="13"/>
      <c r="BFP22" s="14"/>
      <c r="BFQ22" s="15"/>
      <c r="BFR22" s="15"/>
      <c r="BFS22" s="16"/>
      <c r="BFT22" s="41"/>
      <c r="BFU22" s="41"/>
      <c r="BFV22" s="28"/>
      <c r="BFW22" s="29"/>
      <c r="BFX22" s="24"/>
      <c r="BFY22" s="13"/>
      <c r="BFZ22" s="13"/>
      <c r="BGA22" s="14"/>
      <c r="BGB22" s="15"/>
      <c r="BGC22" s="15"/>
      <c r="BGD22" s="16"/>
      <c r="BGE22" s="41"/>
      <c r="BGF22" s="41"/>
      <c r="BGG22" s="28"/>
      <c r="BGH22" s="29"/>
      <c r="BGI22" s="24"/>
      <c r="BGJ22" s="13"/>
      <c r="BGK22" s="13"/>
      <c r="BGL22" s="14"/>
      <c r="BGM22" s="15"/>
      <c r="BGN22" s="15"/>
      <c r="BGO22" s="16"/>
      <c r="BGP22" s="41"/>
      <c r="BGQ22" s="41"/>
      <c r="BGR22" s="28"/>
      <c r="BGS22" s="29"/>
      <c r="BGT22" s="24"/>
      <c r="BGU22" s="13"/>
      <c r="BGV22" s="13"/>
      <c r="BGW22" s="14"/>
      <c r="BGX22" s="15"/>
      <c r="BGY22" s="15"/>
      <c r="BGZ22" s="16"/>
      <c r="BHA22" s="41"/>
      <c r="BHB22" s="41"/>
      <c r="BHC22" s="28"/>
      <c r="BHD22" s="29"/>
      <c r="BHE22" s="24"/>
      <c r="BHF22" s="13"/>
      <c r="BHG22" s="13"/>
      <c r="BHH22" s="14"/>
      <c r="BHI22" s="15"/>
      <c r="BHJ22" s="15"/>
      <c r="BHK22" s="16"/>
      <c r="BHL22" s="41"/>
      <c r="BHM22" s="41"/>
      <c r="BHN22" s="28"/>
      <c r="BHO22" s="29"/>
      <c r="BHP22" s="24"/>
      <c r="BHQ22" s="13"/>
      <c r="BHR22" s="13"/>
      <c r="BHS22" s="14"/>
      <c r="BHT22" s="15"/>
      <c r="BHU22" s="15"/>
      <c r="BHV22" s="16"/>
      <c r="BHW22" s="41"/>
      <c r="BHX22" s="41"/>
      <c r="BHY22" s="28"/>
      <c r="BHZ22" s="29"/>
      <c r="BIA22" s="24"/>
      <c r="BIB22" s="13"/>
      <c r="BIC22" s="13"/>
      <c r="BID22" s="14"/>
      <c r="BIE22" s="15"/>
      <c r="BIF22" s="15"/>
      <c r="BIG22" s="16"/>
      <c r="BIH22" s="41"/>
      <c r="BII22" s="41"/>
      <c r="BIJ22" s="28"/>
      <c r="BIK22" s="29"/>
      <c r="BIL22" s="24"/>
      <c r="BIM22" s="13"/>
      <c r="BIN22" s="13"/>
      <c r="BIO22" s="14"/>
      <c r="BIP22" s="15"/>
      <c r="BIQ22" s="15"/>
      <c r="BIR22" s="16"/>
      <c r="BIS22" s="41"/>
      <c r="BIT22" s="41"/>
      <c r="BIU22" s="28"/>
      <c r="BIV22" s="29"/>
      <c r="BIW22" s="24"/>
      <c r="BIX22" s="13"/>
      <c r="BIY22" s="13"/>
      <c r="BIZ22" s="14"/>
      <c r="BJA22" s="15"/>
      <c r="BJB22" s="15"/>
      <c r="BJC22" s="16"/>
      <c r="BJD22" s="41"/>
      <c r="BJE22" s="41"/>
      <c r="BJF22" s="28"/>
      <c r="BJG22" s="29"/>
      <c r="BJH22" s="24"/>
      <c r="BJI22" s="13"/>
      <c r="BJJ22" s="13"/>
      <c r="BJK22" s="14"/>
      <c r="BJL22" s="15"/>
      <c r="BJM22" s="15"/>
      <c r="BJN22" s="16"/>
      <c r="BJO22" s="41"/>
      <c r="BJP22" s="41"/>
      <c r="BJQ22" s="28"/>
      <c r="BJR22" s="29"/>
      <c r="BJS22" s="24"/>
      <c r="BJT22" s="13"/>
      <c r="BJU22" s="13"/>
      <c r="BJV22" s="14"/>
      <c r="BJW22" s="15"/>
      <c r="BJX22" s="15"/>
      <c r="BJY22" s="16"/>
      <c r="BJZ22" s="41"/>
      <c r="BKA22" s="41"/>
      <c r="BKB22" s="28"/>
      <c r="BKC22" s="29"/>
      <c r="BKD22" s="24"/>
      <c r="BKE22" s="13"/>
      <c r="BKF22" s="13"/>
      <c r="BKG22" s="14"/>
      <c r="BKH22" s="15"/>
      <c r="BKI22" s="15"/>
      <c r="BKJ22" s="16"/>
      <c r="BKK22" s="41"/>
      <c r="BKL22" s="41"/>
      <c r="BKM22" s="28"/>
      <c r="BKN22" s="29"/>
      <c r="BKO22" s="24"/>
      <c r="BKP22" s="13"/>
      <c r="BKQ22" s="13"/>
      <c r="BKR22" s="14"/>
      <c r="BKS22" s="15"/>
      <c r="BKT22" s="15"/>
      <c r="BKU22" s="16"/>
      <c r="BKV22" s="41"/>
      <c r="BKW22" s="41"/>
      <c r="BKX22" s="28"/>
      <c r="BKY22" s="29"/>
      <c r="BKZ22" s="24"/>
      <c r="BLA22" s="13"/>
      <c r="BLB22" s="13"/>
      <c r="BLC22" s="14"/>
      <c r="BLD22" s="15"/>
      <c r="BLE22" s="15"/>
      <c r="BLF22" s="16"/>
      <c r="BLG22" s="41"/>
      <c r="BLH22" s="41"/>
      <c r="BLI22" s="28"/>
      <c r="BLJ22" s="29"/>
      <c r="BLK22" s="24"/>
      <c r="BLL22" s="13"/>
      <c r="BLM22" s="13"/>
      <c r="BLN22" s="14"/>
      <c r="BLO22" s="15"/>
      <c r="BLP22" s="15"/>
      <c r="BLQ22" s="16"/>
      <c r="BLR22" s="41"/>
      <c r="BLS22" s="41"/>
      <c r="BLT22" s="28"/>
      <c r="BLU22" s="29"/>
      <c r="BLV22" s="24"/>
      <c r="BLW22" s="13"/>
      <c r="BLX22" s="13"/>
      <c r="BLY22" s="14"/>
      <c r="BLZ22" s="15"/>
      <c r="BMA22" s="15"/>
      <c r="BMB22" s="16"/>
      <c r="BMC22" s="41"/>
      <c r="BMD22" s="41"/>
      <c r="BME22" s="28"/>
      <c r="BMF22" s="29"/>
      <c r="BMG22" s="24"/>
      <c r="BMH22" s="13"/>
      <c r="BMI22" s="13"/>
      <c r="BMJ22" s="14"/>
      <c r="BMK22" s="15"/>
      <c r="BML22" s="15"/>
      <c r="BMM22" s="16"/>
      <c r="BMN22" s="41"/>
      <c r="BMO22" s="41"/>
      <c r="BMP22" s="28"/>
      <c r="BMQ22" s="29"/>
      <c r="BMR22" s="24"/>
      <c r="BMS22" s="13"/>
      <c r="BMT22" s="13"/>
      <c r="BMU22" s="14"/>
      <c r="BMV22" s="15"/>
      <c r="BMW22" s="15"/>
      <c r="BMX22" s="16"/>
      <c r="BMY22" s="41"/>
      <c r="BMZ22" s="41"/>
      <c r="BNA22" s="28"/>
      <c r="BNB22" s="29"/>
      <c r="BNC22" s="24"/>
      <c r="BND22" s="13"/>
      <c r="BNE22" s="13"/>
      <c r="BNF22" s="14"/>
      <c r="BNG22" s="15"/>
      <c r="BNH22" s="15"/>
      <c r="BNI22" s="16"/>
      <c r="BNJ22" s="41"/>
      <c r="BNK22" s="41"/>
      <c r="BNL22" s="28"/>
      <c r="BNM22" s="29"/>
      <c r="BNN22" s="24"/>
      <c r="BNO22" s="13"/>
      <c r="BNP22" s="13"/>
      <c r="BNQ22" s="14"/>
      <c r="BNR22" s="15"/>
      <c r="BNS22" s="15"/>
      <c r="BNT22" s="16"/>
      <c r="BNU22" s="41"/>
      <c r="BNV22" s="41"/>
      <c r="BNW22" s="28"/>
      <c r="BNX22" s="29"/>
      <c r="BNY22" s="24"/>
      <c r="BNZ22" s="13"/>
      <c r="BOA22" s="13"/>
      <c r="BOB22" s="14"/>
      <c r="BOC22" s="15"/>
      <c r="BOD22" s="15"/>
      <c r="BOE22" s="16"/>
      <c r="BOF22" s="41"/>
      <c r="BOG22" s="41"/>
      <c r="BOH22" s="28"/>
      <c r="BOI22" s="29"/>
      <c r="BOJ22" s="24"/>
      <c r="BOK22" s="13"/>
      <c r="BOL22" s="13"/>
      <c r="BOM22" s="14"/>
      <c r="BON22" s="15"/>
      <c r="BOO22" s="15"/>
      <c r="BOP22" s="16"/>
      <c r="BOQ22" s="41"/>
      <c r="BOR22" s="41"/>
      <c r="BOS22" s="28"/>
      <c r="BOT22" s="29"/>
      <c r="BOU22" s="24"/>
      <c r="BOV22" s="13"/>
      <c r="BOW22" s="13"/>
      <c r="BOX22" s="14"/>
      <c r="BOY22" s="15"/>
      <c r="BOZ22" s="15"/>
      <c r="BPA22" s="16"/>
      <c r="BPB22" s="41"/>
      <c r="BPC22" s="41"/>
      <c r="BPD22" s="28"/>
      <c r="BPE22" s="29"/>
      <c r="BPF22" s="24"/>
      <c r="BPG22" s="13"/>
      <c r="BPH22" s="13"/>
      <c r="BPI22" s="14"/>
      <c r="BPJ22" s="15"/>
      <c r="BPK22" s="15"/>
      <c r="BPL22" s="16"/>
      <c r="BPM22" s="41"/>
      <c r="BPN22" s="41"/>
      <c r="BPO22" s="28"/>
      <c r="BPP22" s="29"/>
      <c r="BPQ22" s="24"/>
      <c r="BPR22" s="13"/>
      <c r="BPS22" s="13"/>
      <c r="BPT22" s="14"/>
      <c r="BPU22" s="15"/>
      <c r="BPV22" s="15"/>
      <c r="BPW22" s="16"/>
      <c r="BPX22" s="41"/>
      <c r="BPY22" s="41"/>
      <c r="BPZ22" s="28"/>
      <c r="BQA22" s="29"/>
      <c r="BQB22" s="24"/>
      <c r="BQC22" s="13"/>
      <c r="BQD22" s="13"/>
      <c r="BQE22" s="14"/>
      <c r="BQF22" s="15"/>
      <c r="BQG22" s="15"/>
      <c r="BQH22" s="16"/>
      <c r="BQI22" s="41"/>
      <c r="BQJ22" s="41"/>
      <c r="BQK22" s="28"/>
      <c r="BQL22" s="29"/>
      <c r="BQM22" s="24"/>
      <c r="BQN22" s="13"/>
      <c r="BQO22" s="13"/>
      <c r="BQP22" s="14"/>
      <c r="BQQ22" s="15"/>
      <c r="BQR22" s="15"/>
      <c r="BQS22" s="16"/>
      <c r="BQT22" s="41"/>
      <c r="BQU22" s="41"/>
      <c r="BQV22" s="28"/>
      <c r="BQW22" s="29"/>
      <c r="BQX22" s="24"/>
      <c r="BQY22" s="13"/>
      <c r="BQZ22" s="13"/>
      <c r="BRA22" s="14"/>
      <c r="BRB22" s="15"/>
      <c r="BRC22" s="15"/>
      <c r="BRD22" s="16"/>
      <c r="BRE22" s="41"/>
      <c r="BRF22" s="41"/>
      <c r="BRG22" s="28"/>
      <c r="BRH22" s="29"/>
      <c r="BRI22" s="24"/>
      <c r="BRJ22" s="13"/>
      <c r="BRK22" s="13"/>
      <c r="BRL22" s="14"/>
      <c r="BRM22" s="15"/>
      <c r="BRN22" s="15"/>
      <c r="BRO22" s="16"/>
      <c r="BRP22" s="41"/>
      <c r="BRQ22" s="41"/>
      <c r="BRR22" s="28"/>
      <c r="BRS22" s="29"/>
      <c r="BRT22" s="24"/>
      <c r="BRU22" s="13"/>
      <c r="BRV22" s="13"/>
      <c r="BRW22" s="14"/>
      <c r="BRX22" s="15"/>
      <c r="BRY22" s="15"/>
      <c r="BRZ22" s="16"/>
      <c r="BSA22" s="41"/>
      <c r="BSB22" s="41"/>
      <c r="BSC22" s="28"/>
      <c r="BSD22" s="29"/>
      <c r="BSE22" s="24"/>
      <c r="BSF22" s="13"/>
      <c r="BSG22" s="13"/>
      <c r="BSH22" s="14"/>
      <c r="BSI22" s="15"/>
      <c r="BSJ22" s="15"/>
      <c r="BSK22" s="16"/>
      <c r="BSL22" s="41"/>
      <c r="BSM22" s="41"/>
      <c r="BSN22" s="28"/>
      <c r="BSO22" s="29"/>
      <c r="BSP22" s="24"/>
      <c r="BSQ22" s="13"/>
      <c r="BSR22" s="13"/>
      <c r="BSS22" s="14"/>
      <c r="BST22" s="15"/>
      <c r="BSU22" s="15"/>
      <c r="BSV22" s="16"/>
      <c r="BSW22" s="41"/>
      <c r="BSX22" s="41"/>
      <c r="BSY22" s="28"/>
      <c r="BSZ22" s="29"/>
      <c r="BTA22" s="24"/>
      <c r="BTB22" s="13"/>
      <c r="BTC22" s="13"/>
      <c r="BTD22" s="14"/>
      <c r="BTE22" s="15"/>
      <c r="BTF22" s="15"/>
      <c r="BTG22" s="16"/>
      <c r="BTH22" s="41"/>
      <c r="BTI22" s="41"/>
      <c r="BTJ22" s="28"/>
      <c r="BTK22" s="29"/>
      <c r="BTL22" s="24"/>
      <c r="BTM22" s="13"/>
      <c r="BTN22" s="13"/>
      <c r="BTO22" s="14"/>
      <c r="BTP22" s="15"/>
      <c r="BTQ22" s="15"/>
      <c r="BTR22" s="16"/>
      <c r="BTS22" s="41"/>
      <c r="BTT22" s="41"/>
      <c r="BTU22" s="28"/>
      <c r="BTV22" s="29"/>
      <c r="BTW22" s="24"/>
      <c r="BTX22" s="13"/>
      <c r="BTY22" s="13"/>
      <c r="BTZ22" s="14"/>
      <c r="BUA22" s="15"/>
      <c r="BUB22" s="15"/>
      <c r="BUC22" s="16"/>
      <c r="BUD22" s="41"/>
      <c r="BUE22" s="41"/>
      <c r="BUF22" s="28"/>
      <c r="BUG22" s="29"/>
      <c r="BUH22" s="24"/>
      <c r="BUI22" s="13"/>
      <c r="BUJ22" s="13"/>
      <c r="BUK22" s="14"/>
      <c r="BUL22" s="15"/>
      <c r="BUM22" s="15"/>
      <c r="BUN22" s="16"/>
      <c r="BUO22" s="41"/>
      <c r="BUP22" s="41"/>
      <c r="BUQ22" s="28"/>
      <c r="BUR22" s="29"/>
      <c r="BUS22" s="24"/>
      <c r="BUT22" s="13"/>
      <c r="BUU22" s="13"/>
      <c r="BUV22" s="14"/>
      <c r="BUW22" s="15"/>
      <c r="BUX22" s="15"/>
      <c r="BUY22" s="16"/>
      <c r="BUZ22" s="41"/>
      <c r="BVA22" s="41"/>
      <c r="BVB22" s="28"/>
      <c r="BVC22" s="29"/>
      <c r="BVD22" s="24"/>
      <c r="BVE22" s="13"/>
      <c r="BVF22" s="13"/>
      <c r="BVG22" s="14"/>
      <c r="BVH22" s="15"/>
      <c r="BVI22" s="15"/>
      <c r="BVJ22" s="16"/>
      <c r="BVK22" s="41"/>
      <c r="BVL22" s="41"/>
      <c r="BVM22" s="28"/>
      <c r="BVN22" s="29"/>
      <c r="BVO22" s="24"/>
      <c r="BVP22" s="13"/>
      <c r="BVQ22" s="13"/>
      <c r="BVR22" s="14"/>
      <c r="BVS22" s="15"/>
      <c r="BVT22" s="15"/>
      <c r="BVU22" s="16"/>
      <c r="BVV22" s="41"/>
      <c r="BVW22" s="41"/>
      <c r="BVX22" s="28"/>
      <c r="BVY22" s="29"/>
      <c r="BVZ22" s="24"/>
      <c r="BWA22" s="13"/>
      <c r="BWB22" s="13"/>
      <c r="BWC22" s="14"/>
      <c r="BWD22" s="15"/>
      <c r="BWE22" s="15"/>
      <c r="BWF22" s="16"/>
      <c r="BWG22" s="41"/>
      <c r="BWH22" s="41"/>
      <c r="BWI22" s="28"/>
      <c r="BWJ22" s="29"/>
      <c r="BWK22" s="24"/>
      <c r="BWL22" s="13"/>
      <c r="BWM22" s="13"/>
      <c r="BWN22" s="14"/>
      <c r="BWO22" s="15"/>
      <c r="BWP22" s="15"/>
      <c r="BWQ22" s="16"/>
      <c r="BWR22" s="41"/>
      <c r="BWS22" s="41"/>
      <c r="BWT22" s="28"/>
      <c r="BWU22" s="29"/>
      <c r="BWV22" s="24"/>
      <c r="BWW22" s="13"/>
      <c r="BWX22" s="13"/>
      <c r="BWY22" s="14"/>
      <c r="BWZ22" s="15"/>
      <c r="BXA22" s="15"/>
      <c r="BXB22" s="16"/>
      <c r="BXC22" s="41"/>
      <c r="BXD22" s="41"/>
      <c r="BXE22" s="28"/>
      <c r="BXF22" s="29"/>
      <c r="BXG22" s="24"/>
      <c r="BXH22" s="13"/>
      <c r="BXI22" s="13"/>
      <c r="BXJ22" s="14"/>
      <c r="BXK22" s="15"/>
      <c r="BXL22" s="15"/>
      <c r="BXM22" s="16"/>
      <c r="BXN22" s="41"/>
      <c r="BXO22" s="41"/>
      <c r="BXP22" s="28"/>
      <c r="BXQ22" s="29"/>
      <c r="BXR22" s="24"/>
      <c r="BXS22" s="13"/>
      <c r="BXT22" s="13"/>
      <c r="BXU22" s="14"/>
      <c r="BXV22" s="15"/>
      <c r="BXW22" s="15"/>
      <c r="BXX22" s="16"/>
      <c r="BXY22" s="41"/>
      <c r="BXZ22" s="41"/>
      <c r="BYA22" s="28"/>
      <c r="BYB22" s="29"/>
      <c r="BYC22" s="24"/>
      <c r="BYD22" s="13"/>
      <c r="BYE22" s="13"/>
      <c r="BYF22" s="14"/>
      <c r="BYG22" s="15"/>
      <c r="BYH22" s="15"/>
      <c r="BYI22" s="16"/>
      <c r="BYJ22" s="41"/>
      <c r="BYK22" s="41"/>
      <c r="BYL22" s="28"/>
      <c r="BYM22" s="29"/>
      <c r="BYN22" s="24"/>
      <c r="BYO22" s="13"/>
      <c r="BYP22" s="13"/>
      <c r="BYQ22" s="14"/>
      <c r="BYR22" s="15"/>
      <c r="BYS22" s="15"/>
      <c r="BYT22" s="16"/>
      <c r="BYU22" s="41"/>
      <c r="BYV22" s="41"/>
      <c r="BYW22" s="28"/>
      <c r="BYX22" s="29"/>
      <c r="BYY22" s="24"/>
      <c r="BYZ22" s="13"/>
      <c r="BZA22" s="13"/>
      <c r="BZB22" s="14"/>
      <c r="BZC22" s="15"/>
      <c r="BZD22" s="15"/>
      <c r="BZE22" s="16"/>
      <c r="BZF22" s="41"/>
      <c r="BZG22" s="41"/>
      <c r="BZH22" s="28"/>
      <c r="BZI22" s="29"/>
      <c r="BZJ22" s="24"/>
      <c r="BZK22" s="13"/>
      <c r="BZL22" s="13"/>
      <c r="BZM22" s="14"/>
      <c r="BZN22" s="15"/>
      <c r="BZO22" s="15"/>
      <c r="BZP22" s="16"/>
      <c r="BZQ22" s="41"/>
      <c r="BZR22" s="41"/>
      <c r="BZS22" s="28"/>
      <c r="BZT22" s="29"/>
      <c r="BZU22" s="24"/>
      <c r="BZV22" s="13"/>
      <c r="BZW22" s="13"/>
      <c r="BZX22" s="14"/>
      <c r="BZY22" s="15"/>
      <c r="BZZ22" s="15"/>
      <c r="CAA22" s="16"/>
      <c r="CAB22" s="41"/>
      <c r="CAC22" s="41"/>
      <c r="CAD22" s="28"/>
      <c r="CAE22" s="29"/>
      <c r="CAF22" s="24"/>
      <c r="CAG22" s="13"/>
      <c r="CAH22" s="13"/>
      <c r="CAI22" s="14"/>
      <c r="CAJ22" s="15"/>
      <c r="CAK22" s="15"/>
      <c r="CAL22" s="16"/>
      <c r="CAM22" s="41"/>
      <c r="CAN22" s="41"/>
      <c r="CAO22" s="28"/>
      <c r="CAP22" s="29"/>
      <c r="CAQ22" s="24"/>
      <c r="CAR22" s="13"/>
      <c r="CAS22" s="13"/>
      <c r="CAT22" s="14"/>
      <c r="CAU22" s="15"/>
      <c r="CAV22" s="15"/>
      <c r="CAW22" s="16"/>
      <c r="CAX22" s="41"/>
      <c r="CAY22" s="41"/>
      <c r="CAZ22" s="28"/>
      <c r="CBA22" s="29"/>
      <c r="CBB22" s="24"/>
      <c r="CBC22" s="13"/>
      <c r="CBD22" s="13"/>
      <c r="CBE22" s="14"/>
      <c r="CBF22" s="15"/>
      <c r="CBG22" s="15"/>
      <c r="CBH22" s="16"/>
      <c r="CBI22" s="41"/>
      <c r="CBJ22" s="41"/>
      <c r="CBK22" s="28"/>
      <c r="CBL22" s="29"/>
      <c r="CBM22" s="24"/>
      <c r="CBN22" s="13"/>
      <c r="CBO22" s="13"/>
      <c r="CBP22" s="14"/>
      <c r="CBQ22" s="15"/>
      <c r="CBR22" s="15"/>
      <c r="CBS22" s="16"/>
      <c r="CBT22" s="41"/>
      <c r="CBU22" s="41"/>
      <c r="CBV22" s="28"/>
      <c r="CBW22" s="29"/>
      <c r="CBX22" s="24"/>
      <c r="CBY22" s="13"/>
      <c r="CBZ22" s="13"/>
      <c r="CCA22" s="14"/>
      <c r="CCB22" s="15"/>
      <c r="CCC22" s="15"/>
      <c r="CCD22" s="16"/>
      <c r="CCE22" s="41"/>
      <c r="CCF22" s="41"/>
      <c r="CCG22" s="28"/>
      <c r="CCH22" s="29"/>
      <c r="CCI22" s="24"/>
      <c r="CCJ22" s="13"/>
      <c r="CCK22" s="13"/>
      <c r="CCL22" s="14"/>
      <c r="CCM22" s="15"/>
      <c r="CCN22" s="15"/>
      <c r="CCO22" s="16"/>
      <c r="CCP22" s="41"/>
      <c r="CCQ22" s="41"/>
      <c r="CCR22" s="28"/>
      <c r="CCS22" s="29"/>
      <c r="CCT22" s="24"/>
      <c r="CCU22" s="13"/>
      <c r="CCV22" s="13"/>
      <c r="CCW22" s="14"/>
      <c r="CCX22" s="15"/>
      <c r="CCY22" s="15"/>
      <c r="CCZ22" s="16"/>
      <c r="CDA22" s="41"/>
      <c r="CDB22" s="41"/>
      <c r="CDC22" s="28"/>
      <c r="CDD22" s="29"/>
      <c r="CDE22" s="24"/>
      <c r="CDF22" s="13"/>
      <c r="CDG22" s="13"/>
      <c r="CDH22" s="14"/>
      <c r="CDI22" s="15"/>
      <c r="CDJ22" s="15"/>
      <c r="CDK22" s="16"/>
      <c r="CDL22" s="41"/>
      <c r="CDM22" s="41"/>
      <c r="CDN22" s="28"/>
      <c r="CDO22" s="29"/>
      <c r="CDP22" s="24"/>
      <c r="CDQ22" s="13"/>
      <c r="CDR22" s="13"/>
      <c r="CDS22" s="14"/>
      <c r="CDT22" s="15"/>
      <c r="CDU22" s="15"/>
      <c r="CDV22" s="16"/>
      <c r="CDW22" s="41"/>
      <c r="CDX22" s="41"/>
      <c r="CDY22" s="28"/>
      <c r="CDZ22" s="29"/>
      <c r="CEA22" s="24"/>
      <c r="CEB22" s="13"/>
      <c r="CEC22" s="13"/>
      <c r="CED22" s="14"/>
      <c r="CEE22" s="15"/>
      <c r="CEF22" s="15"/>
      <c r="CEG22" s="16"/>
      <c r="CEH22" s="41"/>
      <c r="CEI22" s="41"/>
      <c r="CEJ22" s="28"/>
      <c r="CEK22" s="29"/>
      <c r="CEL22" s="24"/>
      <c r="CEM22" s="13"/>
      <c r="CEN22" s="13"/>
      <c r="CEO22" s="14"/>
      <c r="CEP22" s="15"/>
      <c r="CEQ22" s="15"/>
      <c r="CER22" s="16"/>
      <c r="CES22" s="41"/>
      <c r="CET22" s="41"/>
      <c r="CEU22" s="28"/>
      <c r="CEV22" s="29"/>
      <c r="CEW22" s="24"/>
      <c r="CEX22" s="13"/>
      <c r="CEY22" s="13"/>
      <c r="CEZ22" s="14"/>
      <c r="CFA22" s="15"/>
      <c r="CFB22" s="15"/>
      <c r="CFC22" s="16"/>
      <c r="CFD22" s="41"/>
      <c r="CFE22" s="41"/>
      <c r="CFF22" s="28"/>
      <c r="CFG22" s="29"/>
      <c r="CFH22" s="24"/>
      <c r="CFI22" s="13"/>
      <c r="CFJ22" s="13"/>
      <c r="CFK22" s="14"/>
      <c r="CFL22" s="15"/>
      <c r="CFM22" s="15"/>
      <c r="CFN22" s="16"/>
      <c r="CFO22" s="41"/>
      <c r="CFP22" s="41"/>
      <c r="CFQ22" s="28"/>
      <c r="CFR22" s="29"/>
      <c r="CFS22" s="24"/>
      <c r="CFT22" s="13"/>
      <c r="CFU22" s="13"/>
      <c r="CFV22" s="14"/>
      <c r="CFW22" s="15"/>
      <c r="CFX22" s="15"/>
      <c r="CFY22" s="16"/>
      <c r="CFZ22" s="41"/>
      <c r="CGA22" s="41"/>
      <c r="CGB22" s="28"/>
      <c r="CGC22" s="29"/>
      <c r="CGD22" s="24"/>
      <c r="CGE22" s="13"/>
      <c r="CGF22" s="13"/>
      <c r="CGG22" s="14"/>
      <c r="CGH22" s="15"/>
      <c r="CGI22" s="15"/>
      <c r="CGJ22" s="16"/>
      <c r="CGK22" s="41"/>
      <c r="CGL22" s="41"/>
      <c r="CGM22" s="28"/>
      <c r="CGN22" s="29"/>
      <c r="CGO22" s="24"/>
      <c r="CGP22" s="13"/>
      <c r="CGQ22" s="13"/>
      <c r="CGR22" s="14"/>
      <c r="CGS22" s="15"/>
      <c r="CGT22" s="15"/>
      <c r="CGU22" s="16"/>
      <c r="CGV22" s="41"/>
      <c r="CGW22" s="41"/>
      <c r="CGX22" s="28"/>
      <c r="CGY22" s="29"/>
      <c r="CGZ22" s="24"/>
      <c r="CHA22" s="13"/>
      <c r="CHB22" s="13"/>
      <c r="CHC22" s="14"/>
      <c r="CHD22" s="15"/>
      <c r="CHE22" s="15"/>
      <c r="CHF22" s="16"/>
      <c r="CHG22" s="41"/>
      <c r="CHH22" s="41"/>
      <c r="CHI22" s="28"/>
      <c r="CHJ22" s="29"/>
      <c r="CHK22" s="24"/>
      <c r="CHL22" s="13"/>
      <c r="CHM22" s="13"/>
      <c r="CHN22" s="14"/>
      <c r="CHO22" s="15"/>
      <c r="CHP22" s="15"/>
      <c r="CHQ22" s="16"/>
      <c r="CHR22" s="41"/>
      <c r="CHS22" s="41"/>
      <c r="CHT22" s="28"/>
      <c r="CHU22" s="29"/>
      <c r="CHV22" s="24"/>
      <c r="CHW22" s="13"/>
      <c r="CHX22" s="13"/>
      <c r="CHY22" s="14"/>
      <c r="CHZ22" s="15"/>
      <c r="CIA22" s="15"/>
      <c r="CIB22" s="16"/>
      <c r="CIC22" s="41"/>
      <c r="CID22" s="41"/>
      <c r="CIE22" s="28"/>
      <c r="CIF22" s="29"/>
      <c r="CIG22" s="24"/>
      <c r="CIH22" s="13"/>
      <c r="CII22" s="13"/>
      <c r="CIJ22" s="14"/>
      <c r="CIK22" s="15"/>
      <c r="CIL22" s="15"/>
      <c r="CIM22" s="16"/>
      <c r="CIN22" s="41"/>
      <c r="CIO22" s="41"/>
      <c r="CIP22" s="28"/>
      <c r="CIQ22" s="29"/>
      <c r="CIR22" s="24"/>
      <c r="CIS22" s="13"/>
      <c r="CIT22" s="13"/>
      <c r="CIU22" s="14"/>
      <c r="CIV22" s="15"/>
      <c r="CIW22" s="15"/>
      <c r="CIX22" s="16"/>
      <c r="CIY22" s="41"/>
      <c r="CIZ22" s="41"/>
      <c r="CJA22" s="28"/>
      <c r="CJB22" s="29"/>
      <c r="CJC22" s="24"/>
      <c r="CJD22" s="13"/>
      <c r="CJE22" s="13"/>
      <c r="CJF22" s="14"/>
      <c r="CJG22" s="15"/>
      <c r="CJH22" s="15"/>
      <c r="CJI22" s="16"/>
      <c r="CJJ22" s="41"/>
      <c r="CJK22" s="41"/>
      <c r="CJL22" s="28"/>
      <c r="CJM22" s="29"/>
      <c r="CJN22" s="24"/>
      <c r="CJO22" s="13"/>
      <c r="CJP22" s="13"/>
      <c r="CJQ22" s="14"/>
      <c r="CJR22" s="15"/>
      <c r="CJS22" s="15"/>
      <c r="CJT22" s="16"/>
      <c r="CJU22" s="41"/>
      <c r="CJV22" s="41"/>
      <c r="CJW22" s="28"/>
      <c r="CJX22" s="29"/>
      <c r="CJY22" s="24"/>
      <c r="CJZ22" s="13"/>
      <c r="CKA22" s="13"/>
      <c r="CKB22" s="14"/>
      <c r="CKC22" s="15"/>
      <c r="CKD22" s="15"/>
      <c r="CKE22" s="16"/>
      <c r="CKF22" s="41"/>
      <c r="CKG22" s="41"/>
      <c r="CKH22" s="28"/>
      <c r="CKI22" s="29"/>
      <c r="CKJ22" s="24"/>
      <c r="CKK22" s="13"/>
      <c r="CKL22" s="13"/>
      <c r="CKM22" s="14"/>
      <c r="CKN22" s="15"/>
      <c r="CKO22" s="15"/>
      <c r="CKP22" s="16"/>
      <c r="CKQ22" s="41"/>
      <c r="CKR22" s="41"/>
      <c r="CKS22" s="28"/>
      <c r="CKT22" s="29"/>
      <c r="CKU22" s="24"/>
      <c r="CKV22" s="13"/>
      <c r="CKW22" s="13"/>
      <c r="CKX22" s="14"/>
      <c r="CKY22" s="15"/>
      <c r="CKZ22" s="15"/>
      <c r="CLA22" s="16"/>
      <c r="CLB22" s="41"/>
      <c r="CLC22" s="41"/>
      <c r="CLD22" s="28"/>
      <c r="CLE22" s="29"/>
      <c r="CLF22" s="24"/>
      <c r="CLG22" s="13"/>
      <c r="CLH22" s="13"/>
      <c r="CLI22" s="14"/>
      <c r="CLJ22" s="15"/>
      <c r="CLK22" s="15"/>
      <c r="CLL22" s="16"/>
      <c r="CLM22" s="41"/>
      <c r="CLN22" s="41"/>
      <c r="CLO22" s="28"/>
      <c r="CLP22" s="29"/>
      <c r="CLQ22" s="24"/>
      <c r="CLR22" s="13"/>
      <c r="CLS22" s="13"/>
      <c r="CLT22" s="14"/>
      <c r="CLU22" s="15"/>
      <c r="CLV22" s="15"/>
      <c r="CLW22" s="16"/>
      <c r="CLX22" s="41"/>
      <c r="CLY22" s="41"/>
      <c r="CLZ22" s="28"/>
      <c r="CMA22" s="29"/>
      <c r="CMB22" s="24"/>
      <c r="CMC22" s="13"/>
      <c r="CMD22" s="13"/>
      <c r="CME22" s="14"/>
      <c r="CMF22" s="15"/>
      <c r="CMG22" s="15"/>
      <c r="CMH22" s="16"/>
      <c r="CMI22" s="41"/>
      <c r="CMJ22" s="41"/>
      <c r="CMK22" s="28"/>
      <c r="CML22" s="29"/>
      <c r="CMM22" s="24"/>
      <c r="CMN22" s="13"/>
      <c r="CMO22" s="13"/>
      <c r="CMP22" s="14"/>
      <c r="CMQ22" s="15"/>
      <c r="CMR22" s="15"/>
      <c r="CMS22" s="16"/>
      <c r="CMT22" s="41"/>
      <c r="CMU22" s="41"/>
      <c r="CMV22" s="28"/>
      <c r="CMW22" s="29"/>
      <c r="CMX22" s="24"/>
      <c r="CMY22" s="13"/>
      <c r="CMZ22" s="13"/>
      <c r="CNA22" s="14"/>
      <c r="CNB22" s="15"/>
      <c r="CNC22" s="15"/>
      <c r="CND22" s="16"/>
      <c r="CNE22" s="41"/>
      <c r="CNF22" s="41"/>
      <c r="CNG22" s="28"/>
      <c r="CNH22" s="29"/>
      <c r="CNI22" s="24"/>
      <c r="CNJ22" s="13"/>
      <c r="CNK22" s="13"/>
      <c r="CNL22" s="14"/>
      <c r="CNM22" s="15"/>
      <c r="CNN22" s="15"/>
      <c r="CNO22" s="16"/>
      <c r="CNP22" s="41"/>
      <c r="CNQ22" s="41"/>
      <c r="CNR22" s="28"/>
      <c r="CNS22" s="29"/>
      <c r="CNT22" s="24"/>
      <c r="CNU22" s="13"/>
      <c r="CNV22" s="13"/>
      <c r="CNW22" s="14"/>
      <c r="CNX22" s="15"/>
      <c r="CNY22" s="15"/>
      <c r="CNZ22" s="16"/>
      <c r="COA22" s="41"/>
      <c r="COB22" s="41"/>
      <c r="COC22" s="28"/>
      <c r="COD22" s="29"/>
      <c r="COE22" s="24"/>
      <c r="COF22" s="13"/>
      <c r="COG22" s="13"/>
      <c r="COH22" s="14"/>
      <c r="COI22" s="15"/>
      <c r="COJ22" s="15"/>
      <c r="COK22" s="16"/>
      <c r="COL22" s="41"/>
      <c r="COM22" s="41"/>
      <c r="CON22" s="28"/>
      <c r="COO22" s="29"/>
      <c r="COP22" s="24"/>
      <c r="COQ22" s="13"/>
      <c r="COR22" s="13"/>
      <c r="COS22" s="14"/>
      <c r="COT22" s="15"/>
      <c r="COU22" s="15"/>
      <c r="COV22" s="16"/>
      <c r="COW22" s="41"/>
      <c r="COX22" s="41"/>
      <c r="COY22" s="28"/>
      <c r="COZ22" s="29"/>
      <c r="CPA22" s="24"/>
      <c r="CPB22" s="13"/>
      <c r="CPC22" s="13"/>
      <c r="CPD22" s="14"/>
      <c r="CPE22" s="15"/>
      <c r="CPF22" s="15"/>
      <c r="CPG22" s="16"/>
      <c r="CPH22" s="41"/>
      <c r="CPI22" s="41"/>
      <c r="CPJ22" s="28"/>
      <c r="CPK22" s="29"/>
      <c r="CPL22" s="24"/>
      <c r="CPM22" s="13"/>
      <c r="CPN22" s="13"/>
      <c r="CPO22" s="14"/>
      <c r="CPP22" s="15"/>
      <c r="CPQ22" s="15"/>
      <c r="CPR22" s="16"/>
      <c r="CPS22" s="41"/>
      <c r="CPT22" s="41"/>
      <c r="CPU22" s="28"/>
      <c r="CPV22" s="29"/>
      <c r="CPW22" s="24"/>
      <c r="CPX22" s="13"/>
      <c r="CPY22" s="13"/>
      <c r="CPZ22" s="14"/>
      <c r="CQA22" s="15"/>
      <c r="CQB22" s="15"/>
      <c r="CQC22" s="16"/>
      <c r="CQD22" s="41"/>
      <c r="CQE22" s="41"/>
      <c r="CQF22" s="28"/>
      <c r="CQG22" s="29"/>
      <c r="CQH22" s="24"/>
      <c r="CQI22" s="13"/>
      <c r="CQJ22" s="13"/>
      <c r="CQK22" s="14"/>
      <c r="CQL22" s="15"/>
      <c r="CQM22" s="15"/>
      <c r="CQN22" s="16"/>
      <c r="CQO22" s="41"/>
      <c r="CQP22" s="41"/>
      <c r="CQQ22" s="28"/>
      <c r="CQR22" s="29"/>
      <c r="CQS22" s="24"/>
      <c r="CQT22" s="13"/>
      <c r="CQU22" s="13"/>
      <c r="CQV22" s="14"/>
      <c r="CQW22" s="15"/>
      <c r="CQX22" s="15"/>
      <c r="CQY22" s="16"/>
      <c r="CQZ22" s="41"/>
      <c r="CRA22" s="41"/>
      <c r="CRB22" s="28"/>
      <c r="CRC22" s="29"/>
      <c r="CRD22" s="24"/>
      <c r="CRE22" s="13"/>
      <c r="CRF22" s="13"/>
      <c r="CRG22" s="14"/>
      <c r="CRH22" s="15"/>
      <c r="CRI22" s="15"/>
      <c r="CRJ22" s="16"/>
      <c r="CRK22" s="41"/>
      <c r="CRL22" s="41"/>
      <c r="CRM22" s="28"/>
      <c r="CRN22" s="29"/>
      <c r="CRO22" s="24"/>
      <c r="CRP22" s="13"/>
      <c r="CRQ22" s="13"/>
      <c r="CRR22" s="14"/>
      <c r="CRS22" s="15"/>
      <c r="CRT22" s="15"/>
      <c r="CRU22" s="16"/>
      <c r="CRV22" s="41"/>
      <c r="CRW22" s="41"/>
      <c r="CRX22" s="28"/>
      <c r="CRY22" s="29"/>
      <c r="CRZ22" s="24"/>
      <c r="CSA22" s="13"/>
      <c r="CSB22" s="13"/>
      <c r="CSC22" s="14"/>
      <c r="CSD22" s="15"/>
      <c r="CSE22" s="15"/>
      <c r="CSF22" s="16"/>
      <c r="CSG22" s="41"/>
      <c r="CSH22" s="41"/>
      <c r="CSI22" s="28"/>
      <c r="CSJ22" s="29"/>
      <c r="CSK22" s="24"/>
      <c r="CSL22" s="13"/>
      <c r="CSM22" s="13"/>
      <c r="CSN22" s="14"/>
      <c r="CSO22" s="15"/>
      <c r="CSP22" s="15"/>
      <c r="CSQ22" s="16"/>
      <c r="CSR22" s="41"/>
      <c r="CSS22" s="41"/>
      <c r="CST22" s="28"/>
      <c r="CSU22" s="29"/>
      <c r="CSV22" s="24"/>
      <c r="CSW22" s="13"/>
      <c r="CSX22" s="13"/>
      <c r="CSY22" s="14"/>
      <c r="CSZ22" s="15"/>
      <c r="CTA22" s="15"/>
      <c r="CTB22" s="16"/>
      <c r="CTC22" s="41"/>
      <c r="CTD22" s="41"/>
      <c r="CTE22" s="28"/>
      <c r="CTF22" s="29"/>
      <c r="CTG22" s="24"/>
      <c r="CTH22" s="13"/>
      <c r="CTI22" s="13"/>
      <c r="CTJ22" s="14"/>
      <c r="CTK22" s="15"/>
      <c r="CTL22" s="15"/>
      <c r="CTM22" s="16"/>
      <c r="CTN22" s="41"/>
      <c r="CTO22" s="41"/>
      <c r="CTP22" s="28"/>
      <c r="CTQ22" s="29"/>
      <c r="CTR22" s="24"/>
      <c r="CTS22" s="13"/>
      <c r="CTT22" s="13"/>
      <c r="CTU22" s="14"/>
      <c r="CTV22" s="15"/>
      <c r="CTW22" s="15"/>
      <c r="CTX22" s="16"/>
      <c r="CTY22" s="41"/>
      <c r="CTZ22" s="41"/>
      <c r="CUA22" s="28"/>
      <c r="CUB22" s="29"/>
      <c r="CUC22" s="24"/>
      <c r="CUD22" s="13"/>
      <c r="CUE22" s="13"/>
      <c r="CUF22" s="14"/>
      <c r="CUG22" s="15"/>
      <c r="CUH22" s="15"/>
      <c r="CUI22" s="16"/>
      <c r="CUJ22" s="41"/>
      <c r="CUK22" s="41"/>
      <c r="CUL22" s="28"/>
      <c r="CUM22" s="29"/>
      <c r="CUN22" s="24"/>
      <c r="CUO22" s="13"/>
      <c r="CUP22" s="13"/>
      <c r="CUQ22" s="14"/>
      <c r="CUR22" s="15"/>
      <c r="CUS22" s="15"/>
      <c r="CUT22" s="16"/>
      <c r="CUU22" s="41"/>
      <c r="CUV22" s="41"/>
      <c r="CUW22" s="28"/>
      <c r="CUX22" s="29"/>
      <c r="CUY22" s="24"/>
      <c r="CUZ22" s="13"/>
      <c r="CVA22" s="13"/>
      <c r="CVB22" s="14"/>
      <c r="CVC22" s="15"/>
      <c r="CVD22" s="15"/>
      <c r="CVE22" s="16"/>
      <c r="CVF22" s="41"/>
      <c r="CVG22" s="41"/>
      <c r="CVH22" s="28"/>
      <c r="CVI22" s="29"/>
      <c r="CVJ22" s="24"/>
      <c r="CVK22" s="13"/>
      <c r="CVL22" s="13"/>
      <c r="CVM22" s="14"/>
      <c r="CVN22" s="15"/>
      <c r="CVO22" s="15"/>
      <c r="CVP22" s="16"/>
      <c r="CVQ22" s="41"/>
      <c r="CVR22" s="41"/>
      <c r="CVS22" s="28"/>
      <c r="CVT22" s="29"/>
      <c r="CVU22" s="24"/>
      <c r="CVV22" s="13"/>
      <c r="CVW22" s="13"/>
      <c r="CVX22" s="14"/>
      <c r="CVY22" s="15"/>
      <c r="CVZ22" s="15"/>
      <c r="CWA22" s="16"/>
      <c r="CWB22" s="41"/>
      <c r="CWC22" s="41"/>
      <c r="CWD22" s="28"/>
      <c r="CWE22" s="29"/>
      <c r="CWF22" s="24"/>
      <c r="CWG22" s="13"/>
      <c r="CWH22" s="13"/>
      <c r="CWI22" s="14"/>
      <c r="CWJ22" s="15"/>
      <c r="CWK22" s="15"/>
      <c r="CWL22" s="16"/>
      <c r="CWM22" s="41"/>
      <c r="CWN22" s="41"/>
      <c r="CWO22" s="28"/>
      <c r="CWP22" s="29"/>
      <c r="CWQ22" s="24"/>
      <c r="CWR22" s="13"/>
      <c r="CWS22" s="13"/>
      <c r="CWT22" s="14"/>
      <c r="CWU22" s="15"/>
      <c r="CWV22" s="15"/>
      <c r="CWW22" s="16"/>
      <c r="CWX22" s="41"/>
      <c r="CWY22" s="41"/>
      <c r="CWZ22" s="28"/>
      <c r="CXA22" s="29"/>
      <c r="CXB22" s="24"/>
      <c r="CXC22" s="13"/>
      <c r="CXD22" s="13"/>
      <c r="CXE22" s="14"/>
      <c r="CXF22" s="15"/>
      <c r="CXG22" s="15"/>
      <c r="CXH22" s="16"/>
      <c r="CXI22" s="41"/>
      <c r="CXJ22" s="41"/>
      <c r="CXK22" s="28"/>
      <c r="CXL22" s="29"/>
      <c r="CXM22" s="24"/>
      <c r="CXN22" s="13"/>
      <c r="CXO22" s="13"/>
      <c r="CXP22" s="14"/>
      <c r="CXQ22" s="15"/>
      <c r="CXR22" s="15"/>
      <c r="CXS22" s="16"/>
      <c r="CXT22" s="41"/>
      <c r="CXU22" s="41"/>
      <c r="CXV22" s="28"/>
      <c r="CXW22" s="29"/>
      <c r="CXX22" s="24"/>
      <c r="CXY22" s="13"/>
      <c r="CXZ22" s="13"/>
      <c r="CYA22" s="14"/>
      <c r="CYB22" s="15"/>
      <c r="CYC22" s="15"/>
      <c r="CYD22" s="16"/>
      <c r="CYE22" s="41"/>
      <c r="CYF22" s="41"/>
      <c r="CYG22" s="28"/>
      <c r="CYH22" s="29"/>
      <c r="CYI22" s="24"/>
      <c r="CYJ22" s="13"/>
      <c r="CYK22" s="13"/>
      <c r="CYL22" s="14"/>
      <c r="CYM22" s="15"/>
      <c r="CYN22" s="15"/>
      <c r="CYO22" s="16"/>
      <c r="CYP22" s="41"/>
      <c r="CYQ22" s="41"/>
      <c r="CYR22" s="28"/>
      <c r="CYS22" s="29"/>
      <c r="CYT22" s="24"/>
      <c r="CYU22" s="13"/>
      <c r="CYV22" s="13"/>
      <c r="CYW22" s="14"/>
      <c r="CYX22" s="15"/>
      <c r="CYY22" s="15"/>
      <c r="CYZ22" s="16"/>
      <c r="CZA22" s="41"/>
      <c r="CZB22" s="41"/>
      <c r="CZC22" s="28"/>
      <c r="CZD22" s="29"/>
      <c r="CZE22" s="24"/>
      <c r="CZF22" s="13"/>
      <c r="CZG22" s="13"/>
      <c r="CZH22" s="14"/>
      <c r="CZI22" s="15"/>
      <c r="CZJ22" s="15"/>
      <c r="CZK22" s="16"/>
      <c r="CZL22" s="41"/>
      <c r="CZM22" s="41"/>
      <c r="CZN22" s="28"/>
      <c r="CZO22" s="29"/>
      <c r="CZP22" s="24"/>
      <c r="CZQ22" s="13"/>
      <c r="CZR22" s="13"/>
      <c r="CZS22" s="14"/>
      <c r="CZT22" s="15"/>
      <c r="CZU22" s="15"/>
      <c r="CZV22" s="16"/>
      <c r="CZW22" s="41"/>
      <c r="CZX22" s="41"/>
      <c r="CZY22" s="28"/>
      <c r="CZZ22" s="29"/>
      <c r="DAA22" s="24"/>
      <c r="DAB22" s="13"/>
      <c r="DAC22" s="13"/>
      <c r="DAD22" s="14"/>
      <c r="DAE22" s="15"/>
      <c r="DAF22" s="15"/>
      <c r="DAG22" s="16"/>
      <c r="DAH22" s="41"/>
      <c r="DAI22" s="41"/>
      <c r="DAJ22" s="28"/>
      <c r="DAK22" s="29"/>
      <c r="DAL22" s="24"/>
      <c r="DAM22" s="13"/>
      <c r="DAN22" s="13"/>
      <c r="DAO22" s="14"/>
      <c r="DAP22" s="15"/>
      <c r="DAQ22" s="15"/>
      <c r="DAR22" s="16"/>
      <c r="DAS22" s="41"/>
      <c r="DAT22" s="41"/>
      <c r="DAU22" s="28"/>
      <c r="DAV22" s="29"/>
      <c r="DAW22" s="24"/>
      <c r="DAX22" s="13"/>
      <c r="DAY22" s="13"/>
      <c r="DAZ22" s="14"/>
      <c r="DBA22" s="15"/>
      <c r="DBB22" s="15"/>
      <c r="DBC22" s="16"/>
      <c r="DBD22" s="41"/>
      <c r="DBE22" s="41"/>
      <c r="DBF22" s="28"/>
      <c r="DBG22" s="29"/>
      <c r="DBH22" s="24"/>
      <c r="DBI22" s="13"/>
      <c r="DBJ22" s="13"/>
      <c r="DBK22" s="14"/>
      <c r="DBL22" s="15"/>
      <c r="DBM22" s="15"/>
      <c r="DBN22" s="16"/>
      <c r="DBO22" s="41"/>
      <c r="DBP22" s="41"/>
      <c r="DBQ22" s="28"/>
      <c r="DBR22" s="29"/>
      <c r="DBS22" s="24"/>
      <c r="DBT22" s="13"/>
      <c r="DBU22" s="13"/>
      <c r="DBV22" s="14"/>
      <c r="DBW22" s="15"/>
      <c r="DBX22" s="15"/>
      <c r="DBY22" s="16"/>
      <c r="DBZ22" s="41"/>
      <c r="DCA22" s="41"/>
      <c r="DCB22" s="28"/>
      <c r="DCC22" s="29"/>
      <c r="DCD22" s="24"/>
      <c r="DCE22" s="13"/>
      <c r="DCF22" s="13"/>
      <c r="DCG22" s="14"/>
      <c r="DCH22" s="15"/>
      <c r="DCI22" s="15"/>
      <c r="DCJ22" s="16"/>
      <c r="DCK22" s="41"/>
      <c r="DCL22" s="41"/>
      <c r="DCM22" s="28"/>
      <c r="DCN22" s="29"/>
      <c r="DCO22" s="24"/>
      <c r="DCP22" s="13"/>
      <c r="DCQ22" s="13"/>
      <c r="DCR22" s="14"/>
      <c r="DCS22" s="15"/>
      <c r="DCT22" s="15"/>
      <c r="DCU22" s="16"/>
      <c r="DCV22" s="41"/>
      <c r="DCW22" s="41"/>
      <c r="DCX22" s="28"/>
      <c r="DCY22" s="29"/>
      <c r="DCZ22" s="24"/>
      <c r="DDA22" s="13"/>
      <c r="DDB22" s="13"/>
      <c r="DDC22" s="14"/>
      <c r="DDD22" s="15"/>
      <c r="DDE22" s="15"/>
      <c r="DDF22" s="16"/>
      <c r="DDG22" s="41"/>
      <c r="DDH22" s="41"/>
      <c r="DDI22" s="28"/>
      <c r="DDJ22" s="29"/>
      <c r="DDK22" s="24"/>
      <c r="DDL22" s="13"/>
      <c r="DDM22" s="13"/>
      <c r="DDN22" s="14"/>
      <c r="DDO22" s="15"/>
      <c r="DDP22" s="15"/>
      <c r="DDQ22" s="16"/>
      <c r="DDR22" s="41"/>
      <c r="DDS22" s="41"/>
      <c r="DDT22" s="28"/>
      <c r="DDU22" s="29"/>
      <c r="DDV22" s="24"/>
      <c r="DDW22" s="13"/>
      <c r="DDX22" s="13"/>
      <c r="DDY22" s="14"/>
      <c r="DDZ22" s="15"/>
      <c r="DEA22" s="15"/>
      <c r="DEB22" s="16"/>
      <c r="DEC22" s="41"/>
      <c r="DED22" s="41"/>
      <c r="DEE22" s="28"/>
      <c r="DEF22" s="29"/>
      <c r="DEG22" s="24"/>
      <c r="DEH22" s="13"/>
      <c r="DEI22" s="13"/>
      <c r="DEJ22" s="14"/>
      <c r="DEK22" s="15"/>
      <c r="DEL22" s="15"/>
      <c r="DEM22" s="16"/>
      <c r="DEN22" s="41"/>
      <c r="DEO22" s="41"/>
      <c r="DEP22" s="28"/>
      <c r="DEQ22" s="29"/>
      <c r="DER22" s="24"/>
      <c r="DES22" s="13"/>
      <c r="DET22" s="13"/>
      <c r="DEU22" s="14"/>
      <c r="DEV22" s="15"/>
      <c r="DEW22" s="15"/>
      <c r="DEX22" s="16"/>
      <c r="DEY22" s="41"/>
      <c r="DEZ22" s="41"/>
      <c r="DFA22" s="28"/>
      <c r="DFB22" s="29"/>
      <c r="DFC22" s="24"/>
      <c r="DFD22" s="13"/>
      <c r="DFE22" s="13"/>
      <c r="DFF22" s="14"/>
      <c r="DFG22" s="15"/>
      <c r="DFH22" s="15"/>
      <c r="DFI22" s="16"/>
      <c r="DFJ22" s="41"/>
      <c r="DFK22" s="41"/>
      <c r="DFL22" s="28"/>
      <c r="DFM22" s="29"/>
      <c r="DFN22" s="24"/>
      <c r="DFO22" s="13"/>
      <c r="DFP22" s="13"/>
      <c r="DFQ22" s="14"/>
      <c r="DFR22" s="15"/>
      <c r="DFS22" s="15"/>
      <c r="DFT22" s="16"/>
      <c r="DFU22" s="41"/>
      <c r="DFV22" s="41"/>
      <c r="DFW22" s="28"/>
      <c r="DFX22" s="29"/>
      <c r="DFY22" s="24"/>
      <c r="DFZ22" s="13"/>
      <c r="DGA22" s="13"/>
      <c r="DGB22" s="14"/>
      <c r="DGC22" s="15"/>
      <c r="DGD22" s="15"/>
      <c r="DGE22" s="16"/>
      <c r="DGF22" s="41"/>
      <c r="DGG22" s="41"/>
      <c r="DGH22" s="28"/>
      <c r="DGI22" s="29"/>
      <c r="DGJ22" s="24"/>
      <c r="DGK22" s="13"/>
      <c r="DGL22" s="13"/>
      <c r="DGM22" s="14"/>
      <c r="DGN22" s="15"/>
      <c r="DGO22" s="15"/>
      <c r="DGP22" s="16"/>
      <c r="DGQ22" s="41"/>
      <c r="DGR22" s="41"/>
      <c r="DGS22" s="28"/>
      <c r="DGT22" s="29"/>
      <c r="DGU22" s="24"/>
      <c r="DGV22" s="13"/>
      <c r="DGW22" s="13"/>
      <c r="DGX22" s="14"/>
      <c r="DGY22" s="15"/>
      <c r="DGZ22" s="15"/>
      <c r="DHA22" s="16"/>
      <c r="DHB22" s="41"/>
      <c r="DHC22" s="41"/>
      <c r="DHD22" s="28"/>
      <c r="DHE22" s="29"/>
      <c r="DHF22" s="24"/>
      <c r="DHG22" s="13"/>
      <c r="DHH22" s="13"/>
      <c r="DHI22" s="14"/>
      <c r="DHJ22" s="15"/>
      <c r="DHK22" s="15"/>
      <c r="DHL22" s="16"/>
      <c r="DHM22" s="41"/>
      <c r="DHN22" s="41"/>
      <c r="DHO22" s="28"/>
      <c r="DHP22" s="29"/>
      <c r="DHQ22" s="24"/>
      <c r="DHR22" s="13"/>
      <c r="DHS22" s="13"/>
      <c r="DHT22" s="14"/>
      <c r="DHU22" s="15"/>
      <c r="DHV22" s="15"/>
      <c r="DHW22" s="16"/>
      <c r="DHX22" s="41"/>
      <c r="DHY22" s="41"/>
      <c r="DHZ22" s="28"/>
      <c r="DIA22" s="29"/>
      <c r="DIB22" s="24"/>
      <c r="DIC22" s="13"/>
      <c r="DID22" s="13"/>
      <c r="DIE22" s="14"/>
      <c r="DIF22" s="15"/>
      <c r="DIG22" s="15"/>
      <c r="DIH22" s="16"/>
      <c r="DII22" s="41"/>
      <c r="DIJ22" s="41"/>
      <c r="DIK22" s="28"/>
      <c r="DIL22" s="29"/>
      <c r="DIM22" s="24"/>
      <c r="DIN22" s="13"/>
      <c r="DIO22" s="13"/>
      <c r="DIP22" s="14"/>
      <c r="DIQ22" s="15"/>
      <c r="DIR22" s="15"/>
      <c r="DIS22" s="16"/>
      <c r="DIT22" s="41"/>
      <c r="DIU22" s="41"/>
      <c r="DIV22" s="28"/>
      <c r="DIW22" s="29"/>
      <c r="DIX22" s="24"/>
      <c r="DIY22" s="13"/>
      <c r="DIZ22" s="13"/>
      <c r="DJA22" s="14"/>
      <c r="DJB22" s="15"/>
      <c r="DJC22" s="15"/>
      <c r="DJD22" s="16"/>
      <c r="DJE22" s="41"/>
      <c r="DJF22" s="41"/>
      <c r="DJG22" s="28"/>
      <c r="DJH22" s="29"/>
      <c r="DJI22" s="24"/>
      <c r="DJJ22" s="13"/>
      <c r="DJK22" s="13"/>
      <c r="DJL22" s="14"/>
      <c r="DJM22" s="15"/>
      <c r="DJN22" s="15"/>
      <c r="DJO22" s="16"/>
      <c r="DJP22" s="41"/>
      <c r="DJQ22" s="41"/>
      <c r="DJR22" s="28"/>
      <c r="DJS22" s="29"/>
      <c r="DJT22" s="24"/>
      <c r="DJU22" s="13"/>
      <c r="DJV22" s="13"/>
      <c r="DJW22" s="14"/>
      <c r="DJX22" s="15"/>
      <c r="DJY22" s="15"/>
      <c r="DJZ22" s="16"/>
      <c r="DKA22" s="41"/>
      <c r="DKB22" s="41"/>
      <c r="DKC22" s="28"/>
      <c r="DKD22" s="29"/>
      <c r="DKE22" s="24"/>
      <c r="DKF22" s="13"/>
      <c r="DKG22" s="13"/>
      <c r="DKH22" s="14"/>
      <c r="DKI22" s="15"/>
      <c r="DKJ22" s="15"/>
      <c r="DKK22" s="16"/>
      <c r="DKL22" s="41"/>
      <c r="DKM22" s="41"/>
      <c r="DKN22" s="28"/>
      <c r="DKO22" s="29"/>
      <c r="DKP22" s="24"/>
      <c r="DKQ22" s="13"/>
      <c r="DKR22" s="13"/>
      <c r="DKS22" s="14"/>
      <c r="DKT22" s="15"/>
      <c r="DKU22" s="15"/>
      <c r="DKV22" s="16"/>
      <c r="DKW22" s="41"/>
      <c r="DKX22" s="41"/>
      <c r="DKY22" s="28"/>
      <c r="DKZ22" s="29"/>
      <c r="DLA22" s="24"/>
      <c r="DLB22" s="13"/>
      <c r="DLC22" s="13"/>
      <c r="DLD22" s="14"/>
      <c r="DLE22" s="15"/>
      <c r="DLF22" s="15"/>
      <c r="DLG22" s="16"/>
      <c r="DLH22" s="41"/>
      <c r="DLI22" s="41"/>
      <c r="DLJ22" s="28"/>
      <c r="DLK22" s="29"/>
      <c r="DLL22" s="24"/>
      <c r="DLM22" s="13"/>
      <c r="DLN22" s="13"/>
      <c r="DLO22" s="14"/>
      <c r="DLP22" s="15"/>
      <c r="DLQ22" s="15"/>
      <c r="DLR22" s="16"/>
      <c r="DLS22" s="41"/>
      <c r="DLT22" s="41"/>
      <c r="DLU22" s="28"/>
      <c r="DLV22" s="29"/>
      <c r="DLW22" s="24"/>
      <c r="DLX22" s="13"/>
      <c r="DLY22" s="13"/>
      <c r="DLZ22" s="14"/>
      <c r="DMA22" s="15"/>
      <c r="DMB22" s="15"/>
      <c r="DMC22" s="16"/>
      <c r="DMD22" s="41"/>
      <c r="DME22" s="41"/>
      <c r="DMF22" s="28"/>
      <c r="DMG22" s="29"/>
      <c r="DMH22" s="24"/>
      <c r="DMI22" s="13"/>
      <c r="DMJ22" s="13"/>
      <c r="DMK22" s="14"/>
      <c r="DML22" s="15"/>
      <c r="DMM22" s="15"/>
      <c r="DMN22" s="16"/>
      <c r="DMO22" s="41"/>
      <c r="DMP22" s="41"/>
      <c r="DMQ22" s="28"/>
      <c r="DMR22" s="29"/>
      <c r="DMS22" s="24"/>
      <c r="DMT22" s="13"/>
      <c r="DMU22" s="13"/>
      <c r="DMV22" s="14"/>
      <c r="DMW22" s="15"/>
      <c r="DMX22" s="15"/>
      <c r="DMY22" s="16"/>
      <c r="DMZ22" s="41"/>
      <c r="DNA22" s="41"/>
      <c r="DNB22" s="28"/>
      <c r="DNC22" s="29"/>
      <c r="DND22" s="24"/>
      <c r="DNE22" s="13"/>
      <c r="DNF22" s="13"/>
      <c r="DNG22" s="14"/>
      <c r="DNH22" s="15"/>
      <c r="DNI22" s="15"/>
      <c r="DNJ22" s="16"/>
      <c r="DNK22" s="41"/>
      <c r="DNL22" s="41"/>
      <c r="DNM22" s="28"/>
      <c r="DNN22" s="29"/>
      <c r="DNO22" s="24"/>
      <c r="DNP22" s="13"/>
      <c r="DNQ22" s="13"/>
      <c r="DNR22" s="14"/>
      <c r="DNS22" s="15"/>
      <c r="DNT22" s="15"/>
      <c r="DNU22" s="16"/>
      <c r="DNV22" s="41"/>
      <c r="DNW22" s="41"/>
      <c r="DNX22" s="28"/>
      <c r="DNY22" s="29"/>
      <c r="DNZ22" s="24"/>
      <c r="DOA22" s="13"/>
      <c r="DOB22" s="13"/>
      <c r="DOC22" s="14"/>
      <c r="DOD22" s="15"/>
      <c r="DOE22" s="15"/>
      <c r="DOF22" s="16"/>
      <c r="DOG22" s="41"/>
      <c r="DOH22" s="41"/>
      <c r="DOI22" s="28"/>
      <c r="DOJ22" s="29"/>
      <c r="DOK22" s="24"/>
      <c r="DOL22" s="13"/>
      <c r="DOM22" s="13"/>
      <c r="DON22" s="14"/>
      <c r="DOO22" s="15"/>
      <c r="DOP22" s="15"/>
      <c r="DOQ22" s="16"/>
      <c r="DOR22" s="41"/>
      <c r="DOS22" s="41"/>
      <c r="DOT22" s="28"/>
      <c r="DOU22" s="29"/>
      <c r="DOV22" s="24"/>
      <c r="DOW22" s="13"/>
      <c r="DOX22" s="13"/>
      <c r="DOY22" s="14"/>
      <c r="DOZ22" s="15"/>
      <c r="DPA22" s="15"/>
      <c r="DPB22" s="16"/>
      <c r="DPC22" s="41"/>
      <c r="DPD22" s="41"/>
      <c r="DPE22" s="28"/>
      <c r="DPF22" s="29"/>
      <c r="DPG22" s="24"/>
      <c r="DPH22" s="13"/>
      <c r="DPI22" s="13"/>
      <c r="DPJ22" s="14"/>
      <c r="DPK22" s="15"/>
      <c r="DPL22" s="15"/>
      <c r="DPM22" s="16"/>
      <c r="DPN22" s="41"/>
      <c r="DPO22" s="41"/>
      <c r="DPP22" s="28"/>
      <c r="DPQ22" s="29"/>
      <c r="DPR22" s="24"/>
      <c r="DPS22" s="13"/>
      <c r="DPT22" s="13"/>
      <c r="DPU22" s="14"/>
      <c r="DPV22" s="15"/>
      <c r="DPW22" s="15"/>
      <c r="DPX22" s="16"/>
      <c r="DPY22" s="41"/>
      <c r="DPZ22" s="41"/>
      <c r="DQA22" s="28"/>
      <c r="DQB22" s="29"/>
      <c r="DQC22" s="24"/>
      <c r="DQD22" s="13"/>
      <c r="DQE22" s="13"/>
      <c r="DQF22" s="14"/>
      <c r="DQG22" s="15"/>
      <c r="DQH22" s="15"/>
      <c r="DQI22" s="16"/>
      <c r="DQJ22" s="41"/>
      <c r="DQK22" s="41"/>
      <c r="DQL22" s="28"/>
      <c r="DQM22" s="29"/>
      <c r="DQN22" s="24"/>
      <c r="DQO22" s="13"/>
      <c r="DQP22" s="13"/>
      <c r="DQQ22" s="14"/>
      <c r="DQR22" s="15"/>
      <c r="DQS22" s="15"/>
      <c r="DQT22" s="16"/>
      <c r="DQU22" s="41"/>
      <c r="DQV22" s="41"/>
      <c r="DQW22" s="28"/>
      <c r="DQX22" s="29"/>
      <c r="DQY22" s="24"/>
      <c r="DQZ22" s="13"/>
      <c r="DRA22" s="13"/>
      <c r="DRB22" s="14"/>
      <c r="DRC22" s="15"/>
      <c r="DRD22" s="15"/>
      <c r="DRE22" s="16"/>
      <c r="DRF22" s="41"/>
      <c r="DRG22" s="41"/>
      <c r="DRH22" s="28"/>
      <c r="DRI22" s="29"/>
      <c r="DRJ22" s="24"/>
      <c r="DRK22" s="13"/>
      <c r="DRL22" s="13"/>
      <c r="DRM22" s="14"/>
      <c r="DRN22" s="15"/>
      <c r="DRO22" s="15"/>
      <c r="DRP22" s="16"/>
      <c r="DRQ22" s="41"/>
      <c r="DRR22" s="41"/>
      <c r="DRS22" s="28"/>
      <c r="DRT22" s="29"/>
      <c r="DRU22" s="24"/>
      <c r="DRV22" s="13"/>
      <c r="DRW22" s="13"/>
      <c r="DRX22" s="14"/>
      <c r="DRY22" s="15"/>
      <c r="DRZ22" s="15"/>
      <c r="DSA22" s="16"/>
      <c r="DSB22" s="41"/>
      <c r="DSC22" s="41"/>
      <c r="DSD22" s="28"/>
      <c r="DSE22" s="29"/>
      <c r="DSF22" s="24"/>
      <c r="DSG22" s="13"/>
      <c r="DSH22" s="13"/>
      <c r="DSI22" s="14"/>
      <c r="DSJ22" s="15"/>
      <c r="DSK22" s="15"/>
      <c r="DSL22" s="16"/>
      <c r="DSM22" s="41"/>
      <c r="DSN22" s="41"/>
      <c r="DSO22" s="28"/>
      <c r="DSP22" s="29"/>
      <c r="DSQ22" s="24"/>
      <c r="DSR22" s="13"/>
      <c r="DSS22" s="13"/>
      <c r="DST22" s="14"/>
      <c r="DSU22" s="15"/>
      <c r="DSV22" s="15"/>
      <c r="DSW22" s="16"/>
      <c r="DSX22" s="41"/>
      <c r="DSY22" s="41"/>
      <c r="DSZ22" s="28"/>
      <c r="DTA22" s="29"/>
      <c r="DTB22" s="24"/>
      <c r="DTC22" s="13"/>
      <c r="DTD22" s="13"/>
      <c r="DTE22" s="14"/>
      <c r="DTF22" s="15"/>
      <c r="DTG22" s="15"/>
      <c r="DTH22" s="16"/>
      <c r="DTI22" s="41"/>
      <c r="DTJ22" s="41"/>
      <c r="DTK22" s="28"/>
      <c r="DTL22" s="29"/>
      <c r="DTM22" s="24"/>
      <c r="DTN22" s="13"/>
      <c r="DTO22" s="13"/>
      <c r="DTP22" s="14"/>
      <c r="DTQ22" s="15"/>
      <c r="DTR22" s="15"/>
      <c r="DTS22" s="16"/>
      <c r="DTT22" s="41"/>
      <c r="DTU22" s="41"/>
      <c r="DTV22" s="28"/>
      <c r="DTW22" s="29"/>
      <c r="DTX22" s="24"/>
      <c r="DTY22" s="13"/>
      <c r="DTZ22" s="13"/>
      <c r="DUA22" s="14"/>
      <c r="DUB22" s="15"/>
      <c r="DUC22" s="15"/>
      <c r="DUD22" s="16"/>
      <c r="DUE22" s="41"/>
      <c r="DUF22" s="41"/>
      <c r="DUG22" s="28"/>
      <c r="DUH22" s="29"/>
      <c r="DUI22" s="24"/>
      <c r="DUJ22" s="13"/>
      <c r="DUK22" s="13"/>
      <c r="DUL22" s="14"/>
      <c r="DUM22" s="15"/>
      <c r="DUN22" s="15"/>
      <c r="DUO22" s="16"/>
      <c r="DUP22" s="41"/>
      <c r="DUQ22" s="41"/>
      <c r="DUR22" s="28"/>
      <c r="DUS22" s="29"/>
      <c r="DUT22" s="24"/>
      <c r="DUU22" s="13"/>
      <c r="DUV22" s="13"/>
      <c r="DUW22" s="14"/>
      <c r="DUX22" s="15"/>
      <c r="DUY22" s="15"/>
      <c r="DUZ22" s="16"/>
      <c r="DVA22" s="41"/>
      <c r="DVB22" s="41"/>
      <c r="DVC22" s="28"/>
      <c r="DVD22" s="29"/>
      <c r="DVE22" s="24"/>
      <c r="DVF22" s="13"/>
      <c r="DVG22" s="13"/>
      <c r="DVH22" s="14"/>
      <c r="DVI22" s="15"/>
      <c r="DVJ22" s="15"/>
      <c r="DVK22" s="16"/>
      <c r="DVL22" s="41"/>
      <c r="DVM22" s="41"/>
      <c r="DVN22" s="28"/>
      <c r="DVO22" s="29"/>
      <c r="DVP22" s="24"/>
      <c r="DVQ22" s="13"/>
      <c r="DVR22" s="13"/>
      <c r="DVS22" s="14"/>
      <c r="DVT22" s="15"/>
      <c r="DVU22" s="15"/>
      <c r="DVV22" s="16"/>
      <c r="DVW22" s="41"/>
      <c r="DVX22" s="41"/>
      <c r="DVY22" s="28"/>
      <c r="DVZ22" s="29"/>
      <c r="DWA22" s="24"/>
      <c r="DWB22" s="13"/>
      <c r="DWC22" s="13"/>
      <c r="DWD22" s="14"/>
      <c r="DWE22" s="15"/>
      <c r="DWF22" s="15"/>
      <c r="DWG22" s="16"/>
      <c r="DWH22" s="41"/>
      <c r="DWI22" s="41"/>
      <c r="DWJ22" s="28"/>
      <c r="DWK22" s="29"/>
      <c r="DWL22" s="24"/>
      <c r="DWM22" s="13"/>
      <c r="DWN22" s="13"/>
      <c r="DWO22" s="14"/>
      <c r="DWP22" s="15"/>
      <c r="DWQ22" s="15"/>
      <c r="DWR22" s="16"/>
      <c r="DWS22" s="41"/>
      <c r="DWT22" s="41"/>
      <c r="DWU22" s="28"/>
      <c r="DWV22" s="29"/>
      <c r="DWW22" s="24"/>
      <c r="DWX22" s="13"/>
      <c r="DWY22" s="13"/>
      <c r="DWZ22" s="14"/>
      <c r="DXA22" s="15"/>
      <c r="DXB22" s="15"/>
      <c r="DXC22" s="16"/>
      <c r="DXD22" s="41"/>
      <c r="DXE22" s="41"/>
      <c r="DXF22" s="28"/>
      <c r="DXG22" s="29"/>
      <c r="DXH22" s="24"/>
      <c r="DXI22" s="13"/>
      <c r="DXJ22" s="13"/>
      <c r="DXK22" s="14"/>
      <c r="DXL22" s="15"/>
      <c r="DXM22" s="15"/>
      <c r="DXN22" s="16"/>
      <c r="DXO22" s="41"/>
      <c r="DXP22" s="41"/>
      <c r="DXQ22" s="28"/>
      <c r="DXR22" s="29"/>
      <c r="DXS22" s="24"/>
      <c r="DXT22" s="13"/>
      <c r="DXU22" s="13"/>
      <c r="DXV22" s="14"/>
      <c r="DXW22" s="15"/>
      <c r="DXX22" s="15"/>
      <c r="DXY22" s="16"/>
      <c r="DXZ22" s="41"/>
      <c r="DYA22" s="41"/>
      <c r="DYB22" s="28"/>
      <c r="DYC22" s="29"/>
      <c r="DYD22" s="24"/>
      <c r="DYE22" s="13"/>
      <c r="DYF22" s="13"/>
      <c r="DYG22" s="14"/>
      <c r="DYH22" s="15"/>
      <c r="DYI22" s="15"/>
      <c r="DYJ22" s="16"/>
      <c r="DYK22" s="41"/>
      <c r="DYL22" s="41"/>
      <c r="DYM22" s="28"/>
      <c r="DYN22" s="29"/>
      <c r="DYO22" s="24"/>
      <c r="DYP22" s="13"/>
      <c r="DYQ22" s="13"/>
      <c r="DYR22" s="14"/>
      <c r="DYS22" s="15"/>
      <c r="DYT22" s="15"/>
      <c r="DYU22" s="16"/>
      <c r="DYV22" s="41"/>
      <c r="DYW22" s="41"/>
      <c r="DYX22" s="28"/>
      <c r="DYY22" s="29"/>
      <c r="DYZ22" s="24"/>
      <c r="DZA22" s="13"/>
      <c r="DZB22" s="13"/>
      <c r="DZC22" s="14"/>
      <c r="DZD22" s="15"/>
      <c r="DZE22" s="15"/>
      <c r="DZF22" s="16"/>
      <c r="DZG22" s="41"/>
      <c r="DZH22" s="41"/>
      <c r="DZI22" s="28"/>
      <c r="DZJ22" s="29"/>
      <c r="DZK22" s="24"/>
      <c r="DZL22" s="13"/>
      <c r="DZM22" s="13"/>
      <c r="DZN22" s="14"/>
      <c r="DZO22" s="15"/>
      <c r="DZP22" s="15"/>
      <c r="DZQ22" s="16"/>
      <c r="DZR22" s="41"/>
      <c r="DZS22" s="41"/>
      <c r="DZT22" s="28"/>
      <c r="DZU22" s="29"/>
      <c r="DZV22" s="24"/>
      <c r="DZW22" s="13"/>
      <c r="DZX22" s="13"/>
      <c r="DZY22" s="14"/>
      <c r="DZZ22" s="15"/>
      <c r="EAA22" s="15"/>
      <c r="EAB22" s="16"/>
      <c r="EAC22" s="41"/>
      <c r="EAD22" s="41"/>
      <c r="EAE22" s="28"/>
      <c r="EAF22" s="29"/>
      <c r="EAG22" s="24"/>
      <c r="EAH22" s="13"/>
      <c r="EAI22" s="13"/>
      <c r="EAJ22" s="14"/>
      <c r="EAK22" s="15"/>
      <c r="EAL22" s="15"/>
      <c r="EAM22" s="16"/>
      <c r="EAN22" s="41"/>
      <c r="EAO22" s="41"/>
      <c r="EAP22" s="28"/>
      <c r="EAQ22" s="29"/>
      <c r="EAR22" s="24"/>
      <c r="EAS22" s="13"/>
      <c r="EAT22" s="13"/>
      <c r="EAU22" s="14"/>
      <c r="EAV22" s="15"/>
      <c r="EAW22" s="15"/>
      <c r="EAX22" s="16"/>
      <c r="EAY22" s="41"/>
      <c r="EAZ22" s="41"/>
      <c r="EBA22" s="28"/>
      <c r="EBB22" s="29"/>
      <c r="EBC22" s="24"/>
      <c r="EBD22" s="13"/>
      <c r="EBE22" s="13"/>
      <c r="EBF22" s="14"/>
      <c r="EBG22" s="15"/>
      <c r="EBH22" s="15"/>
      <c r="EBI22" s="16"/>
      <c r="EBJ22" s="41"/>
      <c r="EBK22" s="41"/>
      <c r="EBL22" s="28"/>
      <c r="EBM22" s="29"/>
      <c r="EBN22" s="24"/>
      <c r="EBO22" s="13"/>
      <c r="EBP22" s="13"/>
      <c r="EBQ22" s="14"/>
      <c r="EBR22" s="15"/>
      <c r="EBS22" s="15"/>
      <c r="EBT22" s="16"/>
      <c r="EBU22" s="41"/>
      <c r="EBV22" s="41"/>
      <c r="EBW22" s="28"/>
      <c r="EBX22" s="29"/>
      <c r="EBY22" s="24"/>
      <c r="EBZ22" s="13"/>
      <c r="ECA22" s="13"/>
      <c r="ECB22" s="14"/>
      <c r="ECC22" s="15"/>
      <c r="ECD22" s="15"/>
      <c r="ECE22" s="16"/>
      <c r="ECF22" s="41"/>
      <c r="ECG22" s="41"/>
      <c r="ECH22" s="28"/>
      <c r="ECI22" s="29"/>
      <c r="ECJ22" s="24"/>
      <c r="ECK22" s="13"/>
      <c r="ECL22" s="13"/>
      <c r="ECM22" s="14"/>
      <c r="ECN22" s="15"/>
      <c r="ECO22" s="15"/>
      <c r="ECP22" s="16"/>
      <c r="ECQ22" s="41"/>
      <c r="ECR22" s="41"/>
      <c r="ECS22" s="28"/>
      <c r="ECT22" s="29"/>
      <c r="ECU22" s="24"/>
      <c r="ECV22" s="13"/>
      <c r="ECW22" s="13"/>
      <c r="ECX22" s="14"/>
      <c r="ECY22" s="15"/>
      <c r="ECZ22" s="15"/>
      <c r="EDA22" s="16"/>
      <c r="EDB22" s="41"/>
      <c r="EDC22" s="41"/>
      <c r="EDD22" s="28"/>
      <c r="EDE22" s="29"/>
      <c r="EDF22" s="24"/>
      <c r="EDG22" s="13"/>
      <c r="EDH22" s="13"/>
      <c r="EDI22" s="14"/>
      <c r="EDJ22" s="15"/>
      <c r="EDK22" s="15"/>
      <c r="EDL22" s="16"/>
      <c r="EDM22" s="41"/>
      <c r="EDN22" s="41"/>
      <c r="EDO22" s="28"/>
      <c r="EDP22" s="29"/>
      <c r="EDQ22" s="24"/>
      <c r="EDR22" s="13"/>
      <c r="EDS22" s="13"/>
      <c r="EDT22" s="14"/>
      <c r="EDU22" s="15"/>
      <c r="EDV22" s="15"/>
      <c r="EDW22" s="16"/>
      <c r="EDX22" s="41"/>
      <c r="EDY22" s="41"/>
      <c r="EDZ22" s="28"/>
      <c r="EEA22" s="29"/>
      <c r="EEB22" s="24"/>
      <c r="EEC22" s="13"/>
      <c r="EED22" s="13"/>
      <c r="EEE22" s="14"/>
      <c r="EEF22" s="15"/>
      <c r="EEG22" s="15"/>
      <c r="EEH22" s="16"/>
      <c r="EEI22" s="41"/>
      <c r="EEJ22" s="41"/>
      <c r="EEK22" s="28"/>
      <c r="EEL22" s="29"/>
      <c r="EEM22" s="24"/>
      <c r="EEN22" s="13"/>
      <c r="EEO22" s="13"/>
      <c r="EEP22" s="14"/>
      <c r="EEQ22" s="15"/>
      <c r="EER22" s="15"/>
      <c r="EES22" s="16"/>
      <c r="EET22" s="41"/>
      <c r="EEU22" s="41"/>
      <c r="EEV22" s="28"/>
      <c r="EEW22" s="29"/>
      <c r="EEX22" s="24"/>
      <c r="EEY22" s="13"/>
      <c r="EEZ22" s="13"/>
      <c r="EFA22" s="14"/>
      <c r="EFB22" s="15"/>
      <c r="EFC22" s="15"/>
      <c r="EFD22" s="16"/>
      <c r="EFE22" s="41"/>
      <c r="EFF22" s="41"/>
      <c r="EFG22" s="28"/>
      <c r="EFH22" s="29"/>
      <c r="EFI22" s="24"/>
      <c r="EFJ22" s="13"/>
      <c r="EFK22" s="13"/>
      <c r="EFL22" s="14"/>
      <c r="EFM22" s="15"/>
      <c r="EFN22" s="15"/>
      <c r="EFO22" s="16"/>
      <c r="EFP22" s="41"/>
      <c r="EFQ22" s="41"/>
      <c r="EFR22" s="28"/>
      <c r="EFS22" s="29"/>
      <c r="EFT22" s="24"/>
      <c r="EFU22" s="13"/>
      <c r="EFV22" s="13"/>
      <c r="EFW22" s="14"/>
      <c r="EFX22" s="15"/>
      <c r="EFY22" s="15"/>
      <c r="EFZ22" s="16"/>
      <c r="EGA22" s="41"/>
      <c r="EGB22" s="41"/>
      <c r="EGC22" s="28"/>
      <c r="EGD22" s="29"/>
      <c r="EGE22" s="24"/>
      <c r="EGF22" s="13"/>
      <c r="EGG22" s="13"/>
      <c r="EGH22" s="14"/>
      <c r="EGI22" s="15"/>
      <c r="EGJ22" s="15"/>
      <c r="EGK22" s="16"/>
      <c r="EGL22" s="41"/>
      <c r="EGM22" s="41"/>
      <c r="EGN22" s="28"/>
      <c r="EGO22" s="29"/>
      <c r="EGP22" s="24"/>
      <c r="EGQ22" s="13"/>
      <c r="EGR22" s="13"/>
      <c r="EGS22" s="14"/>
      <c r="EGT22" s="15"/>
      <c r="EGU22" s="15"/>
      <c r="EGV22" s="16"/>
      <c r="EGW22" s="41"/>
      <c r="EGX22" s="41"/>
      <c r="EGY22" s="28"/>
      <c r="EGZ22" s="29"/>
      <c r="EHA22" s="24"/>
      <c r="EHB22" s="13"/>
      <c r="EHC22" s="13"/>
      <c r="EHD22" s="14"/>
      <c r="EHE22" s="15"/>
      <c r="EHF22" s="15"/>
      <c r="EHG22" s="16"/>
      <c r="EHH22" s="41"/>
      <c r="EHI22" s="41"/>
      <c r="EHJ22" s="28"/>
      <c r="EHK22" s="29"/>
      <c r="EHL22" s="24"/>
      <c r="EHM22" s="13"/>
      <c r="EHN22" s="13"/>
      <c r="EHO22" s="14"/>
      <c r="EHP22" s="15"/>
      <c r="EHQ22" s="15"/>
      <c r="EHR22" s="16"/>
      <c r="EHS22" s="41"/>
      <c r="EHT22" s="41"/>
      <c r="EHU22" s="28"/>
      <c r="EHV22" s="29"/>
      <c r="EHW22" s="24"/>
      <c r="EHX22" s="13"/>
      <c r="EHY22" s="13"/>
      <c r="EHZ22" s="14"/>
      <c r="EIA22" s="15"/>
      <c r="EIB22" s="15"/>
      <c r="EIC22" s="16"/>
      <c r="EID22" s="41"/>
      <c r="EIE22" s="41"/>
      <c r="EIF22" s="28"/>
      <c r="EIG22" s="29"/>
      <c r="EIH22" s="24"/>
      <c r="EII22" s="13"/>
      <c r="EIJ22" s="13"/>
      <c r="EIK22" s="14"/>
      <c r="EIL22" s="15"/>
      <c r="EIM22" s="15"/>
      <c r="EIN22" s="16"/>
      <c r="EIO22" s="41"/>
      <c r="EIP22" s="41"/>
      <c r="EIQ22" s="28"/>
      <c r="EIR22" s="29"/>
      <c r="EIS22" s="24"/>
      <c r="EIT22" s="13"/>
      <c r="EIU22" s="13"/>
      <c r="EIV22" s="14"/>
      <c r="EIW22" s="15"/>
      <c r="EIX22" s="15"/>
      <c r="EIY22" s="16"/>
      <c r="EIZ22" s="41"/>
      <c r="EJA22" s="41"/>
      <c r="EJB22" s="28"/>
      <c r="EJC22" s="29"/>
      <c r="EJD22" s="24"/>
      <c r="EJE22" s="13"/>
      <c r="EJF22" s="13"/>
      <c r="EJG22" s="14"/>
      <c r="EJH22" s="15"/>
      <c r="EJI22" s="15"/>
      <c r="EJJ22" s="16"/>
      <c r="EJK22" s="41"/>
      <c r="EJL22" s="41"/>
      <c r="EJM22" s="28"/>
      <c r="EJN22" s="29"/>
      <c r="EJO22" s="24"/>
      <c r="EJP22" s="13"/>
      <c r="EJQ22" s="13"/>
      <c r="EJR22" s="14"/>
      <c r="EJS22" s="15"/>
      <c r="EJT22" s="15"/>
      <c r="EJU22" s="16"/>
      <c r="EJV22" s="41"/>
      <c r="EJW22" s="41"/>
      <c r="EJX22" s="28"/>
      <c r="EJY22" s="29"/>
      <c r="EJZ22" s="24"/>
      <c r="EKA22" s="13"/>
      <c r="EKB22" s="13"/>
      <c r="EKC22" s="14"/>
      <c r="EKD22" s="15"/>
      <c r="EKE22" s="15"/>
      <c r="EKF22" s="16"/>
      <c r="EKG22" s="41"/>
      <c r="EKH22" s="41"/>
      <c r="EKI22" s="28"/>
      <c r="EKJ22" s="29"/>
      <c r="EKK22" s="24"/>
      <c r="EKL22" s="13"/>
      <c r="EKM22" s="13"/>
      <c r="EKN22" s="14"/>
      <c r="EKO22" s="15"/>
      <c r="EKP22" s="15"/>
      <c r="EKQ22" s="16"/>
      <c r="EKR22" s="41"/>
      <c r="EKS22" s="41"/>
      <c r="EKT22" s="28"/>
      <c r="EKU22" s="29"/>
      <c r="EKV22" s="24"/>
      <c r="EKW22" s="13"/>
      <c r="EKX22" s="13"/>
      <c r="EKY22" s="14"/>
      <c r="EKZ22" s="15"/>
      <c r="ELA22" s="15"/>
      <c r="ELB22" s="16"/>
      <c r="ELC22" s="41"/>
      <c r="ELD22" s="41"/>
      <c r="ELE22" s="28"/>
      <c r="ELF22" s="29"/>
      <c r="ELG22" s="24"/>
      <c r="ELH22" s="13"/>
      <c r="ELI22" s="13"/>
      <c r="ELJ22" s="14"/>
      <c r="ELK22" s="15"/>
      <c r="ELL22" s="15"/>
      <c r="ELM22" s="16"/>
      <c r="ELN22" s="41"/>
      <c r="ELO22" s="41"/>
      <c r="ELP22" s="28"/>
      <c r="ELQ22" s="29"/>
      <c r="ELR22" s="24"/>
      <c r="ELS22" s="13"/>
      <c r="ELT22" s="13"/>
      <c r="ELU22" s="14"/>
      <c r="ELV22" s="15"/>
      <c r="ELW22" s="15"/>
      <c r="ELX22" s="16"/>
      <c r="ELY22" s="41"/>
      <c r="ELZ22" s="41"/>
      <c r="EMA22" s="28"/>
      <c r="EMB22" s="29"/>
      <c r="EMC22" s="24"/>
      <c r="EMD22" s="13"/>
      <c r="EME22" s="13"/>
      <c r="EMF22" s="14"/>
      <c r="EMG22" s="15"/>
      <c r="EMH22" s="15"/>
      <c r="EMI22" s="16"/>
      <c r="EMJ22" s="41"/>
      <c r="EMK22" s="41"/>
      <c r="EML22" s="28"/>
      <c r="EMM22" s="29"/>
      <c r="EMN22" s="24"/>
      <c r="EMO22" s="13"/>
      <c r="EMP22" s="13"/>
      <c r="EMQ22" s="14"/>
      <c r="EMR22" s="15"/>
      <c r="EMS22" s="15"/>
      <c r="EMT22" s="16"/>
      <c r="EMU22" s="41"/>
      <c r="EMV22" s="41"/>
      <c r="EMW22" s="28"/>
      <c r="EMX22" s="29"/>
      <c r="EMY22" s="24"/>
      <c r="EMZ22" s="13"/>
      <c r="ENA22" s="13"/>
      <c r="ENB22" s="14"/>
      <c r="ENC22" s="15"/>
      <c r="END22" s="15"/>
      <c r="ENE22" s="16"/>
      <c r="ENF22" s="41"/>
      <c r="ENG22" s="41"/>
      <c r="ENH22" s="28"/>
      <c r="ENI22" s="29"/>
      <c r="ENJ22" s="24"/>
      <c r="ENK22" s="13"/>
      <c r="ENL22" s="13"/>
      <c r="ENM22" s="14"/>
      <c r="ENN22" s="15"/>
      <c r="ENO22" s="15"/>
      <c r="ENP22" s="16"/>
      <c r="ENQ22" s="41"/>
      <c r="ENR22" s="41"/>
      <c r="ENS22" s="28"/>
      <c r="ENT22" s="29"/>
      <c r="ENU22" s="24"/>
      <c r="ENV22" s="13"/>
      <c r="ENW22" s="13"/>
      <c r="ENX22" s="14"/>
      <c r="ENY22" s="15"/>
      <c r="ENZ22" s="15"/>
      <c r="EOA22" s="16"/>
      <c r="EOB22" s="41"/>
      <c r="EOC22" s="41"/>
      <c r="EOD22" s="28"/>
      <c r="EOE22" s="29"/>
      <c r="EOF22" s="24"/>
      <c r="EOG22" s="13"/>
      <c r="EOH22" s="13"/>
      <c r="EOI22" s="14"/>
      <c r="EOJ22" s="15"/>
      <c r="EOK22" s="15"/>
      <c r="EOL22" s="16"/>
      <c r="EOM22" s="41"/>
      <c r="EON22" s="41"/>
      <c r="EOO22" s="28"/>
      <c r="EOP22" s="29"/>
      <c r="EOQ22" s="24"/>
      <c r="EOR22" s="13"/>
      <c r="EOS22" s="13"/>
      <c r="EOT22" s="14"/>
      <c r="EOU22" s="15"/>
      <c r="EOV22" s="15"/>
      <c r="EOW22" s="16"/>
      <c r="EOX22" s="41"/>
      <c r="EOY22" s="41"/>
      <c r="EOZ22" s="28"/>
      <c r="EPA22" s="29"/>
      <c r="EPB22" s="24"/>
      <c r="EPC22" s="13"/>
      <c r="EPD22" s="13"/>
      <c r="EPE22" s="14"/>
      <c r="EPF22" s="15"/>
      <c r="EPG22" s="15"/>
      <c r="EPH22" s="16"/>
      <c r="EPI22" s="41"/>
      <c r="EPJ22" s="41"/>
      <c r="EPK22" s="28"/>
      <c r="EPL22" s="29"/>
      <c r="EPM22" s="24"/>
      <c r="EPN22" s="13"/>
      <c r="EPO22" s="13"/>
      <c r="EPP22" s="14"/>
      <c r="EPQ22" s="15"/>
      <c r="EPR22" s="15"/>
      <c r="EPS22" s="16"/>
      <c r="EPT22" s="41"/>
      <c r="EPU22" s="41"/>
      <c r="EPV22" s="28"/>
      <c r="EPW22" s="29"/>
      <c r="EPX22" s="24"/>
      <c r="EPY22" s="13"/>
      <c r="EPZ22" s="13"/>
      <c r="EQA22" s="14"/>
      <c r="EQB22" s="15"/>
      <c r="EQC22" s="15"/>
      <c r="EQD22" s="16"/>
      <c r="EQE22" s="41"/>
      <c r="EQF22" s="41"/>
      <c r="EQG22" s="28"/>
      <c r="EQH22" s="29"/>
      <c r="EQI22" s="24"/>
      <c r="EQJ22" s="13"/>
      <c r="EQK22" s="13"/>
      <c r="EQL22" s="14"/>
      <c r="EQM22" s="15"/>
      <c r="EQN22" s="15"/>
      <c r="EQO22" s="16"/>
      <c r="EQP22" s="41"/>
      <c r="EQQ22" s="41"/>
      <c r="EQR22" s="28"/>
      <c r="EQS22" s="29"/>
      <c r="EQT22" s="24"/>
      <c r="EQU22" s="13"/>
      <c r="EQV22" s="13"/>
      <c r="EQW22" s="14"/>
      <c r="EQX22" s="15"/>
      <c r="EQY22" s="15"/>
      <c r="EQZ22" s="16"/>
      <c r="ERA22" s="41"/>
      <c r="ERB22" s="41"/>
      <c r="ERC22" s="28"/>
      <c r="ERD22" s="29"/>
      <c r="ERE22" s="24"/>
      <c r="ERF22" s="13"/>
      <c r="ERG22" s="13"/>
      <c r="ERH22" s="14"/>
      <c r="ERI22" s="15"/>
      <c r="ERJ22" s="15"/>
      <c r="ERK22" s="16"/>
      <c r="ERL22" s="41"/>
      <c r="ERM22" s="41"/>
      <c r="ERN22" s="28"/>
      <c r="ERO22" s="29"/>
      <c r="ERP22" s="24"/>
      <c r="ERQ22" s="13"/>
      <c r="ERR22" s="13"/>
      <c r="ERS22" s="14"/>
      <c r="ERT22" s="15"/>
      <c r="ERU22" s="15"/>
      <c r="ERV22" s="16"/>
      <c r="ERW22" s="41"/>
      <c r="ERX22" s="41"/>
      <c r="ERY22" s="28"/>
      <c r="ERZ22" s="29"/>
      <c r="ESA22" s="24"/>
      <c r="ESB22" s="13"/>
      <c r="ESC22" s="13"/>
      <c r="ESD22" s="14"/>
      <c r="ESE22" s="15"/>
      <c r="ESF22" s="15"/>
      <c r="ESG22" s="16"/>
      <c r="ESH22" s="41"/>
      <c r="ESI22" s="41"/>
      <c r="ESJ22" s="28"/>
      <c r="ESK22" s="29"/>
      <c r="ESL22" s="24"/>
      <c r="ESM22" s="13"/>
      <c r="ESN22" s="13"/>
      <c r="ESO22" s="14"/>
      <c r="ESP22" s="15"/>
      <c r="ESQ22" s="15"/>
      <c r="ESR22" s="16"/>
      <c r="ESS22" s="41"/>
      <c r="EST22" s="41"/>
      <c r="ESU22" s="28"/>
      <c r="ESV22" s="29"/>
      <c r="ESW22" s="24"/>
      <c r="ESX22" s="13"/>
      <c r="ESY22" s="13"/>
      <c r="ESZ22" s="14"/>
      <c r="ETA22" s="15"/>
      <c r="ETB22" s="15"/>
      <c r="ETC22" s="16"/>
      <c r="ETD22" s="41"/>
      <c r="ETE22" s="41"/>
      <c r="ETF22" s="28"/>
      <c r="ETG22" s="29"/>
      <c r="ETH22" s="24"/>
      <c r="ETI22" s="13"/>
      <c r="ETJ22" s="13"/>
      <c r="ETK22" s="14"/>
      <c r="ETL22" s="15"/>
      <c r="ETM22" s="15"/>
      <c r="ETN22" s="16"/>
      <c r="ETO22" s="41"/>
      <c r="ETP22" s="41"/>
      <c r="ETQ22" s="28"/>
      <c r="ETR22" s="29"/>
      <c r="ETS22" s="24"/>
      <c r="ETT22" s="13"/>
      <c r="ETU22" s="13"/>
      <c r="ETV22" s="14"/>
      <c r="ETW22" s="15"/>
      <c r="ETX22" s="15"/>
      <c r="ETY22" s="16"/>
      <c r="ETZ22" s="41"/>
      <c r="EUA22" s="41"/>
      <c r="EUB22" s="28"/>
      <c r="EUC22" s="29"/>
      <c r="EUD22" s="24"/>
      <c r="EUE22" s="13"/>
      <c r="EUF22" s="13"/>
      <c r="EUG22" s="14"/>
      <c r="EUH22" s="15"/>
      <c r="EUI22" s="15"/>
      <c r="EUJ22" s="16"/>
      <c r="EUK22" s="41"/>
      <c r="EUL22" s="41"/>
      <c r="EUM22" s="28"/>
      <c r="EUN22" s="29"/>
      <c r="EUO22" s="24"/>
      <c r="EUP22" s="13"/>
      <c r="EUQ22" s="13"/>
      <c r="EUR22" s="14"/>
      <c r="EUS22" s="15"/>
      <c r="EUT22" s="15"/>
      <c r="EUU22" s="16"/>
      <c r="EUV22" s="41"/>
      <c r="EUW22" s="41"/>
      <c r="EUX22" s="28"/>
      <c r="EUY22" s="29"/>
      <c r="EUZ22" s="24"/>
      <c r="EVA22" s="13"/>
      <c r="EVB22" s="13"/>
      <c r="EVC22" s="14"/>
      <c r="EVD22" s="15"/>
      <c r="EVE22" s="15"/>
      <c r="EVF22" s="16"/>
      <c r="EVG22" s="41"/>
      <c r="EVH22" s="41"/>
      <c r="EVI22" s="28"/>
      <c r="EVJ22" s="29"/>
      <c r="EVK22" s="24"/>
      <c r="EVL22" s="13"/>
      <c r="EVM22" s="13"/>
      <c r="EVN22" s="14"/>
      <c r="EVO22" s="15"/>
      <c r="EVP22" s="15"/>
      <c r="EVQ22" s="16"/>
      <c r="EVR22" s="41"/>
      <c r="EVS22" s="41"/>
      <c r="EVT22" s="28"/>
      <c r="EVU22" s="29"/>
      <c r="EVV22" s="24"/>
      <c r="EVW22" s="13"/>
      <c r="EVX22" s="13"/>
      <c r="EVY22" s="14"/>
      <c r="EVZ22" s="15"/>
      <c r="EWA22" s="15"/>
      <c r="EWB22" s="16"/>
      <c r="EWC22" s="41"/>
      <c r="EWD22" s="41"/>
      <c r="EWE22" s="28"/>
      <c r="EWF22" s="29"/>
      <c r="EWG22" s="24"/>
      <c r="EWH22" s="13"/>
      <c r="EWI22" s="13"/>
      <c r="EWJ22" s="14"/>
      <c r="EWK22" s="15"/>
      <c r="EWL22" s="15"/>
      <c r="EWM22" s="16"/>
      <c r="EWN22" s="41"/>
      <c r="EWO22" s="41"/>
      <c r="EWP22" s="28"/>
      <c r="EWQ22" s="29"/>
      <c r="EWR22" s="24"/>
      <c r="EWS22" s="13"/>
      <c r="EWT22" s="13"/>
      <c r="EWU22" s="14"/>
      <c r="EWV22" s="15"/>
      <c r="EWW22" s="15"/>
      <c r="EWX22" s="16"/>
      <c r="EWY22" s="41"/>
      <c r="EWZ22" s="41"/>
      <c r="EXA22" s="28"/>
      <c r="EXB22" s="29"/>
      <c r="EXC22" s="24"/>
      <c r="EXD22" s="13"/>
      <c r="EXE22" s="13"/>
      <c r="EXF22" s="14"/>
      <c r="EXG22" s="15"/>
      <c r="EXH22" s="15"/>
      <c r="EXI22" s="16"/>
      <c r="EXJ22" s="41"/>
      <c r="EXK22" s="41"/>
      <c r="EXL22" s="28"/>
      <c r="EXM22" s="29"/>
      <c r="EXN22" s="24"/>
      <c r="EXO22" s="13"/>
      <c r="EXP22" s="13"/>
      <c r="EXQ22" s="14"/>
      <c r="EXR22" s="15"/>
      <c r="EXS22" s="15"/>
      <c r="EXT22" s="16"/>
      <c r="EXU22" s="41"/>
      <c r="EXV22" s="41"/>
      <c r="EXW22" s="28"/>
      <c r="EXX22" s="29"/>
      <c r="EXY22" s="24"/>
      <c r="EXZ22" s="13"/>
      <c r="EYA22" s="13"/>
      <c r="EYB22" s="14"/>
      <c r="EYC22" s="15"/>
      <c r="EYD22" s="15"/>
      <c r="EYE22" s="16"/>
      <c r="EYF22" s="41"/>
      <c r="EYG22" s="41"/>
      <c r="EYH22" s="28"/>
      <c r="EYI22" s="29"/>
      <c r="EYJ22" s="24"/>
      <c r="EYK22" s="13"/>
      <c r="EYL22" s="13"/>
      <c r="EYM22" s="14"/>
      <c r="EYN22" s="15"/>
      <c r="EYO22" s="15"/>
      <c r="EYP22" s="16"/>
      <c r="EYQ22" s="41"/>
      <c r="EYR22" s="41"/>
      <c r="EYS22" s="28"/>
      <c r="EYT22" s="29"/>
      <c r="EYU22" s="24"/>
      <c r="EYV22" s="13"/>
      <c r="EYW22" s="13"/>
      <c r="EYX22" s="14"/>
      <c r="EYY22" s="15"/>
      <c r="EYZ22" s="15"/>
      <c r="EZA22" s="16"/>
      <c r="EZB22" s="41"/>
      <c r="EZC22" s="41"/>
      <c r="EZD22" s="28"/>
      <c r="EZE22" s="29"/>
      <c r="EZF22" s="24"/>
      <c r="EZG22" s="13"/>
      <c r="EZH22" s="13"/>
      <c r="EZI22" s="14"/>
      <c r="EZJ22" s="15"/>
      <c r="EZK22" s="15"/>
      <c r="EZL22" s="16"/>
      <c r="EZM22" s="41"/>
      <c r="EZN22" s="41"/>
      <c r="EZO22" s="28"/>
      <c r="EZP22" s="29"/>
      <c r="EZQ22" s="24"/>
      <c r="EZR22" s="13"/>
      <c r="EZS22" s="13"/>
      <c r="EZT22" s="14"/>
      <c r="EZU22" s="15"/>
      <c r="EZV22" s="15"/>
      <c r="EZW22" s="16"/>
      <c r="EZX22" s="41"/>
      <c r="EZY22" s="41"/>
      <c r="EZZ22" s="28"/>
      <c r="FAA22" s="29"/>
      <c r="FAB22" s="24"/>
      <c r="FAC22" s="13"/>
      <c r="FAD22" s="13"/>
      <c r="FAE22" s="14"/>
      <c r="FAF22" s="15"/>
      <c r="FAG22" s="15"/>
      <c r="FAH22" s="16"/>
      <c r="FAI22" s="41"/>
      <c r="FAJ22" s="41"/>
      <c r="FAK22" s="28"/>
      <c r="FAL22" s="29"/>
      <c r="FAM22" s="24"/>
      <c r="FAN22" s="13"/>
      <c r="FAO22" s="13"/>
      <c r="FAP22" s="14"/>
      <c r="FAQ22" s="15"/>
      <c r="FAR22" s="15"/>
      <c r="FAS22" s="16"/>
      <c r="FAT22" s="41"/>
      <c r="FAU22" s="41"/>
      <c r="FAV22" s="28"/>
      <c r="FAW22" s="29"/>
      <c r="FAX22" s="24"/>
      <c r="FAY22" s="13"/>
      <c r="FAZ22" s="13"/>
      <c r="FBA22" s="14"/>
      <c r="FBB22" s="15"/>
      <c r="FBC22" s="15"/>
      <c r="FBD22" s="16"/>
      <c r="FBE22" s="41"/>
      <c r="FBF22" s="41"/>
      <c r="FBG22" s="28"/>
      <c r="FBH22" s="29"/>
      <c r="FBI22" s="24"/>
      <c r="FBJ22" s="13"/>
      <c r="FBK22" s="13"/>
      <c r="FBL22" s="14"/>
      <c r="FBM22" s="15"/>
      <c r="FBN22" s="15"/>
      <c r="FBO22" s="16"/>
      <c r="FBP22" s="41"/>
      <c r="FBQ22" s="41"/>
      <c r="FBR22" s="28"/>
      <c r="FBS22" s="29"/>
      <c r="FBT22" s="24"/>
      <c r="FBU22" s="13"/>
      <c r="FBV22" s="13"/>
      <c r="FBW22" s="14"/>
      <c r="FBX22" s="15"/>
      <c r="FBY22" s="15"/>
      <c r="FBZ22" s="16"/>
      <c r="FCA22" s="41"/>
      <c r="FCB22" s="41"/>
      <c r="FCC22" s="28"/>
      <c r="FCD22" s="29"/>
      <c r="FCE22" s="24"/>
      <c r="FCF22" s="13"/>
      <c r="FCG22" s="13"/>
      <c r="FCH22" s="14"/>
      <c r="FCI22" s="15"/>
      <c r="FCJ22" s="15"/>
      <c r="FCK22" s="16"/>
      <c r="FCL22" s="41"/>
      <c r="FCM22" s="41"/>
      <c r="FCN22" s="28"/>
      <c r="FCO22" s="29"/>
      <c r="FCP22" s="24"/>
      <c r="FCQ22" s="13"/>
      <c r="FCR22" s="13"/>
      <c r="FCS22" s="14"/>
      <c r="FCT22" s="15"/>
      <c r="FCU22" s="15"/>
      <c r="FCV22" s="16"/>
      <c r="FCW22" s="41"/>
      <c r="FCX22" s="41"/>
      <c r="FCY22" s="28"/>
      <c r="FCZ22" s="29"/>
      <c r="FDA22" s="24"/>
      <c r="FDB22" s="13"/>
      <c r="FDC22" s="13"/>
      <c r="FDD22" s="14"/>
      <c r="FDE22" s="15"/>
      <c r="FDF22" s="15"/>
      <c r="FDG22" s="16"/>
      <c r="FDH22" s="41"/>
      <c r="FDI22" s="41"/>
      <c r="FDJ22" s="28"/>
      <c r="FDK22" s="29"/>
      <c r="FDL22" s="24"/>
      <c r="FDM22" s="13"/>
      <c r="FDN22" s="13"/>
      <c r="FDO22" s="14"/>
      <c r="FDP22" s="15"/>
      <c r="FDQ22" s="15"/>
      <c r="FDR22" s="16"/>
      <c r="FDS22" s="41"/>
      <c r="FDT22" s="41"/>
      <c r="FDU22" s="28"/>
      <c r="FDV22" s="29"/>
      <c r="FDW22" s="24"/>
      <c r="FDX22" s="13"/>
      <c r="FDY22" s="13"/>
      <c r="FDZ22" s="14"/>
      <c r="FEA22" s="15"/>
      <c r="FEB22" s="15"/>
      <c r="FEC22" s="16"/>
      <c r="FED22" s="41"/>
      <c r="FEE22" s="41"/>
      <c r="FEF22" s="28"/>
      <c r="FEG22" s="29"/>
      <c r="FEH22" s="24"/>
      <c r="FEI22" s="13"/>
      <c r="FEJ22" s="13"/>
      <c r="FEK22" s="14"/>
      <c r="FEL22" s="15"/>
      <c r="FEM22" s="15"/>
      <c r="FEN22" s="16"/>
      <c r="FEO22" s="41"/>
      <c r="FEP22" s="41"/>
      <c r="FEQ22" s="28"/>
      <c r="FER22" s="29"/>
      <c r="FES22" s="24"/>
      <c r="FET22" s="13"/>
      <c r="FEU22" s="13"/>
      <c r="FEV22" s="14"/>
      <c r="FEW22" s="15"/>
      <c r="FEX22" s="15"/>
      <c r="FEY22" s="16"/>
      <c r="FEZ22" s="41"/>
      <c r="FFA22" s="41"/>
      <c r="FFB22" s="28"/>
      <c r="FFC22" s="29"/>
      <c r="FFD22" s="24"/>
      <c r="FFE22" s="13"/>
      <c r="FFF22" s="13"/>
      <c r="FFG22" s="14"/>
      <c r="FFH22" s="15"/>
      <c r="FFI22" s="15"/>
      <c r="FFJ22" s="16"/>
      <c r="FFK22" s="41"/>
      <c r="FFL22" s="41"/>
      <c r="FFM22" s="28"/>
      <c r="FFN22" s="29"/>
      <c r="FFO22" s="24"/>
      <c r="FFP22" s="13"/>
      <c r="FFQ22" s="13"/>
      <c r="FFR22" s="14"/>
      <c r="FFS22" s="15"/>
      <c r="FFT22" s="15"/>
      <c r="FFU22" s="16"/>
      <c r="FFV22" s="41"/>
      <c r="FFW22" s="41"/>
      <c r="FFX22" s="28"/>
      <c r="FFY22" s="29"/>
      <c r="FFZ22" s="24"/>
      <c r="FGA22" s="13"/>
      <c r="FGB22" s="13"/>
      <c r="FGC22" s="14"/>
      <c r="FGD22" s="15"/>
      <c r="FGE22" s="15"/>
      <c r="FGF22" s="16"/>
      <c r="FGG22" s="41"/>
      <c r="FGH22" s="41"/>
      <c r="FGI22" s="28"/>
      <c r="FGJ22" s="29"/>
      <c r="FGK22" s="24"/>
      <c r="FGL22" s="13"/>
      <c r="FGM22" s="13"/>
      <c r="FGN22" s="14"/>
      <c r="FGO22" s="15"/>
      <c r="FGP22" s="15"/>
      <c r="FGQ22" s="16"/>
      <c r="FGR22" s="41"/>
      <c r="FGS22" s="41"/>
      <c r="FGT22" s="28"/>
      <c r="FGU22" s="29"/>
      <c r="FGV22" s="24"/>
      <c r="FGW22" s="13"/>
      <c r="FGX22" s="13"/>
      <c r="FGY22" s="14"/>
      <c r="FGZ22" s="15"/>
      <c r="FHA22" s="15"/>
      <c r="FHB22" s="16"/>
      <c r="FHC22" s="41"/>
      <c r="FHD22" s="41"/>
      <c r="FHE22" s="28"/>
      <c r="FHF22" s="29"/>
      <c r="FHG22" s="24"/>
      <c r="FHH22" s="13"/>
      <c r="FHI22" s="13"/>
      <c r="FHJ22" s="14"/>
      <c r="FHK22" s="15"/>
      <c r="FHL22" s="15"/>
      <c r="FHM22" s="16"/>
      <c r="FHN22" s="41"/>
      <c r="FHO22" s="41"/>
      <c r="FHP22" s="28"/>
      <c r="FHQ22" s="29"/>
      <c r="FHR22" s="24"/>
      <c r="FHS22" s="13"/>
      <c r="FHT22" s="13"/>
      <c r="FHU22" s="14"/>
      <c r="FHV22" s="15"/>
      <c r="FHW22" s="15"/>
      <c r="FHX22" s="16"/>
      <c r="FHY22" s="41"/>
      <c r="FHZ22" s="41"/>
      <c r="FIA22" s="28"/>
      <c r="FIB22" s="29"/>
      <c r="FIC22" s="24"/>
      <c r="FID22" s="13"/>
      <c r="FIE22" s="13"/>
      <c r="FIF22" s="14"/>
      <c r="FIG22" s="15"/>
      <c r="FIH22" s="15"/>
      <c r="FII22" s="16"/>
      <c r="FIJ22" s="41"/>
      <c r="FIK22" s="41"/>
      <c r="FIL22" s="28"/>
      <c r="FIM22" s="29"/>
      <c r="FIN22" s="24"/>
      <c r="FIO22" s="13"/>
      <c r="FIP22" s="13"/>
      <c r="FIQ22" s="14"/>
      <c r="FIR22" s="15"/>
      <c r="FIS22" s="15"/>
      <c r="FIT22" s="16"/>
      <c r="FIU22" s="41"/>
      <c r="FIV22" s="41"/>
      <c r="FIW22" s="28"/>
      <c r="FIX22" s="29"/>
      <c r="FIY22" s="24"/>
      <c r="FIZ22" s="13"/>
      <c r="FJA22" s="13"/>
      <c r="FJB22" s="14"/>
      <c r="FJC22" s="15"/>
      <c r="FJD22" s="15"/>
      <c r="FJE22" s="16"/>
      <c r="FJF22" s="41"/>
      <c r="FJG22" s="41"/>
      <c r="FJH22" s="28"/>
      <c r="FJI22" s="29"/>
      <c r="FJJ22" s="24"/>
      <c r="FJK22" s="13"/>
      <c r="FJL22" s="13"/>
      <c r="FJM22" s="14"/>
      <c r="FJN22" s="15"/>
      <c r="FJO22" s="15"/>
      <c r="FJP22" s="16"/>
      <c r="FJQ22" s="41"/>
      <c r="FJR22" s="41"/>
      <c r="FJS22" s="28"/>
      <c r="FJT22" s="29"/>
      <c r="FJU22" s="24"/>
      <c r="FJV22" s="13"/>
      <c r="FJW22" s="13"/>
      <c r="FJX22" s="14"/>
      <c r="FJY22" s="15"/>
      <c r="FJZ22" s="15"/>
      <c r="FKA22" s="16"/>
      <c r="FKB22" s="41"/>
      <c r="FKC22" s="41"/>
      <c r="FKD22" s="28"/>
      <c r="FKE22" s="29"/>
      <c r="FKF22" s="24"/>
      <c r="FKG22" s="13"/>
      <c r="FKH22" s="13"/>
      <c r="FKI22" s="14"/>
      <c r="FKJ22" s="15"/>
      <c r="FKK22" s="15"/>
      <c r="FKL22" s="16"/>
      <c r="FKM22" s="41"/>
      <c r="FKN22" s="41"/>
      <c r="FKO22" s="28"/>
      <c r="FKP22" s="29"/>
      <c r="FKQ22" s="24"/>
      <c r="FKR22" s="13"/>
      <c r="FKS22" s="13"/>
      <c r="FKT22" s="14"/>
      <c r="FKU22" s="15"/>
      <c r="FKV22" s="15"/>
      <c r="FKW22" s="16"/>
      <c r="FKX22" s="41"/>
      <c r="FKY22" s="41"/>
      <c r="FKZ22" s="28"/>
      <c r="FLA22" s="29"/>
      <c r="FLB22" s="24"/>
      <c r="FLC22" s="13"/>
      <c r="FLD22" s="13"/>
      <c r="FLE22" s="14"/>
      <c r="FLF22" s="15"/>
      <c r="FLG22" s="15"/>
      <c r="FLH22" s="16"/>
      <c r="FLI22" s="41"/>
      <c r="FLJ22" s="41"/>
      <c r="FLK22" s="28"/>
      <c r="FLL22" s="29"/>
      <c r="FLM22" s="24"/>
      <c r="FLN22" s="13"/>
      <c r="FLO22" s="13"/>
      <c r="FLP22" s="14"/>
      <c r="FLQ22" s="15"/>
      <c r="FLR22" s="15"/>
      <c r="FLS22" s="16"/>
      <c r="FLT22" s="41"/>
      <c r="FLU22" s="41"/>
      <c r="FLV22" s="28"/>
      <c r="FLW22" s="29"/>
      <c r="FLX22" s="24"/>
      <c r="FLY22" s="13"/>
      <c r="FLZ22" s="13"/>
      <c r="FMA22" s="14"/>
      <c r="FMB22" s="15"/>
      <c r="FMC22" s="15"/>
      <c r="FMD22" s="16"/>
      <c r="FME22" s="41"/>
      <c r="FMF22" s="41"/>
      <c r="FMG22" s="28"/>
      <c r="FMH22" s="29"/>
      <c r="FMI22" s="24"/>
      <c r="FMJ22" s="13"/>
      <c r="FMK22" s="13"/>
      <c r="FML22" s="14"/>
      <c r="FMM22" s="15"/>
      <c r="FMN22" s="15"/>
      <c r="FMO22" s="16"/>
      <c r="FMP22" s="41"/>
      <c r="FMQ22" s="41"/>
      <c r="FMR22" s="28"/>
      <c r="FMS22" s="29"/>
      <c r="FMT22" s="24"/>
      <c r="FMU22" s="13"/>
      <c r="FMV22" s="13"/>
      <c r="FMW22" s="14"/>
      <c r="FMX22" s="15"/>
      <c r="FMY22" s="15"/>
      <c r="FMZ22" s="16"/>
      <c r="FNA22" s="41"/>
      <c r="FNB22" s="41"/>
      <c r="FNC22" s="28"/>
      <c r="FND22" s="29"/>
      <c r="FNE22" s="24"/>
      <c r="FNF22" s="13"/>
      <c r="FNG22" s="13"/>
      <c r="FNH22" s="14"/>
      <c r="FNI22" s="15"/>
      <c r="FNJ22" s="15"/>
      <c r="FNK22" s="16"/>
      <c r="FNL22" s="41"/>
      <c r="FNM22" s="41"/>
      <c r="FNN22" s="28"/>
      <c r="FNO22" s="29"/>
      <c r="FNP22" s="24"/>
      <c r="FNQ22" s="13"/>
      <c r="FNR22" s="13"/>
      <c r="FNS22" s="14"/>
      <c r="FNT22" s="15"/>
      <c r="FNU22" s="15"/>
      <c r="FNV22" s="16"/>
      <c r="FNW22" s="41"/>
      <c r="FNX22" s="41"/>
      <c r="FNY22" s="28"/>
      <c r="FNZ22" s="29"/>
      <c r="FOA22" s="24"/>
      <c r="FOB22" s="13"/>
      <c r="FOC22" s="13"/>
      <c r="FOD22" s="14"/>
      <c r="FOE22" s="15"/>
      <c r="FOF22" s="15"/>
      <c r="FOG22" s="16"/>
      <c r="FOH22" s="41"/>
      <c r="FOI22" s="41"/>
      <c r="FOJ22" s="28"/>
      <c r="FOK22" s="29"/>
      <c r="FOL22" s="24"/>
      <c r="FOM22" s="13"/>
      <c r="FON22" s="13"/>
      <c r="FOO22" s="14"/>
      <c r="FOP22" s="15"/>
      <c r="FOQ22" s="15"/>
      <c r="FOR22" s="16"/>
      <c r="FOS22" s="41"/>
      <c r="FOT22" s="41"/>
      <c r="FOU22" s="28"/>
      <c r="FOV22" s="29"/>
      <c r="FOW22" s="24"/>
      <c r="FOX22" s="13"/>
      <c r="FOY22" s="13"/>
      <c r="FOZ22" s="14"/>
      <c r="FPA22" s="15"/>
      <c r="FPB22" s="15"/>
      <c r="FPC22" s="16"/>
      <c r="FPD22" s="41"/>
      <c r="FPE22" s="41"/>
      <c r="FPF22" s="28"/>
      <c r="FPG22" s="29"/>
      <c r="FPH22" s="24"/>
      <c r="FPI22" s="13"/>
      <c r="FPJ22" s="13"/>
      <c r="FPK22" s="14"/>
      <c r="FPL22" s="15"/>
      <c r="FPM22" s="15"/>
      <c r="FPN22" s="16"/>
      <c r="FPO22" s="41"/>
      <c r="FPP22" s="41"/>
      <c r="FPQ22" s="28"/>
      <c r="FPR22" s="29"/>
      <c r="FPS22" s="24"/>
      <c r="FPT22" s="13"/>
      <c r="FPU22" s="13"/>
      <c r="FPV22" s="14"/>
      <c r="FPW22" s="15"/>
      <c r="FPX22" s="15"/>
      <c r="FPY22" s="16"/>
      <c r="FPZ22" s="41"/>
      <c r="FQA22" s="41"/>
      <c r="FQB22" s="28"/>
      <c r="FQC22" s="29"/>
      <c r="FQD22" s="24"/>
      <c r="FQE22" s="13"/>
      <c r="FQF22" s="13"/>
      <c r="FQG22" s="14"/>
      <c r="FQH22" s="15"/>
      <c r="FQI22" s="15"/>
      <c r="FQJ22" s="16"/>
      <c r="FQK22" s="41"/>
      <c r="FQL22" s="41"/>
      <c r="FQM22" s="28"/>
      <c r="FQN22" s="29"/>
      <c r="FQO22" s="24"/>
      <c r="FQP22" s="13"/>
      <c r="FQQ22" s="13"/>
      <c r="FQR22" s="14"/>
      <c r="FQS22" s="15"/>
      <c r="FQT22" s="15"/>
      <c r="FQU22" s="16"/>
      <c r="FQV22" s="41"/>
      <c r="FQW22" s="41"/>
      <c r="FQX22" s="28"/>
      <c r="FQY22" s="29"/>
      <c r="FQZ22" s="24"/>
      <c r="FRA22" s="13"/>
      <c r="FRB22" s="13"/>
      <c r="FRC22" s="14"/>
      <c r="FRD22" s="15"/>
      <c r="FRE22" s="15"/>
      <c r="FRF22" s="16"/>
      <c r="FRG22" s="41"/>
      <c r="FRH22" s="41"/>
      <c r="FRI22" s="28"/>
      <c r="FRJ22" s="29"/>
      <c r="FRK22" s="24"/>
      <c r="FRL22" s="13"/>
      <c r="FRM22" s="13"/>
      <c r="FRN22" s="14"/>
      <c r="FRO22" s="15"/>
      <c r="FRP22" s="15"/>
      <c r="FRQ22" s="16"/>
      <c r="FRR22" s="41"/>
      <c r="FRS22" s="41"/>
      <c r="FRT22" s="28"/>
      <c r="FRU22" s="29"/>
      <c r="FRV22" s="24"/>
      <c r="FRW22" s="13"/>
      <c r="FRX22" s="13"/>
      <c r="FRY22" s="14"/>
      <c r="FRZ22" s="15"/>
      <c r="FSA22" s="15"/>
      <c r="FSB22" s="16"/>
      <c r="FSC22" s="41"/>
      <c r="FSD22" s="41"/>
      <c r="FSE22" s="28"/>
      <c r="FSF22" s="29"/>
      <c r="FSG22" s="24"/>
      <c r="FSH22" s="13"/>
      <c r="FSI22" s="13"/>
      <c r="FSJ22" s="14"/>
      <c r="FSK22" s="15"/>
      <c r="FSL22" s="15"/>
      <c r="FSM22" s="16"/>
      <c r="FSN22" s="41"/>
      <c r="FSO22" s="41"/>
      <c r="FSP22" s="28"/>
      <c r="FSQ22" s="29"/>
      <c r="FSR22" s="24"/>
      <c r="FSS22" s="13"/>
      <c r="FST22" s="13"/>
      <c r="FSU22" s="14"/>
      <c r="FSV22" s="15"/>
      <c r="FSW22" s="15"/>
      <c r="FSX22" s="16"/>
      <c r="FSY22" s="41"/>
      <c r="FSZ22" s="41"/>
      <c r="FTA22" s="28"/>
      <c r="FTB22" s="29"/>
      <c r="FTC22" s="24"/>
      <c r="FTD22" s="13"/>
      <c r="FTE22" s="13"/>
      <c r="FTF22" s="14"/>
      <c r="FTG22" s="15"/>
      <c r="FTH22" s="15"/>
      <c r="FTI22" s="16"/>
      <c r="FTJ22" s="41"/>
      <c r="FTK22" s="41"/>
      <c r="FTL22" s="28"/>
      <c r="FTM22" s="29"/>
      <c r="FTN22" s="24"/>
      <c r="FTO22" s="13"/>
      <c r="FTP22" s="13"/>
      <c r="FTQ22" s="14"/>
      <c r="FTR22" s="15"/>
      <c r="FTS22" s="15"/>
      <c r="FTT22" s="16"/>
      <c r="FTU22" s="41"/>
      <c r="FTV22" s="41"/>
      <c r="FTW22" s="28"/>
      <c r="FTX22" s="29"/>
      <c r="FTY22" s="24"/>
      <c r="FTZ22" s="13"/>
      <c r="FUA22" s="13"/>
      <c r="FUB22" s="14"/>
      <c r="FUC22" s="15"/>
      <c r="FUD22" s="15"/>
      <c r="FUE22" s="16"/>
      <c r="FUF22" s="41"/>
      <c r="FUG22" s="41"/>
      <c r="FUH22" s="28"/>
      <c r="FUI22" s="29"/>
      <c r="FUJ22" s="24"/>
      <c r="FUK22" s="13"/>
      <c r="FUL22" s="13"/>
      <c r="FUM22" s="14"/>
      <c r="FUN22" s="15"/>
      <c r="FUO22" s="15"/>
      <c r="FUP22" s="16"/>
      <c r="FUQ22" s="41"/>
      <c r="FUR22" s="41"/>
      <c r="FUS22" s="28"/>
      <c r="FUT22" s="29"/>
      <c r="FUU22" s="24"/>
      <c r="FUV22" s="13"/>
      <c r="FUW22" s="13"/>
      <c r="FUX22" s="14"/>
      <c r="FUY22" s="15"/>
      <c r="FUZ22" s="15"/>
      <c r="FVA22" s="16"/>
      <c r="FVB22" s="41"/>
      <c r="FVC22" s="41"/>
      <c r="FVD22" s="28"/>
      <c r="FVE22" s="29"/>
      <c r="FVF22" s="24"/>
      <c r="FVG22" s="13"/>
      <c r="FVH22" s="13"/>
      <c r="FVI22" s="14"/>
      <c r="FVJ22" s="15"/>
      <c r="FVK22" s="15"/>
      <c r="FVL22" s="16"/>
      <c r="FVM22" s="41"/>
      <c r="FVN22" s="41"/>
      <c r="FVO22" s="28"/>
      <c r="FVP22" s="29"/>
      <c r="FVQ22" s="24"/>
      <c r="FVR22" s="13"/>
      <c r="FVS22" s="13"/>
      <c r="FVT22" s="14"/>
      <c r="FVU22" s="15"/>
      <c r="FVV22" s="15"/>
      <c r="FVW22" s="16"/>
      <c r="FVX22" s="41"/>
      <c r="FVY22" s="41"/>
      <c r="FVZ22" s="28"/>
      <c r="FWA22" s="29"/>
      <c r="FWB22" s="24"/>
      <c r="FWC22" s="13"/>
      <c r="FWD22" s="13"/>
      <c r="FWE22" s="14"/>
      <c r="FWF22" s="15"/>
      <c r="FWG22" s="15"/>
      <c r="FWH22" s="16"/>
      <c r="FWI22" s="41"/>
      <c r="FWJ22" s="41"/>
      <c r="FWK22" s="28"/>
      <c r="FWL22" s="29"/>
      <c r="FWM22" s="24"/>
      <c r="FWN22" s="13"/>
      <c r="FWO22" s="13"/>
      <c r="FWP22" s="14"/>
      <c r="FWQ22" s="15"/>
      <c r="FWR22" s="15"/>
      <c r="FWS22" s="16"/>
      <c r="FWT22" s="41"/>
      <c r="FWU22" s="41"/>
      <c r="FWV22" s="28"/>
      <c r="FWW22" s="29"/>
      <c r="FWX22" s="24"/>
      <c r="FWY22" s="13"/>
      <c r="FWZ22" s="13"/>
      <c r="FXA22" s="14"/>
      <c r="FXB22" s="15"/>
      <c r="FXC22" s="15"/>
      <c r="FXD22" s="16"/>
      <c r="FXE22" s="41"/>
      <c r="FXF22" s="41"/>
      <c r="FXG22" s="28"/>
      <c r="FXH22" s="29"/>
      <c r="FXI22" s="24"/>
      <c r="FXJ22" s="13"/>
      <c r="FXK22" s="13"/>
      <c r="FXL22" s="14"/>
      <c r="FXM22" s="15"/>
      <c r="FXN22" s="15"/>
      <c r="FXO22" s="16"/>
      <c r="FXP22" s="41"/>
      <c r="FXQ22" s="41"/>
      <c r="FXR22" s="28"/>
      <c r="FXS22" s="29"/>
      <c r="FXT22" s="24"/>
      <c r="FXU22" s="13"/>
      <c r="FXV22" s="13"/>
      <c r="FXW22" s="14"/>
      <c r="FXX22" s="15"/>
      <c r="FXY22" s="15"/>
      <c r="FXZ22" s="16"/>
      <c r="FYA22" s="41"/>
      <c r="FYB22" s="41"/>
      <c r="FYC22" s="28"/>
      <c r="FYD22" s="29"/>
      <c r="FYE22" s="24"/>
      <c r="FYF22" s="13"/>
      <c r="FYG22" s="13"/>
      <c r="FYH22" s="14"/>
      <c r="FYI22" s="15"/>
      <c r="FYJ22" s="15"/>
      <c r="FYK22" s="16"/>
      <c r="FYL22" s="41"/>
      <c r="FYM22" s="41"/>
      <c r="FYN22" s="28"/>
      <c r="FYO22" s="29"/>
      <c r="FYP22" s="24"/>
      <c r="FYQ22" s="13"/>
      <c r="FYR22" s="13"/>
      <c r="FYS22" s="14"/>
      <c r="FYT22" s="15"/>
      <c r="FYU22" s="15"/>
      <c r="FYV22" s="16"/>
      <c r="FYW22" s="41"/>
      <c r="FYX22" s="41"/>
      <c r="FYY22" s="28"/>
      <c r="FYZ22" s="29"/>
      <c r="FZA22" s="24"/>
      <c r="FZB22" s="13"/>
      <c r="FZC22" s="13"/>
      <c r="FZD22" s="14"/>
      <c r="FZE22" s="15"/>
      <c r="FZF22" s="15"/>
      <c r="FZG22" s="16"/>
      <c r="FZH22" s="41"/>
      <c r="FZI22" s="41"/>
      <c r="FZJ22" s="28"/>
      <c r="FZK22" s="29"/>
      <c r="FZL22" s="24"/>
      <c r="FZM22" s="13"/>
      <c r="FZN22" s="13"/>
      <c r="FZO22" s="14"/>
      <c r="FZP22" s="15"/>
      <c r="FZQ22" s="15"/>
      <c r="FZR22" s="16"/>
      <c r="FZS22" s="41"/>
      <c r="FZT22" s="41"/>
      <c r="FZU22" s="28"/>
      <c r="FZV22" s="29"/>
      <c r="FZW22" s="24"/>
      <c r="FZX22" s="13"/>
      <c r="FZY22" s="13"/>
      <c r="FZZ22" s="14"/>
      <c r="GAA22" s="15"/>
      <c r="GAB22" s="15"/>
      <c r="GAC22" s="16"/>
      <c r="GAD22" s="41"/>
      <c r="GAE22" s="41"/>
      <c r="GAF22" s="28"/>
      <c r="GAG22" s="29"/>
      <c r="GAH22" s="24"/>
      <c r="GAI22" s="13"/>
      <c r="GAJ22" s="13"/>
      <c r="GAK22" s="14"/>
      <c r="GAL22" s="15"/>
      <c r="GAM22" s="15"/>
      <c r="GAN22" s="16"/>
      <c r="GAO22" s="41"/>
      <c r="GAP22" s="41"/>
      <c r="GAQ22" s="28"/>
      <c r="GAR22" s="29"/>
      <c r="GAS22" s="24"/>
      <c r="GAT22" s="13"/>
      <c r="GAU22" s="13"/>
      <c r="GAV22" s="14"/>
      <c r="GAW22" s="15"/>
      <c r="GAX22" s="15"/>
      <c r="GAY22" s="16"/>
      <c r="GAZ22" s="41"/>
      <c r="GBA22" s="41"/>
      <c r="GBB22" s="28"/>
      <c r="GBC22" s="29"/>
      <c r="GBD22" s="24"/>
      <c r="GBE22" s="13"/>
      <c r="GBF22" s="13"/>
      <c r="GBG22" s="14"/>
      <c r="GBH22" s="15"/>
      <c r="GBI22" s="15"/>
      <c r="GBJ22" s="16"/>
      <c r="GBK22" s="41"/>
      <c r="GBL22" s="41"/>
      <c r="GBM22" s="28"/>
      <c r="GBN22" s="29"/>
      <c r="GBO22" s="24"/>
      <c r="GBP22" s="13"/>
      <c r="GBQ22" s="13"/>
      <c r="GBR22" s="14"/>
      <c r="GBS22" s="15"/>
      <c r="GBT22" s="15"/>
      <c r="GBU22" s="16"/>
      <c r="GBV22" s="41"/>
      <c r="GBW22" s="41"/>
      <c r="GBX22" s="28"/>
      <c r="GBY22" s="29"/>
      <c r="GBZ22" s="24"/>
      <c r="GCA22" s="13"/>
      <c r="GCB22" s="13"/>
      <c r="GCC22" s="14"/>
      <c r="GCD22" s="15"/>
      <c r="GCE22" s="15"/>
      <c r="GCF22" s="16"/>
      <c r="GCG22" s="41"/>
      <c r="GCH22" s="41"/>
      <c r="GCI22" s="28"/>
      <c r="GCJ22" s="29"/>
      <c r="GCK22" s="24"/>
      <c r="GCL22" s="13"/>
      <c r="GCM22" s="13"/>
      <c r="GCN22" s="14"/>
      <c r="GCO22" s="15"/>
      <c r="GCP22" s="15"/>
      <c r="GCQ22" s="16"/>
      <c r="GCR22" s="41"/>
      <c r="GCS22" s="41"/>
      <c r="GCT22" s="28"/>
      <c r="GCU22" s="29"/>
      <c r="GCV22" s="24"/>
      <c r="GCW22" s="13"/>
      <c r="GCX22" s="13"/>
      <c r="GCY22" s="14"/>
      <c r="GCZ22" s="15"/>
      <c r="GDA22" s="15"/>
      <c r="GDB22" s="16"/>
      <c r="GDC22" s="41"/>
      <c r="GDD22" s="41"/>
      <c r="GDE22" s="28"/>
      <c r="GDF22" s="29"/>
      <c r="GDG22" s="24"/>
      <c r="GDH22" s="13"/>
      <c r="GDI22" s="13"/>
      <c r="GDJ22" s="14"/>
      <c r="GDK22" s="15"/>
      <c r="GDL22" s="15"/>
      <c r="GDM22" s="16"/>
      <c r="GDN22" s="41"/>
      <c r="GDO22" s="41"/>
      <c r="GDP22" s="28"/>
      <c r="GDQ22" s="29"/>
      <c r="GDR22" s="24"/>
      <c r="GDS22" s="13"/>
      <c r="GDT22" s="13"/>
      <c r="GDU22" s="14"/>
      <c r="GDV22" s="15"/>
      <c r="GDW22" s="15"/>
      <c r="GDX22" s="16"/>
      <c r="GDY22" s="41"/>
      <c r="GDZ22" s="41"/>
      <c r="GEA22" s="28"/>
      <c r="GEB22" s="29"/>
      <c r="GEC22" s="24"/>
      <c r="GED22" s="13"/>
      <c r="GEE22" s="13"/>
      <c r="GEF22" s="14"/>
      <c r="GEG22" s="15"/>
      <c r="GEH22" s="15"/>
      <c r="GEI22" s="16"/>
      <c r="GEJ22" s="41"/>
      <c r="GEK22" s="41"/>
      <c r="GEL22" s="28"/>
      <c r="GEM22" s="29"/>
      <c r="GEN22" s="24"/>
      <c r="GEO22" s="13"/>
      <c r="GEP22" s="13"/>
      <c r="GEQ22" s="14"/>
      <c r="GER22" s="15"/>
      <c r="GES22" s="15"/>
      <c r="GET22" s="16"/>
      <c r="GEU22" s="41"/>
      <c r="GEV22" s="41"/>
      <c r="GEW22" s="28"/>
      <c r="GEX22" s="29"/>
      <c r="GEY22" s="24"/>
      <c r="GEZ22" s="13"/>
      <c r="GFA22" s="13"/>
      <c r="GFB22" s="14"/>
      <c r="GFC22" s="15"/>
      <c r="GFD22" s="15"/>
      <c r="GFE22" s="16"/>
      <c r="GFF22" s="41"/>
      <c r="GFG22" s="41"/>
      <c r="GFH22" s="28"/>
      <c r="GFI22" s="29"/>
      <c r="GFJ22" s="24"/>
      <c r="GFK22" s="13"/>
      <c r="GFL22" s="13"/>
      <c r="GFM22" s="14"/>
      <c r="GFN22" s="15"/>
      <c r="GFO22" s="15"/>
      <c r="GFP22" s="16"/>
      <c r="GFQ22" s="41"/>
      <c r="GFR22" s="41"/>
      <c r="GFS22" s="28"/>
      <c r="GFT22" s="29"/>
      <c r="GFU22" s="24"/>
      <c r="GFV22" s="13"/>
      <c r="GFW22" s="13"/>
      <c r="GFX22" s="14"/>
      <c r="GFY22" s="15"/>
      <c r="GFZ22" s="15"/>
      <c r="GGA22" s="16"/>
      <c r="GGB22" s="41"/>
      <c r="GGC22" s="41"/>
      <c r="GGD22" s="28"/>
      <c r="GGE22" s="29"/>
      <c r="GGF22" s="24"/>
      <c r="GGG22" s="13"/>
      <c r="GGH22" s="13"/>
      <c r="GGI22" s="14"/>
      <c r="GGJ22" s="15"/>
      <c r="GGK22" s="15"/>
      <c r="GGL22" s="16"/>
      <c r="GGM22" s="41"/>
      <c r="GGN22" s="41"/>
      <c r="GGO22" s="28"/>
      <c r="GGP22" s="29"/>
      <c r="GGQ22" s="24"/>
      <c r="GGR22" s="13"/>
      <c r="GGS22" s="13"/>
      <c r="GGT22" s="14"/>
      <c r="GGU22" s="15"/>
      <c r="GGV22" s="15"/>
      <c r="GGW22" s="16"/>
      <c r="GGX22" s="41"/>
      <c r="GGY22" s="41"/>
      <c r="GGZ22" s="28"/>
      <c r="GHA22" s="29"/>
      <c r="GHB22" s="24"/>
      <c r="GHC22" s="13"/>
      <c r="GHD22" s="13"/>
      <c r="GHE22" s="14"/>
      <c r="GHF22" s="15"/>
      <c r="GHG22" s="15"/>
      <c r="GHH22" s="16"/>
      <c r="GHI22" s="41"/>
      <c r="GHJ22" s="41"/>
      <c r="GHK22" s="28"/>
      <c r="GHL22" s="29"/>
      <c r="GHM22" s="24"/>
      <c r="GHN22" s="13"/>
      <c r="GHO22" s="13"/>
      <c r="GHP22" s="14"/>
      <c r="GHQ22" s="15"/>
      <c r="GHR22" s="15"/>
      <c r="GHS22" s="16"/>
      <c r="GHT22" s="41"/>
      <c r="GHU22" s="41"/>
      <c r="GHV22" s="28"/>
      <c r="GHW22" s="29"/>
      <c r="GHX22" s="24"/>
      <c r="GHY22" s="13"/>
      <c r="GHZ22" s="13"/>
      <c r="GIA22" s="14"/>
      <c r="GIB22" s="15"/>
      <c r="GIC22" s="15"/>
      <c r="GID22" s="16"/>
      <c r="GIE22" s="41"/>
      <c r="GIF22" s="41"/>
      <c r="GIG22" s="28"/>
      <c r="GIH22" s="29"/>
      <c r="GII22" s="24"/>
      <c r="GIJ22" s="13"/>
      <c r="GIK22" s="13"/>
      <c r="GIL22" s="14"/>
      <c r="GIM22" s="15"/>
      <c r="GIN22" s="15"/>
      <c r="GIO22" s="16"/>
      <c r="GIP22" s="41"/>
      <c r="GIQ22" s="41"/>
      <c r="GIR22" s="28"/>
      <c r="GIS22" s="29"/>
      <c r="GIT22" s="24"/>
      <c r="GIU22" s="13"/>
      <c r="GIV22" s="13"/>
      <c r="GIW22" s="14"/>
      <c r="GIX22" s="15"/>
      <c r="GIY22" s="15"/>
      <c r="GIZ22" s="16"/>
      <c r="GJA22" s="41"/>
      <c r="GJB22" s="41"/>
      <c r="GJC22" s="28"/>
      <c r="GJD22" s="29"/>
      <c r="GJE22" s="24"/>
      <c r="GJF22" s="13"/>
      <c r="GJG22" s="13"/>
      <c r="GJH22" s="14"/>
      <c r="GJI22" s="15"/>
      <c r="GJJ22" s="15"/>
      <c r="GJK22" s="16"/>
      <c r="GJL22" s="41"/>
      <c r="GJM22" s="41"/>
      <c r="GJN22" s="28"/>
      <c r="GJO22" s="29"/>
      <c r="GJP22" s="24"/>
      <c r="GJQ22" s="13"/>
      <c r="GJR22" s="13"/>
      <c r="GJS22" s="14"/>
      <c r="GJT22" s="15"/>
      <c r="GJU22" s="15"/>
      <c r="GJV22" s="16"/>
      <c r="GJW22" s="41"/>
      <c r="GJX22" s="41"/>
      <c r="GJY22" s="28"/>
      <c r="GJZ22" s="29"/>
      <c r="GKA22" s="24"/>
      <c r="GKB22" s="13"/>
      <c r="GKC22" s="13"/>
      <c r="GKD22" s="14"/>
      <c r="GKE22" s="15"/>
      <c r="GKF22" s="15"/>
      <c r="GKG22" s="16"/>
      <c r="GKH22" s="41"/>
      <c r="GKI22" s="41"/>
      <c r="GKJ22" s="28"/>
      <c r="GKK22" s="29"/>
      <c r="GKL22" s="24"/>
      <c r="GKM22" s="13"/>
      <c r="GKN22" s="13"/>
      <c r="GKO22" s="14"/>
      <c r="GKP22" s="15"/>
      <c r="GKQ22" s="15"/>
      <c r="GKR22" s="16"/>
      <c r="GKS22" s="41"/>
      <c r="GKT22" s="41"/>
      <c r="GKU22" s="28"/>
      <c r="GKV22" s="29"/>
      <c r="GKW22" s="24"/>
      <c r="GKX22" s="13"/>
      <c r="GKY22" s="13"/>
      <c r="GKZ22" s="14"/>
      <c r="GLA22" s="15"/>
      <c r="GLB22" s="15"/>
      <c r="GLC22" s="16"/>
      <c r="GLD22" s="41"/>
      <c r="GLE22" s="41"/>
      <c r="GLF22" s="28"/>
      <c r="GLG22" s="29"/>
      <c r="GLH22" s="24"/>
      <c r="GLI22" s="13"/>
      <c r="GLJ22" s="13"/>
      <c r="GLK22" s="14"/>
      <c r="GLL22" s="15"/>
      <c r="GLM22" s="15"/>
      <c r="GLN22" s="16"/>
      <c r="GLO22" s="41"/>
      <c r="GLP22" s="41"/>
      <c r="GLQ22" s="28"/>
      <c r="GLR22" s="29"/>
      <c r="GLS22" s="24"/>
      <c r="GLT22" s="13"/>
      <c r="GLU22" s="13"/>
      <c r="GLV22" s="14"/>
      <c r="GLW22" s="15"/>
      <c r="GLX22" s="15"/>
      <c r="GLY22" s="16"/>
      <c r="GLZ22" s="41"/>
      <c r="GMA22" s="41"/>
      <c r="GMB22" s="28"/>
      <c r="GMC22" s="29"/>
      <c r="GMD22" s="24"/>
      <c r="GME22" s="13"/>
      <c r="GMF22" s="13"/>
      <c r="GMG22" s="14"/>
      <c r="GMH22" s="15"/>
      <c r="GMI22" s="15"/>
      <c r="GMJ22" s="16"/>
      <c r="GMK22" s="41"/>
      <c r="GML22" s="41"/>
      <c r="GMM22" s="28"/>
      <c r="GMN22" s="29"/>
      <c r="GMO22" s="24"/>
      <c r="GMP22" s="13"/>
      <c r="GMQ22" s="13"/>
      <c r="GMR22" s="14"/>
      <c r="GMS22" s="15"/>
      <c r="GMT22" s="15"/>
      <c r="GMU22" s="16"/>
      <c r="GMV22" s="41"/>
      <c r="GMW22" s="41"/>
      <c r="GMX22" s="28"/>
      <c r="GMY22" s="29"/>
      <c r="GMZ22" s="24"/>
      <c r="GNA22" s="13"/>
      <c r="GNB22" s="13"/>
      <c r="GNC22" s="14"/>
      <c r="GND22" s="15"/>
      <c r="GNE22" s="15"/>
      <c r="GNF22" s="16"/>
      <c r="GNG22" s="41"/>
      <c r="GNH22" s="41"/>
      <c r="GNI22" s="28"/>
      <c r="GNJ22" s="29"/>
      <c r="GNK22" s="24"/>
      <c r="GNL22" s="13"/>
      <c r="GNM22" s="13"/>
      <c r="GNN22" s="14"/>
      <c r="GNO22" s="15"/>
      <c r="GNP22" s="15"/>
      <c r="GNQ22" s="16"/>
      <c r="GNR22" s="41"/>
      <c r="GNS22" s="41"/>
      <c r="GNT22" s="28"/>
      <c r="GNU22" s="29"/>
      <c r="GNV22" s="24"/>
      <c r="GNW22" s="13"/>
      <c r="GNX22" s="13"/>
      <c r="GNY22" s="14"/>
      <c r="GNZ22" s="15"/>
      <c r="GOA22" s="15"/>
      <c r="GOB22" s="16"/>
      <c r="GOC22" s="41"/>
      <c r="GOD22" s="41"/>
      <c r="GOE22" s="28"/>
      <c r="GOF22" s="29"/>
      <c r="GOG22" s="24"/>
      <c r="GOH22" s="13"/>
      <c r="GOI22" s="13"/>
      <c r="GOJ22" s="14"/>
      <c r="GOK22" s="15"/>
      <c r="GOL22" s="15"/>
      <c r="GOM22" s="16"/>
      <c r="GON22" s="41"/>
      <c r="GOO22" s="41"/>
      <c r="GOP22" s="28"/>
      <c r="GOQ22" s="29"/>
      <c r="GOR22" s="24"/>
      <c r="GOS22" s="13"/>
      <c r="GOT22" s="13"/>
      <c r="GOU22" s="14"/>
      <c r="GOV22" s="15"/>
      <c r="GOW22" s="15"/>
      <c r="GOX22" s="16"/>
      <c r="GOY22" s="41"/>
      <c r="GOZ22" s="41"/>
      <c r="GPA22" s="28"/>
      <c r="GPB22" s="29"/>
      <c r="GPC22" s="24"/>
      <c r="GPD22" s="13"/>
      <c r="GPE22" s="13"/>
      <c r="GPF22" s="14"/>
      <c r="GPG22" s="15"/>
      <c r="GPH22" s="15"/>
      <c r="GPI22" s="16"/>
      <c r="GPJ22" s="41"/>
      <c r="GPK22" s="41"/>
      <c r="GPL22" s="28"/>
      <c r="GPM22" s="29"/>
      <c r="GPN22" s="24"/>
      <c r="GPO22" s="13"/>
      <c r="GPP22" s="13"/>
      <c r="GPQ22" s="14"/>
      <c r="GPR22" s="15"/>
      <c r="GPS22" s="15"/>
      <c r="GPT22" s="16"/>
      <c r="GPU22" s="41"/>
      <c r="GPV22" s="41"/>
      <c r="GPW22" s="28"/>
      <c r="GPX22" s="29"/>
      <c r="GPY22" s="24"/>
      <c r="GPZ22" s="13"/>
      <c r="GQA22" s="13"/>
      <c r="GQB22" s="14"/>
      <c r="GQC22" s="15"/>
      <c r="GQD22" s="15"/>
      <c r="GQE22" s="16"/>
      <c r="GQF22" s="41"/>
      <c r="GQG22" s="41"/>
      <c r="GQH22" s="28"/>
      <c r="GQI22" s="29"/>
      <c r="GQJ22" s="24"/>
      <c r="GQK22" s="13"/>
      <c r="GQL22" s="13"/>
      <c r="GQM22" s="14"/>
      <c r="GQN22" s="15"/>
      <c r="GQO22" s="15"/>
      <c r="GQP22" s="16"/>
      <c r="GQQ22" s="41"/>
      <c r="GQR22" s="41"/>
      <c r="GQS22" s="28"/>
      <c r="GQT22" s="29"/>
      <c r="GQU22" s="24"/>
      <c r="GQV22" s="13"/>
      <c r="GQW22" s="13"/>
      <c r="GQX22" s="14"/>
      <c r="GQY22" s="15"/>
      <c r="GQZ22" s="15"/>
      <c r="GRA22" s="16"/>
      <c r="GRB22" s="41"/>
      <c r="GRC22" s="41"/>
      <c r="GRD22" s="28"/>
      <c r="GRE22" s="29"/>
      <c r="GRF22" s="24"/>
      <c r="GRG22" s="13"/>
      <c r="GRH22" s="13"/>
      <c r="GRI22" s="14"/>
      <c r="GRJ22" s="15"/>
      <c r="GRK22" s="15"/>
      <c r="GRL22" s="16"/>
      <c r="GRM22" s="41"/>
      <c r="GRN22" s="41"/>
      <c r="GRO22" s="28"/>
      <c r="GRP22" s="29"/>
      <c r="GRQ22" s="24"/>
      <c r="GRR22" s="13"/>
      <c r="GRS22" s="13"/>
      <c r="GRT22" s="14"/>
      <c r="GRU22" s="15"/>
      <c r="GRV22" s="15"/>
      <c r="GRW22" s="16"/>
      <c r="GRX22" s="41"/>
      <c r="GRY22" s="41"/>
      <c r="GRZ22" s="28"/>
      <c r="GSA22" s="29"/>
      <c r="GSB22" s="24"/>
      <c r="GSC22" s="13"/>
      <c r="GSD22" s="13"/>
      <c r="GSE22" s="14"/>
      <c r="GSF22" s="15"/>
      <c r="GSG22" s="15"/>
      <c r="GSH22" s="16"/>
      <c r="GSI22" s="41"/>
      <c r="GSJ22" s="41"/>
      <c r="GSK22" s="28"/>
      <c r="GSL22" s="29"/>
      <c r="GSM22" s="24"/>
      <c r="GSN22" s="13"/>
      <c r="GSO22" s="13"/>
      <c r="GSP22" s="14"/>
      <c r="GSQ22" s="15"/>
      <c r="GSR22" s="15"/>
      <c r="GSS22" s="16"/>
      <c r="GST22" s="41"/>
      <c r="GSU22" s="41"/>
      <c r="GSV22" s="28"/>
      <c r="GSW22" s="29"/>
      <c r="GSX22" s="24"/>
      <c r="GSY22" s="13"/>
      <c r="GSZ22" s="13"/>
      <c r="GTA22" s="14"/>
      <c r="GTB22" s="15"/>
      <c r="GTC22" s="15"/>
      <c r="GTD22" s="16"/>
      <c r="GTE22" s="41"/>
      <c r="GTF22" s="41"/>
      <c r="GTG22" s="28"/>
      <c r="GTH22" s="29"/>
      <c r="GTI22" s="24"/>
      <c r="GTJ22" s="13"/>
      <c r="GTK22" s="13"/>
      <c r="GTL22" s="14"/>
      <c r="GTM22" s="15"/>
      <c r="GTN22" s="15"/>
      <c r="GTO22" s="16"/>
      <c r="GTP22" s="41"/>
      <c r="GTQ22" s="41"/>
      <c r="GTR22" s="28"/>
      <c r="GTS22" s="29"/>
      <c r="GTT22" s="24"/>
      <c r="GTU22" s="13"/>
      <c r="GTV22" s="13"/>
      <c r="GTW22" s="14"/>
      <c r="GTX22" s="15"/>
      <c r="GTY22" s="15"/>
      <c r="GTZ22" s="16"/>
      <c r="GUA22" s="41"/>
      <c r="GUB22" s="41"/>
      <c r="GUC22" s="28"/>
      <c r="GUD22" s="29"/>
      <c r="GUE22" s="24"/>
      <c r="GUF22" s="13"/>
      <c r="GUG22" s="13"/>
      <c r="GUH22" s="14"/>
      <c r="GUI22" s="15"/>
      <c r="GUJ22" s="15"/>
      <c r="GUK22" s="16"/>
      <c r="GUL22" s="41"/>
      <c r="GUM22" s="41"/>
      <c r="GUN22" s="28"/>
      <c r="GUO22" s="29"/>
      <c r="GUP22" s="24"/>
      <c r="GUQ22" s="13"/>
      <c r="GUR22" s="13"/>
      <c r="GUS22" s="14"/>
      <c r="GUT22" s="15"/>
      <c r="GUU22" s="15"/>
      <c r="GUV22" s="16"/>
      <c r="GUW22" s="41"/>
      <c r="GUX22" s="41"/>
      <c r="GUY22" s="28"/>
      <c r="GUZ22" s="29"/>
      <c r="GVA22" s="24"/>
      <c r="GVB22" s="13"/>
      <c r="GVC22" s="13"/>
      <c r="GVD22" s="14"/>
      <c r="GVE22" s="15"/>
      <c r="GVF22" s="15"/>
      <c r="GVG22" s="16"/>
      <c r="GVH22" s="41"/>
      <c r="GVI22" s="41"/>
      <c r="GVJ22" s="28"/>
      <c r="GVK22" s="29"/>
      <c r="GVL22" s="24"/>
      <c r="GVM22" s="13"/>
      <c r="GVN22" s="13"/>
      <c r="GVO22" s="14"/>
      <c r="GVP22" s="15"/>
      <c r="GVQ22" s="15"/>
      <c r="GVR22" s="16"/>
      <c r="GVS22" s="41"/>
      <c r="GVT22" s="41"/>
      <c r="GVU22" s="28"/>
      <c r="GVV22" s="29"/>
      <c r="GVW22" s="24"/>
      <c r="GVX22" s="13"/>
      <c r="GVY22" s="13"/>
      <c r="GVZ22" s="14"/>
      <c r="GWA22" s="15"/>
      <c r="GWB22" s="15"/>
      <c r="GWC22" s="16"/>
      <c r="GWD22" s="41"/>
      <c r="GWE22" s="41"/>
      <c r="GWF22" s="28"/>
      <c r="GWG22" s="29"/>
      <c r="GWH22" s="24"/>
      <c r="GWI22" s="13"/>
      <c r="GWJ22" s="13"/>
      <c r="GWK22" s="14"/>
      <c r="GWL22" s="15"/>
      <c r="GWM22" s="15"/>
      <c r="GWN22" s="16"/>
      <c r="GWO22" s="41"/>
      <c r="GWP22" s="41"/>
      <c r="GWQ22" s="28"/>
      <c r="GWR22" s="29"/>
      <c r="GWS22" s="24"/>
      <c r="GWT22" s="13"/>
      <c r="GWU22" s="13"/>
      <c r="GWV22" s="14"/>
      <c r="GWW22" s="15"/>
      <c r="GWX22" s="15"/>
      <c r="GWY22" s="16"/>
      <c r="GWZ22" s="41"/>
      <c r="GXA22" s="41"/>
      <c r="GXB22" s="28"/>
      <c r="GXC22" s="29"/>
      <c r="GXD22" s="24"/>
      <c r="GXE22" s="13"/>
      <c r="GXF22" s="13"/>
      <c r="GXG22" s="14"/>
      <c r="GXH22" s="15"/>
      <c r="GXI22" s="15"/>
      <c r="GXJ22" s="16"/>
      <c r="GXK22" s="41"/>
      <c r="GXL22" s="41"/>
      <c r="GXM22" s="28"/>
      <c r="GXN22" s="29"/>
      <c r="GXO22" s="24"/>
      <c r="GXP22" s="13"/>
      <c r="GXQ22" s="13"/>
      <c r="GXR22" s="14"/>
      <c r="GXS22" s="15"/>
      <c r="GXT22" s="15"/>
      <c r="GXU22" s="16"/>
      <c r="GXV22" s="41"/>
      <c r="GXW22" s="41"/>
      <c r="GXX22" s="28"/>
      <c r="GXY22" s="29"/>
      <c r="GXZ22" s="24"/>
      <c r="GYA22" s="13"/>
      <c r="GYB22" s="13"/>
      <c r="GYC22" s="14"/>
      <c r="GYD22" s="15"/>
      <c r="GYE22" s="15"/>
      <c r="GYF22" s="16"/>
      <c r="GYG22" s="41"/>
      <c r="GYH22" s="41"/>
      <c r="GYI22" s="28"/>
      <c r="GYJ22" s="29"/>
      <c r="GYK22" s="24"/>
      <c r="GYL22" s="13"/>
      <c r="GYM22" s="13"/>
      <c r="GYN22" s="14"/>
      <c r="GYO22" s="15"/>
      <c r="GYP22" s="15"/>
      <c r="GYQ22" s="16"/>
      <c r="GYR22" s="41"/>
      <c r="GYS22" s="41"/>
      <c r="GYT22" s="28"/>
      <c r="GYU22" s="29"/>
      <c r="GYV22" s="24"/>
      <c r="GYW22" s="13"/>
      <c r="GYX22" s="13"/>
      <c r="GYY22" s="14"/>
      <c r="GYZ22" s="15"/>
      <c r="GZA22" s="15"/>
      <c r="GZB22" s="16"/>
      <c r="GZC22" s="41"/>
      <c r="GZD22" s="41"/>
      <c r="GZE22" s="28"/>
      <c r="GZF22" s="29"/>
      <c r="GZG22" s="24"/>
      <c r="GZH22" s="13"/>
      <c r="GZI22" s="13"/>
      <c r="GZJ22" s="14"/>
      <c r="GZK22" s="15"/>
      <c r="GZL22" s="15"/>
      <c r="GZM22" s="16"/>
      <c r="GZN22" s="41"/>
      <c r="GZO22" s="41"/>
      <c r="GZP22" s="28"/>
      <c r="GZQ22" s="29"/>
      <c r="GZR22" s="24"/>
      <c r="GZS22" s="13"/>
      <c r="GZT22" s="13"/>
      <c r="GZU22" s="14"/>
      <c r="GZV22" s="15"/>
      <c r="GZW22" s="15"/>
      <c r="GZX22" s="16"/>
      <c r="GZY22" s="41"/>
      <c r="GZZ22" s="41"/>
      <c r="HAA22" s="28"/>
      <c r="HAB22" s="29"/>
      <c r="HAC22" s="24"/>
      <c r="HAD22" s="13"/>
      <c r="HAE22" s="13"/>
      <c r="HAF22" s="14"/>
      <c r="HAG22" s="15"/>
      <c r="HAH22" s="15"/>
      <c r="HAI22" s="16"/>
      <c r="HAJ22" s="41"/>
      <c r="HAK22" s="41"/>
      <c r="HAL22" s="28"/>
      <c r="HAM22" s="29"/>
      <c r="HAN22" s="24"/>
      <c r="HAO22" s="13"/>
      <c r="HAP22" s="13"/>
      <c r="HAQ22" s="14"/>
      <c r="HAR22" s="15"/>
      <c r="HAS22" s="15"/>
      <c r="HAT22" s="16"/>
      <c r="HAU22" s="41"/>
      <c r="HAV22" s="41"/>
      <c r="HAW22" s="28"/>
      <c r="HAX22" s="29"/>
      <c r="HAY22" s="24"/>
      <c r="HAZ22" s="13"/>
      <c r="HBA22" s="13"/>
      <c r="HBB22" s="14"/>
      <c r="HBC22" s="15"/>
      <c r="HBD22" s="15"/>
      <c r="HBE22" s="16"/>
      <c r="HBF22" s="41"/>
      <c r="HBG22" s="41"/>
      <c r="HBH22" s="28"/>
      <c r="HBI22" s="29"/>
      <c r="HBJ22" s="24"/>
      <c r="HBK22" s="13"/>
      <c r="HBL22" s="13"/>
      <c r="HBM22" s="14"/>
      <c r="HBN22" s="15"/>
      <c r="HBO22" s="15"/>
      <c r="HBP22" s="16"/>
      <c r="HBQ22" s="41"/>
      <c r="HBR22" s="41"/>
      <c r="HBS22" s="28"/>
      <c r="HBT22" s="29"/>
      <c r="HBU22" s="24"/>
      <c r="HBV22" s="13"/>
      <c r="HBW22" s="13"/>
      <c r="HBX22" s="14"/>
      <c r="HBY22" s="15"/>
      <c r="HBZ22" s="15"/>
      <c r="HCA22" s="16"/>
      <c r="HCB22" s="41"/>
      <c r="HCC22" s="41"/>
      <c r="HCD22" s="28"/>
      <c r="HCE22" s="29"/>
      <c r="HCF22" s="24"/>
      <c r="HCG22" s="13"/>
      <c r="HCH22" s="13"/>
      <c r="HCI22" s="14"/>
      <c r="HCJ22" s="15"/>
      <c r="HCK22" s="15"/>
      <c r="HCL22" s="16"/>
      <c r="HCM22" s="41"/>
      <c r="HCN22" s="41"/>
      <c r="HCO22" s="28"/>
      <c r="HCP22" s="29"/>
      <c r="HCQ22" s="24"/>
      <c r="HCR22" s="13"/>
      <c r="HCS22" s="13"/>
      <c r="HCT22" s="14"/>
      <c r="HCU22" s="15"/>
      <c r="HCV22" s="15"/>
      <c r="HCW22" s="16"/>
      <c r="HCX22" s="41"/>
      <c r="HCY22" s="41"/>
      <c r="HCZ22" s="28"/>
      <c r="HDA22" s="29"/>
      <c r="HDB22" s="24"/>
      <c r="HDC22" s="13"/>
      <c r="HDD22" s="13"/>
      <c r="HDE22" s="14"/>
      <c r="HDF22" s="15"/>
      <c r="HDG22" s="15"/>
      <c r="HDH22" s="16"/>
      <c r="HDI22" s="41"/>
      <c r="HDJ22" s="41"/>
      <c r="HDK22" s="28"/>
      <c r="HDL22" s="29"/>
      <c r="HDM22" s="24"/>
      <c r="HDN22" s="13"/>
      <c r="HDO22" s="13"/>
      <c r="HDP22" s="14"/>
      <c r="HDQ22" s="15"/>
      <c r="HDR22" s="15"/>
      <c r="HDS22" s="16"/>
      <c r="HDT22" s="41"/>
      <c r="HDU22" s="41"/>
      <c r="HDV22" s="28"/>
      <c r="HDW22" s="29"/>
      <c r="HDX22" s="24"/>
      <c r="HDY22" s="13"/>
      <c r="HDZ22" s="13"/>
      <c r="HEA22" s="14"/>
      <c r="HEB22" s="15"/>
      <c r="HEC22" s="15"/>
      <c r="HED22" s="16"/>
      <c r="HEE22" s="41"/>
      <c r="HEF22" s="41"/>
      <c r="HEG22" s="28"/>
      <c r="HEH22" s="29"/>
      <c r="HEI22" s="24"/>
      <c r="HEJ22" s="13"/>
      <c r="HEK22" s="13"/>
      <c r="HEL22" s="14"/>
      <c r="HEM22" s="15"/>
      <c r="HEN22" s="15"/>
      <c r="HEO22" s="16"/>
      <c r="HEP22" s="41"/>
      <c r="HEQ22" s="41"/>
      <c r="HER22" s="28"/>
      <c r="HES22" s="29"/>
      <c r="HET22" s="24"/>
      <c r="HEU22" s="13"/>
      <c r="HEV22" s="13"/>
      <c r="HEW22" s="14"/>
      <c r="HEX22" s="15"/>
      <c r="HEY22" s="15"/>
      <c r="HEZ22" s="16"/>
      <c r="HFA22" s="41"/>
      <c r="HFB22" s="41"/>
      <c r="HFC22" s="28"/>
      <c r="HFD22" s="29"/>
      <c r="HFE22" s="24"/>
      <c r="HFF22" s="13"/>
      <c r="HFG22" s="13"/>
      <c r="HFH22" s="14"/>
      <c r="HFI22" s="15"/>
      <c r="HFJ22" s="15"/>
      <c r="HFK22" s="16"/>
      <c r="HFL22" s="41"/>
      <c r="HFM22" s="41"/>
      <c r="HFN22" s="28"/>
      <c r="HFO22" s="29"/>
      <c r="HFP22" s="24"/>
      <c r="HFQ22" s="13"/>
      <c r="HFR22" s="13"/>
      <c r="HFS22" s="14"/>
      <c r="HFT22" s="15"/>
      <c r="HFU22" s="15"/>
      <c r="HFV22" s="16"/>
      <c r="HFW22" s="41"/>
      <c r="HFX22" s="41"/>
      <c r="HFY22" s="28"/>
      <c r="HFZ22" s="29"/>
      <c r="HGA22" s="24"/>
      <c r="HGB22" s="13"/>
      <c r="HGC22" s="13"/>
      <c r="HGD22" s="14"/>
      <c r="HGE22" s="15"/>
      <c r="HGF22" s="15"/>
      <c r="HGG22" s="16"/>
      <c r="HGH22" s="41"/>
      <c r="HGI22" s="41"/>
      <c r="HGJ22" s="28"/>
      <c r="HGK22" s="29"/>
      <c r="HGL22" s="24"/>
      <c r="HGM22" s="13"/>
      <c r="HGN22" s="13"/>
      <c r="HGO22" s="14"/>
      <c r="HGP22" s="15"/>
      <c r="HGQ22" s="15"/>
      <c r="HGR22" s="16"/>
      <c r="HGS22" s="41"/>
      <c r="HGT22" s="41"/>
      <c r="HGU22" s="28"/>
      <c r="HGV22" s="29"/>
      <c r="HGW22" s="24"/>
      <c r="HGX22" s="13"/>
      <c r="HGY22" s="13"/>
      <c r="HGZ22" s="14"/>
      <c r="HHA22" s="15"/>
      <c r="HHB22" s="15"/>
      <c r="HHC22" s="16"/>
      <c r="HHD22" s="41"/>
      <c r="HHE22" s="41"/>
      <c r="HHF22" s="28"/>
      <c r="HHG22" s="29"/>
      <c r="HHH22" s="24"/>
      <c r="HHI22" s="13"/>
      <c r="HHJ22" s="13"/>
      <c r="HHK22" s="14"/>
      <c r="HHL22" s="15"/>
      <c r="HHM22" s="15"/>
      <c r="HHN22" s="16"/>
      <c r="HHO22" s="41"/>
      <c r="HHP22" s="41"/>
      <c r="HHQ22" s="28"/>
      <c r="HHR22" s="29"/>
      <c r="HHS22" s="24"/>
      <c r="HHT22" s="13"/>
      <c r="HHU22" s="13"/>
      <c r="HHV22" s="14"/>
      <c r="HHW22" s="15"/>
      <c r="HHX22" s="15"/>
      <c r="HHY22" s="16"/>
      <c r="HHZ22" s="41"/>
      <c r="HIA22" s="41"/>
      <c r="HIB22" s="28"/>
      <c r="HIC22" s="29"/>
      <c r="HID22" s="24"/>
      <c r="HIE22" s="13"/>
      <c r="HIF22" s="13"/>
      <c r="HIG22" s="14"/>
      <c r="HIH22" s="15"/>
      <c r="HII22" s="15"/>
      <c r="HIJ22" s="16"/>
      <c r="HIK22" s="41"/>
      <c r="HIL22" s="41"/>
      <c r="HIM22" s="28"/>
      <c r="HIN22" s="29"/>
      <c r="HIO22" s="24"/>
      <c r="HIP22" s="13"/>
      <c r="HIQ22" s="13"/>
      <c r="HIR22" s="14"/>
      <c r="HIS22" s="15"/>
      <c r="HIT22" s="15"/>
      <c r="HIU22" s="16"/>
      <c r="HIV22" s="41"/>
      <c r="HIW22" s="41"/>
      <c r="HIX22" s="28"/>
      <c r="HIY22" s="29"/>
      <c r="HIZ22" s="24"/>
      <c r="HJA22" s="13"/>
      <c r="HJB22" s="13"/>
      <c r="HJC22" s="14"/>
      <c r="HJD22" s="15"/>
      <c r="HJE22" s="15"/>
      <c r="HJF22" s="16"/>
      <c r="HJG22" s="41"/>
      <c r="HJH22" s="41"/>
      <c r="HJI22" s="28"/>
      <c r="HJJ22" s="29"/>
      <c r="HJK22" s="24"/>
      <c r="HJL22" s="13"/>
      <c r="HJM22" s="13"/>
      <c r="HJN22" s="14"/>
      <c r="HJO22" s="15"/>
      <c r="HJP22" s="15"/>
      <c r="HJQ22" s="16"/>
      <c r="HJR22" s="41"/>
      <c r="HJS22" s="41"/>
      <c r="HJT22" s="28"/>
      <c r="HJU22" s="29"/>
      <c r="HJV22" s="24"/>
      <c r="HJW22" s="13"/>
      <c r="HJX22" s="13"/>
      <c r="HJY22" s="14"/>
      <c r="HJZ22" s="15"/>
      <c r="HKA22" s="15"/>
      <c r="HKB22" s="16"/>
      <c r="HKC22" s="41"/>
      <c r="HKD22" s="41"/>
      <c r="HKE22" s="28"/>
      <c r="HKF22" s="29"/>
      <c r="HKG22" s="24"/>
      <c r="HKH22" s="13"/>
      <c r="HKI22" s="13"/>
      <c r="HKJ22" s="14"/>
      <c r="HKK22" s="15"/>
      <c r="HKL22" s="15"/>
      <c r="HKM22" s="16"/>
      <c r="HKN22" s="41"/>
      <c r="HKO22" s="41"/>
      <c r="HKP22" s="28"/>
      <c r="HKQ22" s="29"/>
      <c r="HKR22" s="24"/>
      <c r="HKS22" s="13"/>
      <c r="HKT22" s="13"/>
      <c r="HKU22" s="14"/>
      <c r="HKV22" s="15"/>
      <c r="HKW22" s="15"/>
      <c r="HKX22" s="16"/>
      <c r="HKY22" s="41"/>
      <c r="HKZ22" s="41"/>
      <c r="HLA22" s="28"/>
      <c r="HLB22" s="29"/>
      <c r="HLC22" s="24"/>
      <c r="HLD22" s="13"/>
      <c r="HLE22" s="13"/>
      <c r="HLF22" s="14"/>
      <c r="HLG22" s="15"/>
      <c r="HLH22" s="15"/>
      <c r="HLI22" s="16"/>
      <c r="HLJ22" s="41"/>
      <c r="HLK22" s="41"/>
      <c r="HLL22" s="28"/>
      <c r="HLM22" s="29"/>
      <c r="HLN22" s="24"/>
      <c r="HLO22" s="13"/>
      <c r="HLP22" s="13"/>
      <c r="HLQ22" s="14"/>
      <c r="HLR22" s="15"/>
      <c r="HLS22" s="15"/>
      <c r="HLT22" s="16"/>
      <c r="HLU22" s="41"/>
      <c r="HLV22" s="41"/>
      <c r="HLW22" s="28"/>
      <c r="HLX22" s="29"/>
      <c r="HLY22" s="24"/>
      <c r="HLZ22" s="13"/>
      <c r="HMA22" s="13"/>
      <c r="HMB22" s="14"/>
      <c r="HMC22" s="15"/>
      <c r="HMD22" s="15"/>
      <c r="HME22" s="16"/>
      <c r="HMF22" s="41"/>
      <c r="HMG22" s="41"/>
      <c r="HMH22" s="28"/>
      <c r="HMI22" s="29"/>
      <c r="HMJ22" s="24"/>
      <c r="HMK22" s="13"/>
      <c r="HML22" s="13"/>
      <c r="HMM22" s="14"/>
      <c r="HMN22" s="15"/>
      <c r="HMO22" s="15"/>
      <c r="HMP22" s="16"/>
      <c r="HMQ22" s="41"/>
      <c r="HMR22" s="41"/>
      <c r="HMS22" s="28"/>
      <c r="HMT22" s="29"/>
      <c r="HMU22" s="24"/>
      <c r="HMV22" s="13"/>
      <c r="HMW22" s="13"/>
      <c r="HMX22" s="14"/>
      <c r="HMY22" s="15"/>
      <c r="HMZ22" s="15"/>
      <c r="HNA22" s="16"/>
      <c r="HNB22" s="41"/>
      <c r="HNC22" s="41"/>
      <c r="HND22" s="28"/>
      <c r="HNE22" s="29"/>
      <c r="HNF22" s="24"/>
      <c r="HNG22" s="13"/>
      <c r="HNH22" s="13"/>
      <c r="HNI22" s="14"/>
      <c r="HNJ22" s="15"/>
      <c r="HNK22" s="15"/>
      <c r="HNL22" s="16"/>
      <c r="HNM22" s="41"/>
      <c r="HNN22" s="41"/>
      <c r="HNO22" s="28"/>
      <c r="HNP22" s="29"/>
      <c r="HNQ22" s="24"/>
      <c r="HNR22" s="13"/>
      <c r="HNS22" s="13"/>
      <c r="HNT22" s="14"/>
      <c r="HNU22" s="15"/>
      <c r="HNV22" s="15"/>
      <c r="HNW22" s="16"/>
      <c r="HNX22" s="41"/>
      <c r="HNY22" s="41"/>
      <c r="HNZ22" s="28"/>
      <c r="HOA22" s="29"/>
      <c r="HOB22" s="24"/>
      <c r="HOC22" s="13"/>
      <c r="HOD22" s="13"/>
      <c r="HOE22" s="14"/>
      <c r="HOF22" s="15"/>
      <c r="HOG22" s="15"/>
      <c r="HOH22" s="16"/>
      <c r="HOI22" s="41"/>
      <c r="HOJ22" s="41"/>
      <c r="HOK22" s="28"/>
      <c r="HOL22" s="29"/>
      <c r="HOM22" s="24"/>
      <c r="HON22" s="13"/>
      <c r="HOO22" s="13"/>
      <c r="HOP22" s="14"/>
      <c r="HOQ22" s="15"/>
      <c r="HOR22" s="15"/>
      <c r="HOS22" s="16"/>
      <c r="HOT22" s="41"/>
      <c r="HOU22" s="41"/>
      <c r="HOV22" s="28"/>
      <c r="HOW22" s="29"/>
      <c r="HOX22" s="24"/>
      <c r="HOY22" s="13"/>
      <c r="HOZ22" s="13"/>
      <c r="HPA22" s="14"/>
      <c r="HPB22" s="15"/>
      <c r="HPC22" s="15"/>
      <c r="HPD22" s="16"/>
      <c r="HPE22" s="41"/>
      <c r="HPF22" s="41"/>
      <c r="HPG22" s="28"/>
      <c r="HPH22" s="29"/>
      <c r="HPI22" s="24"/>
      <c r="HPJ22" s="13"/>
      <c r="HPK22" s="13"/>
      <c r="HPL22" s="14"/>
      <c r="HPM22" s="15"/>
      <c r="HPN22" s="15"/>
      <c r="HPO22" s="16"/>
      <c r="HPP22" s="41"/>
      <c r="HPQ22" s="41"/>
      <c r="HPR22" s="28"/>
      <c r="HPS22" s="29"/>
      <c r="HPT22" s="24"/>
      <c r="HPU22" s="13"/>
      <c r="HPV22" s="13"/>
      <c r="HPW22" s="14"/>
      <c r="HPX22" s="15"/>
      <c r="HPY22" s="15"/>
      <c r="HPZ22" s="16"/>
      <c r="HQA22" s="41"/>
      <c r="HQB22" s="41"/>
      <c r="HQC22" s="28"/>
      <c r="HQD22" s="29"/>
      <c r="HQE22" s="24"/>
      <c r="HQF22" s="13"/>
      <c r="HQG22" s="13"/>
      <c r="HQH22" s="14"/>
      <c r="HQI22" s="15"/>
      <c r="HQJ22" s="15"/>
      <c r="HQK22" s="16"/>
      <c r="HQL22" s="41"/>
      <c r="HQM22" s="41"/>
      <c r="HQN22" s="28"/>
      <c r="HQO22" s="29"/>
      <c r="HQP22" s="24"/>
      <c r="HQQ22" s="13"/>
      <c r="HQR22" s="13"/>
      <c r="HQS22" s="14"/>
      <c r="HQT22" s="15"/>
      <c r="HQU22" s="15"/>
      <c r="HQV22" s="16"/>
      <c r="HQW22" s="41"/>
      <c r="HQX22" s="41"/>
      <c r="HQY22" s="28"/>
      <c r="HQZ22" s="29"/>
      <c r="HRA22" s="24"/>
      <c r="HRB22" s="13"/>
      <c r="HRC22" s="13"/>
      <c r="HRD22" s="14"/>
      <c r="HRE22" s="15"/>
      <c r="HRF22" s="15"/>
      <c r="HRG22" s="16"/>
      <c r="HRH22" s="41"/>
      <c r="HRI22" s="41"/>
      <c r="HRJ22" s="28"/>
      <c r="HRK22" s="29"/>
      <c r="HRL22" s="24"/>
      <c r="HRM22" s="13"/>
      <c r="HRN22" s="13"/>
      <c r="HRO22" s="14"/>
      <c r="HRP22" s="15"/>
      <c r="HRQ22" s="15"/>
      <c r="HRR22" s="16"/>
      <c r="HRS22" s="41"/>
      <c r="HRT22" s="41"/>
      <c r="HRU22" s="28"/>
      <c r="HRV22" s="29"/>
      <c r="HRW22" s="24"/>
      <c r="HRX22" s="13"/>
      <c r="HRY22" s="13"/>
      <c r="HRZ22" s="14"/>
      <c r="HSA22" s="15"/>
      <c r="HSB22" s="15"/>
      <c r="HSC22" s="16"/>
      <c r="HSD22" s="41"/>
      <c r="HSE22" s="41"/>
      <c r="HSF22" s="28"/>
      <c r="HSG22" s="29"/>
      <c r="HSH22" s="24"/>
      <c r="HSI22" s="13"/>
      <c r="HSJ22" s="13"/>
      <c r="HSK22" s="14"/>
      <c r="HSL22" s="15"/>
      <c r="HSM22" s="15"/>
      <c r="HSN22" s="16"/>
      <c r="HSO22" s="41"/>
      <c r="HSP22" s="41"/>
      <c r="HSQ22" s="28"/>
      <c r="HSR22" s="29"/>
      <c r="HSS22" s="24"/>
      <c r="HST22" s="13"/>
      <c r="HSU22" s="13"/>
      <c r="HSV22" s="14"/>
      <c r="HSW22" s="15"/>
      <c r="HSX22" s="15"/>
      <c r="HSY22" s="16"/>
      <c r="HSZ22" s="41"/>
      <c r="HTA22" s="41"/>
      <c r="HTB22" s="28"/>
      <c r="HTC22" s="29"/>
      <c r="HTD22" s="24"/>
      <c r="HTE22" s="13"/>
      <c r="HTF22" s="13"/>
      <c r="HTG22" s="14"/>
      <c r="HTH22" s="15"/>
      <c r="HTI22" s="15"/>
      <c r="HTJ22" s="16"/>
      <c r="HTK22" s="41"/>
      <c r="HTL22" s="41"/>
      <c r="HTM22" s="28"/>
      <c r="HTN22" s="29"/>
      <c r="HTO22" s="24"/>
      <c r="HTP22" s="13"/>
      <c r="HTQ22" s="13"/>
      <c r="HTR22" s="14"/>
      <c r="HTS22" s="15"/>
      <c r="HTT22" s="15"/>
      <c r="HTU22" s="16"/>
      <c r="HTV22" s="41"/>
      <c r="HTW22" s="41"/>
      <c r="HTX22" s="28"/>
      <c r="HTY22" s="29"/>
      <c r="HTZ22" s="24"/>
      <c r="HUA22" s="13"/>
      <c r="HUB22" s="13"/>
      <c r="HUC22" s="14"/>
      <c r="HUD22" s="15"/>
      <c r="HUE22" s="15"/>
      <c r="HUF22" s="16"/>
      <c r="HUG22" s="41"/>
      <c r="HUH22" s="41"/>
      <c r="HUI22" s="28"/>
      <c r="HUJ22" s="29"/>
      <c r="HUK22" s="24"/>
      <c r="HUL22" s="13"/>
      <c r="HUM22" s="13"/>
      <c r="HUN22" s="14"/>
      <c r="HUO22" s="15"/>
      <c r="HUP22" s="15"/>
      <c r="HUQ22" s="16"/>
      <c r="HUR22" s="41"/>
      <c r="HUS22" s="41"/>
      <c r="HUT22" s="28"/>
      <c r="HUU22" s="29"/>
      <c r="HUV22" s="24"/>
      <c r="HUW22" s="13"/>
      <c r="HUX22" s="13"/>
      <c r="HUY22" s="14"/>
      <c r="HUZ22" s="15"/>
      <c r="HVA22" s="15"/>
      <c r="HVB22" s="16"/>
      <c r="HVC22" s="41"/>
      <c r="HVD22" s="41"/>
      <c r="HVE22" s="28"/>
      <c r="HVF22" s="29"/>
      <c r="HVG22" s="24"/>
      <c r="HVH22" s="13"/>
      <c r="HVI22" s="13"/>
      <c r="HVJ22" s="14"/>
      <c r="HVK22" s="15"/>
      <c r="HVL22" s="15"/>
      <c r="HVM22" s="16"/>
      <c r="HVN22" s="41"/>
      <c r="HVO22" s="41"/>
      <c r="HVP22" s="28"/>
      <c r="HVQ22" s="29"/>
      <c r="HVR22" s="24"/>
      <c r="HVS22" s="13"/>
      <c r="HVT22" s="13"/>
      <c r="HVU22" s="14"/>
      <c r="HVV22" s="15"/>
      <c r="HVW22" s="15"/>
      <c r="HVX22" s="16"/>
      <c r="HVY22" s="41"/>
      <c r="HVZ22" s="41"/>
      <c r="HWA22" s="28"/>
      <c r="HWB22" s="29"/>
      <c r="HWC22" s="24"/>
      <c r="HWD22" s="13"/>
      <c r="HWE22" s="13"/>
      <c r="HWF22" s="14"/>
      <c r="HWG22" s="15"/>
      <c r="HWH22" s="15"/>
      <c r="HWI22" s="16"/>
      <c r="HWJ22" s="41"/>
      <c r="HWK22" s="41"/>
      <c r="HWL22" s="28"/>
      <c r="HWM22" s="29"/>
      <c r="HWN22" s="24"/>
      <c r="HWO22" s="13"/>
      <c r="HWP22" s="13"/>
      <c r="HWQ22" s="14"/>
      <c r="HWR22" s="15"/>
      <c r="HWS22" s="15"/>
      <c r="HWT22" s="16"/>
      <c r="HWU22" s="41"/>
      <c r="HWV22" s="41"/>
      <c r="HWW22" s="28"/>
      <c r="HWX22" s="29"/>
      <c r="HWY22" s="24"/>
      <c r="HWZ22" s="13"/>
      <c r="HXA22" s="13"/>
      <c r="HXB22" s="14"/>
      <c r="HXC22" s="15"/>
      <c r="HXD22" s="15"/>
      <c r="HXE22" s="16"/>
      <c r="HXF22" s="41"/>
      <c r="HXG22" s="41"/>
      <c r="HXH22" s="28"/>
      <c r="HXI22" s="29"/>
      <c r="HXJ22" s="24"/>
      <c r="HXK22" s="13"/>
      <c r="HXL22" s="13"/>
      <c r="HXM22" s="14"/>
      <c r="HXN22" s="15"/>
      <c r="HXO22" s="15"/>
      <c r="HXP22" s="16"/>
      <c r="HXQ22" s="41"/>
      <c r="HXR22" s="41"/>
      <c r="HXS22" s="28"/>
      <c r="HXT22" s="29"/>
      <c r="HXU22" s="24"/>
      <c r="HXV22" s="13"/>
      <c r="HXW22" s="13"/>
      <c r="HXX22" s="14"/>
      <c r="HXY22" s="15"/>
      <c r="HXZ22" s="15"/>
      <c r="HYA22" s="16"/>
      <c r="HYB22" s="41"/>
      <c r="HYC22" s="41"/>
      <c r="HYD22" s="28"/>
      <c r="HYE22" s="29"/>
      <c r="HYF22" s="24"/>
      <c r="HYG22" s="13"/>
      <c r="HYH22" s="13"/>
      <c r="HYI22" s="14"/>
      <c r="HYJ22" s="15"/>
      <c r="HYK22" s="15"/>
      <c r="HYL22" s="16"/>
      <c r="HYM22" s="41"/>
      <c r="HYN22" s="41"/>
      <c r="HYO22" s="28"/>
      <c r="HYP22" s="29"/>
      <c r="HYQ22" s="24"/>
      <c r="HYR22" s="13"/>
      <c r="HYS22" s="13"/>
      <c r="HYT22" s="14"/>
      <c r="HYU22" s="15"/>
      <c r="HYV22" s="15"/>
      <c r="HYW22" s="16"/>
      <c r="HYX22" s="41"/>
      <c r="HYY22" s="41"/>
      <c r="HYZ22" s="28"/>
      <c r="HZA22" s="29"/>
      <c r="HZB22" s="24"/>
      <c r="HZC22" s="13"/>
      <c r="HZD22" s="13"/>
      <c r="HZE22" s="14"/>
      <c r="HZF22" s="15"/>
      <c r="HZG22" s="15"/>
      <c r="HZH22" s="16"/>
      <c r="HZI22" s="41"/>
      <c r="HZJ22" s="41"/>
      <c r="HZK22" s="28"/>
      <c r="HZL22" s="29"/>
      <c r="HZM22" s="24"/>
      <c r="HZN22" s="13"/>
      <c r="HZO22" s="13"/>
      <c r="HZP22" s="14"/>
      <c r="HZQ22" s="15"/>
      <c r="HZR22" s="15"/>
      <c r="HZS22" s="16"/>
      <c r="HZT22" s="41"/>
      <c r="HZU22" s="41"/>
      <c r="HZV22" s="28"/>
      <c r="HZW22" s="29"/>
      <c r="HZX22" s="24"/>
      <c r="HZY22" s="13"/>
      <c r="HZZ22" s="13"/>
      <c r="IAA22" s="14"/>
      <c r="IAB22" s="15"/>
      <c r="IAC22" s="15"/>
      <c r="IAD22" s="16"/>
      <c r="IAE22" s="41"/>
      <c r="IAF22" s="41"/>
      <c r="IAG22" s="28"/>
      <c r="IAH22" s="29"/>
      <c r="IAI22" s="24"/>
      <c r="IAJ22" s="13"/>
      <c r="IAK22" s="13"/>
      <c r="IAL22" s="14"/>
      <c r="IAM22" s="15"/>
      <c r="IAN22" s="15"/>
      <c r="IAO22" s="16"/>
      <c r="IAP22" s="41"/>
      <c r="IAQ22" s="41"/>
      <c r="IAR22" s="28"/>
      <c r="IAS22" s="29"/>
      <c r="IAT22" s="24"/>
      <c r="IAU22" s="13"/>
      <c r="IAV22" s="13"/>
      <c r="IAW22" s="14"/>
      <c r="IAX22" s="15"/>
      <c r="IAY22" s="15"/>
      <c r="IAZ22" s="16"/>
      <c r="IBA22" s="41"/>
      <c r="IBB22" s="41"/>
      <c r="IBC22" s="28"/>
      <c r="IBD22" s="29"/>
      <c r="IBE22" s="24"/>
      <c r="IBF22" s="13"/>
      <c r="IBG22" s="13"/>
      <c r="IBH22" s="14"/>
      <c r="IBI22" s="15"/>
      <c r="IBJ22" s="15"/>
      <c r="IBK22" s="16"/>
      <c r="IBL22" s="41"/>
      <c r="IBM22" s="41"/>
      <c r="IBN22" s="28"/>
      <c r="IBO22" s="29"/>
      <c r="IBP22" s="24"/>
      <c r="IBQ22" s="13"/>
      <c r="IBR22" s="13"/>
      <c r="IBS22" s="14"/>
      <c r="IBT22" s="15"/>
      <c r="IBU22" s="15"/>
      <c r="IBV22" s="16"/>
      <c r="IBW22" s="41"/>
      <c r="IBX22" s="41"/>
      <c r="IBY22" s="28"/>
      <c r="IBZ22" s="29"/>
      <c r="ICA22" s="24"/>
      <c r="ICB22" s="13"/>
      <c r="ICC22" s="13"/>
      <c r="ICD22" s="14"/>
      <c r="ICE22" s="15"/>
      <c r="ICF22" s="15"/>
      <c r="ICG22" s="16"/>
      <c r="ICH22" s="41"/>
      <c r="ICI22" s="41"/>
      <c r="ICJ22" s="28"/>
      <c r="ICK22" s="29"/>
      <c r="ICL22" s="24"/>
      <c r="ICM22" s="13"/>
      <c r="ICN22" s="13"/>
      <c r="ICO22" s="14"/>
      <c r="ICP22" s="15"/>
      <c r="ICQ22" s="15"/>
      <c r="ICR22" s="16"/>
      <c r="ICS22" s="41"/>
      <c r="ICT22" s="41"/>
      <c r="ICU22" s="28"/>
      <c r="ICV22" s="29"/>
      <c r="ICW22" s="24"/>
      <c r="ICX22" s="13"/>
      <c r="ICY22" s="13"/>
      <c r="ICZ22" s="14"/>
      <c r="IDA22" s="15"/>
      <c r="IDB22" s="15"/>
      <c r="IDC22" s="16"/>
      <c r="IDD22" s="41"/>
      <c r="IDE22" s="41"/>
      <c r="IDF22" s="28"/>
      <c r="IDG22" s="29"/>
      <c r="IDH22" s="24"/>
      <c r="IDI22" s="13"/>
      <c r="IDJ22" s="13"/>
      <c r="IDK22" s="14"/>
      <c r="IDL22" s="15"/>
      <c r="IDM22" s="15"/>
      <c r="IDN22" s="16"/>
      <c r="IDO22" s="41"/>
      <c r="IDP22" s="41"/>
      <c r="IDQ22" s="28"/>
      <c r="IDR22" s="29"/>
      <c r="IDS22" s="24"/>
      <c r="IDT22" s="13"/>
      <c r="IDU22" s="13"/>
      <c r="IDV22" s="14"/>
      <c r="IDW22" s="15"/>
      <c r="IDX22" s="15"/>
      <c r="IDY22" s="16"/>
      <c r="IDZ22" s="41"/>
      <c r="IEA22" s="41"/>
      <c r="IEB22" s="28"/>
      <c r="IEC22" s="29"/>
      <c r="IED22" s="24"/>
      <c r="IEE22" s="13"/>
      <c r="IEF22" s="13"/>
      <c r="IEG22" s="14"/>
      <c r="IEH22" s="15"/>
      <c r="IEI22" s="15"/>
      <c r="IEJ22" s="16"/>
      <c r="IEK22" s="41"/>
      <c r="IEL22" s="41"/>
      <c r="IEM22" s="28"/>
      <c r="IEN22" s="29"/>
      <c r="IEO22" s="24"/>
      <c r="IEP22" s="13"/>
      <c r="IEQ22" s="13"/>
      <c r="IER22" s="14"/>
      <c r="IES22" s="15"/>
      <c r="IET22" s="15"/>
      <c r="IEU22" s="16"/>
      <c r="IEV22" s="41"/>
      <c r="IEW22" s="41"/>
      <c r="IEX22" s="28"/>
      <c r="IEY22" s="29"/>
      <c r="IEZ22" s="24"/>
      <c r="IFA22" s="13"/>
      <c r="IFB22" s="13"/>
      <c r="IFC22" s="14"/>
      <c r="IFD22" s="15"/>
      <c r="IFE22" s="15"/>
      <c r="IFF22" s="16"/>
      <c r="IFG22" s="41"/>
      <c r="IFH22" s="41"/>
      <c r="IFI22" s="28"/>
      <c r="IFJ22" s="29"/>
      <c r="IFK22" s="24"/>
      <c r="IFL22" s="13"/>
      <c r="IFM22" s="13"/>
      <c r="IFN22" s="14"/>
      <c r="IFO22" s="15"/>
      <c r="IFP22" s="15"/>
      <c r="IFQ22" s="16"/>
      <c r="IFR22" s="41"/>
      <c r="IFS22" s="41"/>
      <c r="IFT22" s="28"/>
      <c r="IFU22" s="29"/>
      <c r="IFV22" s="24"/>
      <c r="IFW22" s="13"/>
      <c r="IFX22" s="13"/>
      <c r="IFY22" s="14"/>
      <c r="IFZ22" s="15"/>
      <c r="IGA22" s="15"/>
      <c r="IGB22" s="16"/>
      <c r="IGC22" s="41"/>
      <c r="IGD22" s="41"/>
      <c r="IGE22" s="28"/>
      <c r="IGF22" s="29"/>
      <c r="IGG22" s="24"/>
      <c r="IGH22" s="13"/>
      <c r="IGI22" s="13"/>
      <c r="IGJ22" s="14"/>
      <c r="IGK22" s="15"/>
      <c r="IGL22" s="15"/>
      <c r="IGM22" s="16"/>
      <c r="IGN22" s="41"/>
      <c r="IGO22" s="41"/>
      <c r="IGP22" s="28"/>
      <c r="IGQ22" s="29"/>
      <c r="IGR22" s="24"/>
      <c r="IGS22" s="13"/>
      <c r="IGT22" s="13"/>
      <c r="IGU22" s="14"/>
      <c r="IGV22" s="15"/>
      <c r="IGW22" s="15"/>
      <c r="IGX22" s="16"/>
      <c r="IGY22" s="41"/>
      <c r="IGZ22" s="41"/>
      <c r="IHA22" s="28"/>
      <c r="IHB22" s="29"/>
      <c r="IHC22" s="24"/>
      <c r="IHD22" s="13"/>
      <c r="IHE22" s="13"/>
      <c r="IHF22" s="14"/>
      <c r="IHG22" s="15"/>
      <c r="IHH22" s="15"/>
      <c r="IHI22" s="16"/>
      <c r="IHJ22" s="41"/>
      <c r="IHK22" s="41"/>
      <c r="IHL22" s="28"/>
      <c r="IHM22" s="29"/>
      <c r="IHN22" s="24"/>
      <c r="IHO22" s="13"/>
      <c r="IHP22" s="13"/>
      <c r="IHQ22" s="14"/>
      <c r="IHR22" s="15"/>
      <c r="IHS22" s="15"/>
      <c r="IHT22" s="16"/>
      <c r="IHU22" s="41"/>
      <c r="IHV22" s="41"/>
      <c r="IHW22" s="28"/>
      <c r="IHX22" s="29"/>
      <c r="IHY22" s="24"/>
      <c r="IHZ22" s="13"/>
      <c r="IIA22" s="13"/>
      <c r="IIB22" s="14"/>
      <c r="IIC22" s="15"/>
      <c r="IID22" s="15"/>
      <c r="IIE22" s="16"/>
      <c r="IIF22" s="41"/>
      <c r="IIG22" s="41"/>
      <c r="IIH22" s="28"/>
      <c r="III22" s="29"/>
      <c r="IIJ22" s="24"/>
      <c r="IIK22" s="13"/>
      <c r="IIL22" s="13"/>
      <c r="IIM22" s="14"/>
      <c r="IIN22" s="15"/>
      <c r="IIO22" s="15"/>
      <c r="IIP22" s="16"/>
      <c r="IIQ22" s="41"/>
      <c r="IIR22" s="41"/>
      <c r="IIS22" s="28"/>
      <c r="IIT22" s="29"/>
      <c r="IIU22" s="24"/>
      <c r="IIV22" s="13"/>
      <c r="IIW22" s="13"/>
      <c r="IIX22" s="14"/>
      <c r="IIY22" s="15"/>
      <c r="IIZ22" s="15"/>
      <c r="IJA22" s="16"/>
      <c r="IJB22" s="41"/>
      <c r="IJC22" s="41"/>
      <c r="IJD22" s="28"/>
      <c r="IJE22" s="29"/>
      <c r="IJF22" s="24"/>
      <c r="IJG22" s="13"/>
      <c r="IJH22" s="13"/>
      <c r="IJI22" s="14"/>
      <c r="IJJ22" s="15"/>
      <c r="IJK22" s="15"/>
      <c r="IJL22" s="16"/>
      <c r="IJM22" s="41"/>
      <c r="IJN22" s="41"/>
      <c r="IJO22" s="28"/>
      <c r="IJP22" s="29"/>
      <c r="IJQ22" s="24"/>
      <c r="IJR22" s="13"/>
      <c r="IJS22" s="13"/>
      <c r="IJT22" s="14"/>
      <c r="IJU22" s="15"/>
      <c r="IJV22" s="15"/>
      <c r="IJW22" s="16"/>
      <c r="IJX22" s="41"/>
      <c r="IJY22" s="41"/>
      <c r="IJZ22" s="28"/>
      <c r="IKA22" s="29"/>
      <c r="IKB22" s="24"/>
      <c r="IKC22" s="13"/>
      <c r="IKD22" s="13"/>
      <c r="IKE22" s="14"/>
      <c r="IKF22" s="15"/>
      <c r="IKG22" s="15"/>
      <c r="IKH22" s="16"/>
      <c r="IKI22" s="41"/>
      <c r="IKJ22" s="41"/>
      <c r="IKK22" s="28"/>
      <c r="IKL22" s="29"/>
      <c r="IKM22" s="24"/>
      <c r="IKN22" s="13"/>
      <c r="IKO22" s="13"/>
      <c r="IKP22" s="14"/>
      <c r="IKQ22" s="15"/>
      <c r="IKR22" s="15"/>
      <c r="IKS22" s="16"/>
      <c r="IKT22" s="41"/>
      <c r="IKU22" s="41"/>
      <c r="IKV22" s="28"/>
      <c r="IKW22" s="29"/>
      <c r="IKX22" s="24"/>
      <c r="IKY22" s="13"/>
      <c r="IKZ22" s="13"/>
      <c r="ILA22" s="14"/>
      <c r="ILB22" s="15"/>
      <c r="ILC22" s="15"/>
      <c r="ILD22" s="16"/>
      <c r="ILE22" s="41"/>
      <c r="ILF22" s="41"/>
      <c r="ILG22" s="28"/>
      <c r="ILH22" s="29"/>
      <c r="ILI22" s="24"/>
      <c r="ILJ22" s="13"/>
      <c r="ILK22" s="13"/>
      <c r="ILL22" s="14"/>
      <c r="ILM22" s="15"/>
      <c r="ILN22" s="15"/>
      <c r="ILO22" s="16"/>
      <c r="ILP22" s="41"/>
      <c r="ILQ22" s="41"/>
      <c r="ILR22" s="28"/>
      <c r="ILS22" s="29"/>
      <c r="ILT22" s="24"/>
      <c r="ILU22" s="13"/>
      <c r="ILV22" s="13"/>
      <c r="ILW22" s="14"/>
      <c r="ILX22" s="15"/>
      <c r="ILY22" s="15"/>
      <c r="ILZ22" s="16"/>
      <c r="IMA22" s="41"/>
      <c r="IMB22" s="41"/>
      <c r="IMC22" s="28"/>
      <c r="IMD22" s="29"/>
      <c r="IME22" s="24"/>
      <c r="IMF22" s="13"/>
      <c r="IMG22" s="13"/>
      <c r="IMH22" s="14"/>
      <c r="IMI22" s="15"/>
      <c r="IMJ22" s="15"/>
      <c r="IMK22" s="16"/>
      <c r="IML22" s="41"/>
      <c r="IMM22" s="41"/>
      <c r="IMN22" s="28"/>
      <c r="IMO22" s="29"/>
      <c r="IMP22" s="24"/>
      <c r="IMQ22" s="13"/>
      <c r="IMR22" s="13"/>
      <c r="IMS22" s="14"/>
      <c r="IMT22" s="15"/>
      <c r="IMU22" s="15"/>
      <c r="IMV22" s="16"/>
      <c r="IMW22" s="41"/>
      <c r="IMX22" s="41"/>
      <c r="IMY22" s="28"/>
      <c r="IMZ22" s="29"/>
      <c r="INA22" s="24"/>
      <c r="INB22" s="13"/>
      <c r="INC22" s="13"/>
      <c r="IND22" s="14"/>
      <c r="INE22" s="15"/>
      <c r="INF22" s="15"/>
      <c r="ING22" s="16"/>
      <c r="INH22" s="41"/>
      <c r="INI22" s="41"/>
      <c r="INJ22" s="28"/>
      <c r="INK22" s="29"/>
      <c r="INL22" s="24"/>
      <c r="INM22" s="13"/>
      <c r="INN22" s="13"/>
      <c r="INO22" s="14"/>
      <c r="INP22" s="15"/>
      <c r="INQ22" s="15"/>
      <c r="INR22" s="16"/>
      <c r="INS22" s="41"/>
      <c r="INT22" s="41"/>
      <c r="INU22" s="28"/>
      <c r="INV22" s="29"/>
      <c r="INW22" s="24"/>
      <c r="INX22" s="13"/>
      <c r="INY22" s="13"/>
      <c r="INZ22" s="14"/>
      <c r="IOA22" s="15"/>
      <c r="IOB22" s="15"/>
      <c r="IOC22" s="16"/>
      <c r="IOD22" s="41"/>
      <c r="IOE22" s="41"/>
      <c r="IOF22" s="28"/>
      <c r="IOG22" s="29"/>
      <c r="IOH22" s="24"/>
      <c r="IOI22" s="13"/>
      <c r="IOJ22" s="13"/>
      <c r="IOK22" s="14"/>
      <c r="IOL22" s="15"/>
      <c r="IOM22" s="15"/>
      <c r="ION22" s="16"/>
      <c r="IOO22" s="41"/>
      <c r="IOP22" s="41"/>
      <c r="IOQ22" s="28"/>
      <c r="IOR22" s="29"/>
      <c r="IOS22" s="24"/>
      <c r="IOT22" s="13"/>
      <c r="IOU22" s="13"/>
      <c r="IOV22" s="14"/>
      <c r="IOW22" s="15"/>
      <c r="IOX22" s="15"/>
      <c r="IOY22" s="16"/>
      <c r="IOZ22" s="41"/>
      <c r="IPA22" s="41"/>
      <c r="IPB22" s="28"/>
      <c r="IPC22" s="29"/>
      <c r="IPD22" s="24"/>
      <c r="IPE22" s="13"/>
      <c r="IPF22" s="13"/>
      <c r="IPG22" s="14"/>
      <c r="IPH22" s="15"/>
      <c r="IPI22" s="15"/>
      <c r="IPJ22" s="16"/>
      <c r="IPK22" s="41"/>
      <c r="IPL22" s="41"/>
      <c r="IPM22" s="28"/>
      <c r="IPN22" s="29"/>
      <c r="IPO22" s="24"/>
      <c r="IPP22" s="13"/>
      <c r="IPQ22" s="13"/>
      <c r="IPR22" s="14"/>
      <c r="IPS22" s="15"/>
      <c r="IPT22" s="15"/>
      <c r="IPU22" s="16"/>
      <c r="IPV22" s="41"/>
      <c r="IPW22" s="41"/>
      <c r="IPX22" s="28"/>
      <c r="IPY22" s="29"/>
      <c r="IPZ22" s="24"/>
      <c r="IQA22" s="13"/>
      <c r="IQB22" s="13"/>
      <c r="IQC22" s="14"/>
      <c r="IQD22" s="15"/>
      <c r="IQE22" s="15"/>
      <c r="IQF22" s="16"/>
      <c r="IQG22" s="41"/>
      <c r="IQH22" s="41"/>
      <c r="IQI22" s="28"/>
      <c r="IQJ22" s="29"/>
      <c r="IQK22" s="24"/>
      <c r="IQL22" s="13"/>
      <c r="IQM22" s="13"/>
      <c r="IQN22" s="14"/>
      <c r="IQO22" s="15"/>
      <c r="IQP22" s="15"/>
      <c r="IQQ22" s="16"/>
      <c r="IQR22" s="41"/>
      <c r="IQS22" s="41"/>
      <c r="IQT22" s="28"/>
      <c r="IQU22" s="29"/>
      <c r="IQV22" s="24"/>
      <c r="IQW22" s="13"/>
      <c r="IQX22" s="13"/>
      <c r="IQY22" s="14"/>
      <c r="IQZ22" s="15"/>
      <c r="IRA22" s="15"/>
      <c r="IRB22" s="16"/>
      <c r="IRC22" s="41"/>
      <c r="IRD22" s="41"/>
      <c r="IRE22" s="28"/>
      <c r="IRF22" s="29"/>
      <c r="IRG22" s="24"/>
      <c r="IRH22" s="13"/>
      <c r="IRI22" s="13"/>
      <c r="IRJ22" s="14"/>
      <c r="IRK22" s="15"/>
      <c r="IRL22" s="15"/>
      <c r="IRM22" s="16"/>
      <c r="IRN22" s="41"/>
      <c r="IRO22" s="41"/>
      <c r="IRP22" s="28"/>
      <c r="IRQ22" s="29"/>
      <c r="IRR22" s="24"/>
      <c r="IRS22" s="13"/>
      <c r="IRT22" s="13"/>
      <c r="IRU22" s="14"/>
      <c r="IRV22" s="15"/>
      <c r="IRW22" s="15"/>
      <c r="IRX22" s="16"/>
      <c r="IRY22" s="41"/>
      <c r="IRZ22" s="41"/>
      <c r="ISA22" s="28"/>
      <c r="ISB22" s="29"/>
      <c r="ISC22" s="24"/>
      <c r="ISD22" s="13"/>
      <c r="ISE22" s="13"/>
      <c r="ISF22" s="14"/>
      <c r="ISG22" s="15"/>
      <c r="ISH22" s="15"/>
      <c r="ISI22" s="16"/>
      <c r="ISJ22" s="41"/>
      <c r="ISK22" s="41"/>
      <c r="ISL22" s="28"/>
      <c r="ISM22" s="29"/>
      <c r="ISN22" s="24"/>
      <c r="ISO22" s="13"/>
      <c r="ISP22" s="13"/>
      <c r="ISQ22" s="14"/>
      <c r="ISR22" s="15"/>
      <c r="ISS22" s="15"/>
      <c r="IST22" s="16"/>
      <c r="ISU22" s="41"/>
      <c r="ISV22" s="41"/>
      <c r="ISW22" s="28"/>
      <c r="ISX22" s="29"/>
      <c r="ISY22" s="24"/>
      <c r="ISZ22" s="13"/>
      <c r="ITA22" s="13"/>
      <c r="ITB22" s="14"/>
      <c r="ITC22" s="15"/>
      <c r="ITD22" s="15"/>
      <c r="ITE22" s="16"/>
      <c r="ITF22" s="41"/>
      <c r="ITG22" s="41"/>
      <c r="ITH22" s="28"/>
      <c r="ITI22" s="29"/>
      <c r="ITJ22" s="24"/>
      <c r="ITK22" s="13"/>
      <c r="ITL22" s="13"/>
      <c r="ITM22" s="14"/>
      <c r="ITN22" s="15"/>
      <c r="ITO22" s="15"/>
      <c r="ITP22" s="16"/>
      <c r="ITQ22" s="41"/>
      <c r="ITR22" s="41"/>
      <c r="ITS22" s="28"/>
      <c r="ITT22" s="29"/>
      <c r="ITU22" s="24"/>
      <c r="ITV22" s="13"/>
      <c r="ITW22" s="13"/>
      <c r="ITX22" s="14"/>
      <c r="ITY22" s="15"/>
      <c r="ITZ22" s="15"/>
      <c r="IUA22" s="16"/>
      <c r="IUB22" s="41"/>
      <c r="IUC22" s="41"/>
      <c r="IUD22" s="28"/>
      <c r="IUE22" s="29"/>
      <c r="IUF22" s="24"/>
      <c r="IUG22" s="13"/>
      <c r="IUH22" s="13"/>
      <c r="IUI22" s="14"/>
      <c r="IUJ22" s="15"/>
      <c r="IUK22" s="15"/>
      <c r="IUL22" s="16"/>
      <c r="IUM22" s="41"/>
      <c r="IUN22" s="41"/>
      <c r="IUO22" s="28"/>
      <c r="IUP22" s="29"/>
      <c r="IUQ22" s="24"/>
      <c r="IUR22" s="13"/>
      <c r="IUS22" s="13"/>
      <c r="IUT22" s="14"/>
      <c r="IUU22" s="15"/>
      <c r="IUV22" s="15"/>
      <c r="IUW22" s="16"/>
      <c r="IUX22" s="41"/>
      <c r="IUY22" s="41"/>
      <c r="IUZ22" s="28"/>
      <c r="IVA22" s="29"/>
      <c r="IVB22" s="24"/>
      <c r="IVC22" s="13"/>
      <c r="IVD22" s="13"/>
      <c r="IVE22" s="14"/>
      <c r="IVF22" s="15"/>
      <c r="IVG22" s="15"/>
      <c r="IVH22" s="16"/>
      <c r="IVI22" s="41"/>
      <c r="IVJ22" s="41"/>
      <c r="IVK22" s="28"/>
      <c r="IVL22" s="29"/>
      <c r="IVM22" s="24"/>
      <c r="IVN22" s="13"/>
      <c r="IVO22" s="13"/>
      <c r="IVP22" s="14"/>
      <c r="IVQ22" s="15"/>
      <c r="IVR22" s="15"/>
      <c r="IVS22" s="16"/>
      <c r="IVT22" s="41"/>
      <c r="IVU22" s="41"/>
      <c r="IVV22" s="28"/>
      <c r="IVW22" s="29"/>
      <c r="IVX22" s="24"/>
      <c r="IVY22" s="13"/>
      <c r="IVZ22" s="13"/>
      <c r="IWA22" s="14"/>
      <c r="IWB22" s="15"/>
      <c r="IWC22" s="15"/>
      <c r="IWD22" s="16"/>
      <c r="IWE22" s="41"/>
      <c r="IWF22" s="41"/>
      <c r="IWG22" s="28"/>
      <c r="IWH22" s="29"/>
      <c r="IWI22" s="24"/>
      <c r="IWJ22" s="13"/>
      <c r="IWK22" s="13"/>
      <c r="IWL22" s="14"/>
      <c r="IWM22" s="15"/>
      <c r="IWN22" s="15"/>
      <c r="IWO22" s="16"/>
      <c r="IWP22" s="41"/>
      <c r="IWQ22" s="41"/>
      <c r="IWR22" s="28"/>
      <c r="IWS22" s="29"/>
      <c r="IWT22" s="24"/>
      <c r="IWU22" s="13"/>
      <c r="IWV22" s="13"/>
      <c r="IWW22" s="14"/>
      <c r="IWX22" s="15"/>
      <c r="IWY22" s="15"/>
      <c r="IWZ22" s="16"/>
      <c r="IXA22" s="41"/>
      <c r="IXB22" s="41"/>
      <c r="IXC22" s="28"/>
      <c r="IXD22" s="29"/>
      <c r="IXE22" s="24"/>
      <c r="IXF22" s="13"/>
      <c r="IXG22" s="13"/>
      <c r="IXH22" s="14"/>
      <c r="IXI22" s="15"/>
      <c r="IXJ22" s="15"/>
      <c r="IXK22" s="16"/>
      <c r="IXL22" s="41"/>
      <c r="IXM22" s="41"/>
      <c r="IXN22" s="28"/>
      <c r="IXO22" s="29"/>
      <c r="IXP22" s="24"/>
      <c r="IXQ22" s="13"/>
      <c r="IXR22" s="13"/>
      <c r="IXS22" s="14"/>
      <c r="IXT22" s="15"/>
      <c r="IXU22" s="15"/>
      <c r="IXV22" s="16"/>
      <c r="IXW22" s="41"/>
      <c r="IXX22" s="41"/>
      <c r="IXY22" s="28"/>
      <c r="IXZ22" s="29"/>
      <c r="IYA22" s="24"/>
      <c r="IYB22" s="13"/>
      <c r="IYC22" s="13"/>
      <c r="IYD22" s="14"/>
      <c r="IYE22" s="15"/>
      <c r="IYF22" s="15"/>
      <c r="IYG22" s="16"/>
      <c r="IYH22" s="41"/>
      <c r="IYI22" s="41"/>
      <c r="IYJ22" s="28"/>
      <c r="IYK22" s="29"/>
      <c r="IYL22" s="24"/>
      <c r="IYM22" s="13"/>
      <c r="IYN22" s="13"/>
      <c r="IYO22" s="14"/>
      <c r="IYP22" s="15"/>
      <c r="IYQ22" s="15"/>
      <c r="IYR22" s="16"/>
      <c r="IYS22" s="41"/>
      <c r="IYT22" s="41"/>
      <c r="IYU22" s="28"/>
      <c r="IYV22" s="29"/>
      <c r="IYW22" s="24"/>
      <c r="IYX22" s="13"/>
      <c r="IYY22" s="13"/>
      <c r="IYZ22" s="14"/>
      <c r="IZA22" s="15"/>
      <c r="IZB22" s="15"/>
      <c r="IZC22" s="16"/>
      <c r="IZD22" s="41"/>
      <c r="IZE22" s="41"/>
      <c r="IZF22" s="28"/>
      <c r="IZG22" s="29"/>
      <c r="IZH22" s="24"/>
      <c r="IZI22" s="13"/>
      <c r="IZJ22" s="13"/>
      <c r="IZK22" s="14"/>
      <c r="IZL22" s="15"/>
      <c r="IZM22" s="15"/>
      <c r="IZN22" s="16"/>
      <c r="IZO22" s="41"/>
      <c r="IZP22" s="41"/>
      <c r="IZQ22" s="28"/>
      <c r="IZR22" s="29"/>
      <c r="IZS22" s="24"/>
      <c r="IZT22" s="13"/>
      <c r="IZU22" s="13"/>
      <c r="IZV22" s="14"/>
      <c r="IZW22" s="15"/>
      <c r="IZX22" s="15"/>
      <c r="IZY22" s="16"/>
      <c r="IZZ22" s="41"/>
      <c r="JAA22" s="41"/>
      <c r="JAB22" s="28"/>
      <c r="JAC22" s="29"/>
      <c r="JAD22" s="24"/>
      <c r="JAE22" s="13"/>
      <c r="JAF22" s="13"/>
      <c r="JAG22" s="14"/>
      <c r="JAH22" s="15"/>
      <c r="JAI22" s="15"/>
      <c r="JAJ22" s="16"/>
      <c r="JAK22" s="41"/>
      <c r="JAL22" s="41"/>
      <c r="JAM22" s="28"/>
      <c r="JAN22" s="29"/>
      <c r="JAO22" s="24"/>
      <c r="JAP22" s="13"/>
      <c r="JAQ22" s="13"/>
      <c r="JAR22" s="14"/>
      <c r="JAS22" s="15"/>
      <c r="JAT22" s="15"/>
      <c r="JAU22" s="16"/>
      <c r="JAV22" s="41"/>
      <c r="JAW22" s="41"/>
      <c r="JAX22" s="28"/>
      <c r="JAY22" s="29"/>
      <c r="JAZ22" s="24"/>
      <c r="JBA22" s="13"/>
      <c r="JBB22" s="13"/>
      <c r="JBC22" s="14"/>
      <c r="JBD22" s="15"/>
      <c r="JBE22" s="15"/>
      <c r="JBF22" s="16"/>
      <c r="JBG22" s="41"/>
      <c r="JBH22" s="41"/>
      <c r="JBI22" s="28"/>
      <c r="JBJ22" s="29"/>
      <c r="JBK22" s="24"/>
      <c r="JBL22" s="13"/>
      <c r="JBM22" s="13"/>
      <c r="JBN22" s="14"/>
      <c r="JBO22" s="15"/>
      <c r="JBP22" s="15"/>
      <c r="JBQ22" s="16"/>
      <c r="JBR22" s="41"/>
      <c r="JBS22" s="41"/>
      <c r="JBT22" s="28"/>
      <c r="JBU22" s="29"/>
      <c r="JBV22" s="24"/>
      <c r="JBW22" s="13"/>
      <c r="JBX22" s="13"/>
      <c r="JBY22" s="14"/>
      <c r="JBZ22" s="15"/>
      <c r="JCA22" s="15"/>
      <c r="JCB22" s="16"/>
      <c r="JCC22" s="41"/>
      <c r="JCD22" s="41"/>
      <c r="JCE22" s="28"/>
      <c r="JCF22" s="29"/>
      <c r="JCG22" s="24"/>
      <c r="JCH22" s="13"/>
      <c r="JCI22" s="13"/>
      <c r="JCJ22" s="14"/>
      <c r="JCK22" s="15"/>
      <c r="JCL22" s="15"/>
      <c r="JCM22" s="16"/>
      <c r="JCN22" s="41"/>
      <c r="JCO22" s="41"/>
      <c r="JCP22" s="28"/>
      <c r="JCQ22" s="29"/>
      <c r="JCR22" s="24"/>
      <c r="JCS22" s="13"/>
      <c r="JCT22" s="13"/>
      <c r="JCU22" s="14"/>
      <c r="JCV22" s="15"/>
      <c r="JCW22" s="15"/>
      <c r="JCX22" s="16"/>
      <c r="JCY22" s="41"/>
      <c r="JCZ22" s="41"/>
      <c r="JDA22" s="28"/>
      <c r="JDB22" s="29"/>
      <c r="JDC22" s="24"/>
      <c r="JDD22" s="13"/>
      <c r="JDE22" s="13"/>
      <c r="JDF22" s="14"/>
      <c r="JDG22" s="15"/>
      <c r="JDH22" s="15"/>
      <c r="JDI22" s="16"/>
      <c r="JDJ22" s="41"/>
      <c r="JDK22" s="41"/>
      <c r="JDL22" s="28"/>
      <c r="JDM22" s="29"/>
      <c r="JDN22" s="24"/>
      <c r="JDO22" s="13"/>
      <c r="JDP22" s="13"/>
      <c r="JDQ22" s="14"/>
      <c r="JDR22" s="15"/>
      <c r="JDS22" s="15"/>
      <c r="JDT22" s="16"/>
      <c r="JDU22" s="41"/>
      <c r="JDV22" s="41"/>
      <c r="JDW22" s="28"/>
      <c r="JDX22" s="29"/>
      <c r="JDY22" s="24"/>
      <c r="JDZ22" s="13"/>
      <c r="JEA22" s="13"/>
      <c r="JEB22" s="14"/>
      <c r="JEC22" s="15"/>
      <c r="JED22" s="15"/>
      <c r="JEE22" s="16"/>
      <c r="JEF22" s="41"/>
      <c r="JEG22" s="41"/>
      <c r="JEH22" s="28"/>
      <c r="JEI22" s="29"/>
      <c r="JEJ22" s="24"/>
      <c r="JEK22" s="13"/>
      <c r="JEL22" s="13"/>
      <c r="JEM22" s="14"/>
      <c r="JEN22" s="15"/>
      <c r="JEO22" s="15"/>
      <c r="JEP22" s="16"/>
      <c r="JEQ22" s="41"/>
      <c r="JER22" s="41"/>
      <c r="JES22" s="28"/>
      <c r="JET22" s="29"/>
      <c r="JEU22" s="24"/>
      <c r="JEV22" s="13"/>
      <c r="JEW22" s="13"/>
      <c r="JEX22" s="14"/>
      <c r="JEY22" s="15"/>
      <c r="JEZ22" s="15"/>
      <c r="JFA22" s="16"/>
      <c r="JFB22" s="41"/>
      <c r="JFC22" s="41"/>
      <c r="JFD22" s="28"/>
      <c r="JFE22" s="29"/>
      <c r="JFF22" s="24"/>
      <c r="JFG22" s="13"/>
      <c r="JFH22" s="13"/>
      <c r="JFI22" s="14"/>
      <c r="JFJ22" s="15"/>
      <c r="JFK22" s="15"/>
      <c r="JFL22" s="16"/>
      <c r="JFM22" s="41"/>
      <c r="JFN22" s="41"/>
      <c r="JFO22" s="28"/>
      <c r="JFP22" s="29"/>
      <c r="JFQ22" s="24"/>
      <c r="JFR22" s="13"/>
      <c r="JFS22" s="13"/>
      <c r="JFT22" s="14"/>
      <c r="JFU22" s="15"/>
      <c r="JFV22" s="15"/>
      <c r="JFW22" s="16"/>
      <c r="JFX22" s="41"/>
      <c r="JFY22" s="41"/>
      <c r="JFZ22" s="28"/>
      <c r="JGA22" s="29"/>
      <c r="JGB22" s="24"/>
      <c r="JGC22" s="13"/>
      <c r="JGD22" s="13"/>
      <c r="JGE22" s="14"/>
      <c r="JGF22" s="15"/>
      <c r="JGG22" s="15"/>
      <c r="JGH22" s="16"/>
      <c r="JGI22" s="41"/>
      <c r="JGJ22" s="41"/>
      <c r="JGK22" s="28"/>
      <c r="JGL22" s="29"/>
      <c r="JGM22" s="24"/>
      <c r="JGN22" s="13"/>
      <c r="JGO22" s="13"/>
      <c r="JGP22" s="14"/>
      <c r="JGQ22" s="15"/>
      <c r="JGR22" s="15"/>
      <c r="JGS22" s="16"/>
      <c r="JGT22" s="41"/>
      <c r="JGU22" s="41"/>
      <c r="JGV22" s="28"/>
      <c r="JGW22" s="29"/>
      <c r="JGX22" s="24"/>
      <c r="JGY22" s="13"/>
      <c r="JGZ22" s="13"/>
      <c r="JHA22" s="14"/>
      <c r="JHB22" s="15"/>
      <c r="JHC22" s="15"/>
      <c r="JHD22" s="16"/>
      <c r="JHE22" s="41"/>
      <c r="JHF22" s="41"/>
      <c r="JHG22" s="28"/>
      <c r="JHH22" s="29"/>
      <c r="JHI22" s="24"/>
      <c r="JHJ22" s="13"/>
      <c r="JHK22" s="13"/>
      <c r="JHL22" s="14"/>
      <c r="JHM22" s="15"/>
      <c r="JHN22" s="15"/>
      <c r="JHO22" s="16"/>
      <c r="JHP22" s="41"/>
      <c r="JHQ22" s="41"/>
      <c r="JHR22" s="28"/>
      <c r="JHS22" s="29"/>
      <c r="JHT22" s="24"/>
      <c r="JHU22" s="13"/>
      <c r="JHV22" s="13"/>
      <c r="JHW22" s="14"/>
      <c r="JHX22" s="15"/>
      <c r="JHY22" s="15"/>
      <c r="JHZ22" s="16"/>
      <c r="JIA22" s="41"/>
      <c r="JIB22" s="41"/>
      <c r="JIC22" s="28"/>
      <c r="JID22" s="29"/>
      <c r="JIE22" s="24"/>
      <c r="JIF22" s="13"/>
      <c r="JIG22" s="13"/>
      <c r="JIH22" s="14"/>
      <c r="JII22" s="15"/>
      <c r="JIJ22" s="15"/>
      <c r="JIK22" s="16"/>
      <c r="JIL22" s="41"/>
      <c r="JIM22" s="41"/>
      <c r="JIN22" s="28"/>
      <c r="JIO22" s="29"/>
      <c r="JIP22" s="24"/>
      <c r="JIQ22" s="13"/>
      <c r="JIR22" s="13"/>
      <c r="JIS22" s="14"/>
      <c r="JIT22" s="15"/>
      <c r="JIU22" s="15"/>
      <c r="JIV22" s="16"/>
      <c r="JIW22" s="41"/>
      <c r="JIX22" s="41"/>
      <c r="JIY22" s="28"/>
      <c r="JIZ22" s="29"/>
      <c r="JJA22" s="24"/>
      <c r="JJB22" s="13"/>
      <c r="JJC22" s="13"/>
      <c r="JJD22" s="14"/>
      <c r="JJE22" s="15"/>
      <c r="JJF22" s="15"/>
      <c r="JJG22" s="16"/>
      <c r="JJH22" s="41"/>
      <c r="JJI22" s="41"/>
      <c r="JJJ22" s="28"/>
      <c r="JJK22" s="29"/>
      <c r="JJL22" s="24"/>
      <c r="JJM22" s="13"/>
      <c r="JJN22" s="13"/>
      <c r="JJO22" s="14"/>
      <c r="JJP22" s="15"/>
      <c r="JJQ22" s="15"/>
      <c r="JJR22" s="16"/>
      <c r="JJS22" s="41"/>
      <c r="JJT22" s="41"/>
      <c r="JJU22" s="28"/>
      <c r="JJV22" s="29"/>
      <c r="JJW22" s="24"/>
      <c r="JJX22" s="13"/>
      <c r="JJY22" s="13"/>
      <c r="JJZ22" s="14"/>
      <c r="JKA22" s="15"/>
      <c r="JKB22" s="15"/>
      <c r="JKC22" s="16"/>
      <c r="JKD22" s="41"/>
      <c r="JKE22" s="41"/>
      <c r="JKF22" s="28"/>
      <c r="JKG22" s="29"/>
      <c r="JKH22" s="24"/>
      <c r="JKI22" s="13"/>
      <c r="JKJ22" s="13"/>
      <c r="JKK22" s="14"/>
      <c r="JKL22" s="15"/>
      <c r="JKM22" s="15"/>
      <c r="JKN22" s="16"/>
      <c r="JKO22" s="41"/>
      <c r="JKP22" s="41"/>
      <c r="JKQ22" s="28"/>
      <c r="JKR22" s="29"/>
      <c r="JKS22" s="24"/>
      <c r="JKT22" s="13"/>
      <c r="JKU22" s="13"/>
      <c r="JKV22" s="14"/>
      <c r="JKW22" s="15"/>
      <c r="JKX22" s="15"/>
      <c r="JKY22" s="16"/>
      <c r="JKZ22" s="41"/>
      <c r="JLA22" s="41"/>
      <c r="JLB22" s="28"/>
      <c r="JLC22" s="29"/>
      <c r="JLD22" s="24"/>
      <c r="JLE22" s="13"/>
      <c r="JLF22" s="13"/>
      <c r="JLG22" s="14"/>
      <c r="JLH22" s="15"/>
      <c r="JLI22" s="15"/>
      <c r="JLJ22" s="16"/>
      <c r="JLK22" s="41"/>
      <c r="JLL22" s="41"/>
      <c r="JLM22" s="28"/>
      <c r="JLN22" s="29"/>
      <c r="JLO22" s="24"/>
      <c r="JLP22" s="13"/>
      <c r="JLQ22" s="13"/>
      <c r="JLR22" s="14"/>
      <c r="JLS22" s="15"/>
      <c r="JLT22" s="15"/>
      <c r="JLU22" s="16"/>
      <c r="JLV22" s="41"/>
      <c r="JLW22" s="41"/>
      <c r="JLX22" s="28"/>
      <c r="JLY22" s="29"/>
      <c r="JLZ22" s="24"/>
      <c r="JMA22" s="13"/>
      <c r="JMB22" s="13"/>
      <c r="JMC22" s="14"/>
      <c r="JMD22" s="15"/>
      <c r="JME22" s="15"/>
      <c r="JMF22" s="16"/>
      <c r="JMG22" s="41"/>
      <c r="JMH22" s="41"/>
      <c r="JMI22" s="28"/>
      <c r="JMJ22" s="29"/>
      <c r="JMK22" s="24"/>
      <c r="JML22" s="13"/>
      <c r="JMM22" s="13"/>
      <c r="JMN22" s="14"/>
      <c r="JMO22" s="15"/>
      <c r="JMP22" s="15"/>
      <c r="JMQ22" s="16"/>
      <c r="JMR22" s="41"/>
      <c r="JMS22" s="41"/>
      <c r="JMT22" s="28"/>
      <c r="JMU22" s="29"/>
      <c r="JMV22" s="24"/>
      <c r="JMW22" s="13"/>
      <c r="JMX22" s="13"/>
      <c r="JMY22" s="14"/>
      <c r="JMZ22" s="15"/>
      <c r="JNA22" s="15"/>
      <c r="JNB22" s="16"/>
      <c r="JNC22" s="41"/>
      <c r="JND22" s="41"/>
      <c r="JNE22" s="28"/>
      <c r="JNF22" s="29"/>
      <c r="JNG22" s="24"/>
      <c r="JNH22" s="13"/>
      <c r="JNI22" s="13"/>
      <c r="JNJ22" s="14"/>
      <c r="JNK22" s="15"/>
      <c r="JNL22" s="15"/>
      <c r="JNM22" s="16"/>
      <c r="JNN22" s="41"/>
      <c r="JNO22" s="41"/>
      <c r="JNP22" s="28"/>
      <c r="JNQ22" s="29"/>
      <c r="JNR22" s="24"/>
      <c r="JNS22" s="13"/>
      <c r="JNT22" s="13"/>
      <c r="JNU22" s="14"/>
      <c r="JNV22" s="15"/>
      <c r="JNW22" s="15"/>
      <c r="JNX22" s="16"/>
      <c r="JNY22" s="41"/>
      <c r="JNZ22" s="41"/>
      <c r="JOA22" s="28"/>
      <c r="JOB22" s="29"/>
      <c r="JOC22" s="24"/>
      <c r="JOD22" s="13"/>
      <c r="JOE22" s="13"/>
      <c r="JOF22" s="14"/>
      <c r="JOG22" s="15"/>
      <c r="JOH22" s="15"/>
      <c r="JOI22" s="16"/>
      <c r="JOJ22" s="41"/>
      <c r="JOK22" s="41"/>
      <c r="JOL22" s="28"/>
      <c r="JOM22" s="29"/>
      <c r="JON22" s="24"/>
      <c r="JOO22" s="13"/>
      <c r="JOP22" s="13"/>
      <c r="JOQ22" s="14"/>
      <c r="JOR22" s="15"/>
      <c r="JOS22" s="15"/>
      <c r="JOT22" s="16"/>
      <c r="JOU22" s="41"/>
      <c r="JOV22" s="41"/>
      <c r="JOW22" s="28"/>
      <c r="JOX22" s="29"/>
      <c r="JOY22" s="24"/>
      <c r="JOZ22" s="13"/>
      <c r="JPA22" s="13"/>
      <c r="JPB22" s="14"/>
      <c r="JPC22" s="15"/>
      <c r="JPD22" s="15"/>
      <c r="JPE22" s="16"/>
      <c r="JPF22" s="41"/>
      <c r="JPG22" s="41"/>
      <c r="JPH22" s="28"/>
      <c r="JPI22" s="29"/>
      <c r="JPJ22" s="24"/>
      <c r="JPK22" s="13"/>
      <c r="JPL22" s="13"/>
      <c r="JPM22" s="14"/>
      <c r="JPN22" s="15"/>
      <c r="JPO22" s="15"/>
      <c r="JPP22" s="16"/>
      <c r="JPQ22" s="41"/>
      <c r="JPR22" s="41"/>
      <c r="JPS22" s="28"/>
      <c r="JPT22" s="29"/>
      <c r="JPU22" s="24"/>
      <c r="JPV22" s="13"/>
      <c r="JPW22" s="13"/>
      <c r="JPX22" s="14"/>
      <c r="JPY22" s="15"/>
      <c r="JPZ22" s="15"/>
      <c r="JQA22" s="16"/>
      <c r="JQB22" s="41"/>
      <c r="JQC22" s="41"/>
      <c r="JQD22" s="28"/>
      <c r="JQE22" s="29"/>
      <c r="JQF22" s="24"/>
      <c r="JQG22" s="13"/>
      <c r="JQH22" s="13"/>
      <c r="JQI22" s="14"/>
      <c r="JQJ22" s="15"/>
      <c r="JQK22" s="15"/>
      <c r="JQL22" s="16"/>
      <c r="JQM22" s="41"/>
      <c r="JQN22" s="41"/>
      <c r="JQO22" s="28"/>
      <c r="JQP22" s="29"/>
      <c r="JQQ22" s="24"/>
      <c r="JQR22" s="13"/>
      <c r="JQS22" s="13"/>
      <c r="JQT22" s="14"/>
      <c r="JQU22" s="15"/>
      <c r="JQV22" s="15"/>
      <c r="JQW22" s="16"/>
      <c r="JQX22" s="41"/>
      <c r="JQY22" s="41"/>
      <c r="JQZ22" s="28"/>
      <c r="JRA22" s="29"/>
      <c r="JRB22" s="24"/>
      <c r="JRC22" s="13"/>
      <c r="JRD22" s="13"/>
      <c r="JRE22" s="14"/>
      <c r="JRF22" s="15"/>
      <c r="JRG22" s="15"/>
      <c r="JRH22" s="16"/>
      <c r="JRI22" s="41"/>
      <c r="JRJ22" s="41"/>
      <c r="JRK22" s="28"/>
      <c r="JRL22" s="29"/>
      <c r="JRM22" s="24"/>
      <c r="JRN22" s="13"/>
      <c r="JRO22" s="13"/>
      <c r="JRP22" s="14"/>
      <c r="JRQ22" s="15"/>
      <c r="JRR22" s="15"/>
      <c r="JRS22" s="16"/>
      <c r="JRT22" s="41"/>
      <c r="JRU22" s="41"/>
      <c r="JRV22" s="28"/>
      <c r="JRW22" s="29"/>
      <c r="JRX22" s="24"/>
      <c r="JRY22" s="13"/>
      <c r="JRZ22" s="13"/>
      <c r="JSA22" s="14"/>
      <c r="JSB22" s="15"/>
      <c r="JSC22" s="15"/>
      <c r="JSD22" s="16"/>
      <c r="JSE22" s="41"/>
      <c r="JSF22" s="41"/>
      <c r="JSG22" s="28"/>
      <c r="JSH22" s="29"/>
      <c r="JSI22" s="24"/>
      <c r="JSJ22" s="13"/>
      <c r="JSK22" s="13"/>
      <c r="JSL22" s="14"/>
      <c r="JSM22" s="15"/>
      <c r="JSN22" s="15"/>
      <c r="JSO22" s="16"/>
      <c r="JSP22" s="41"/>
      <c r="JSQ22" s="41"/>
      <c r="JSR22" s="28"/>
      <c r="JSS22" s="29"/>
      <c r="JST22" s="24"/>
      <c r="JSU22" s="13"/>
      <c r="JSV22" s="13"/>
      <c r="JSW22" s="14"/>
      <c r="JSX22" s="15"/>
      <c r="JSY22" s="15"/>
      <c r="JSZ22" s="16"/>
      <c r="JTA22" s="41"/>
      <c r="JTB22" s="41"/>
      <c r="JTC22" s="28"/>
      <c r="JTD22" s="29"/>
      <c r="JTE22" s="24"/>
      <c r="JTF22" s="13"/>
      <c r="JTG22" s="13"/>
      <c r="JTH22" s="14"/>
      <c r="JTI22" s="15"/>
      <c r="JTJ22" s="15"/>
      <c r="JTK22" s="16"/>
      <c r="JTL22" s="41"/>
      <c r="JTM22" s="41"/>
      <c r="JTN22" s="28"/>
      <c r="JTO22" s="29"/>
      <c r="JTP22" s="24"/>
      <c r="JTQ22" s="13"/>
      <c r="JTR22" s="13"/>
      <c r="JTS22" s="14"/>
      <c r="JTT22" s="15"/>
      <c r="JTU22" s="15"/>
      <c r="JTV22" s="16"/>
      <c r="JTW22" s="41"/>
      <c r="JTX22" s="41"/>
      <c r="JTY22" s="28"/>
      <c r="JTZ22" s="29"/>
      <c r="JUA22" s="24"/>
      <c r="JUB22" s="13"/>
      <c r="JUC22" s="13"/>
      <c r="JUD22" s="14"/>
      <c r="JUE22" s="15"/>
      <c r="JUF22" s="15"/>
      <c r="JUG22" s="16"/>
      <c r="JUH22" s="41"/>
      <c r="JUI22" s="41"/>
      <c r="JUJ22" s="28"/>
      <c r="JUK22" s="29"/>
      <c r="JUL22" s="24"/>
      <c r="JUM22" s="13"/>
      <c r="JUN22" s="13"/>
      <c r="JUO22" s="14"/>
      <c r="JUP22" s="15"/>
      <c r="JUQ22" s="15"/>
      <c r="JUR22" s="16"/>
      <c r="JUS22" s="41"/>
      <c r="JUT22" s="41"/>
      <c r="JUU22" s="28"/>
      <c r="JUV22" s="29"/>
      <c r="JUW22" s="24"/>
      <c r="JUX22" s="13"/>
      <c r="JUY22" s="13"/>
      <c r="JUZ22" s="14"/>
      <c r="JVA22" s="15"/>
      <c r="JVB22" s="15"/>
      <c r="JVC22" s="16"/>
      <c r="JVD22" s="41"/>
      <c r="JVE22" s="41"/>
      <c r="JVF22" s="28"/>
      <c r="JVG22" s="29"/>
      <c r="JVH22" s="24"/>
      <c r="JVI22" s="13"/>
      <c r="JVJ22" s="13"/>
      <c r="JVK22" s="14"/>
      <c r="JVL22" s="15"/>
      <c r="JVM22" s="15"/>
      <c r="JVN22" s="16"/>
      <c r="JVO22" s="41"/>
      <c r="JVP22" s="41"/>
      <c r="JVQ22" s="28"/>
      <c r="JVR22" s="29"/>
      <c r="JVS22" s="24"/>
      <c r="JVT22" s="13"/>
      <c r="JVU22" s="13"/>
      <c r="JVV22" s="14"/>
      <c r="JVW22" s="15"/>
      <c r="JVX22" s="15"/>
      <c r="JVY22" s="16"/>
      <c r="JVZ22" s="41"/>
      <c r="JWA22" s="41"/>
      <c r="JWB22" s="28"/>
      <c r="JWC22" s="29"/>
      <c r="JWD22" s="24"/>
      <c r="JWE22" s="13"/>
      <c r="JWF22" s="13"/>
      <c r="JWG22" s="14"/>
      <c r="JWH22" s="15"/>
      <c r="JWI22" s="15"/>
      <c r="JWJ22" s="16"/>
      <c r="JWK22" s="41"/>
      <c r="JWL22" s="41"/>
      <c r="JWM22" s="28"/>
      <c r="JWN22" s="29"/>
      <c r="JWO22" s="24"/>
      <c r="JWP22" s="13"/>
      <c r="JWQ22" s="13"/>
      <c r="JWR22" s="14"/>
      <c r="JWS22" s="15"/>
      <c r="JWT22" s="15"/>
      <c r="JWU22" s="16"/>
      <c r="JWV22" s="41"/>
      <c r="JWW22" s="41"/>
      <c r="JWX22" s="28"/>
      <c r="JWY22" s="29"/>
      <c r="JWZ22" s="24"/>
      <c r="JXA22" s="13"/>
      <c r="JXB22" s="13"/>
      <c r="JXC22" s="14"/>
      <c r="JXD22" s="15"/>
      <c r="JXE22" s="15"/>
      <c r="JXF22" s="16"/>
      <c r="JXG22" s="41"/>
      <c r="JXH22" s="41"/>
      <c r="JXI22" s="28"/>
      <c r="JXJ22" s="29"/>
      <c r="JXK22" s="24"/>
      <c r="JXL22" s="13"/>
      <c r="JXM22" s="13"/>
      <c r="JXN22" s="14"/>
      <c r="JXO22" s="15"/>
      <c r="JXP22" s="15"/>
      <c r="JXQ22" s="16"/>
      <c r="JXR22" s="41"/>
      <c r="JXS22" s="41"/>
      <c r="JXT22" s="28"/>
      <c r="JXU22" s="29"/>
      <c r="JXV22" s="24"/>
      <c r="JXW22" s="13"/>
      <c r="JXX22" s="13"/>
      <c r="JXY22" s="14"/>
      <c r="JXZ22" s="15"/>
      <c r="JYA22" s="15"/>
      <c r="JYB22" s="16"/>
      <c r="JYC22" s="41"/>
      <c r="JYD22" s="41"/>
      <c r="JYE22" s="28"/>
      <c r="JYF22" s="29"/>
      <c r="JYG22" s="24"/>
      <c r="JYH22" s="13"/>
      <c r="JYI22" s="13"/>
      <c r="JYJ22" s="14"/>
      <c r="JYK22" s="15"/>
      <c r="JYL22" s="15"/>
      <c r="JYM22" s="16"/>
      <c r="JYN22" s="41"/>
      <c r="JYO22" s="41"/>
      <c r="JYP22" s="28"/>
      <c r="JYQ22" s="29"/>
      <c r="JYR22" s="24"/>
      <c r="JYS22" s="13"/>
      <c r="JYT22" s="13"/>
      <c r="JYU22" s="14"/>
      <c r="JYV22" s="15"/>
      <c r="JYW22" s="15"/>
      <c r="JYX22" s="16"/>
      <c r="JYY22" s="41"/>
      <c r="JYZ22" s="41"/>
      <c r="JZA22" s="28"/>
      <c r="JZB22" s="29"/>
      <c r="JZC22" s="24"/>
      <c r="JZD22" s="13"/>
      <c r="JZE22" s="13"/>
      <c r="JZF22" s="14"/>
      <c r="JZG22" s="15"/>
      <c r="JZH22" s="15"/>
      <c r="JZI22" s="16"/>
      <c r="JZJ22" s="41"/>
      <c r="JZK22" s="41"/>
      <c r="JZL22" s="28"/>
      <c r="JZM22" s="29"/>
      <c r="JZN22" s="24"/>
      <c r="JZO22" s="13"/>
      <c r="JZP22" s="13"/>
      <c r="JZQ22" s="14"/>
      <c r="JZR22" s="15"/>
      <c r="JZS22" s="15"/>
      <c r="JZT22" s="16"/>
      <c r="JZU22" s="41"/>
      <c r="JZV22" s="41"/>
      <c r="JZW22" s="28"/>
      <c r="JZX22" s="29"/>
      <c r="JZY22" s="24"/>
      <c r="JZZ22" s="13"/>
      <c r="KAA22" s="13"/>
      <c r="KAB22" s="14"/>
      <c r="KAC22" s="15"/>
      <c r="KAD22" s="15"/>
      <c r="KAE22" s="16"/>
      <c r="KAF22" s="41"/>
      <c r="KAG22" s="41"/>
      <c r="KAH22" s="28"/>
      <c r="KAI22" s="29"/>
      <c r="KAJ22" s="24"/>
      <c r="KAK22" s="13"/>
      <c r="KAL22" s="13"/>
      <c r="KAM22" s="14"/>
      <c r="KAN22" s="15"/>
      <c r="KAO22" s="15"/>
      <c r="KAP22" s="16"/>
      <c r="KAQ22" s="41"/>
      <c r="KAR22" s="41"/>
      <c r="KAS22" s="28"/>
      <c r="KAT22" s="29"/>
      <c r="KAU22" s="24"/>
      <c r="KAV22" s="13"/>
      <c r="KAW22" s="13"/>
      <c r="KAX22" s="14"/>
      <c r="KAY22" s="15"/>
      <c r="KAZ22" s="15"/>
      <c r="KBA22" s="16"/>
      <c r="KBB22" s="41"/>
      <c r="KBC22" s="41"/>
      <c r="KBD22" s="28"/>
      <c r="KBE22" s="29"/>
      <c r="KBF22" s="24"/>
      <c r="KBG22" s="13"/>
      <c r="KBH22" s="13"/>
      <c r="KBI22" s="14"/>
      <c r="KBJ22" s="15"/>
      <c r="KBK22" s="15"/>
      <c r="KBL22" s="16"/>
      <c r="KBM22" s="41"/>
      <c r="KBN22" s="41"/>
      <c r="KBO22" s="28"/>
      <c r="KBP22" s="29"/>
      <c r="KBQ22" s="24"/>
      <c r="KBR22" s="13"/>
      <c r="KBS22" s="13"/>
      <c r="KBT22" s="14"/>
      <c r="KBU22" s="15"/>
      <c r="KBV22" s="15"/>
      <c r="KBW22" s="16"/>
      <c r="KBX22" s="41"/>
      <c r="KBY22" s="41"/>
      <c r="KBZ22" s="28"/>
      <c r="KCA22" s="29"/>
      <c r="KCB22" s="24"/>
      <c r="KCC22" s="13"/>
      <c r="KCD22" s="13"/>
      <c r="KCE22" s="14"/>
      <c r="KCF22" s="15"/>
      <c r="KCG22" s="15"/>
      <c r="KCH22" s="16"/>
      <c r="KCI22" s="41"/>
      <c r="KCJ22" s="41"/>
      <c r="KCK22" s="28"/>
      <c r="KCL22" s="29"/>
      <c r="KCM22" s="24"/>
      <c r="KCN22" s="13"/>
      <c r="KCO22" s="13"/>
      <c r="KCP22" s="14"/>
      <c r="KCQ22" s="15"/>
      <c r="KCR22" s="15"/>
      <c r="KCS22" s="16"/>
      <c r="KCT22" s="41"/>
      <c r="KCU22" s="41"/>
      <c r="KCV22" s="28"/>
      <c r="KCW22" s="29"/>
      <c r="KCX22" s="24"/>
      <c r="KCY22" s="13"/>
      <c r="KCZ22" s="13"/>
      <c r="KDA22" s="14"/>
      <c r="KDB22" s="15"/>
      <c r="KDC22" s="15"/>
      <c r="KDD22" s="16"/>
      <c r="KDE22" s="41"/>
      <c r="KDF22" s="41"/>
      <c r="KDG22" s="28"/>
      <c r="KDH22" s="29"/>
      <c r="KDI22" s="24"/>
      <c r="KDJ22" s="13"/>
      <c r="KDK22" s="13"/>
      <c r="KDL22" s="14"/>
      <c r="KDM22" s="15"/>
      <c r="KDN22" s="15"/>
      <c r="KDO22" s="16"/>
      <c r="KDP22" s="41"/>
      <c r="KDQ22" s="41"/>
      <c r="KDR22" s="28"/>
      <c r="KDS22" s="29"/>
      <c r="KDT22" s="24"/>
      <c r="KDU22" s="13"/>
      <c r="KDV22" s="13"/>
      <c r="KDW22" s="14"/>
      <c r="KDX22" s="15"/>
      <c r="KDY22" s="15"/>
      <c r="KDZ22" s="16"/>
      <c r="KEA22" s="41"/>
      <c r="KEB22" s="41"/>
      <c r="KEC22" s="28"/>
      <c r="KED22" s="29"/>
      <c r="KEE22" s="24"/>
      <c r="KEF22" s="13"/>
      <c r="KEG22" s="13"/>
      <c r="KEH22" s="14"/>
      <c r="KEI22" s="15"/>
      <c r="KEJ22" s="15"/>
      <c r="KEK22" s="16"/>
      <c r="KEL22" s="41"/>
      <c r="KEM22" s="41"/>
      <c r="KEN22" s="28"/>
      <c r="KEO22" s="29"/>
      <c r="KEP22" s="24"/>
      <c r="KEQ22" s="13"/>
      <c r="KER22" s="13"/>
      <c r="KES22" s="14"/>
      <c r="KET22" s="15"/>
      <c r="KEU22" s="15"/>
      <c r="KEV22" s="16"/>
      <c r="KEW22" s="41"/>
      <c r="KEX22" s="41"/>
      <c r="KEY22" s="28"/>
      <c r="KEZ22" s="29"/>
      <c r="KFA22" s="24"/>
      <c r="KFB22" s="13"/>
      <c r="KFC22" s="13"/>
      <c r="KFD22" s="14"/>
      <c r="KFE22" s="15"/>
      <c r="KFF22" s="15"/>
      <c r="KFG22" s="16"/>
      <c r="KFH22" s="41"/>
      <c r="KFI22" s="41"/>
      <c r="KFJ22" s="28"/>
      <c r="KFK22" s="29"/>
      <c r="KFL22" s="24"/>
      <c r="KFM22" s="13"/>
      <c r="KFN22" s="13"/>
      <c r="KFO22" s="14"/>
      <c r="KFP22" s="15"/>
      <c r="KFQ22" s="15"/>
      <c r="KFR22" s="16"/>
      <c r="KFS22" s="41"/>
      <c r="KFT22" s="41"/>
      <c r="KFU22" s="28"/>
      <c r="KFV22" s="29"/>
      <c r="KFW22" s="24"/>
      <c r="KFX22" s="13"/>
      <c r="KFY22" s="13"/>
      <c r="KFZ22" s="14"/>
      <c r="KGA22" s="15"/>
      <c r="KGB22" s="15"/>
      <c r="KGC22" s="16"/>
      <c r="KGD22" s="41"/>
      <c r="KGE22" s="41"/>
      <c r="KGF22" s="28"/>
      <c r="KGG22" s="29"/>
      <c r="KGH22" s="24"/>
      <c r="KGI22" s="13"/>
      <c r="KGJ22" s="13"/>
      <c r="KGK22" s="14"/>
      <c r="KGL22" s="15"/>
      <c r="KGM22" s="15"/>
      <c r="KGN22" s="16"/>
      <c r="KGO22" s="41"/>
      <c r="KGP22" s="41"/>
      <c r="KGQ22" s="28"/>
      <c r="KGR22" s="29"/>
      <c r="KGS22" s="24"/>
      <c r="KGT22" s="13"/>
      <c r="KGU22" s="13"/>
      <c r="KGV22" s="14"/>
      <c r="KGW22" s="15"/>
      <c r="KGX22" s="15"/>
      <c r="KGY22" s="16"/>
      <c r="KGZ22" s="41"/>
      <c r="KHA22" s="41"/>
      <c r="KHB22" s="28"/>
      <c r="KHC22" s="29"/>
      <c r="KHD22" s="24"/>
      <c r="KHE22" s="13"/>
      <c r="KHF22" s="13"/>
      <c r="KHG22" s="14"/>
      <c r="KHH22" s="15"/>
      <c r="KHI22" s="15"/>
      <c r="KHJ22" s="16"/>
      <c r="KHK22" s="41"/>
      <c r="KHL22" s="41"/>
      <c r="KHM22" s="28"/>
      <c r="KHN22" s="29"/>
      <c r="KHO22" s="24"/>
      <c r="KHP22" s="13"/>
      <c r="KHQ22" s="13"/>
      <c r="KHR22" s="14"/>
      <c r="KHS22" s="15"/>
      <c r="KHT22" s="15"/>
      <c r="KHU22" s="16"/>
      <c r="KHV22" s="41"/>
      <c r="KHW22" s="41"/>
      <c r="KHX22" s="28"/>
      <c r="KHY22" s="29"/>
      <c r="KHZ22" s="24"/>
      <c r="KIA22" s="13"/>
      <c r="KIB22" s="13"/>
      <c r="KIC22" s="14"/>
      <c r="KID22" s="15"/>
      <c r="KIE22" s="15"/>
      <c r="KIF22" s="16"/>
      <c r="KIG22" s="41"/>
      <c r="KIH22" s="41"/>
      <c r="KII22" s="28"/>
      <c r="KIJ22" s="29"/>
      <c r="KIK22" s="24"/>
      <c r="KIL22" s="13"/>
      <c r="KIM22" s="13"/>
      <c r="KIN22" s="14"/>
      <c r="KIO22" s="15"/>
      <c r="KIP22" s="15"/>
      <c r="KIQ22" s="16"/>
      <c r="KIR22" s="41"/>
      <c r="KIS22" s="41"/>
      <c r="KIT22" s="28"/>
      <c r="KIU22" s="29"/>
      <c r="KIV22" s="24"/>
      <c r="KIW22" s="13"/>
      <c r="KIX22" s="13"/>
      <c r="KIY22" s="14"/>
      <c r="KIZ22" s="15"/>
      <c r="KJA22" s="15"/>
      <c r="KJB22" s="16"/>
      <c r="KJC22" s="41"/>
      <c r="KJD22" s="41"/>
      <c r="KJE22" s="28"/>
      <c r="KJF22" s="29"/>
      <c r="KJG22" s="24"/>
      <c r="KJH22" s="13"/>
      <c r="KJI22" s="13"/>
      <c r="KJJ22" s="14"/>
      <c r="KJK22" s="15"/>
      <c r="KJL22" s="15"/>
      <c r="KJM22" s="16"/>
      <c r="KJN22" s="41"/>
      <c r="KJO22" s="41"/>
      <c r="KJP22" s="28"/>
      <c r="KJQ22" s="29"/>
      <c r="KJR22" s="24"/>
      <c r="KJS22" s="13"/>
      <c r="KJT22" s="13"/>
      <c r="KJU22" s="14"/>
      <c r="KJV22" s="15"/>
      <c r="KJW22" s="15"/>
      <c r="KJX22" s="16"/>
      <c r="KJY22" s="41"/>
      <c r="KJZ22" s="41"/>
      <c r="KKA22" s="28"/>
      <c r="KKB22" s="29"/>
      <c r="KKC22" s="24"/>
      <c r="KKD22" s="13"/>
      <c r="KKE22" s="13"/>
      <c r="KKF22" s="14"/>
      <c r="KKG22" s="15"/>
      <c r="KKH22" s="15"/>
      <c r="KKI22" s="16"/>
      <c r="KKJ22" s="41"/>
      <c r="KKK22" s="41"/>
      <c r="KKL22" s="28"/>
      <c r="KKM22" s="29"/>
      <c r="KKN22" s="24"/>
      <c r="KKO22" s="13"/>
      <c r="KKP22" s="13"/>
      <c r="KKQ22" s="14"/>
      <c r="KKR22" s="15"/>
      <c r="KKS22" s="15"/>
      <c r="KKT22" s="16"/>
      <c r="KKU22" s="41"/>
      <c r="KKV22" s="41"/>
      <c r="KKW22" s="28"/>
      <c r="KKX22" s="29"/>
      <c r="KKY22" s="24"/>
      <c r="KKZ22" s="13"/>
      <c r="KLA22" s="13"/>
      <c r="KLB22" s="14"/>
      <c r="KLC22" s="15"/>
      <c r="KLD22" s="15"/>
      <c r="KLE22" s="16"/>
      <c r="KLF22" s="41"/>
      <c r="KLG22" s="41"/>
      <c r="KLH22" s="28"/>
      <c r="KLI22" s="29"/>
      <c r="KLJ22" s="24"/>
      <c r="KLK22" s="13"/>
      <c r="KLL22" s="13"/>
      <c r="KLM22" s="14"/>
      <c r="KLN22" s="15"/>
      <c r="KLO22" s="15"/>
      <c r="KLP22" s="16"/>
      <c r="KLQ22" s="41"/>
      <c r="KLR22" s="41"/>
      <c r="KLS22" s="28"/>
      <c r="KLT22" s="29"/>
      <c r="KLU22" s="24"/>
      <c r="KLV22" s="13"/>
      <c r="KLW22" s="13"/>
      <c r="KLX22" s="14"/>
      <c r="KLY22" s="15"/>
      <c r="KLZ22" s="15"/>
      <c r="KMA22" s="16"/>
      <c r="KMB22" s="41"/>
      <c r="KMC22" s="41"/>
      <c r="KMD22" s="28"/>
      <c r="KME22" s="29"/>
      <c r="KMF22" s="24"/>
      <c r="KMG22" s="13"/>
      <c r="KMH22" s="13"/>
      <c r="KMI22" s="14"/>
      <c r="KMJ22" s="15"/>
      <c r="KMK22" s="15"/>
      <c r="KML22" s="16"/>
      <c r="KMM22" s="41"/>
      <c r="KMN22" s="41"/>
      <c r="KMO22" s="28"/>
      <c r="KMP22" s="29"/>
      <c r="KMQ22" s="24"/>
      <c r="KMR22" s="13"/>
      <c r="KMS22" s="13"/>
      <c r="KMT22" s="14"/>
      <c r="KMU22" s="15"/>
      <c r="KMV22" s="15"/>
      <c r="KMW22" s="16"/>
      <c r="KMX22" s="41"/>
      <c r="KMY22" s="41"/>
      <c r="KMZ22" s="28"/>
      <c r="KNA22" s="29"/>
      <c r="KNB22" s="24"/>
      <c r="KNC22" s="13"/>
      <c r="KND22" s="13"/>
      <c r="KNE22" s="14"/>
      <c r="KNF22" s="15"/>
      <c r="KNG22" s="15"/>
      <c r="KNH22" s="16"/>
      <c r="KNI22" s="41"/>
      <c r="KNJ22" s="41"/>
      <c r="KNK22" s="28"/>
      <c r="KNL22" s="29"/>
      <c r="KNM22" s="24"/>
      <c r="KNN22" s="13"/>
      <c r="KNO22" s="13"/>
      <c r="KNP22" s="14"/>
      <c r="KNQ22" s="15"/>
      <c r="KNR22" s="15"/>
      <c r="KNS22" s="16"/>
      <c r="KNT22" s="41"/>
      <c r="KNU22" s="41"/>
      <c r="KNV22" s="28"/>
      <c r="KNW22" s="29"/>
      <c r="KNX22" s="24"/>
      <c r="KNY22" s="13"/>
      <c r="KNZ22" s="13"/>
      <c r="KOA22" s="14"/>
      <c r="KOB22" s="15"/>
      <c r="KOC22" s="15"/>
      <c r="KOD22" s="16"/>
      <c r="KOE22" s="41"/>
      <c r="KOF22" s="41"/>
      <c r="KOG22" s="28"/>
      <c r="KOH22" s="29"/>
      <c r="KOI22" s="24"/>
      <c r="KOJ22" s="13"/>
      <c r="KOK22" s="13"/>
      <c r="KOL22" s="14"/>
      <c r="KOM22" s="15"/>
      <c r="KON22" s="15"/>
      <c r="KOO22" s="16"/>
      <c r="KOP22" s="41"/>
      <c r="KOQ22" s="41"/>
      <c r="KOR22" s="28"/>
      <c r="KOS22" s="29"/>
      <c r="KOT22" s="24"/>
      <c r="KOU22" s="13"/>
      <c r="KOV22" s="13"/>
      <c r="KOW22" s="14"/>
      <c r="KOX22" s="15"/>
      <c r="KOY22" s="15"/>
      <c r="KOZ22" s="16"/>
      <c r="KPA22" s="41"/>
      <c r="KPB22" s="41"/>
      <c r="KPC22" s="28"/>
      <c r="KPD22" s="29"/>
      <c r="KPE22" s="24"/>
      <c r="KPF22" s="13"/>
      <c r="KPG22" s="13"/>
      <c r="KPH22" s="14"/>
      <c r="KPI22" s="15"/>
      <c r="KPJ22" s="15"/>
      <c r="KPK22" s="16"/>
      <c r="KPL22" s="41"/>
      <c r="KPM22" s="41"/>
      <c r="KPN22" s="28"/>
      <c r="KPO22" s="29"/>
      <c r="KPP22" s="24"/>
      <c r="KPQ22" s="13"/>
      <c r="KPR22" s="13"/>
      <c r="KPS22" s="14"/>
      <c r="KPT22" s="15"/>
      <c r="KPU22" s="15"/>
      <c r="KPV22" s="16"/>
      <c r="KPW22" s="41"/>
      <c r="KPX22" s="41"/>
      <c r="KPY22" s="28"/>
      <c r="KPZ22" s="29"/>
      <c r="KQA22" s="24"/>
      <c r="KQB22" s="13"/>
      <c r="KQC22" s="13"/>
      <c r="KQD22" s="14"/>
      <c r="KQE22" s="15"/>
      <c r="KQF22" s="15"/>
      <c r="KQG22" s="16"/>
      <c r="KQH22" s="41"/>
      <c r="KQI22" s="41"/>
      <c r="KQJ22" s="28"/>
      <c r="KQK22" s="29"/>
      <c r="KQL22" s="24"/>
      <c r="KQM22" s="13"/>
      <c r="KQN22" s="13"/>
      <c r="KQO22" s="14"/>
      <c r="KQP22" s="15"/>
      <c r="KQQ22" s="15"/>
      <c r="KQR22" s="16"/>
      <c r="KQS22" s="41"/>
      <c r="KQT22" s="41"/>
      <c r="KQU22" s="28"/>
      <c r="KQV22" s="29"/>
      <c r="KQW22" s="24"/>
      <c r="KQX22" s="13"/>
      <c r="KQY22" s="13"/>
      <c r="KQZ22" s="14"/>
      <c r="KRA22" s="15"/>
      <c r="KRB22" s="15"/>
      <c r="KRC22" s="16"/>
      <c r="KRD22" s="41"/>
      <c r="KRE22" s="41"/>
      <c r="KRF22" s="28"/>
      <c r="KRG22" s="29"/>
      <c r="KRH22" s="24"/>
      <c r="KRI22" s="13"/>
      <c r="KRJ22" s="13"/>
      <c r="KRK22" s="14"/>
      <c r="KRL22" s="15"/>
      <c r="KRM22" s="15"/>
      <c r="KRN22" s="16"/>
      <c r="KRO22" s="41"/>
      <c r="KRP22" s="41"/>
      <c r="KRQ22" s="28"/>
      <c r="KRR22" s="29"/>
      <c r="KRS22" s="24"/>
      <c r="KRT22" s="13"/>
      <c r="KRU22" s="13"/>
      <c r="KRV22" s="14"/>
      <c r="KRW22" s="15"/>
      <c r="KRX22" s="15"/>
      <c r="KRY22" s="16"/>
      <c r="KRZ22" s="41"/>
      <c r="KSA22" s="41"/>
      <c r="KSB22" s="28"/>
      <c r="KSC22" s="29"/>
      <c r="KSD22" s="24"/>
      <c r="KSE22" s="13"/>
      <c r="KSF22" s="13"/>
      <c r="KSG22" s="14"/>
      <c r="KSH22" s="15"/>
      <c r="KSI22" s="15"/>
      <c r="KSJ22" s="16"/>
      <c r="KSK22" s="41"/>
      <c r="KSL22" s="41"/>
      <c r="KSM22" s="28"/>
      <c r="KSN22" s="29"/>
      <c r="KSO22" s="24"/>
      <c r="KSP22" s="13"/>
      <c r="KSQ22" s="13"/>
      <c r="KSR22" s="14"/>
      <c r="KSS22" s="15"/>
      <c r="KST22" s="15"/>
      <c r="KSU22" s="16"/>
      <c r="KSV22" s="41"/>
      <c r="KSW22" s="41"/>
      <c r="KSX22" s="28"/>
      <c r="KSY22" s="29"/>
      <c r="KSZ22" s="24"/>
      <c r="KTA22" s="13"/>
      <c r="KTB22" s="13"/>
      <c r="KTC22" s="14"/>
      <c r="KTD22" s="15"/>
      <c r="KTE22" s="15"/>
      <c r="KTF22" s="16"/>
      <c r="KTG22" s="41"/>
      <c r="KTH22" s="41"/>
      <c r="KTI22" s="28"/>
      <c r="KTJ22" s="29"/>
      <c r="KTK22" s="24"/>
      <c r="KTL22" s="13"/>
      <c r="KTM22" s="13"/>
      <c r="KTN22" s="14"/>
      <c r="KTO22" s="15"/>
      <c r="KTP22" s="15"/>
      <c r="KTQ22" s="16"/>
      <c r="KTR22" s="41"/>
      <c r="KTS22" s="41"/>
      <c r="KTT22" s="28"/>
      <c r="KTU22" s="29"/>
      <c r="KTV22" s="24"/>
      <c r="KTW22" s="13"/>
      <c r="KTX22" s="13"/>
      <c r="KTY22" s="14"/>
      <c r="KTZ22" s="15"/>
      <c r="KUA22" s="15"/>
      <c r="KUB22" s="16"/>
      <c r="KUC22" s="41"/>
      <c r="KUD22" s="41"/>
      <c r="KUE22" s="28"/>
      <c r="KUF22" s="29"/>
      <c r="KUG22" s="24"/>
      <c r="KUH22" s="13"/>
      <c r="KUI22" s="13"/>
      <c r="KUJ22" s="14"/>
      <c r="KUK22" s="15"/>
      <c r="KUL22" s="15"/>
      <c r="KUM22" s="16"/>
      <c r="KUN22" s="41"/>
      <c r="KUO22" s="41"/>
      <c r="KUP22" s="28"/>
      <c r="KUQ22" s="29"/>
      <c r="KUR22" s="24"/>
      <c r="KUS22" s="13"/>
      <c r="KUT22" s="13"/>
      <c r="KUU22" s="14"/>
      <c r="KUV22" s="15"/>
      <c r="KUW22" s="15"/>
      <c r="KUX22" s="16"/>
      <c r="KUY22" s="41"/>
      <c r="KUZ22" s="41"/>
      <c r="KVA22" s="28"/>
      <c r="KVB22" s="29"/>
      <c r="KVC22" s="24"/>
      <c r="KVD22" s="13"/>
      <c r="KVE22" s="13"/>
      <c r="KVF22" s="14"/>
      <c r="KVG22" s="15"/>
      <c r="KVH22" s="15"/>
      <c r="KVI22" s="16"/>
      <c r="KVJ22" s="41"/>
      <c r="KVK22" s="41"/>
      <c r="KVL22" s="28"/>
      <c r="KVM22" s="29"/>
      <c r="KVN22" s="24"/>
      <c r="KVO22" s="13"/>
      <c r="KVP22" s="13"/>
      <c r="KVQ22" s="14"/>
      <c r="KVR22" s="15"/>
      <c r="KVS22" s="15"/>
      <c r="KVT22" s="16"/>
      <c r="KVU22" s="41"/>
      <c r="KVV22" s="41"/>
      <c r="KVW22" s="28"/>
      <c r="KVX22" s="29"/>
      <c r="KVY22" s="24"/>
      <c r="KVZ22" s="13"/>
      <c r="KWA22" s="13"/>
      <c r="KWB22" s="14"/>
      <c r="KWC22" s="15"/>
      <c r="KWD22" s="15"/>
      <c r="KWE22" s="16"/>
      <c r="KWF22" s="41"/>
      <c r="KWG22" s="41"/>
      <c r="KWH22" s="28"/>
      <c r="KWI22" s="29"/>
      <c r="KWJ22" s="24"/>
      <c r="KWK22" s="13"/>
      <c r="KWL22" s="13"/>
      <c r="KWM22" s="14"/>
      <c r="KWN22" s="15"/>
      <c r="KWO22" s="15"/>
      <c r="KWP22" s="16"/>
      <c r="KWQ22" s="41"/>
      <c r="KWR22" s="41"/>
      <c r="KWS22" s="28"/>
      <c r="KWT22" s="29"/>
      <c r="KWU22" s="24"/>
      <c r="KWV22" s="13"/>
      <c r="KWW22" s="13"/>
      <c r="KWX22" s="14"/>
      <c r="KWY22" s="15"/>
      <c r="KWZ22" s="15"/>
      <c r="KXA22" s="16"/>
      <c r="KXB22" s="41"/>
      <c r="KXC22" s="41"/>
      <c r="KXD22" s="28"/>
      <c r="KXE22" s="29"/>
      <c r="KXF22" s="24"/>
      <c r="KXG22" s="13"/>
      <c r="KXH22" s="13"/>
      <c r="KXI22" s="14"/>
      <c r="KXJ22" s="15"/>
      <c r="KXK22" s="15"/>
      <c r="KXL22" s="16"/>
      <c r="KXM22" s="41"/>
      <c r="KXN22" s="41"/>
      <c r="KXO22" s="28"/>
      <c r="KXP22" s="29"/>
      <c r="KXQ22" s="24"/>
      <c r="KXR22" s="13"/>
      <c r="KXS22" s="13"/>
      <c r="KXT22" s="14"/>
      <c r="KXU22" s="15"/>
      <c r="KXV22" s="15"/>
      <c r="KXW22" s="16"/>
      <c r="KXX22" s="41"/>
      <c r="KXY22" s="41"/>
      <c r="KXZ22" s="28"/>
      <c r="KYA22" s="29"/>
      <c r="KYB22" s="24"/>
      <c r="KYC22" s="13"/>
      <c r="KYD22" s="13"/>
      <c r="KYE22" s="14"/>
      <c r="KYF22" s="15"/>
      <c r="KYG22" s="15"/>
      <c r="KYH22" s="16"/>
      <c r="KYI22" s="41"/>
      <c r="KYJ22" s="41"/>
      <c r="KYK22" s="28"/>
      <c r="KYL22" s="29"/>
      <c r="KYM22" s="24"/>
      <c r="KYN22" s="13"/>
      <c r="KYO22" s="13"/>
      <c r="KYP22" s="14"/>
      <c r="KYQ22" s="15"/>
      <c r="KYR22" s="15"/>
      <c r="KYS22" s="16"/>
      <c r="KYT22" s="41"/>
      <c r="KYU22" s="41"/>
      <c r="KYV22" s="28"/>
      <c r="KYW22" s="29"/>
      <c r="KYX22" s="24"/>
      <c r="KYY22" s="13"/>
      <c r="KYZ22" s="13"/>
      <c r="KZA22" s="14"/>
      <c r="KZB22" s="15"/>
      <c r="KZC22" s="15"/>
      <c r="KZD22" s="16"/>
      <c r="KZE22" s="41"/>
      <c r="KZF22" s="41"/>
      <c r="KZG22" s="28"/>
      <c r="KZH22" s="29"/>
      <c r="KZI22" s="24"/>
      <c r="KZJ22" s="13"/>
      <c r="KZK22" s="13"/>
      <c r="KZL22" s="14"/>
      <c r="KZM22" s="15"/>
      <c r="KZN22" s="15"/>
      <c r="KZO22" s="16"/>
      <c r="KZP22" s="41"/>
      <c r="KZQ22" s="41"/>
      <c r="KZR22" s="28"/>
      <c r="KZS22" s="29"/>
      <c r="KZT22" s="24"/>
      <c r="KZU22" s="13"/>
      <c r="KZV22" s="13"/>
      <c r="KZW22" s="14"/>
      <c r="KZX22" s="15"/>
      <c r="KZY22" s="15"/>
      <c r="KZZ22" s="16"/>
      <c r="LAA22" s="41"/>
      <c r="LAB22" s="41"/>
      <c r="LAC22" s="28"/>
      <c r="LAD22" s="29"/>
      <c r="LAE22" s="24"/>
      <c r="LAF22" s="13"/>
      <c r="LAG22" s="13"/>
      <c r="LAH22" s="14"/>
      <c r="LAI22" s="15"/>
      <c r="LAJ22" s="15"/>
      <c r="LAK22" s="16"/>
      <c r="LAL22" s="41"/>
      <c r="LAM22" s="41"/>
      <c r="LAN22" s="28"/>
      <c r="LAO22" s="29"/>
      <c r="LAP22" s="24"/>
      <c r="LAQ22" s="13"/>
      <c r="LAR22" s="13"/>
      <c r="LAS22" s="14"/>
      <c r="LAT22" s="15"/>
      <c r="LAU22" s="15"/>
      <c r="LAV22" s="16"/>
      <c r="LAW22" s="41"/>
      <c r="LAX22" s="41"/>
      <c r="LAY22" s="28"/>
      <c r="LAZ22" s="29"/>
      <c r="LBA22" s="24"/>
      <c r="LBB22" s="13"/>
      <c r="LBC22" s="13"/>
      <c r="LBD22" s="14"/>
      <c r="LBE22" s="15"/>
      <c r="LBF22" s="15"/>
      <c r="LBG22" s="16"/>
      <c r="LBH22" s="41"/>
      <c r="LBI22" s="41"/>
      <c r="LBJ22" s="28"/>
      <c r="LBK22" s="29"/>
      <c r="LBL22" s="24"/>
      <c r="LBM22" s="13"/>
      <c r="LBN22" s="13"/>
      <c r="LBO22" s="14"/>
      <c r="LBP22" s="15"/>
      <c r="LBQ22" s="15"/>
      <c r="LBR22" s="16"/>
      <c r="LBS22" s="41"/>
      <c r="LBT22" s="41"/>
      <c r="LBU22" s="28"/>
      <c r="LBV22" s="29"/>
      <c r="LBW22" s="24"/>
      <c r="LBX22" s="13"/>
      <c r="LBY22" s="13"/>
      <c r="LBZ22" s="14"/>
      <c r="LCA22" s="15"/>
      <c r="LCB22" s="15"/>
      <c r="LCC22" s="16"/>
      <c r="LCD22" s="41"/>
      <c r="LCE22" s="41"/>
      <c r="LCF22" s="28"/>
      <c r="LCG22" s="29"/>
      <c r="LCH22" s="24"/>
      <c r="LCI22" s="13"/>
      <c r="LCJ22" s="13"/>
      <c r="LCK22" s="14"/>
      <c r="LCL22" s="15"/>
      <c r="LCM22" s="15"/>
      <c r="LCN22" s="16"/>
      <c r="LCO22" s="41"/>
      <c r="LCP22" s="41"/>
      <c r="LCQ22" s="28"/>
      <c r="LCR22" s="29"/>
      <c r="LCS22" s="24"/>
      <c r="LCT22" s="13"/>
      <c r="LCU22" s="13"/>
      <c r="LCV22" s="14"/>
      <c r="LCW22" s="15"/>
      <c r="LCX22" s="15"/>
      <c r="LCY22" s="16"/>
      <c r="LCZ22" s="41"/>
      <c r="LDA22" s="41"/>
      <c r="LDB22" s="28"/>
      <c r="LDC22" s="29"/>
      <c r="LDD22" s="24"/>
      <c r="LDE22" s="13"/>
      <c r="LDF22" s="13"/>
      <c r="LDG22" s="14"/>
      <c r="LDH22" s="15"/>
      <c r="LDI22" s="15"/>
      <c r="LDJ22" s="16"/>
      <c r="LDK22" s="41"/>
      <c r="LDL22" s="41"/>
      <c r="LDM22" s="28"/>
      <c r="LDN22" s="29"/>
      <c r="LDO22" s="24"/>
      <c r="LDP22" s="13"/>
      <c r="LDQ22" s="13"/>
      <c r="LDR22" s="14"/>
      <c r="LDS22" s="15"/>
      <c r="LDT22" s="15"/>
      <c r="LDU22" s="16"/>
      <c r="LDV22" s="41"/>
      <c r="LDW22" s="41"/>
      <c r="LDX22" s="28"/>
      <c r="LDY22" s="29"/>
      <c r="LDZ22" s="24"/>
      <c r="LEA22" s="13"/>
      <c r="LEB22" s="13"/>
      <c r="LEC22" s="14"/>
      <c r="LED22" s="15"/>
      <c r="LEE22" s="15"/>
      <c r="LEF22" s="16"/>
      <c r="LEG22" s="41"/>
      <c r="LEH22" s="41"/>
      <c r="LEI22" s="28"/>
      <c r="LEJ22" s="29"/>
      <c r="LEK22" s="24"/>
      <c r="LEL22" s="13"/>
      <c r="LEM22" s="13"/>
      <c r="LEN22" s="14"/>
      <c r="LEO22" s="15"/>
      <c r="LEP22" s="15"/>
      <c r="LEQ22" s="16"/>
      <c r="LER22" s="41"/>
      <c r="LES22" s="41"/>
      <c r="LET22" s="28"/>
      <c r="LEU22" s="29"/>
      <c r="LEV22" s="24"/>
      <c r="LEW22" s="13"/>
      <c r="LEX22" s="13"/>
      <c r="LEY22" s="14"/>
      <c r="LEZ22" s="15"/>
      <c r="LFA22" s="15"/>
      <c r="LFB22" s="16"/>
      <c r="LFC22" s="41"/>
      <c r="LFD22" s="41"/>
      <c r="LFE22" s="28"/>
      <c r="LFF22" s="29"/>
      <c r="LFG22" s="24"/>
      <c r="LFH22" s="13"/>
      <c r="LFI22" s="13"/>
      <c r="LFJ22" s="14"/>
      <c r="LFK22" s="15"/>
      <c r="LFL22" s="15"/>
      <c r="LFM22" s="16"/>
      <c r="LFN22" s="41"/>
      <c r="LFO22" s="41"/>
      <c r="LFP22" s="28"/>
      <c r="LFQ22" s="29"/>
      <c r="LFR22" s="24"/>
      <c r="LFS22" s="13"/>
      <c r="LFT22" s="13"/>
      <c r="LFU22" s="14"/>
      <c r="LFV22" s="15"/>
      <c r="LFW22" s="15"/>
      <c r="LFX22" s="16"/>
      <c r="LFY22" s="41"/>
      <c r="LFZ22" s="41"/>
      <c r="LGA22" s="28"/>
      <c r="LGB22" s="29"/>
      <c r="LGC22" s="24"/>
      <c r="LGD22" s="13"/>
      <c r="LGE22" s="13"/>
      <c r="LGF22" s="14"/>
      <c r="LGG22" s="15"/>
      <c r="LGH22" s="15"/>
      <c r="LGI22" s="16"/>
      <c r="LGJ22" s="41"/>
      <c r="LGK22" s="41"/>
      <c r="LGL22" s="28"/>
      <c r="LGM22" s="29"/>
      <c r="LGN22" s="24"/>
      <c r="LGO22" s="13"/>
      <c r="LGP22" s="13"/>
      <c r="LGQ22" s="14"/>
      <c r="LGR22" s="15"/>
      <c r="LGS22" s="15"/>
      <c r="LGT22" s="16"/>
      <c r="LGU22" s="41"/>
      <c r="LGV22" s="41"/>
      <c r="LGW22" s="28"/>
      <c r="LGX22" s="29"/>
      <c r="LGY22" s="24"/>
      <c r="LGZ22" s="13"/>
      <c r="LHA22" s="13"/>
      <c r="LHB22" s="14"/>
      <c r="LHC22" s="15"/>
      <c r="LHD22" s="15"/>
      <c r="LHE22" s="16"/>
      <c r="LHF22" s="41"/>
      <c r="LHG22" s="41"/>
      <c r="LHH22" s="28"/>
      <c r="LHI22" s="29"/>
      <c r="LHJ22" s="24"/>
      <c r="LHK22" s="13"/>
      <c r="LHL22" s="13"/>
      <c r="LHM22" s="14"/>
      <c r="LHN22" s="15"/>
      <c r="LHO22" s="15"/>
      <c r="LHP22" s="16"/>
      <c r="LHQ22" s="41"/>
      <c r="LHR22" s="41"/>
      <c r="LHS22" s="28"/>
      <c r="LHT22" s="29"/>
      <c r="LHU22" s="24"/>
      <c r="LHV22" s="13"/>
      <c r="LHW22" s="13"/>
      <c r="LHX22" s="14"/>
      <c r="LHY22" s="15"/>
      <c r="LHZ22" s="15"/>
      <c r="LIA22" s="16"/>
      <c r="LIB22" s="41"/>
      <c r="LIC22" s="41"/>
      <c r="LID22" s="28"/>
      <c r="LIE22" s="29"/>
      <c r="LIF22" s="24"/>
      <c r="LIG22" s="13"/>
      <c r="LIH22" s="13"/>
      <c r="LII22" s="14"/>
      <c r="LIJ22" s="15"/>
      <c r="LIK22" s="15"/>
      <c r="LIL22" s="16"/>
      <c r="LIM22" s="41"/>
      <c r="LIN22" s="41"/>
      <c r="LIO22" s="28"/>
      <c r="LIP22" s="29"/>
      <c r="LIQ22" s="24"/>
      <c r="LIR22" s="13"/>
      <c r="LIS22" s="13"/>
      <c r="LIT22" s="14"/>
      <c r="LIU22" s="15"/>
      <c r="LIV22" s="15"/>
      <c r="LIW22" s="16"/>
      <c r="LIX22" s="41"/>
      <c r="LIY22" s="41"/>
      <c r="LIZ22" s="28"/>
      <c r="LJA22" s="29"/>
      <c r="LJB22" s="24"/>
      <c r="LJC22" s="13"/>
      <c r="LJD22" s="13"/>
      <c r="LJE22" s="14"/>
      <c r="LJF22" s="15"/>
      <c r="LJG22" s="15"/>
      <c r="LJH22" s="16"/>
      <c r="LJI22" s="41"/>
      <c r="LJJ22" s="41"/>
      <c r="LJK22" s="28"/>
      <c r="LJL22" s="29"/>
      <c r="LJM22" s="24"/>
      <c r="LJN22" s="13"/>
      <c r="LJO22" s="13"/>
      <c r="LJP22" s="14"/>
      <c r="LJQ22" s="15"/>
      <c r="LJR22" s="15"/>
      <c r="LJS22" s="16"/>
      <c r="LJT22" s="41"/>
      <c r="LJU22" s="41"/>
      <c r="LJV22" s="28"/>
      <c r="LJW22" s="29"/>
      <c r="LJX22" s="24"/>
      <c r="LJY22" s="13"/>
      <c r="LJZ22" s="13"/>
      <c r="LKA22" s="14"/>
      <c r="LKB22" s="15"/>
      <c r="LKC22" s="15"/>
      <c r="LKD22" s="16"/>
      <c r="LKE22" s="41"/>
      <c r="LKF22" s="41"/>
      <c r="LKG22" s="28"/>
      <c r="LKH22" s="29"/>
      <c r="LKI22" s="24"/>
      <c r="LKJ22" s="13"/>
      <c r="LKK22" s="13"/>
      <c r="LKL22" s="14"/>
      <c r="LKM22" s="15"/>
      <c r="LKN22" s="15"/>
      <c r="LKO22" s="16"/>
      <c r="LKP22" s="41"/>
      <c r="LKQ22" s="41"/>
      <c r="LKR22" s="28"/>
      <c r="LKS22" s="29"/>
      <c r="LKT22" s="24"/>
      <c r="LKU22" s="13"/>
      <c r="LKV22" s="13"/>
      <c r="LKW22" s="14"/>
      <c r="LKX22" s="15"/>
      <c r="LKY22" s="15"/>
      <c r="LKZ22" s="16"/>
      <c r="LLA22" s="41"/>
      <c r="LLB22" s="41"/>
      <c r="LLC22" s="28"/>
      <c r="LLD22" s="29"/>
      <c r="LLE22" s="24"/>
      <c r="LLF22" s="13"/>
      <c r="LLG22" s="13"/>
      <c r="LLH22" s="14"/>
      <c r="LLI22" s="15"/>
      <c r="LLJ22" s="15"/>
      <c r="LLK22" s="16"/>
      <c r="LLL22" s="41"/>
      <c r="LLM22" s="41"/>
      <c r="LLN22" s="28"/>
      <c r="LLO22" s="29"/>
      <c r="LLP22" s="24"/>
      <c r="LLQ22" s="13"/>
      <c r="LLR22" s="13"/>
      <c r="LLS22" s="14"/>
      <c r="LLT22" s="15"/>
      <c r="LLU22" s="15"/>
      <c r="LLV22" s="16"/>
      <c r="LLW22" s="41"/>
      <c r="LLX22" s="41"/>
      <c r="LLY22" s="28"/>
      <c r="LLZ22" s="29"/>
      <c r="LMA22" s="24"/>
      <c r="LMB22" s="13"/>
      <c r="LMC22" s="13"/>
      <c r="LMD22" s="14"/>
      <c r="LME22" s="15"/>
      <c r="LMF22" s="15"/>
      <c r="LMG22" s="16"/>
      <c r="LMH22" s="41"/>
      <c r="LMI22" s="41"/>
      <c r="LMJ22" s="28"/>
      <c r="LMK22" s="29"/>
      <c r="LML22" s="24"/>
      <c r="LMM22" s="13"/>
      <c r="LMN22" s="13"/>
      <c r="LMO22" s="14"/>
      <c r="LMP22" s="15"/>
      <c r="LMQ22" s="15"/>
      <c r="LMR22" s="16"/>
      <c r="LMS22" s="41"/>
      <c r="LMT22" s="41"/>
      <c r="LMU22" s="28"/>
      <c r="LMV22" s="29"/>
      <c r="LMW22" s="24"/>
      <c r="LMX22" s="13"/>
      <c r="LMY22" s="13"/>
      <c r="LMZ22" s="14"/>
      <c r="LNA22" s="15"/>
      <c r="LNB22" s="15"/>
      <c r="LNC22" s="16"/>
      <c r="LND22" s="41"/>
      <c r="LNE22" s="41"/>
      <c r="LNF22" s="28"/>
      <c r="LNG22" s="29"/>
      <c r="LNH22" s="24"/>
      <c r="LNI22" s="13"/>
      <c r="LNJ22" s="13"/>
      <c r="LNK22" s="14"/>
      <c r="LNL22" s="15"/>
      <c r="LNM22" s="15"/>
      <c r="LNN22" s="16"/>
      <c r="LNO22" s="41"/>
      <c r="LNP22" s="41"/>
      <c r="LNQ22" s="28"/>
      <c r="LNR22" s="29"/>
      <c r="LNS22" s="24"/>
      <c r="LNT22" s="13"/>
      <c r="LNU22" s="13"/>
      <c r="LNV22" s="14"/>
      <c r="LNW22" s="15"/>
      <c r="LNX22" s="15"/>
      <c r="LNY22" s="16"/>
      <c r="LNZ22" s="41"/>
      <c r="LOA22" s="41"/>
      <c r="LOB22" s="28"/>
      <c r="LOC22" s="29"/>
      <c r="LOD22" s="24"/>
      <c r="LOE22" s="13"/>
      <c r="LOF22" s="13"/>
      <c r="LOG22" s="14"/>
      <c r="LOH22" s="15"/>
      <c r="LOI22" s="15"/>
      <c r="LOJ22" s="16"/>
      <c r="LOK22" s="41"/>
      <c r="LOL22" s="41"/>
      <c r="LOM22" s="28"/>
      <c r="LON22" s="29"/>
      <c r="LOO22" s="24"/>
      <c r="LOP22" s="13"/>
      <c r="LOQ22" s="13"/>
      <c r="LOR22" s="14"/>
      <c r="LOS22" s="15"/>
      <c r="LOT22" s="15"/>
      <c r="LOU22" s="16"/>
      <c r="LOV22" s="41"/>
      <c r="LOW22" s="41"/>
      <c r="LOX22" s="28"/>
      <c r="LOY22" s="29"/>
      <c r="LOZ22" s="24"/>
      <c r="LPA22" s="13"/>
      <c r="LPB22" s="13"/>
      <c r="LPC22" s="14"/>
      <c r="LPD22" s="15"/>
      <c r="LPE22" s="15"/>
      <c r="LPF22" s="16"/>
      <c r="LPG22" s="41"/>
      <c r="LPH22" s="41"/>
      <c r="LPI22" s="28"/>
      <c r="LPJ22" s="29"/>
      <c r="LPK22" s="24"/>
      <c r="LPL22" s="13"/>
      <c r="LPM22" s="13"/>
      <c r="LPN22" s="14"/>
      <c r="LPO22" s="15"/>
      <c r="LPP22" s="15"/>
      <c r="LPQ22" s="16"/>
      <c r="LPR22" s="41"/>
      <c r="LPS22" s="41"/>
      <c r="LPT22" s="28"/>
      <c r="LPU22" s="29"/>
      <c r="LPV22" s="24"/>
      <c r="LPW22" s="13"/>
      <c r="LPX22" s="13"/>
      <c r="LPY22" s="14"/>
      <c r="LPZ22" s="15"/>
      <c r="LQA22" s="15"/>
      <c r="LQB22" s="16"/>
      <c r="LQC22" s="41"/>
      <c r="LQD22" s="41"/>
      <c r="LQE22" s="28"/>
      <c r="LQF22" s="29"/>
      <c r="LQG22" s="24"/>
      <c r="LQH22" s="13"/>
      <c r="LQI22" s="13"/>
      <c r="LQJ22" s="14"/>
      <c r="LQK22" s="15"/>
      <c r="LQL22" s="15"/>
      <c r="LQM22" s="16"/>
      <c r="LQN22" s="41"/>
      <c r="LQO22" s="41"/>
      <c r="LQP22" s="28"/>
      <c r="LQQ22" s="29"/>
      <c r="LQR22" s="24"/>
      <c r="LQS22" s="13"/>
      <c r="LQT22" s="13"/>
      <c r="LQU22" s="14"/>
      <c r="LQV22" s="15"/>
      <c r="LQW22" s="15"/>
      <c r="LQX22" s="16"/>
      <c r="LQY22" s="41"/>
      <c r="LQZ22" s="41"/>
      <c r="LRA22" s="28"/>
      <c r="LRB22" s="29"/>
      <c r="LRC22" s="24"/>
      <c r="LRD22" s="13"/>
      <c r="LRE22" s="13"/>
      <c r="LRF22" s="14"/>
      <c r="LRG22" s="15"/>
      <c r="LRH22" s="15"/>
      <c r="LRI22" s="16"/>
      <c r="LRJ22" s="41"/>
      <c r="LRK22" s="41"/>
      <c r="LRL22" s="28"/>
      <c r="LRM22" s="29"/>
      <c r="LRN22" s="24"/>
      <c r="LRO22" s="13"/>
      <c r="LRP22" s="13"/>
      <c r="LRQ22" s="14"/>
      <c r="LRR22" s="15"/>
      <c r="LRS22" s="15"/>
      <c r="LRT22" s="16"/>
      <c r="LRU22" s="41"/>
      <c r="LRV22" s="41"/>
      <c r="LRW22" s="28"/>
      <c r="LRX22" s="29"/>
      <c r="LRY22" s="24"/>
      <c r="LRZ22" s="13"/>
      <c r="LSA22" s="13"/>
      <c r="LSB22" s="14"/>
      <c r="LSC22" s="15"/>
      <c r="LSD22" s="15"/>
      <c r="LSE22" s="16"/>
      <c r="LSF22" s="41"/>
      <c r="LSG22" s="41"/>
      <c r="LSH22" s="28"/>
      <c r="LSI22" s="29"/>
      <c r="LSJ22" s="24"/>
      <c r="LSK22" s="13"/>
      <c r="LSL22" s="13"/>
      <c r="LSM22" s="14"/>
      <c r="LSN22" s="15"/>
      <c r="LSO22" s="15"/>
      <c r="LSP22" s="16"/>
      <c r="LSQ22" s="41"/>
      <c r="LSR22" s="41"/>
      <c r="LSS22" s="28"/>
      <c r="LST22" s="29"/>
      <c r="LSU22" s="24"/>
      <c r="LSV22" s="13"/>
      <c r="LSW22" s="13"/>
      <c r="LSX22" s="14"/>
      <c r="LSY22" s="15"/>
      <c r="LSZ22" s="15"/>
      <c r="LTA22" s="16"/>
      <c r="LTB22" s="41"/>
      <c r="LTC22" s="41"/>
      <c r="LTD22" s="28"/>
      <c r="LTE22" s="29"/>
      <c r="LTF22" s="24"/>
      <c r="LTG22" s="13"/>
      <c r="LTH22" s="13"/>
      <c r="LTI22" s="14"/>
      <c r="LTJ22" s="15"/>
      <c r="LTK22" s="15"/>
      <c r="LTL22" s="16"/>
      <c r="LTM22" s="41"/>
      <c r="LTN22" s="41"/>
      <c r="LTO22" s="28"/>
      <c r="LTP22" s="29"/>
      <c r="LTQ22" s="24"/>
      <c r="LTR22" s="13"/>
      <c r="LTS22" s="13"/>
      <c r="LTT22" s="14"/>
      <c r="LTU22" s="15"/>
      <c r="LTV22" s="15"/>
      <c r="LTW22" s="16"/>
      <c r="LTX22" s="41"/>
      <c r="LTY22" s="41"/>
      <c r="LTZ22" s="28"/>
      <c r="LUA22" s="29"/>
      <c r="LUB22" s="24"/>
      <c r="LUC22" s="13"/>
      <c r="LUD22" s="13"/>
      <c r="LUE22" s="14"/>
      <c r="LUF22" s="15"/>
      <c r="LUG22" s="15"/>
      <c r="LUH22" s="16"/>
      <c r="LUI22" s="41"/>
      <c r="LUJ22" s="41"/>
      <c r="LUK22" s="28"/>
      <c r="LUL22" s="29"/>
      <c r="LUM22" s="24"/>
      <c r="LUN22" s="13"/>
      <c r="LUO22" s="13"/>
      <c r="LUP22" s="14"/>
      <c r="LUQ22" s="15"/>
      <c r="LUR22" s="15"/>
      <c r="LUS22" s="16"/>
      <c r="LUT22" s="41"/>
      <c r="LUU22" s="41"/>
      <c r="LUV22" s="28"/>
      <c r="LUW22" s="29"/>
      <c r="LUX22" s="24"/>
      <c r="LUY22" s="13"/>
      <c r="LUZ22" s="13"/>
      <c r="LVA22" s="14"/>
      <c r="LVB22" s="15"/>
      <c r="LVC22" s="15"/>
      <c r="LVD22" s="16"/>
      <c r="LVE22" s="41"/>
      <c r="LVF22" s="41"/>
      <c r="LVG22" s="28"/>
      <c r="LVH22" s="29"/>
      <c r="LVI22" s="24"/>
      <c r="LVJ22" s="13"/>
      <c r="LVK22" s="13"/>
      <c r="LVL22" s="14"/>
      <c r="LVM22" s="15"/>
      <c r="LVN22" s="15"/>
      <c r="LVO22" s="16"/>
      <c r="LVP22" s="41"/>
      <c r="LVQ22" s="41"/>
      <c r="LVR22" s="28"/>
      <c r="LVS22" s="29"/>
      <c r="LVT22" s="24"/>
      <c r="LVU22" s="13"/>
      <c r="LVV22" s="13"/>
      <c r="LVW22" s="14"/>
      <c r="LVX22" s="15"/>
      <c r="LVY22" s="15"/>
      <c r="LVZ22" s="16"/>
      <c r="LWA22" s="41"/>
      <c r="LWB22" s="41"/>
      <c r="LWC22" s="28"/>
      <c r="LWD22" s="29"/>
      <c r="LWE22" s="24"/>
      <c r="LWF22" s="13"/>
      <c r="LWG22" s="13"/>
      <c r="LWH22" s="14"/>
      <c r="LWI22" s="15"/>
      <c r="LWJ22" s="15"/>
      <c r="LWK22" s="16"/>
      <c r="LWL22" s="41"/>
      <c r="LWM22" s="41"/>
      <c r="LWN22" s="28"/>
      <c r="LWO22" s="29"/>
      <c r="LWP22" s="24"/>
      <c r="LWQ22" s="13"/>
      <c r="LWR22" s="13"/>
      <c r="LWS22" s="14"/>
      <c r="LWT22" s="15"/>
      <c r="LWU22" s="15"/>
      <c r="LWV22" s="16"/>
      <c r="LWW22" s="41"/>
      <c r="LWX22" s="41"/>
      <c r="LWY22" s="28"/>
      <c r="LWZ22" s="29"/>
      <c r="LXA22" s="24"/>
      <c r="LXB22" s="13"/>
      <c r="LXC22" s="13"/>
      <c r="LXD22" s="14"/>
      <c r="LXE22" s="15"/>
      <c r="LXF22" s="15"/>
      <c r="LXG22" s="16"/>
      <c r="LXH22" s="41"/>
      <c r="LXI22" s="41"/>
      <c r="LXJ22" s="28"/>
      <c r="LXK22" s="29"/>
      <c r="LXL22" s="24"/>
      <c r="LXM22" s="13"/>
      <c r="LXN22" s="13"/>
      <c r="LXO22" s="14"/>
      <c r="LXP22" s="15"/>
      <c r="LXQ22" s="15"/>
      <c r="LXR22" s="16"/>
      <c r="LXS22" s="41"/>
      <c r="LXT22" s="41"/>
      <c r="LXU22" s="28"/>
      <c r="LXV22" s="29"/>
      <c r="LXW22" s="24"/>
      <c r="LXX22" s="13"/>
      <c r="LXY22" s="13"/>
      <c r="LXZ22" s="14"/>
      <c r="LYA22" s="15"/>
      <c r="LYB22" s="15"/>
      <c r="LYC22" s="16"/>
      <c r="LYD22" s="41"/>
      <c r="LYE22" s="41"/>
      <c r="LYF22" s="28"/>
      <c r="LYG22" s="29"/>
      <c r="LYH22" s="24"/>
      <c r="LYI22" s="13"/>
      <c r="LYJ22" s="13"/>
      <c r="LYK22" s="14"/>
      <c r="LYL22" s="15"/>
      <c r="LYM22" s="15"/>
      <c r="LYN22" s="16"/>
      <c r="LYO22" s="41"/>
      <c r="LYP22" s="41"/>
      <c r="LYQ22" s="28"/>
      <c r="LYR22" s="29"/>
      <c r="LYS22" s="24"/>
      <c r="LYT22" s="13"/>
      <c r="LYU22" s="13"/>
      <c r="LYV22" s="14"/>
      <c r="LYW22" s="15"/>
      <c r="LYX22" s="15"/>
      <c r="LYY22" s="16"/>
      <c r="LYZ22" s="41"/>
      <c r="LZA22" s="41"/>
      <c r="LZB22" s="28"/>
      <c r="LZC22" s="29"/>
      <c r="LZD22" s="24"/>
      <c r="LZE22" s="13"/>
      <c r="LZF22" s="13"/>
      <c r="LZG22" s="14"/>
      <c r="LZH22" s="15"/>
      <c r="LZI22" s="15"/>
      <c r="LZJ22" s="16"/>
      <c r="LZK22" s="41"/>
      <c r="LZL22" s="41"/>
      <c r="LZM22" s="28"/>
      <c r="LZN22" s="29"/>
      <c r="LZO22" s="24"/>
      <c r="LZP22" s="13"/>
      <c r="LZQ22" s="13"/>
      <c r="LZR22" s="14"/>
      <c r="LZS22" s="15"/>
      <c r="LZT22" s="15"/>
      <c r="LZU22" s="16"/>
      <c r="LZV22" s="41"/>
      <c r="LZW22" s="41"/>
      <c r="LZX22" s="28"/>
      <c r="LZY22" s="29"/>
      <c r="LZZ22" s="24"/>
      <c r="MAA22" s="13"/>
      <c r="MAB22" s="13"/>
      <c r="MAC22" s="14"/>
      <c r="MAD22" s="15"/>
      <c r="MAE22" s="15"/>
      <c r="MAF22" s="16"/>
      <c r="MAG22" s="41"/>
      <c r="MAH22" s="41"/>
      <c r="MAI22" s="28"/>
      <c r="MAJ22" s="29"/>
      <c r="MAK22" s="24"/>
      <c r="MAL22" s="13"/>
      <c r="MAM22" s="13"/>
      <c r="MAN22" s="14"/>
      <c r="MAO22" s="15"/>
      <c r="MAP22" s="15"/>
      <c r="MAQ22" s="16"/>
      <c r="MAR22" s="41"/>
      <c r="MAS22" s="41"/>
      <c r="MAT22" s="28"/>
      <c r="MAU22" s="29"/>
      <c r="MAV22" s="24"/>
      <c r="MAW22" s="13"/>
      <c r="MAX22" s="13"/>
      <c r="MAY22" s="14"/>
      <c r="MAZ22" s="15"/>
      <c r="MBA22" s="15"/>
      <c r="MBB22" s="16"/>
      <c r="MBC22" s="41"/>
      <c r="MBD22" s="41"/>
      <c r="MBE22" s="28"/>
      <c r="MBF22" s="29"/>
      <c r="MBG22" s="24"/>
      <c r="MBH22" s="13"/>
      <c r="MBI22" s="13"/>
      <c r="MBJ22" s="14"/>
      <c r="MBK22" s="15"/>
      <c r="MBL22" s="15"/>
      <c r="MBM22" s="16"/>
      <c r="MBN22" s="41"/>
      <c r="MBO22" s="41"/>
      <c r="MBP22" s="28"/>
      <c r="MBQ22" s="29"/>
      <c r="MBR22" s="24"/>
      <c r="MBS22" s="13"/>
      <c r="MBT22" s="13"/>
      <c r="MBU22" s="14"/>
      <c r="MBV22" s="15"/>
      <c r="MBW22" s="15"/>
      <c r="MBX22" s="16"/>
      <c r="MBY22" s="41"/>
      <c r="MBZ22" s="41"/>
      <c r="MCA22" s="28"/>
      <c r="MCB22" s="29"/>
      <c r="MCC22" s="24"/>
      <c r="MCD22" s="13"/>
      <c r="MCE22" s="13"/>
      <c r="MCF22" s="14"/>
      <c r="MCG22" s="15"/>
      <c r="MCH22" s="15"/>
      <c r="MCI22" s="16"/>
      <c r="MCJ22" s="41"/>
      <c r="MCK22" s="41"/>
      <c r="MCL22" s="28"/>
      <c r="MCM22" s="29"/>
      <c r="MCN22" s="24"/>
      <c r="MCO22" s="13"/>
      <c r="MCP22" s="13"/>
      <c r="MCQ22" s="14"/>
      <c r="MCR22" s="15"/>
      <c r="MCS22" s="15"/>
      <c r="MCT22" s="16"/>
      <c r="MCU22" s="41"/>
      <c r="MCV22" s="41"/>
      <c r="MCW22" s="28"/>
      <c r="MCX22" s="29"/>
      <c r="MCY22" s="24"/>
      <c r="MCZ22" s="13"/>
      <c r="MDA22" s="13"/>
      <c r="MDB22" s="14"/>
      <c r="MDC22" s="15"/>
      <c r="MDD22" s="15"/>
      <c r="MDE22" s="16"/>
      <c r="MDF22" s="41"/>
      <c r="MDG22" s="41"/>
      <c r="MDH22" s="28"/>
      <c r="MDI22" s="29"/>
      <c r="MDJ22" s="24"/>
      <c r="MDK22" s="13"/>
      <c r="MDL22" s="13"/>
      <c r="MDM22" s="14"/>
      <c r="MDN22" s="15"/>
      <c r="MDO22" s="15"/>
      <c r="MDP22" s="16"/>
      <c r="MDQ22" s="41"/>
      <c r="MDR22" s="41"/>
      <c r="MDS22" s="28"/>
      <c r="MDT22" s="29"/>
      <c r="MDU22" s="24"/>
      <c r="MDV22" s="13"/>
      <c r="MDW22" s="13"/>
      <c r="MDX22" s="14"/>
      <c r="MDY22" s="15"/>
      <c r="MDZ22" s="15"/>
      <c r="MEA22" s="16"/>
      <c r="MEB22" s="41"/>
      <c r="MEC22" s="41"/>
      <c r="MED22" s="28"/>
      <c r="MEE22" s="29"/>
      <c r="MEF22" s="24"/>
      <c r="MEG22" s="13"/>
      <c r="MEH22" s="13"/>
      <c r="MEI22" s="14"/>
      <c r="MEJ22" s="15"/>
      <c r="MEK22" s="15"/>
      <c r="MEL22" s="16"/>
      <c r="MEM22" s="41"/>
      <c r="MEN22" s="41"/>
      <c r="MEO22" s="28"/>
      <c r="MEP22" s="29"/>
      <c r="MEQ22" s="24"/>
      <c r="MER22" s="13"/>
      <c r="MES22" s="13"/>
      <c r="MET22" s="14"/>
      <c r="MEU22" s="15"/>
      <c r="MEV22" s="15"/>
      <c r="MEW22" s="16"/>
      <c r="MEX22" s="41"/>
      <c r="MEY22" s="41"/>
      <c r="MEZ22" s="28"/>
      <c r="MFA22" s="29"/>
      <c r="MFB22" s="24"/>
      <c r="MFC22" s="13"/>
      <c r="MFD22" s="13"/>
      <c r="MFE22" s="14"/>
      <c r="MFF22" s="15"/>
      <c r="MFG22" s="15"/>
      <c r="MFH22" s="16"/>
      <c r="MFI22" s="41"/>
      <c r="MFJ22" s="41"/>
      <c r="MFK22" s="28"/>
      <c r="MFL22" s="29"/>
      <c r="MFM22" s="24"/>
      <c r="MFN22" s="13"/>
      <c r="MFO22" s="13"/>
      <c r="MFP22" s="14"/>
      <c r="MFQ22" s="15"/>
      <c r="MFR22" s="15"/>
      <c r="MFS22" s="16"/>
      <c r="MFT22" s="41"/>
      <c r="MFU22" s="41"/>
      <c r="MFV22" s="28"/>
      <c r="MFW22" s="29"/>
      <c r="MFX22" s="24"/>
      <c r="MFY22" s="13"/>
      <c r="MFZ22" s="13"/>
      <c r="MGA22" s="14"/>
      <c r="MGB22" s="15"/>
      <c r="MGC22" s="15"/>
      <c r="MGD22" s="16"/>
      <c r="MGE22" s="41"/>
      <c r="MGF22" s="41"/>
      <c r="MGG22" s="28"/>
      <c r="MGH22" s="29"/>
      <c r="MGI22" s="24"/>
      <c r="MGJ22" s="13"/>
      <c r="MGK22" s="13"/>
      <c r="MGL22" s="14"/>
      <c r="MGM22" s="15"/>
      <c r="MGN22" s="15"/>
      <c r="MGO22" s="16"/>
      <c r="MGP22" s="41"/>
      <c r="MGQ22" s="41"/>
      <c r="MGR22" s="28"/>
      <c r="MGS22" s="29"/>
      <c r="MGT22" s="24"/>
      <c r="MGU22" s="13"/>
      <c r="MGV22" s="13"/>
      <c r="MGW22" s="14"/>
      <c r="MGX22" s="15"/>
      <c r="MGY22" s="15"/>
      <c r="MGZ22" s="16"/>
      <c r="MHA22" s="41"/>
      <c r="MHB22" s="41"/>
      <c r="MHC22" s="28"/>
      <c r="MHD22" s="29"/>
      <c r="MHE22" s="24"/>
      <c r="MHF22" s="13"/>
      <c r="MHG22" s="13"/>
      <c r="MHH22" s="14"/>
      <c r="MHI22" s="15"/>
      <c r="MHJ22" s="15"/>
      <c r="MHK22" s="16"/>
      <c r="MHL22" s="41"/>
      <c r="MHM22" s="41"/>
      <c r="MHN22" s="28"/>
      <c r="MHO22" s="29"/>
      <c r="MHP22" s="24"/>
      <c r="MHQ22" s="13"/>
      <c r="MHR22" s="13"/>
      <c r="MHS22" s="14"/>
      <c r="MHT22" s="15"/>
      <c r="MHU22" s="15"/>
      <c r="MHV22" s="16"/>
      <c r="MHW22" s="41"/>
      <c r="MHX22" s="41"/>
      <c r="MHY22" s="28"/>
      <c r="MHZ22" s="29"/>
      <c r="MIA22" s="24"/>
      <c r="MIB22" s="13"/>
      <c r="MIC22" s="13"/>
      <c r="MID22" s="14"/>
      <c r="MIE22" s="15"/>
      <c r="MIF22" s="15"/>
      <c r="MIG22" s="16"/>
      <c r="MIH22" s="41"/>
      <c r="MII22" s="41"/>
      <c r="MIJ22" s="28"/>
      <c r="MIK22" s="29"/>
      <c r="MIL22" s="24"/>
      <c r="MIM22" s="13"/>
      <c r="MIN22" s="13"/>
      <c r="MIO22" s="14"/>
      <c r="MIP22" s="15"/>
      <c r="MIQ22" s="15"/>
      <c r="MIR22" s="16"/>
      <c r="MIS22" s="41"/>
      <c r="MIT22" s="41"/>
      <c r="MIU22" s="28"/>
      <c r="MIV22" s="29"/>
      <c r="MIW22" s="24"/>
      <c r="MIX22" s="13"/>
      <c r="MIY22" s="13"/>
      <c r="MIZ22" s="14"/>
      <c r="MJA22" s="15"/>
      <c r="MJB22" s="15"/>
      <c r="MJC22" s="16"/>
      <c r="MJD22" s="41"/>
      <c r="MJE22" s="41"/>
      <c r="MJF22" s="28"/>
      <c r="MJG22" s="29"/>
      <c r="MJH22" s="24"/>
      <c r="MJI22" s="13"/>
      <c r="MJJ22" s="13"/>
      <c r="MJK22" s="14"/>
      <c r="MJL22" s="15"/>
      <c r="MJM22" s="15"/>
      <c r="MJN22" s="16"/>
      <c r="MJO22" s="41"/>
      <c r="MJP22" s="41"/>
      <c r="MJQ22" s="28"/>
      <c r="MJR22" s="29"/>
      <c r="MJS22" s="24"/>
      <c r="MJT22" s="13"/>
      <c r="MJU22" s="13"/>
      <c r="MJV22" s="14"/>
      <c r="MJW22" s="15"/>
      <c r="MJX22" s="15"/>
      <c r="MJY22" s="16"/>
      <c r="MJZ22" s="41"/>
      <c r="MKA22" s="41"/>
      <c r="MKB22" s="28"/>
      <c r="MKC22" s="29"/>
      <c r="MKD22" s="24"/>
      <c r="MKE22" s="13"/>
      <c r="MKF22" s="13"/>
      <c r="MKG22" s="14"/>
      <c r="MKH22" s="15"/>
      <c r="MKI22" s="15"/>
      <c r="MKJ22" s="16"/>
      <c r="MKK22" s="41"/>
      <c r="MKL22" s="41"/>
      <c r="MKM22" s="28"/>
      <c r="MKN22" s="29"/>
      <c r="MKO22" s="24"/>
      <c r="MKP22" s="13"/>
      <c r="MKQ22" s="13"/>
      <c r="MKR22" s="14"/>
      <c r="MKS22" s="15"/>
      <c r="MKT22" s="15"/>
      <c r="MKU22" s="16"/>
      <c r="MKV22" s="41"/>
      <c r="MKW22" s="41"/>
      <c r="MKX22" s="28"/>
      <c r="MKY22" s="29"/>
      <c r="MKZ22" s="24"/>
      <c r="MLA22" s="13"/>
      <c r="MLB22" s="13"/>
      <c r="MLC22" s="14"/>
      <c r="MLD22" s="15"/>
      <c r="MLE22" s="15"/>
      <c r="MLF22" s="16"/>
      <c r="MLG22" s="41"/>
      <c r="MLH22" s="41"/>
      <c r="MLI22" s="28"/>
      <c r="MLJ22" s="29"/>
      <c r="MLK22" s="24"/>
      <c r="MLL22" s="13"/>
      <c r="MLM22" s="13"/>
      <c r="MLN22" s="14"/>
      <c r="MLO22" s="15"/>
      <c r="MLP22" s="15"/>
      <c r="MLQ22" s="16"/>
      <c r="MLR22" s="41"/>
      <c r="MLS22" s="41"/>
      <c r="MLT22" s="28"/>
      <c r="MLU22" s="29"/>
      <c r="MLV22" s="24"/>
      <c r="MLW22" s="13"/>
      <c r="MLX22" s="13"/>
      <c r="MLY22" s="14"/>
      <c r="MLZ22" s="15"/>
      <c r="MMA22" s="15"/>
      <c r="MMB22" s="16"/>
      <c r="MMC22" s="41"/>
      <c r="MMD22" s="41"/>
      <c r="MME22" s="28"/>
      <c r="MMF22" s="29"/>
      <c r="MMG22" s="24"/>
      <c r="MMH22" s="13"/>
      <c r="MMI22" s="13"/>
      <c r="MMJ22" s="14"/>
      <c r="MMK22" s="15"/>
      <c r="MML22" s="15"/>
      <c r="MMM22" s="16"/>
      <c r="MMN22" s="41"/>
      <c r="MMO22" s="41"/>
      <c r="MMP22" s="28"/>
      <c r="MMQ22" s="29"/>
      <c r="MMR22" s="24"/>
      <c r="MMS22" s="13"/>
      <c r="MMT22" s="13"/>
      <c r="MMU22" s="14"/>
      <c r="MMV22" s="15"/>
      <c r="MMW22" s="15"/>
      <c r="MMX22" s="16"/>
      <c r="MMY22" s="41"/>
      <c r="MMZ22" s="41"/>
      <c r="MNA22" s="28"/>
      <c r="MNB22" s="29"/>
      <c r="MNC22" s="24"/>
      <c r="MND22" s="13"/>
      <c r="MNE22" s="13"/>
      <c r="MNF22" s="14"/>
      <c r="MNG22" s="15"/>
      <c r="MNH22" s="15"/>
      <c r="MNI22" s="16"/>
      <c r="MNJ22" s="41"/>
      <c r="MNK22" s="41"/>
      <c r="MNL22" s="28"/>
      <c r="MNM22" s="29"/>
      <c r="MNN22" s="24"/>
      <c r="MNO22" s="13"/>
      <c r="MNP22" s="13"/>
      <c r="MNQ22" s="14"/>
      <c r="MNR22" s="15"/>
      <c r="MNS22" s="15"/>
      <c r="MNT22" s="16"/>
      <c r="MNU22" s="41"/>
      <c r="MNV22" s="41"/>
      <c r="MNW22" s="28"/>
      <c r="MNX22" s="29"/>
      <c r="MNY22" s="24"/>
      <c r="MNZ22" s="13"/>
      <c r="MOA22" s="13"/>
      <c r="MOB22" s="14"/>
      <c r="MOC22" s="15"/>
      <c r="MOD22" s="15"/>
      <c r="MOE22" s="16"/>
      <c r="MOF22" s="41"/>
      <c r="MOG22" s="41"/>
      <c r="MOH22" s="28"/>
      <c r="MOI22" s="29"/>
      <c r="MOJ22" s="24"/>
      <c r="MOK22" s="13"/>
      <c r="MOL22" s="13"/>
      <c r="MOM22" s="14"/>
      <c r="MON22" s="15"/>
      <c r="MOO22" s="15"/>
      <c r="MOP22" s="16"/>
      <c r="MOQ22" s="41"/>
      <c r="MOR22" s="41"/>
      <c r="MOS22" s="28"/>
      <c r="MOT22" s="29"/>
      <c r="MOU22" s="24"/>
      <c r="MOV22" s="13"/>
      <c r="MOW22" s="13"/>
      <c r="MOX22" s="14"/>
      <c r="MOY22" s="15"/>
      <c r="MOZ22" s="15"/>
      <c r="MPA22" s="16"/>
      <c r="MPB22" s="41"/>
      <c r="MPC22" s="41"/>
      <c r="MPD22" s="28"/>
      <c r="MPE22" s="29"/>
      <c r="MPF22" s="24"/>
      <c r="MPG22" s="13"/>
      <c r="MPH22" s="13"/>
      <c r="MPI22" s="14"/>
      <c r="MPJ22" s="15"/>
      <c r="MPK22" s="15"/>
      <c r="MPL22" s="16"/>
      <c r="MPM22" s="41"/>
      <c r="MPN22" s="41"/>
      <c r="MPO22" s="28"/>
      <c r="MPP22" s="29"/>
      <c r="MPQ22" s="24"/>
      <c r="MPR22" s="13"/>
      <c r="MPS22" s="13"/>
      <c r="MPT22" s="14"/>
      <c r="MPU22" s="15"/>
      <c r="MPV22" s="15"/>
      <c r="MPW22" s="16"/>
      <c r="MPX22" s="41"/>
      <c r="MPY22" s="41"/>
      <c r="MPZ22" s="28"/>
      <c r="MQA22" s="29"/>
      <c r="MQB22" s="24"/>
      <c r="MQC22" s="13"/>
      <c r="MQD22" s="13"/>
      <c r="MQE22" s="14"/>
      <c r="MQF22" s="15"/>
      <c r="MQG22" s="15"/>
      <c r="MQH22" s="16"/>
      <c r="MQI22" s="41"/>
      <c r="MQJ22" s="41"/>
      <c r="MQK22" s="28"/>
      <c r="MQL22" s="29"/>
      <c r="MQM22" s="24"/>
      <c r="MQN22" s="13"/>
      <c r="MQO22" s="13"/>
      <c r="MQP22" s="14"/>
      <c r="MQQ22" s="15"/>
      <c r="MQR22" s="15"/>
      <c r="MQS22" s="16"/>
      <c r="MQT22" s="41"/>
      <c r="MQU22" s="41"/>
      <c r="MQV22" s="28"/>
      <c r="MQW22" s="29"/>
      <c r="MQX22" s="24"/>
      <c r="MQY22" s="13"/>
      <c r="MQZ22" s="13"/>
      <c r="MRA22" s="14"/>
      <c r="MRB22" s="15"/>
      <c r="MRC22" s="15"/>
      <c r="MRD22" s="16"/>
      <c r="MRE22" s="41"/>
      <c r="MRF22" s="41"/>
      <c r="MRG22" s="28"/>
      <c r="MRH22" s="29"/>
      <c r="MRI22" s="24"/>
      <c r="MRJ22" s="13"/>
      <c r="MRK22" s="13"/>
      <c r="MRL22" s="14"/>
      <c r="MRM22" s="15"/>
      <c r="MRN22" s="15"/>
      <c r="MRO22" s="16"/>
      <c r="MRP22" s="41"/>
      <c r="MRQ22" s="41"/>
      <c r="MRR22" s="28"/>
      <c r="MRS22" s="29"/>
      <c r="MRT22" s="24"/>
      <c r="MRU22" s="13"/>
      <c r="MRV22" s="13"/>
      <c r="MRW22" s="14"/>
      <c r="MRX22" s="15"/>
      <c r="MRY22" s="15"/>
      <c r="MRZ22" s="16"/>
      <c r="MSA22" s="41"/>
      <c r="MSB22" s="41"/>
      <c r="MSC22" s="28"/>
      <c r="MSD22" s="29"/>
      <c r="MSE22" s="24"/>
      <c r="MSF22" s="13"/>
      <c r="MSG22" s="13"/>
      <c r="MSH22" s="14"/>
      <c r="MSI22" s="15"/>
      <c r="MSJ22" s="15"/>
      <c r="MSK22" s="16"/>
      <c r="MSL22" s="41"/>
      <c r="MSM22" s="41"/>
      <c r="MSN22" s="28"/>
      <c r="MSO22" s="29"/>
      <c r="MSP22" s="24"/>
      <c r="MSQ22" s="13"/>
      <c r="MSR22" s="13"/>
      <c r="MSS22" s="14"/>
      <c r="MST22" s="15"/>
      <c r="MSU22" s="15"/>
      <c r="MSV22" s="16"/>
      <c r="MSW22" s="41"/>
      <c r="MSX22" s="41"/>
      <c r="MSY22" s="28"/>
      <c r="MSZ22" s="29"/>
      <c r="MTA22" s="24"/>
      <c r="MTB22" s="13"/>
      <c r="MTC22" s="13"/>
      <c r="MTD22" s="14"/>
      <c r="MTE22" s="15"/>
      <c r="MTF22" s="15"/>
      <c r="MTG22" s="16"/>
      <c r="MTH22" s="41"/>
      <c r="MTI22" s="41"/>
      <c r="MTJ22" s="28"/>
      <c r="MTK22" s="29"/>
      <c r="MTL22" s="24"/>
      <c r="MTM22" s="13"/>
      <c r="MTN22" s="13"/>
      <c r="MTO22" s="14"/>
      <c r="MTP22" s="15"/>
      <c r="MTQ22" s="15"/>
      <c r="MTR22" s="16"/>
      <c r="MTS22" s="41"/>
      <c r="MTT22" s="41"/>
      <c r="MTU22" s="28"/>
      <c r="MTV22" s="29"/>
      <c r="MTW22" s="24"/>
      <c r="MTX22" s="13"/>
      <c r="MTY22" s="13"/>
      <c r="MTZ22" s="14"/>
      <c r="MUA22" s="15"/>
      <c r="MUB22" s="15"/>
      <c r="MUC22" s="16"/>
      <c r="MUD22" s="41"/>
      <c r="MUE22" s="41"/>
      <c r="MUF22" s="28"/>
      <c r="MUG22" s="29"/>
      <c r="MUH22" s="24"/>
      <c r="MUI22" s="13"/>
      <c r="MUJ22" s="13"/>
      <c r="MUK22" s="14"/>
      <c r="MUL22" s="15"/>
      <c r="MUM22" s="15"/>
      <c r="MUN22" s="16"/>
      <c r="MUO22" s="41"/>
      <c r="MUP22" s="41"/>
      <c r="MUQ22" s="28"/>
      <c r="MUR22" s="29"/>
      <c r="MUS22" s="24"/>
      <c r="MUT22" s="13"/>
      <c r="MUU22" s="13"/>
      <c r="MUV22" s="14"/>
      <c r="MUW22" s="15"/>
      <c r="MUX22" s="15"/>
      <c r="MUY22" s="16"/>
      <c r="MUZ22" s="41"/>
      <c r="MVA22" s="41"/>
      <c r="MVB22" s="28"/>
      <c r="MVC22" s="29"/>
      <c r="MVD22" s="24"/>
      <c r="MVE22" s="13"/>
      <c r="MVF22" s="13"/>
      <c r="MVG22" s="14"/>
      <c r="MVH22" s="15"/>
      <c r="MVI22" s="15"/>
      <c r="MVJ22" s="16"/>
      <c r="MVK22" s="41"/>
      <c r="MVL22" s="41"/>
      <c r="MVM22" s="28"/>
      <c r="MVN22" s="29"/>
      <c r="MVO22" s="24"/>
      <c r="MVP22" s="13"/>
      <c r="MVQ22" s="13"/>
      <c r="MVR22" s="14"/>
      <c r="MVS22" s="15"/>
      <c r="MVT22" s="15"/>
      <c r="MVU22" s="16"/>
      <c r="MVV22" s="41"/>
      <c r="MVW22" s="41"/>
      <c r="MVX22" s="28"/>
      <c r="MVY22" s="29"/>
      <c r="MVZ22" s="24"/>
      <c r="MWA22" s="13"/>
      <c r="MWB22" s="13"/>
      <c r="MWC22" s="14"/>
      <c r="MWD22" s="15"/>
      <c r="MWE22" s="15"/>
      <c r="MWF22" s="16"/>
      <c r="MWG22" s="41"/>
      <c r="MWH22" s="41"/>
      <c r="MWI22" s="28"/>
      <c r="MWJ22" s="29"/>
      <c r="MWK22" s="24"/>
      <c r="MWL22" s="13"/>
      <c r="MWM22" s="13"/>
      <c r="MWN22" s="14"/>
      <c r="MWO22" s="15"/>
      <c r="MWP22" s="15"/>
      <c r="MWQ22" s="16"/>
      <c r="MWR22" s="41"/>
      <c r="MWS22" s="41"/>
      <c r="MWT22" s="28"/>
      <c r="MWU22" s="29"/>
      <c r="MWV22" s="24"/>
      <c r="MWW22" s="13"/>
      <c r="MWX22" s="13"/>
      <c r="MWY22" s="14"/>
      <c r="MWZ22" s="15"/>
      <c r="MXA22" s="15"/>
      <c r="MXB22" s="16"/>
      <c r="MXC22" s="41"/>
      <c r="MXD22" s="41"/>
      <c r="MXE22" s="28"/>
      <c r="MXF22" s="29"/>
      <c r="MXG22" s="24"/>
      <c r="MXH22" s="13"/>
      <c r="MXI22" s="13"/>
      <c r="MXJ22" s="14"/>
      <c r="MXK22" s="15"/>
      <c r="MXL22" s="15"/>
      <c r="MXM22" s="16"/>
      <c r="MXN22" s="41"/>
      <c r="MXO22" s="41"/>
      <c r="MXP22" s="28"/>
      <c r="MXQ22" s="29"/>
      <c r="MXR22" s="24"/>
      <c r="MXS22" s="13"/>
      <c r="MXT22" s="13"/>
      <c r="MXU22" s="14"/>
      <c r="MXV22" s="15"/>
      <c r="MXW22" s="15"/>
      <c r="MXX22" s="16"/>
      <c r="MXY22" s="41"/>
      <c r="MXZ22" s="41"/>
      <c r="MYA22" s="28"/>
      <c r="MYB22" s="29"/>
      <c r="MYC22" s="24"/>
      <c r="MYD22" s="13"/>
      <c r="MYE22" s="13"/>
      <c r="MYF22" s="14"/>
      <c r="MYG22" s="15"/>
      <c r="MYH22" s="15"/>
      <c r="MYI22" s="16"/>
      <c r="MYJ22" s="41"/>
      <c r="MYK22" s="41"/>
      <c r="MYL22" s="28"/>
      <c r="MYM22" s="29"/>
      <c r="MYN22" s="24"/>
      <c r="MYO22" s="13"/>
      <c r="MYP22" s="13"/>
      <c r="MYQ22" s="14"/>
      <c r="MYR22" s="15"/>
      <c r="MYS22" s="15"/>
      <c r="MYT22" s="16"/>
      <c r="MYU22" s="41"/>
      <c r="MYV22" s="41"/>
      <c r="MYW22" s="28"/>
      <c r="MYX22" s="29"/>
      <c r="MYY22" s="24"/>
      <c r="MYZ22" s="13"/>
      <c r="MZA22" s="13"/>
      <c r="MZB22" s="14"/>
      <c r="MZC22" s="15"/>
      <c r="MZD22" s="15"/>
      <c r="MZE22" s="16"/>
      <c r="MZF22" s="41"/>
      <c r="MZG22" s="41"/>
      <c r="MZH22" s="28"/>
      <c r="MZI22" s="29"/>
      <c r="MZJ22" s="24"/>
      <c r="MZK22" s="13"/>
      <c r="MZL22" s="13"/>
      <c r="MZM22" s="14"/>
      <c r="MZN22" s="15"/>
      <c r="MZO22" s="15"/>
      <c r="MZP22" s="16"/>
      <c r="MZQ22" s="41"/>
      <c r="MZR22" s="41"/>
      <c r="MZS22" s="28"/>
      <c r="MZT22" s="29"/>
      <c r="MZU22" s="24"/>
      <c r="MZV22" s="13"/>
      <c r="MZW22" s="13"/>
      <c r="MZX22" s="14"/>
      <c r="MZY22" s="15"/>
      <c r="MZZ22" s="15"/>
      <c r="NAA22" s="16"/>
      <c r="NAB22" s="41"/>
      <c r="NAC22" s="41"/>
      <c r="NAD22" s="28"/>
      <c r="NAE22" s="29"/>
      <c r="NAF22" s="24"/>
      <c r="NAG22" s="13"/>
      <c r="NAH22" s="13"/>
      <c r="NAI22" s="14"/>
      <c r="NAJ22" s="15"/>
      <c r="NAK22" s="15"/>
      <c r="NAL22" s="16"/>
      <c r="NAM22" s="41"/>
      <c r="NAN22" s="41"/>
      <c r="NAO22" s="28"/>
      <c r="NAP22" s="29"/>
      <c r="NAQ22" s="24"/>
      <c r="NAR22" s="13"/>
      <c r="NAS22" s="13"/>
      <c r="NAT22" s="14"/>
      <c r="NAU22" s="15"/>
      <c r="NAV22" s="15"/>
      <c r="NAW22" s="16"/>
      <c r="NAX22" s="41"/>
      <c r="NAY22" s="41"/>
      <c r="NAZ22" s="28"/>
      <c r="NBA22" s="29"/>
      <c r="NBB22" s="24"/>
      <c r="NBC22" s="13"/>
      <c r="NBD22" s="13"/>
      <c r="NBE22" s="14"/>
      <c r="NBF22" s="15"/>
      <c r="NBG22" s="15"/>
      <c r="NBH22" s="16"/>
      <c r="NBI22" s="41"/>
      <c r="NBJ22" s="41"/>
      <c r="NBK22" s="28"/>
      <c r="NBL22" s="29"/>
      <c r="NBM22" s="24"/>
      <c r="NBN22" s="13"/>
      <c r="NBO22" s="13"/>
      <c r="NBP22" s="14"/>
      <c r="NBQ22" s="15"/>
      <c r="NBR22" s="15"/>
      <c r="NBS22" s="16"/>
      <c r="NBT22" s="41"/>
      <c r="NBU22" s="41"/>
      <c r="NBV22" s="28"/>
      <c r="NBW22" s="29"/>
      <c r="NBX22" s="24"/>
      <c r="NBY22" s="13"/>
      <c r="NBZ22" s="13"/>
      <c r="NCA22" s="14"/>
      <c r="NCB22" s="15"/>
      <c r="NCC22" s="15"/>
      <c r="NCD22" s="16"/>
      <c r="NCE22" s="41"/>
      <c r="NCF22" s="41"/>
      <c r="NCG22" s="28"/>
      <c r="NCH22" s="29"/>
      <c r="NCI22" s="24"/>
      <c r="NCJ22" s="13"/>
      <c r="NCK22" s="13"/>
      <c r="NCL22" s="14"/>
      <c r="NCM22" s="15"/>
      <c r="NCN22" s="15"/>
      <c r="NCO22" s="16"/>
      <c r="NCP22" s="41"/>
      <c r="NCQ22" s="41"/>
      <c r="NCR22" s="28"/>
      <c r="NCS22" s="29"/>
      <c r="NCT22" s="24"/>
      <c r="NCU22" s="13"/>
      <c r="NCV22" s="13"/>
      <c r="NCW22" s="14"/>
      <c r="NCX22" s="15"/>
      <c r="NCY22" s="15"/>
      <c r="NCZ22" s="16"/>
      <c r="NDA22" s="41"/>
      <c r="NDB22" s="41"/>
      <c r="NDC22" s="28"/>
      <c r="NDD22" s="29"/>
      <c r="NDE22" s="24"/>
      <c r="NDF22" s="13"/>
      <c r="NDG22" s="13"/>
      <c r="NDH22" s="14"/>
      <c r="NDI22" s="15"/>
      <c r="NDJ22" s="15"/>
      <c r="NDK22" s="16"/>
      <c r="NDL22" s="41"/>
      <c r="NDM22" s="41"/>
      <c r="NDN22" s="28"/>
      <c r="NDO22" s="29"/>
      <c r="NDP22" s="24"/>
      <c r="NDQ22" s="13"/>
      <c r="NDR22" s="13"/>
      <c r="NDS22" s="14"/>
      <c r="NDT22" s="15"/>
      <c r="NDU22" s="15"/>
      <c r="NDV22" s="16"/>
      <c r="NDW22" s="41"/>
      <c r="NDX22" s="41"/>
      <c r="NDY22" s="28"/>
      <c r="NDZ22" s="29"/>
      <c r="NEA22" s="24"/>
      <c r="NEB22" s="13"/>
      <c r="NEC22" s="13"/>
      <c r="NED22" s="14"/>
      <c r="NEE22" s="15"/>
      <c r="NEF22" s="15"/>
      <c r="NEG22" s="16"/>
      <c r="NEH22" s="41"/>
      <c r="NEI22" s="41"/>
      <c r="NEJ22" s="28"/>
      <c r="NEK22" s="29"/>
      <c r="NEL22" s="24"/>
      <c r="NEM22" s="13"/>
      <c r="NEN22" s="13"/>
      <c r="NEO22" s="14"/>
      <c r="NEP22" s="15"/>
      <c r="NEQ22" s="15"/>
      <c r="NER22" s="16"/>
      <c r="NES22" s="41"/>
      <c r="NET22" s="41"/>
      <c r="NEU22" s="28"/>
      <c r="NEV22" s="29"/>
      <c r="NEW22" s="24"/>
      <c r="NEX22" s="13"/>
      <c r="NEY22" s="13"/>
      <c r="NEZ22" s="14"/>
      <c r="NFA22" s="15"/>
      <c r="NFB22" s="15"/>
      <c r="NFC22" s="16"/>
      <c r="NFD22" s="41"/>
      <c r="NFE22" s="41"/>
      <c r="NFF22" s="28"/>
      <c r="NFG22" s="29"/>
      <c r="NFH22" s="24"/>
      <c r="NFI22" s="13"/>
      <c r="NFJ22" s="13"/>
      <c r="NFK22" s="14"/>
      <c r="NFL22" s="15"/>
      <c r="NFM22" s="15"/>
      <c r="NFN22" s="16"/>
      <c r="NFO22" s="41"/>
      <c r="NFP22" s="41"/>
      <c r="NFQ22" s="28"/>
      <c r="NFR22" s="29"/>
      <c r="NFS22" s="24"/>
      <c r="NFT22" s="13"/>
      <c r="NFU22" s="13"/>
      <c r="NFV22" s="14"/>
      <c r="NFW22" s="15"/>
      <c r="NFX22" s="15"/>
      <c r="NFY22" s="16"/>
      <c r="NFZ22" s="41"/>
      <c r="NGA22" s="41"/>
      <c r="NGB22" s="28"/>
      <c r="NGC22" s="29"/>
      <c r="NGD22" s="24"/>
      <c r="NGE22" s="13"/>
      <c r="NGF22" s="13"/>
      <c r="NGG22" s="14"/>
      <c r="NGH22" s="15"/>
      <c r="NGI22" s="15"/>
      <c r="NGJ22" s="16"/>
      <c r="NGK22" s="41"/>
      <c r="NGL22" s="41"/>
      <c r="NGM22" s="28"/>
      <c r="NGN22" s="29"/>
      <c r="NGO22" s="24"/>
      <c r="NGP22" s="13"/>
      <c r="NGQ22" s="13"/>
      <c r="NGR22" s="14"/>
      <c r="NGS22" s="15"/>
      <c r="NGT22" s="15"/>
      <c r="NGU22" s="16"/>
      <c r="NGV22" s="41"/>
      <c r="NGW22" s="41"/>
      <c r="NGX22" s="28"/>
      <c r="NGY22" s="29"/>
      <c r="NGZ22" s="24"/>
      <c r="NHA22" s="13"/>
      <c r="NHB22" s="13"/>
      <c r="NHC22" s="14"/>
      <c r="NHD22" s="15"/>
      <c r="NHE22" s="15"/>
      <c r="NHF22" s="16"/>
      <c r="NHG22" s="41"/>
      <c r="NHH22" s="41"/>
      <c r="NHI22" s="28"/>
      <c r="NHJ22" s="29"/>
      <c r="NHK22" s="24"/>
      <c r="NHL22" s="13"/>
      <c r="NHM22" s="13"/>
      <c r="NHN22" s="14"/>
      <c r="NHO22" s="15"/>
      <c r="NHP22" s="15"/>
      <c r="NHQ22" s="16"/>
      <c r="NHR22" s="41"/>
      <c r="NHS22" s="41"/>
      <c r="NHT22" s="28"/>
      <c r="NHU22" s="29"/>
      <c r="NHV22" s="24"/>
      <c r="NHW22" s="13"/>
      <c r="NHX22" s="13"/>
      <c r="NHY22" s="14"/>
      <c r="NHZ22" s="15"/>
      <c r="NIA22" s="15"/>
      <c r="NIB22" s="16"/>
      <c r="NIC22" s="41"/>
      <c r="NID22" s="41"/>
      <c r="NIE22" s="28"/>
      <c r="NIF22" s="29"/>
      <c r="NIG22" s="24"/>
      <c r="NIH22" s="13"/>
      <c r="NII22" s="13"/>
      <c r="NIJ22" s="14"/>
      <c r="NIK22" s="15"/>
      <c r="NIL22" s="15"/>
      <c r="NIM22" s="16"/>
      <c r="NIN22" s="41"/>
      <c r="NIO22" s="41"/>
      <c r="NIP22" s="28"/>
      <c r="NIQ22" s="29"/>
      <c r="NIR22" s="24"/>
      <c r="NIS22" s="13"/>
      <c r="NIT22" s="13"/>
      <c r="NIU22" s="14"/>
      <c r="NIV22" s="15"/>
      <c r="NIW22" s="15"/>
      <c r="NIX22" s="16"/>
      <c r="NIY22" s="41"/>
      <c r="NIZ22" s="41"/>
      <c r="NJA22" s="28"/>
      <c r="NJB22" s="29"/>
      <c r="NJC22" s="24"/>
      <c r="NJD22" s="13"/>
      <c r="NJE22" s="13"/>
      <c r="NJF22" s="14"/>
      <c r="NJG22" s="15"/>
      <c r="NJH22" s="15"/>
      <c r="NJI22" s="16"/>
      <c r="NJJ22" s="41"/>
      <c r="NJK22" s="41"/>
      <c r="NJL22" s="28"/>
      <c r="NJM22" s="29"/>
      <c r="NJN22" s="24"/>
      <c r="NJO22" s="13"/>
      <c r="NJP22" s="13"/>
      <c r="NJQ22" s="14"/>
      <c r="NJR22" s="15"/>
      <c r="NJS22" s="15"/>
      <c r="NJT22" s="16"/>
      <c r="NJU22" s="41"/>
      <c r="NJV22" s="41"/>
      <c r="NJW22" s="28"/>
      <c r="NJX22" s="29"/>
      <c r="NJY22" s="24"/>
      <c r="NJZ22" s="13"/>
      <c r="NKA22" s="13"/>
      <c r="NKB22" s="14"/>
      <c r="NKC22" s="15"/>
      <c r="NKD22" s="15"/>
      <c r="NKE22" s="16"/>
      <c r="NKF22" s="41"/>
      <c r="NKG22" s="41"/>
      <c r="NKH22" s="28"/>
      <c r="NKI22" s="29"/>
      <c r="NKJ22" s="24"/>
      <c r="NKK22" s="13"/>
      <c r="NKL22" s="13"/>
      <c r="NKM22" s="14"/>
      <c r="NKN22" s="15"/>
      <c r="NKO22" s="15"/>
      <c r="NKP22" s="16"/>
      <c r="NKQ22" s="41"/>
      <c r="NKR22" s="41"/>
      <c r="NKS22" s="28"/>
      <c r="NKT22" s="29"/>
      <c r="NKU22" s="24"/>
      <c r="NKV22" s="13"/>
      <c r="NKW22" s="13"/>
      <c r="NKX22" s="14"/>
      <c r="NKY22" s="15"/>
      <c r="NKZ22" s="15"/>
      <c r="NLA22" s="16"/>
      <c r="NLB22" s="41"/>
      <c r="NLC22" s="41"/>
      <c r="NLD22" s="28"/>
      <c r="NLE22" s="29"/>
      <c r="NLF22" s="24"/>
      <c r="NLG22" s="13"/>
      <c r="NLH22" s="13"/>
      <c r="NLI22" s="14"/>
      <c r="NLJ22" s="15"/>
      <c r="NLK22" s="15"/>
      <c r="NLL22" s="16"/>
      <c r="NLM22" s="41"/>
      <c r="NLN22" s="41"/>
      <c r="NLO22" s="28"/>
      <c r="NLP22" s="29"/>
      <c r="NLQ22" s="24"/>
      <c r="NLR22" s="13"/>
      <c r="NLS22" s="13"/>
      <c r="NLT22" s="14"/>
      <c r="NLU22" s="15"/>
      <c r="NLV22" s="15"/>
      <c r="NLW22" s="16"/>
      <c r="NLX22" s="41"/>
      <c r="NLY22" s="41"/>
      <c r="NLZ22" s="28"/>
      <c r="NMA22" s="29"/>
      <c r="NMB22" s="24"/>
      <c r="NMC22" s="13"/>
      <c r="NMD22" s="13"/>
      <c r="NME22" s="14"/>
      <c r="NMF22" s="15"/>
      <c r="NMG22" s="15"/>
      <c r="NMH22" s="16"/>
      <c r="NMI22" s="41"/>
      <c r="NMJ22" s="41"/>
      <c r="NMK22" s="28"/>
      <c r="NML22" s="29"/>
      <c r="NMM22" s="24"/>
      <c r="NMN22" s="13"/>
      <c r="NMO22" s="13"/>
      <c r="NMP22" s="14"/>
      <c r="NMQ22" s="15"/>
      <c r="NMR22" s="15"/>
      <c r="NMS22" s="16"/>
      <c r="NMT22" s="41"/>
      <c r="NMU22" s="41"/>
      <c r="NMV22" s="28"/>
      <c r="NMW22" s="29"/>
      <c r="NMX22" s="24"/>
      <c r="NMY22" s="13"/>
      <c r="NMZ22" s="13"/>
      <c r="NNA22" s="14"/>
      <c r="NNB22" s="15"/>
      <c r="NNC22" s="15"/>
      <c r="NND22" s="16"/>
      <c r="NNE22" s="41"/>
      <c r="NNF22" s="41"/>
      <c r="NNG22" s="28"/>
      <c r="NNH22" s="29"/>
      <c r="NNI22" s="24"/>
      <c r="NNJ22" s="13"/>
      <c r="NNK22" s="13"/>
      <c r="NNL22" s="14"/>
      <c r="NNM22" s="15"/>
      <c r="NNN22" s="15"/>
      <c r="NNO22" s="16"/>
      <c r="NNP22" s="41"/>
      <c r="NNQ22" s="41"/>
      <c r="NNR22" s="28"/>
      <c r="NNS22" s="29"/>
      <c r="NNT22" s="24"/>
      <c r="NNU22" s="13"/>
      <c r="NNV22" s="13"/>
      <c r="NNW22" s="14"/>
      <c r="NNX22" s="15"/>
      <c r="NNY22" s="15"/>
      <c r="NNZ22" s="16"/>
      <c r="NOA22" s="41"/>
      <c r="NOB22" s="41"/>
      <c r="NOC22" s="28"/>
      <c r="NOD22" s="29"/>
      <c r="NOE22" s="24"/>
      <c r="NOF22" s="13"/>
      <c r="NOG22" s="13"/>
      <c r="NOH22" s="14"/>
      <c r="NOI22" s="15"/>
      <c r="NOJ22" s="15"/>
      <c r="NOK22" s="16"/>
      <c r="NOL22" s="41"/>
      <c r="NOM22" s="41"/>
      <c r="NON22" s="28"/>
      <c r="NOO22" s="29"/>
      <c r="NOP22" s="24"/>
      <c r="NOQ22" s="13"/>
      <c r="NOR22" s="13"/>
      <c r="NOS22" s="14"/>
      <c r="NOT22" s="15"/>
      <c r="NOU22" s="15"/>
      <c r="NOV22" s="16"/>
      <c r="NOW22" s="41"/>
      <c r="NOX22" s="41"/>
      <c r="NOY22" s="28"/>
      <c r="NOZ22" s="29"/>
      <c r="NPA22" s="24"/>
      <c r="NPB22" s="13"/>
      <c r="NPC22" s="13"/>
      <c r="NPD22" s="14"/>
      <c r="NPE22" s="15"/>
      <c r="NPF22" s="15"/>
      <c r="NPG22" s="16"/>
      <c r="NPH22" s="41"/>
      <c r="NPI22" s="41"/>
      <c r="NPJ22" s="28"/>
      <c r="NPK22" s="29"/>
      <c r="NPL22" s="24"/>
      <c r="NPM22" s="13"/>
      <c r="NPN22" s="13"/>
      <c r="NPO22" s="14"/>
      <c r="NPP22" s="15"/>
      <c r="NPQ22" s="15"/>
      <c r="NPR22" s="16"/>
      <c r="NPS22" s="41"/>
      <c r="NPT22" s="41"/>
      <c r="NPU22" s="28"/>
      <c r="NPV22" s="29"/>
      <c r="NPW22" s="24"/>
      <c r="NPX22" s="13"/>
      <c r="NPY22" s="13"/>
      <c r="NPZ22" s="14"/>
      <c r="NQA22" s="15"/>
      <c r="NQB22" s="15"/>
      <c r="NQC22" s="16"/>
      <c r="NQD22" s="41"/>
      <c r="NQE22" s="41"/>
      <c r="NQF22" s="28"/>
      <c r="NQG22" s="29"/>
      <c r="NQH22" s="24"/>
      <c r="NQI22" s="13"/>
      <c r="NQJ22" s="13"/>
      <c r="NQK22" s="14"/>
      <c r="NQL22" s="15"/>
      <c r="NQM22" s="15"/>
      <c r="NQN22" s="16"/>
      <c r="NQO22" s="41"/>
      <c r="NQP22" s="41"/>
      <c r="NQQ22" s="28"/>
      <c r="NQR22" s="29"/>
      <c r="NQS22" s="24"/>
      <c r="NQT22" s="13"/>
      <c r="NQU22" s="13"/>
      <c r="NQV22" s="14"/>
      <c r="NQW22" s="15"/>
      <c r="NQX22" s="15"/>
      <c r="NQY22" s="16"/>
      <c r="NQZ22" s="41"/>
      <c r="NRA22" s="41"/>
      <c r="NRB22" s="28"/>
      <c r="NRC22" s="29"/>
      <c r="NRD22" s="24"/>
      <c r="NRE22" s="13"/>
      <c r="NRF22" s="13"/>
      <c r="NRG22" s="14"/>
      <c r="NRH22" s="15"/>
      <c r="NRI22" s="15"/>
      <c r="NRJ22" s="16"/>
      <c r="NRK22" s="41"/>
      <c r="NRL22" s="41"/>
      <c r="NRM22" s="28"/>
      <c r="NRN22" s="29"/>
      <c r="NRO22" s="24"/>
      <c r="NRP22" s="13"/>
      <c r="NRQ22" s="13"/>
      <c r="NRR22" s="14"/>
      <c r="NRS22" s="15"/>
      <c r="NRT22" s="15"/>
      <c r="NRU22" s="16"/>
      <c r="NRV22" s="41"/>
      <c r="NRW22" s="41"/>
      <c r="NRX22" s="28"/>
      <c r="NRY22" s="29"/>
      <c r="NRZ22" s="24"/>
      <c r="NSA22" s="13"/>
      <c r="NSB22" s="13"/>
      <c r="NSC22" s="14"/>
      <c r="NSD22" s="15"/>
      <c r="NSE22" s="15"/>
      <c r="NSF22" s="16"/>
      <c r="NSG22" s="41"/>
      <c r="NSH22" s="41"/>
      <c r="NSI22" s="28"/>
      <c r="NSJ22" s="29"/>
      <c r="NSK22" s="24"/>
      <c r="NSL22" s="13"/>
      <c r="NSM22" s="13"/>
      <c r="NSN22" s="14"/>
      <c r="NSO22" s="15"/>
      <c r="NSP22" s="15"/>
      <c r="NSQ22" s="16"/>
      <c r="NSR22" s="41"/>
      <c r="NSS22" s="41"/>
      <c r="NST22" s="28"/>
      <c r="NSU22" s="29"/>
      <c r="NSV22" s="24"/>
      <c r="NSW22" s="13"/>
      <c r="NSX22" s="13"/>
      <c r="NSY22" s="14"/>
      <c r="NSZ22" s="15"/>
      <c r="NTA22" s="15"/>
      <c r="NTB22" s="16"/>
      <c r="NTC22" s="41"/>
      <c r="NTD22" s="41"/>
      <c r="NTE22" s="28"/>
      <c r="NTF22" s="29"/>
      <c r="NTG22" s="24"/>
      <c r="NTH22" s="13"/>
      <c r="NTI22" s="13"/>
      <c r="NTJ22" s="14"/>
      <c r="NTK22" s="15"/>
      <c r="NTL22" s="15"/>
      <c r="NTM22" s="16"/>
      <c r="NTN22" s="41"/>
      <c r="NTO22" s="41"/>
      <c r="NTP22" s="28"/>
      <c r="NTQ22" s="29"/>
      <c r="NTR22" s="24"/>
      <c r="NTS22" s="13"/>
      <c r="NTT22" s="13"/>
      <c r="NTU22" s="14"/>
      <c r="NTV22" s="15"/>
      <c r="NTW22" s="15"/>
      <c r="NTX22" s="16"/>
      <c r="NTY22" s="41"/>
      <c r="NTZ22" s="41"/>
      <c r="NUA22" s="28"/>
      <c r="NUB22" s="29"/>
      <c r="NUC22" s="24"/>
      <c r="NUD22" s="13"/>
      <c r="NUE22" s="13"/>
      <c r="NUF22" s="14"/>
      <c r="NUG22" s="15"/>
      <c r="NUH22" s="15"/>
      <c r="NUI22" s="16"/>
      <c r="NUJ22" s="41"/>
      <c r="NUK22" s="41"/>
      <c r="NUL22" s="28"/>
      <c r="NUM22" s="29"/>
      <c r="NUN22" s="24"/>
      <c r="NUO22" s="13"/>
      <c r="NUP22" s="13"/>
      <c r="NUQ22" s="14"/>
      <c r="NUR22" s="15"/>
      <c r="NUS22" s="15"/>
      <c r="NUT22" s="16"/>
      <c r="NUU22" s="41"/>
      <c r="NUV22" s="41"/>
      <c r="NUW22" s="28"/>
      <c r="NUX22" s="29"/>
      <c r="NUY22" s="24"/>
      <c r="NUZ22" s="13"/>
      <c r="NVA22" s="13"/>
      <c r="NVB22" s="14"/>
      <c r="NVC22" s="15"/>
      <c r="NVD22" s="15"/>
      <c r="NVE22" s="16"/>
      <c r="NVF22" s="41"/>
      <c r="NVG22" s="41"/>
      <c r="NVH22" s="28"/>
      <c r="NVI22" s="29"/>
      <c r="NVJ22" s="24"/>
      <c r="NVK22" s="13"/>
      <c r="NVL22" s="13"/>
      <c r="NVM22" s="14"/>
      <c r="NVN22" s="15"/>
      <c r="NVO22" s="15"/>
      <c r="NVP22" s="16"/>
      <c r="NVQ22" s="41"/>
      <c r="NVR22" s="41"/>
      <c r="NVS22" s="28"/>
      <c r="NVT22" s="29"/>
      <c r="NVU22" s="24"/>
      <c r="NVV22" s="13"/>
      <c r="NVW22" s="13"/>
      <c r="NVX22" s="14"/>
      <c r="NVY22" s="15"/>
      <c r="NVZ22" s="15"/>
      <c r="NWA22" s="16"/>
      <c r="NWB22" s="41"/>
      <c r="NWC22" s="41"/>
      <c r="NWD22" s="28"/>
      <c r="NWE22" s="29"/>
      <c r="NWF22" s="24"/>
      <c r="NWG22" s="13"/>
      <c r="NWH22" s="13"/>
      <c r="NWI22" s="14"/>
      <c r="NWJ22" s="15"/>
      <c r="NWK22" s="15"/>
      <c r="NWL22" s="16"/>
      <c r="NWM22" s="41"/>
      <c r="NWN22" s="41"/>
      <c r="NWO22" s="28"/>
      <c r="NWP22" s="29"/>
      <c r="NWQ22" s="24"/>
      <c r="NWR22" s="13"/>
      <c r="NWS22" s="13"/>
      <c r="NWT22" s="14"/>
      <c r="NWU22" s="15"/>
      <c r="NWV22" s="15"/>
      <c r="NWW22" s="16"/>
      <c r="NWX22" s="41"/>
      <c r="NWY22" s="41"/>
      <c r="NWZ22" s="28"/>
      <c r="NXA22" s="29"/>
      <c r="NXB22" s="24"/>
      <c r="NXC22" s="13"/>
      <c r="NXD22" s="13"/>
      <c r="NXE22" s="14"/>
      <c r="NXF22" s="15"/>
      <c r="NXG22" s="15"/>
      <c r="NXH22" s="16"/>
      <c r="NXI22" s="41"/>
      <c r="NXJ22" s="41"/>
      <c r="NXK22" s="28"/>
      <c r="NXL22" s="29"/>
      <c r="NXM22" s="24"/>
      <c r="NXN22" s="13"/>
      <c r="NXO22" s="13"/>
      <c r="NXP22" s="14"/>
      <c r="NXQ22" s="15"/>
      <c r="NXR22" s="15"/>
      <c r="NXS22" s="16"/>
      <c r="NXT22" s="41"/>
      <c r="NXU22" s="41"/>
      <c r="NXV22" s="28"/>
      <c r="NXW22" s="29"/>
      <c r="NXX22" s="24"/>
      <c r="NXY22" s="13"/>
      <c r="NXZ22" s="13"/>
      <c r="NYA22" s="14"/>
      <c r="NYB22" s="15"/>
      <c r="NYC22" s="15"/>
      <c r="NYD22" s="16"/>
      <c r="NYE22" s="41"/>
      <c r="NYF22" s="41"/>
      <c r="NYG22" s="28"/>
      <c r="NYH22" s="29"/>
      <c r="NYI22" s="24"/>
      <c r="NYJ22" s="13"/>
      <c r="NYK22" s="13"/>
      <c r="NYL22" s="14"/>
      <c r="NYM22" s="15"/>
      <c r="NYN22" s="15"/>
      <c r="NYO22" s="16"/>
      <c r="NYP22" s="41"/>
      <c r="NYQ22" s="41"/>
      <c r="NYR22" s="28"/>
      <c r="NYS22" s="29"/>
      <c r="NYT22" s="24"/>
      <c r="NYU22" s="13"/>
      <c r="NYV22" s="13"/>
      <c r="NYW22" s="14"/>
      <c r="NYX22" s="15"/>
      <c r="NYY22" s="15"/>
      <c r="NYZ22" s="16"/>
      <c r="NZA22" s="41"/>
      <c r="NZB22" s="41"/>
      <c r="NZC22" s="28"/>
      <c r="NZD22" s="29"/>
      <c r="NZE22" s="24"/>
      <c r="NZF22" s="13"/>
      <c r="NZG22" s="13"/>
      <c r="NZH22" s="14"/>
      <c r="NZI22" s="15"/>
      <c r="NZJ22" s="15"/>
      <c r="NZK22" s="16"/>
      <c r="NZL22" s="41"/>
      <c r="NZM22" s="41"/>
      <c r="NZN22" s="28"/>
      <c r="NZO22" s="29"/>
      <c r="NZP22" s="24"/>
      <c r="NZQ22" s="13"/>
      <c r="NZR22" s="13"/>
      <c r="NZS22" s="14"/>
      <c r="NZT22" s="15"/>
      <c r="NZU22" s="15"/>
      <c r="NZV22" s="16"/>
      <c r="NZW22" s="41"/>
      <c r="NZX22" s="41"/>
      <c r="NZY22" s="28"/>
      <c r="NZZ22" s="29"/>
      <c r="OAA22" s="24"/>
      <c r="OAB22" s="13"/>
      <c r="OAC22" s="13"/>
      <c r="OAD22" s="14"/>
      <c r="OAE22" s="15"/>
      <c r="OAF22" s="15"/>
      <c r="OAG22" s="16"/>
      <c r="OAH22" s="41"/>
      <c r="OAI22" s="41"/>
      <c r="OAJ22" s="28"/>
      <c r="OAK22" s="29"/>
      <c r="OAL22" s="24"/>
      <c r="OAM22" s="13"/>
      <c r="OAN22" s="13"/>
      <c r="OAO22" s="14"/>
      <c r="OAP22" s="15"/>
      <c r="OAQ22" s="15"/>
      <c r="OAR22" s="16"/>
      <c r="OAS22" s="41"/>
      <c r="OAT22" s="41"/>
      <c r="OAU22" s="28"/>
      <c r="OAV22" s="29"/>
      <c r="OAW22" s="24"/>
      <c r="OAX22" s="13"/>
      <c r="OAY22" s="13"/>
      <c r="OAZ22" s="14"/>
      <c r="OBA22" s="15"/>
      <c r="OBB22" s="15"/>
      <c r="OBC22" s="16"/>
      <c r="OBD22" s="41"/>
      <c r="OBE22" s="41"/>
      <c r="OBF22" s="28"/>
      <c r="OBG22" s="29"/>
      <c r="OBH22" s="24"/>
      <c r="OBI22" s="13"/>
      <c r="OBJ22" s="13"/>
      <c r="OBK22" s="14"/>
      <c r="OBL22" s="15"/>
      <c r="OBM22" s="15"/>
      <c r="OBN22" s="16"/>
      <c r="OBO22" s="41"/>
      <c r="OBP22" s="41"/>
      <c r="OBQ22" s="28"/>
      <c r="OBR22" s="29"/>
      <c r="OBS22" s="24"/>
      <c r="OBT22" s="13"/>
      <c r="OBU22" s="13"/>
      <c r="OBV22" s="14"/>
      <c r="OBW22" s="15"/>
      <c r="OBX22" s="15"/>
      <c r="OBY22" s="16"/>
      <c r="OBZ22" s="41"/>
      <c r="OCA22" s="41"/>
      <c r="OCB22" s="28"/>
      <c r="OCC22" s="29"/>
      <c r="OCD22" s="24"/>
      <c r="OCE22" s="13"/>
      <c r="OCF22" s="13"/>
      <c r="OCG22" s="14"/>
      <c r="OCH22" s="15"/>
      <c r="OCI22" s="15"/>
      <c r="OCJ22" s="16"/>
      <c r="OCK22" s="41"/>
      <c r="OCL22" s="41"/>
      <c r="OCM22" s="28"/>
      <c r="OCN22" s="29"/>
      <c r="OCO22" s="24"/>
      <c r="OCP22" s="13"/>
      <c r="OCQ22" s="13"/>
      <c r="OCR22" s="14"/>
      <c r="OCS22" s="15"/>
      <c r="OCT22" s="15"/>
      <c r="OCU22" s="16"/>
      <c r="OCV22" s="41"/>
      <c r="OCW22" s="41"/>
      <c r="OCX22" s="28"/>
      <c r="OCY22" s="29"/>
      <c r="OCZ22" s="24"/>
      <c r="ODA22" s="13"/>
      <c r="ODB22" s="13"/>
      <c r="ODC22" s="14"/>
      <c r="ODD22" s="15"/>
      <c r="ODE22" s="15"/>
      <c r="ODF22" s="16"/>
      <c r="ODG22" s="41"/>
      <c r="ODH22" s="41"/>
      <c r="ODI22" s="28"/>
      <c r="ODJ22" s="29"/>
      <c r="ODK22" s="24"/>
      <c r="ODL22" s="13"/>
      <c r="ODM22" s="13"/>
      <c r="ODN22" s="14"/>
      <c r="ODO22" s="15"/>
      <c r="ODP22" s="15"/>
      <c r="ODQ22" s="16"/>
      <c r="ODR22" s="41"/>
      <c r="ODS22" s="41"/>
      <c r="ODT22" s="28"/>
      <c r="ODU22" s="29"/>
      <c r="ODV22" s="24"/>
      <c r="ODW22" s="13"/>
      <c r="ODX22" s="13"/>
      <c r="ODY22" s="14"/>
      <c r="ODZ22" s="15"/>
      <c r="OEA22" s="15"/>
      <c r="OEB22" s="16"/>
      <c r="OEC22" s="41"/>
      <c r="OED22" s="41"/>
      <c r="OEE22" s="28"/>
      <c r="OEF22" s="29"/>
      <c r="OEG22" s="24"/>
      <c r="OEH22" s="13"/>
      <c r="OEI22" s="13"/>
      <c r="OEJ22" s="14"/>
      <c r="OEK22" s="15"/>
      <c r="OEL22" s="15"/>
      <c r="OEM22" s="16"/>
      <c r="OEN22" s="41"/>
      <c r="OEO22" s="41"/>
      <c r="OEP22" s="28"/>
      <c r="OEQ22" s="29"/>
      <c r="OER22" s="24"/>
      <c r="OES22" s="13"/>
      <c r="OET22" s="13"/>
      <c r="OEU22" s="14"/>
      <c r="OEV22" s="15"/>
      <c r="OEW22" s="15"/>
      <c r="OEX22" s="16"/>
      <c r="OEY22" s="41"/>
      <c r="OEZ22" s="41"/>
      <c r="OFA22" s="28"/>
      <c r="OFB22" s="29"/>
      <c r="OFC22" s="24"/>
      <c r="OFD22" s="13"/>
      <c r="OFE22" s="13"/>
      <c r="OFF22" s="14"/>
      <c r="OFG22" s="15"/>
      <c r="OFH22" s="15"/>
      <c r="OFI22" s="16"/>
      <c r="OFJ22" s="41"/>
      <c r="OFK22" s="41"/>
      <c r="OFL22" s="28"/>
      <c r="OFM22" s="29"/>
      <c r="OFN22" s="24"/>
      <c r="OFO22" s="13"/>
      <c r="OFP22" s="13"/>
      <c r="OFQ22" s="14"/>
      <c r="OFR22" s="15"/>
      <c r="OFS22" s="15"/>
      <c r="OFT22" s="16"/>
      <c r="OFU22" s="41"/>
      <c r="OFV22" s="41"/>
      <c r="OFW22" s="28"/>
      <c r="OFX22" s="29"/>
      <c r="OFY22" s="24"/>
      <c r="OFZ22" s="13"/>
      <c r="OGA22" s="13"/>
      <c r="OGB22" s="14"/>
      <c r="OGC22" s="15"/>
      <c r="OGD22" s="15"/>
      <c r="OGE22" s="16"/>
      <c r="OGF22" s="41"/>
      <c r="OGG22" s="41"/>
      <c r="OGH22" s="28"/>
      <c r="OGI22" s="29"/>
      <c r="OGJ22" s="24"/>
      <c r="OGK22" s="13"/>
      <c r="OGL22" s="13"/>
      <c r="OGM22" s="14"/>
      <c r="OGN22" s="15"/>
      <c r="OGO22" s="15"/>
      <c r="OGP22" s="16"/>
      <c r="OGQ22" s="41"/>
      <c r="OGR22" s="41"/>
      <c r="OGS22" s="28"/>
      <c r="OGT22" s="29"/>
      <c r="OGU22" s="24"/>
      <c r="OGV22" s="13"/>
      <c r="OGW22" s="13"/>
      <c r="OGX22" s="14"/>
      <c r="OGY22" s="15"/>
      <c r="OGZ22" s="15"/>
      <c r="OHA22" s="16"/>
      <c r="OHB22" s="41"/>
      <c r="OHC22" s="41"/>
      <c r="OHD22" s="28"/>
      <c r="OHE22" s="29"/>
      <c r="OHF22" s="24"/>
      <c r="OHG22" s="13"/>
      <c r="OHH22" s="13"/>
      <c r="OHI22" s="14"/>
      <c r="OHJ22" s="15"/>
      <c r="OHK22" s="15"/>
      <c r="OHL22" s="16"/>
      <c r="OHM22" s="41"/>
      <c r="OHN22" s="41"/>
      <c r="OHO22" s="28"/>
      <c r="OHP22" s="29"/>
      <c r="OHQ22" s="24"/>
      <c r="OHR22" s="13"/>
      <c r="OHS22" s="13"/>
      <c r="OHT22" s="14"/>
      <c r="OHU22" s="15"/>
      <c r="OHV22" s="15"/>
      <c r="OHW22" s="16"/>
      <c r="OHX22" s="41"/>
      <c r="OHY22" s="41"/>
      <c r="OHZ22" s="28"/>
      <c r="OIA22" s="29"/>
      <c r="OIB22" s="24"/>
      <c r="OIC22" s="13"/>
      <c r="OID22" s="13"/>
      <c r="OIE22" s="14"/>
      <c r="OIF22" s="15"/>
      <c r="OIG22" s="15"/>
      <c r="OIH22" s="16"/>
      <c r="OII22" s="41"/>
      <c r="OIJ22" s="41"/>
      <c r="OIK22" s="28"/>
      <c r="OIL22" s="29"/>
      <c r="OIM22" s="24"/>
      <c r="OIN22" s="13"/>
      <c r="OIO22" s="13"/>
      <c r="OIP22" s="14"/>
      <c r="OIQ22" s="15"/>
      <c r="OIR22" s="15"/>
      <c r="OIS22" s="16"/>
      <c r="OIT22" s="41"/>
      <c r="OIU22" s="41"/>
      <c r="OIV22" s="28"/>
      <c r="OIW22" s="29"/>
      <c r="OIX22" s="24"/>
      <c r="OIY22" s="13"/>
      <c r="OIZ22" s="13"/>
      <c r="OJA22" s="14"/>
      <c r="OJB22" s="15"/>
      <c r="OJC22" s="15"/>
      <c r="OJD22" s="16"/>
      <c r="OJE22" s="41"/>
      <c r="OJF22" s="41"/>
      <c r="OJG22" s="28"/>
      <c r="OJH22" s="29"/>
      <c r="OJI22" s="24"/>
      <c r="OJJ22" s="13"/>
      <c r="OJK22" s="13"/>
      <c r="OJL22" s="14"/>
      <c r="OJM22" s="15"/>
      <c r="OJN22" s="15"/>
      <c r="OJO22" s="16"/>
      <c r="OJP22" s="41"/>
      <c r="OJQ22" s="41"/>
      <c r="OJR22" s="28"/>
      <c r="OJS22" s="29"/>
      <c r="OJT22" s="24"/>
      <c r="OJU22" s="13"/>
      <c r="OJV22" s="13"/>
      <c r="OJW22" s="14"/>
      <c r="OJX22" s="15"/>
      <c r="OJY22" s="15"/>
      <c r="OJZ22" s="16"/>
      <c r="OKA22" s="41"/>
      <c r="OKB22" s="41"/>
      <c r="OKC22" s="28"/>
      <c r="OKD22" s="29"/>
      <c r="OKE22" s="24"/>
      <c r="OKF22" s="13"/>
      <c r="OKG22" s="13"/>
      <c r="OKH22" s="14"/>
      <c r="OKI22" s="15"/>
      <c r="OKJ22" s="15"/>
      <c r="OKK22" s="16"/>
      <c r="OKL22" s="41"/>
      <c r="OKM22" s="41"/>
      <c r="OKN22" s="28"/>
      <c r="OKO22" s="29"/>
      <c r="OKP22" s="24"/>
      <c r="OKQ22" s="13"/>
      <c r="OKR22" s="13"/>
      <c r="OKS22" s="14"/>
      <c r="OKT22" s="15"/>
      <c r="OKU22" s="15"/>
      <c r="OKV22" s="16"/>
      <c r="OKW22" s="41"/>
      <c r="OKX22" s="41"/>
      <c r="OKY22" s="28"/>
      <c r="OKZ22" s="29"/>
      <c r="OLA22" s="24"/>
      <c r="OLB22" s="13"/>
      <c r="OLC22" s="13"/>
      <c r="OLD22" s="14"/>
      <c r="OLE22" s="15"/>
      <c r="OLF22" s="15"/>
      <c r="OLG22" s="16"/>
      <c r="OLH22" s="41"/>
      <c r="OLI22" s="41"/>
      <c r="OLJ22" s="28"/>
      <c r="OLK22" s="29"/>
      <c r="OLL22" s="24"/>
      <c r="OLM22" s="13"/>
      <c r="OLN22" s="13"/>
      <c r="OLO22" s="14"/>
      <c r="OLP22" s="15"/>
      <c r="OLQ22" s="15"/>
      <c r="OLR22" s="16"/>
      <c r="OLS22" s="41"/>
      <c r="OLT22" s="41"/>
      <c r="OLU22" s="28"/>
      <c r="OLV22" s="29"/>
      <c r="OLW22" s="24"/>
      <c r="OLX22" s="13"/>
      <c r="OLY22" s="13"/>
      <c r="OLZ22" s="14"/>
      <c r="OMA22" s="15"/>
      <c r="OMB22" s="15"/>
      <c r="OMC22" s="16"/>
      <c r="OMD22" s="41"/>
      <c r="OME22" s="41"/>
      <c r="OMF22" s="28"/>
      <c r="OMG22" s="29"/>
      <c r="OMH22" s="24"/>
      <c r="OMI22" s="13"/>
      <c r="OMJ22" s="13"/>
      <c r="OMK22" s="14"/>
      <c r="OML22" s="15"/>
      <c r="OMM22" s="15"/>
      <c r="OMN22" s="16"/>
      <c r="OMO22" s="41"/>
      <c r="OMP22" s="41"/>
      <c r="OMQ22" s="28"/>
      <c r="OMR22" s="29"/>
      <c r="OMS22" s="24"/>
      <c r="OMT22" s="13"/>
      <c r="OMU22" s="13"/>
      <c r="OMV22" s="14"/>
      <c r="OMW22" s="15"/>
      <c r="OMX22" s="15"/>
      <c r="OMY22" s="16"/>
      <c r="OMZ22" s="41"/>
      <c r="ONA22" s="41"/>
      <c r="ONB22" s="28"/>
      <c r="ONC22" s="29"/>
      <c r="OND22" s="24"/>
      <c r="ONE22" s="13"/>
      <c r="ONF22" s="13"/>
      <c r="ONG22" s="14"/>
      <c r="ONH22" s="15"/>
      <c r="ONI22" s="15"/>
      <c r="ONJ22" s="16"/>
      <c r="ONK22" s="41"/>
      <c r="ONL22" s="41"/>
      <c r="ONM22" s="28"/>
      <c r="ONN22" s="29"/>
      <c r="ONO22" s="24"/>
      <c r="ONP22" s="13"/>
      <c r="ONQ22" s="13"/>
      <c r="ONR22" s="14"/>
      <c r="ONS22" s="15"/>
      <c r="ONT22" s="15"/>
      <c r="ONU22" s="16"/>
      <c r="ONV22" s="41"/>
      <c r="ONW22" s="41"/>
      <c r="ONX22" s="28"/>
      <c r="ONY22" s="29"/>
      <c r="ONZ22" s="24"/>
      <c r="OOA22" s="13"/>
      <c r="OOB22" s="13"/>
      <c r="OOC22" s="14"/>
      <c r="OOD22" s="15"/>
      <c r="OOE22" s="15"/>
      <c r="OOF22" s="16"/>
      <c r="OOG22" s="41"/>
      <c r="OOH22" s="41"/>
      <c r="OOI22" s="28"/>
      <c r="OOJ22" s="29"/>
      <c r="OOK22" s="24"/>
      <c r="OOL22" s="13"/>
      <c r="OOM22" s="13"/>
      <c r="OON22" s="14"/>
      <c r="OOO22" s="15"/>
      <c r="OOP22" s="15"/>
      <c r="OOQ22" s="16"/>
      <c r="OOR22" s="41"/>
      <c r="OOS22" s="41"/>
      <c r="OOT22" s="28"/>
      <c r="OOU22" s="29"/>
      <c r="OOV22" s="24"/>
      <c r="OOW22" s="13"/>
      <c r="OOX22" s="13"/>
      <c r="OOY22" s="14"/>
      <c r="OOZ22" s="15"/>
      <c r="OPA22" s="15"/>
      <c r="OPB22" s="16"/>
      <c r="OPC22" s="41"/>
      <c r="OPD22" s="41"/>
      <c r="OPE22" s="28"/>
      <c r="OPF22" s="29"/>
      <c r="OPG22" s="24"/>
      <c r="OPH22" s="13"/>
      <c r="OPI22" s="13"/>
      <c r="OPJ22" s="14"/>
      <c r="OPK22" s="15"/>
      <c r="OPL22" s="15"/>
      <c r="OPM22" s="16"/>
      <c r="OPN22" s="41"/>
      <c r="OPO22" s="41"/>
      <c r="OPP22" s="28"/>
      <c r="OPQ22" s="29"/>
      <c r="OPR22" s="24"/>
      <c r="OPS22" s="13"/>
      <c r="OPT22" s="13"/>
      <c r="OPU22" s="14"/>
      <c r="OPV22" s="15"/>
      <c r="OPW22" s="15"/>
      <c r="OPX22" s="16"/>
      <c r="OPY22" s="41"/>
      <c r="OPZ22" s="41"/>
      <c r="OQA22" s="28"/>
      <c r="OQB22" s="29"/>
      <c r="OQC22" s="24"/>
      <c r="OQD22" s="13"/>
      <c r="OQE22" s="13"/>
      <c r="OQF22" s="14"/>
      <c r="OQG22" s="15"/>
      <c r="OQH22" s="15"/>
      <c r="OQI22" s="16"/>
      <c r="OQJ22" s="41"/>
      <c r="OQK22" s="41"/>
      <c r="OQL22" s="28"/>
      <c r="OQM22" s="29"/>
      <c r="OQN22" s="24"/>
      <c r="OQO22" s="13"/>
      <c r="OQP22" s="13"/>
      <c r="OQQ22" s="14"/>
      <c r="OQR22" s="15"/>
      <c r="OQS22" s="15"/>
      <c r="OQT22" s="16"/>
      <c r="OQU22" s="41"/>
      <c r="OQV22" s="41"/>
      <c r="OQW22" s="28"/>
      <c r="OQX22" s="29"/>
      <c r="OQY22" s="24"/>
      <c r="OQZ22" s="13"/>
      <c r="ORA22" s="13"/>
      <c r="ORB22" s="14"/>
      <c r="ORC22" s="15"/>
      <c r="ORD22" s="15"/>
      <c r="ORE22" s="16"/>
      <c r="ORF22" s="41"/>
      <c r="ORG22" s="41"/>
      <c r="ORH22" s="28"/>
      <c r="ORI22" s="29"/>
      <c r="ORJ22" s="24"/>
      <c r="ORK22" s="13"/>
      <c r="ORL22" s="13"/>
      <c r="ORM22" s="14"/>
      <c r="ORN22" s="15"/>
      <c r="ORO22" s="15"/>
      <c r="ORP22" s="16"/>
      <c r="ORQ22" s="41"/>
      <c r="ORR22" s="41"/>
      <c r="ORS22" s="28"/>
      <c r="ORT22" s="29"/>
      <c r="ORU22" s="24"/>
      <c r="ORV22" s="13"/>
      <c r="ORW22" s="13"/>
      <c r="ORX22" s="14"/>
      <c r="ORY22" s="15"/>
      <c r="ORZ22" s="15"/>
      <c r="OSA22" s="16"/>
      <c r="OSB22" s="41"/>
      <c r="OSC22" s="41"/>
      <c r="OSD22" s="28"/>
      <c r="OSE22" s="29"/>
      <c r="OSF22" s="24"/>
      <c r="OSG22" s="13"/>
      <c r="OSH22" s="13"/>
      <c r="OSI22" s="14"/>
      <c r="OSJ22" s="15"/>
      <c r="OSK22" s="15"/>
      <c r="OSL22" s="16"/>
      <c r="OSM22" s="41"/>
      <c r="OSN22" s="41"/>
      <c r="OSO22" s="28"/>
      <c r="OSP22" s="29"/>
      <c r="OSQ22" s="24"/>
      <c r="OSR22" s="13"/>
      <c r="OSS22" s="13"/>
      <c r="OST22" s="14"/>
      <c r="OSU22" s="15"/>
      <c r="OSV22" s="15"/>
      <c r="OSW22" s="16"/>
      <c r="OSX22" s="41"/>
      <c r="OSY22" s="41"/>
      <c r="OSZ22" s="28"/>
      <c r="OTA22" s="29"/>
      <c r="OTB22" s="24"/>
      <c r="OTC22" s="13"/>
      <c r="OTD22" s="13"/>
      <c r="OTE22" s="14"/>
      <c r="OTF22" s="15"/>
      <c r="OTG22" s="15"/>
      <c r="OTH22" s="16"/>
      <c r="OTI22" s="41"/>
      <c r="OTJ22" s="41"/>
      <c r="OTK22" s="28"/>
      <c r="OTL22" s="29"/>
      <c r="OTM22" s="24"/>
      <c r="OTN22" s="13"/>
      <c r="OTO22" s="13"/>
      <c r="OTP22" s="14"/>
      <c r="OTQ22" s="15"/>
      <c r="OTR22" s="15"/>
      <c r="OTS22" s="16"/>
      <c r="OTT22" s="41"/>
      <c r="OTU22" s="41"/>
      <c r="OTV22" s="28"/>
      <c r="OTW22" s="29"/>
      <c r="OTX22" s="24"/>
      <c r="OTY22" s="13"/>
      <c r="OTZ22" s="13"/>
      <c r="OUA22" s="14"/>
      <c r="OUB22" s="15"/>
      <c r="OUC22" s="15"/>
      <c r="OUD22" s="16"/>
      <c r="OUE22" s="41"/>
      <c r="OUF22" s="41"/>
      <c r="OUG22" s="28"/>
      <c r="OUH22" s="29"/>
      <c r="OUI22" s="24"/>
      <c r="OUJ22" s="13"/>
      <c r="OUK22" s="13"/>
      <c r="OUL22" s="14"/>
      <c r="OUM22" s="15"/>
      <c r="OUN22" s="15"/>
      <c r="OUO22" s="16"/>
      <c r="OUP22" s="41"/>
      <c r="OUQ22" s="41"/>
      <c r="OUR22" s="28"/>
      <c r="OUS22" s="29"/>
      <c r="OUT22" s="24"/>
      <c r="OUU22" s="13"/>
      <c r="OUV22" s="13"/>
      <c r="OUW22" s="14"/>
      <c r="OUX22" s="15"/>
      <c r="OUY22" s="15"/>
      <c r="OUZ22" s="16"/>
      <c r="OVA22" s="41"/>
      <c r="OVB22" s="41"/>
      <c r="OVC22" s="28"/>
      <c r="OVD22" s="29"/>
      <c r="OVE22" s="24"/>
      <c r="OVF22" s="13"/>
      <c r="OVG22" s="13"/>
      <c r="OVH22" s="14"/>
      <c r="OVI22" s="15"/>
      <c r="OVJ22" s="15"/>
      <c r="OVK22" s="16"/>
      <c r="OVL22" s="41"/>
      <c r="OVM22" s="41"/>
      <c r="OVN22" s="28"/>
      <c r="OVO22" s="29"/>
      <c r="OVP22" s="24"/>
      <c r="OVQ22" s="13"/>
      <c r="OVR22" s="13"/>
      <c r="OVS22" s="14"/>
      <c r="OVT22" s="15"/>
      <c r="OVU22" s="15"/>
      <c r="OVV22" s="16"/>
      <c r="OVW22" s="41"/>
      <c r="OVX22" s="41"/>
      <c r="OVY22" s="28"/>
      <c r="OVZ22" s="29"/>
      <c r="OWA22" s="24"/>
      <c r="OWB22" s="13"/>
      <c r="OWC22" s="13"/>
      <c r="OWD22" s="14"/>
      <c r="OWE22" s="15"/>
      <c r="OWF22" s="15"/>
      <c r="OWG22" s="16"/>
      <c r="OWH22" s="41"/>
      <c r="OWI22" s="41"/>
      <c r="OWJ22" s="28"/>
      <c r="OWK22" s="29"/>
      <c r="OWL22" s="24"/>
      <c r="OWM22" s="13"/>
      <c r="OWN22" s="13"/>
      <c r="OWO22" s="14"/>
      <c r="OWP22" s="15"/>
      <c r="OWQ22" s="15"/>
      <c r="OWR22" s="16"/>
      <c r="OWS22" s="41"/>
      <c r="OWT22" s="41"/>
      <c r="OWU22" s="28"/>
      <c r="OWV22" s="29"/>
      <c r="OWW22" s="24"/>
      <c r="OWX22" s="13"/>
      <c r="OWY22" s="13"/>
      <c r="OWZ22" s="14"/>
      <c r="OXA22" s="15"/>
      <c r="OXB22" s="15"/>
      <c r="OXC22" s="16"/>
      <c r="OXD22" s="41"/>
      <c r="OXE22" s="41"/>
      <c r="OXF22" s="28"/>
      <c r="OXG22" s="29"/>
      <c r="OXH22" s="24"/>
      <c r="OXI22" s="13"/>
      <c r="OXJ22" s="13"/>
      <c r="OXK22" s="14"/>
      <c r="OXL22" s="15"/>
      <c r="OXM22" s="15"/>
      <c r="OXN22" s="16"/>
      <c r="OXO22" s="41"/>
      <c r="OXP22" s="41"/>
      <c r="OXQ22" s="28"/>
      <c r="OXR22" s="29"/>
      <c r="OXS22" s="24"/>
      <c r="OXT22" s="13"/>
      <c r="OXU22" s="13"/>
      <c r="OXV22" s="14"/>
      <c r="OXW22" s="15"/>
      <c r="OXX22" s="15"/>
      <c r="OXY22" s="16"/>
      <c r="OXZ22" s="41"/>
      <c r="OYA22" s="41"/>
      <c r="OYB22" s="28"/>
      <c r="OYC22" s="29"/>
      <c r="OYD22" s="24"/>
      <c r="OYE22" s="13"/>
      <c r="OYF22" s="13"/>
      <c r="OYG22" s="14"/>
      <c r="OYH22" s="15"/>
      <c r="OYI22" s="15"/>
      <c r="OYJ22" s="16"/>
      <c r="OYK22" s="41"/>
      <c r="OYL22" s="41"/>
      <c r="OYM22" s="28"/>
      <c r="OYN22" s="29"/>
      <c r="OYO22" s="24"/>
      <c r="OYP22" s="13"/>
      <c r="OYQ22" s="13"/>
      <c r="OYR22" s="14"/>
      <c r="OYS22" s="15"/>
      <c r="OYT22" s="15"/>
      <c r="OYU22" s="16"/>
      <c r="OYV22" s="41"/>
      <c r="OYW22" s="41"/>
      <c r="OYX22" s="28"/>
      <c r="OYY22" s="29"/>
      <c r="OYZ22" s="24"/>
      <c r="OZA22" s="13"/>
      <c r="OZB22" s="13"/>
      <c r="OZC22" s="14"/>
      <c r="OZD22" s="15"/>
      <c r="OZE22" s="15"/>
      <c r="OZF22" s="16"/>
      <c r="OZG22" s="41"/>
      <c r="OZH22" s="41"/>
      <c r="OZI22" s="28"/>
      <c r="OZJ22" s="29"/>
      <c r="OZK22" s="24"/>
      <c r="OZL22" s="13"/>
      <c r="OZM22" s="13"/>
      <c r="OZN22" s="14"/>
      <c r="OZO22" s="15"/>
      <c r="OZP22" s="15"/>
      <c r="OZQ22" s="16"/>
      <c r="OZR22" s="41"/>
      <c r="OZS22" s="41"/>
      <c r="OZT22" s="28"/>
      <c r="OZU22" s="29"/>
      <c r="OZV22" s="24"/>
      <c r="OZW22" s="13"/>
      <c r="OZX22" s="13"/>
      <c r="OZY22" s="14"/>
      <c r="OZZ22" s="15"/>
      <c r="PAA22" s="15"/>
      <c r="PAB22" s="16"/>
      <c r="PAC22" s="41"/>
      <c r="PAD22" s="41"/>
      <c r="PAE22" s="28"/>
      <c r="PAF22" s="29"/>
      <c r="PAG22" s="24"/>
      <c r="PAH22" s="13"/>
      <c r="PAI22" s="13"/>
      <c r="PAJ22" s="14"/>
      <c r="PAK22" s="15"/>
      <c r="PAL22" s="15"/>
      <c r="PAM22" s="16"/>
      <c r="PAN22" s="41"/>
      <c r="PAO22" s="41"/>
      <c r="PAP22" s="28"/>
      <c r="PAQ22" s="29"/>
      <c r="PAR22" s="24"/>
      <c r="PAS22" s="13"/>
      <c r="PAT22" s="13"/>
      <c r="PAU22" s="14"/>
      <c r="PAV22" s="15"/>
      <c r="PAW22" s="15"/>
      <c r="PAX22" s="16"/>
      <c r="PAY22" s="41"/>
      <c r="PAZ22" s="41"/>
      <c r="PBA22" s="28"/>
      <c r="PBB22" s="29"/>
      <c r="PBC22" s="24"/>
      <c r="PBD22" s="13"/>
      <c r="PBE22" s="13"/>
      <c r="PBF22" s="14"/>
      <c r="PBG22" s="15"/>
      <c r="PBH22" s="15"/>
      <c r="PBI22" s="16"/>
      <c r="PBJ22" s="41"/>
      <c r="PBK22" s="41"/>
      <c r="PBL22" s="28"/>
      <c r="PBM22" s="29"/>
      <c r="PBN22" s="24"/>
      <c r="PBO22" s="13"/>
      <c r="PBP22" s="13"/>
      <c r="PBQ22" s="14"/>
      <c r="PBR22" s="15"/>
      <c r="PBS22" s="15"/>
      <c r="PBT22" s="16"/>
      <c r="PBU22" s="41"/>
      <c r="PBV22" s="41"/>
      <c r="PBW22" s="28"/>
      <c r="PBX22" s="29"/>
      <c r="PBY22" s="24"/>
      <c r="PBZ22" s="13"/>
      <c r="PCA22" s="13"/>
      <c r="PCB22" s="14"/>
      <c r="PCC22" s="15"/>
      <c r="PCD22" s="15"/>
      <c r="PCE22" s="16"/>
      <c r="PCF22" s="41"/>
      <c r="PCG22" s="41"/>
      <c r="PCH22" s="28"/>
      <c r="PCI22" s="29"/>
      <c r="PCJ22" s="24"/>
      <c r="PCK22" s="13"/>
      <c r="PCL22" s="13"/>
      <c r="PCM22" s="14"/>
      <c r="PCN22" s="15"/>
      <c r="PCO22" s="15"/>
      <c r="PCP22" s="16"/>
      <c r="PCQ22" s="41"/>
      <c r="PCR22" s="41"/>
      <c r="PCS22" s="28"/>
      <c r="PCT22" s="29"/>
      <c r="PCU22" s="24"/>
      <c r="PCV22" s="13"/>
      <c r="PCW22" s="13"/>
      <c r="PCX22" s="14"/>
      <c r="PCY22" s="15"/>
      <c r="PCZ22" s="15"/>
      <c r="PDA22" s="16"/>
      <c r="PDB22" s="41"/>
      <c r="PDC22" s="41"/>
      <c r="PDD22" s="28"/>
      <c r="PDE22" s="29"/>
      <c r="PDF22" s="24"/>
      <c r="PDG22" s="13"/>
      <c r="PDH22" s="13"/>
      <c r="PDI22" s="14"/>
      <c r="PDJ22" s="15"/>
      <c r="PDK22" s="15"/>
      <c r="PDL22" s="16"/>
      <c r="PDM22" s="41"/>
      <c r="PDN22" s="41"/>
      <c r="PDO22" s="28"/>
      <c r="PDP22" s="29"/>
      <c r="PDQ22" s="24"/>
      <c r="PDR22" s="13"/>
      <c r="PDS22" s="13"/>
      <c r="PDT22" s="14"/>
      <c r="PDU22" s="15"/>
      <c r="PDV22" s="15"/>
      <c r="PDW22" s="16"/>
      <c r="PDX22" s="41"/>
      <c r="PDY22" s="41"/>
      <c r="PDZ22" s="28"/>
      <c r="PEA22" s="29"/>
      <c r="PEB22" s="24"/>
      <c r="PEC22" s="13"/>
      <c r="PED22" s="13"/>
      <c r="PEE22" s="14"/>
      <c r="PEF22" s="15"/>
      <c r="PEG22" s="15"/>
      <c r="PEH22" s="16"/>
      <c r="PEI22" s="41"/>
      <c r="PEJ22" s="41"/>
      <c r="PEK22" s="28"/>
      <c r="PEL22" s="29"/>
      <c r="PEM22" s="24"/>
      <c r="PEN22" s="13"/>
      <c r="PEO22" s="13"/>
      <c r="PEP22" s="14"/>
      <c r="PEQ22" s="15"/>
      <c r="PER22" s="15"/>
      <c r="PES22" s="16"/>
      <c r="PET22" s="41"/>
      <c r="PEU22" s="41"/>
      <c r="PEV22" s="28"/>
      <c r="PEW22" s="29"/>
      <c r="PEX22" s="24"/>
      <c r="PEY22" s="13"/>
      <c r="PEZ22" s="13"/>
      <c r="PFA22" s="14"/>
      <c r="PFB22" s="15"/>
      <c r="PFC22" s="15"/>
      <c r="PFD22" s="16"/>
      <c r="PFE22" s="41"/>
      <c r="PFF22" s="41"/>
      <c r="PFG22" s="28"/>
      <c r="PFH22" s="29"/>
      <c r="PFI22" s="24"/>
      <c r="PFJ22" s="13"/>
      <c r="PFK22" s="13"/>
      <c r="PFL22" s="14"/>
      <c r="PFM22" s="15"/>
      <c r="PFN22" s="15"/>
      <c r="PFO22" s="16"/>
      <c r="PFP22" s="41"/>
      <c r="PFQ22" s="41"/>
      <c r="PFR22" s="28"/>
      <c r="PFS22" s="29"/>
      <c r="PFT22" s="24"/>
      <c r="PFU22" s="13"/>
      <c r="PFV22" s="13"/>
      <c r="PFW22" s="14"/>
      <c r="PFX22" s="15"/>
      <c r="PFY22" s="15"/>
      <c r="PFZ22" s="16"/>
      <c r="PGA22" s="41"/>
      <c r="PGB22" s="41"/>
      <c r="PGC22" s="28"/>
      <c r="PGD22" s="29"/>
      <c r="PGE22" s="24"/>
      <c r="PGF22" s="13"/>
      <c r="PGG22" s="13"/>
      <c r="PGH22" s="14"/>
      <c r="PGI22" s="15"/>
      <c r="PGJ22" s="15"/>
      <c r="PGK22" s="16"/>
      <c r="PGL22" s="41"/>
      <c r="PGM22" s="41"/>
      <c r="PGN22" s="28"/>
      <c r="PGO22" s="29"/>
      <c r="PGP22" s="24"/>
      <c r="PGQ22" s="13"/>
      <c r="PGR22" s="13"/>
      <c r="PGS22" s="14"/>
      <c r="PGT22" s="15"/>
      <c r="PGU22" s="15"/>
      <c r="PGV22" s="16"/>
      <c r="PGW22" s="41"/>
      <c r="PGX22" s="41"/>
      <c r="PGY22" s="28"/>
      <c r="PGZ22" s="29"/>
      <c r="PHA22" s="24"/>
      <c r="PHB22" s="13"/>
      <c r="PHC22" s="13"/>
      <c r="PHD22" s="14"/>
      <c r="PHE22" s="15"/>
      <c r="PHF22" s="15"/>
      <c r="PHG22" s="16"/>
      <c r="PHH22" s="41"/>
      <c r="PHI22" s="41"/>
      <c r="PHJ22" s="28"/>
      <c r="PHK22" s="29"/>
      <c r="PHL22" s="24"/>
      <c r="PHM22" s="13"/>
      <c r="PHN22" s="13"/>
      <c r="PHO22" s="14"/>
      <c r="PHP22" s="15"/>
      <c r="PHQ22" s="15"/>
      <c r="PHR22" s="16"/>
      <c r="PHS22" s="41"/>
      <c r="PHT22" s="41"/>
      <c r="PHU22" s="28"/>
      <c r="PHV22" s="29"/>
      <c r="PHW22" s="24"/>
      <c r="PHX22" s="13"/>
      <c r="PHY22" s="13"/>
      <c r="PHZ22" s="14"/>
      <c r="PIA22" s="15"/>
      <c r="PIB22" s="15"/>
      <c r="PIC22" s="16"/>
      <c r="PID22" s="41"/>
      <c r="PIE22" s="41"/>
      <c r="PIF22" s="28"/>
      <c r="PIG22" s="29"/>
      <c r="PIH22" s="24"/>
      <c r="PII22" s="13"/>
      <c r="PIJ22" s="13"/>
      <c r="PIK22" s="14"/>
      <c r="PIL22" s="15"/>
      <c r="PIM22" s="15"/>
      <c r="PIN22" s="16"/>
      <c r="PIO22" s="41"/>
      <c r="PIP22" s="41"/>
      <c r="PIQ22" s="28"/>
      <c r="PIR22" s="29"/>
      <c r="PIS22" s="24"/>
      <c r="PIT22" s="13"/>
      <c r="PIU22" s="13"/>
      <c r="PIV22" s="14"/>
      <c r="PIW22" s="15"/>
      <c r="PIX22" s="15"/>
      <c r="PIY22" s="16"/>
      <c r="PIZ22" s="41"/>
      <c r="PJA22" s="41"/>
      <c r="PJB22" s="28"/>
      <c r="PJC22" s="29"/>
      <c r="PJD22" s="24"/>
      <c r="PJE22" s="13"/>
      <c r="PJF22" s="13"/>
      <c r="PJG22" s="14"/>
      <c r="PJH22" s="15"/>
      <c r="PJI22" s="15"/>
      <c r="PJJ22" s="16"/>
      <c r="PJK22" s="41"/>
      <c r="PJL22" s="41"/>
      <c r="PJM22" s="28"/>
      <c r="PJN22" s="29"/>
      <c r="PJO22" s="24"/>
      <c r="PJP22" s="13"/>
      <c r="PJQ22" s="13"/>
      <c r="PJR22" s="14"/>
      <c r="PJS22" s="15"/>
      <c r="PJT22" s="15"/>
      <c r="PJU22" s="16"/>
      <c r="PJV22" s="41"/>
      <c r="PJW22" s="41"/>
      <c r="PJX22" s="28"/>
      <c r="PJY22" s="29"/>
      <c r="PJZ22" s="24"/>
      <c r="PKA22" s="13"/>
      <c r="PKB22" s="13"/>
      <c r="PKC22" s="14"/>
      <c r="PKD22" s="15"/>
      <c r="PKE22" s="15"/>
      <c r="PKF22" s="16"/>
      <c r="PKG22" s="41"/>
      <c r="PKH22" s="41"/>
      <c r="PKI22" s="28"/>
      <c r="PKJ22" s="29"/>
      <c r="PKK22" s="24"/>
      <c r="PKL22" s="13"/>
      <c r="PKM22" s="13"/>
      <c r="PKN22" s="14"/>
      <c r="PKO22" s="15"/>
      <c r="PKP22" s="15"/>
      <c r="PKQ22" s="16"/>
      <c r="PKR22" s="41"/>
      <c r="PKS22" s="41"/>
      <c r="PKT22" s="28"/>
      <c r="PKU22" s="29"/>
      <c r="PKV22" s="24"/>
      <c r="PKW22" s="13"/>
      <c r="PKX22" s="13"/>
      <c r="PKY22" s="14"/>
      <c r="PKZ22" s="15"/>
      <c r="PLA22" s="15"/>
      <c r="PLB22" s="16"/>
      <c r="PLC22" s="41"/>
      <c r="PLD22" s="41"/>
      <c r="PLE22" s="28"/>
      <c r="PLF22" s="29"/>
      <c r="PLG22" s="24"/>
      <c r="PLH22" s="13"/>
      <c r="PLI22" s="13"/>
      <c r="PLJ22" s="14"/>
      <c r="PLK22" s="15"/>
      <c r="PLL22" s="15"/>
      <c r="PLM22" s="16"/>
      <c r="PLN22" s="41"/>
      <c r="PLO22" s="41"/>
      <c r="PLP22" s="28"/>
      <c r="PLQ22" s="29"/>
      <c r="PLR22" s="24"/>
      <c r="PLS22" s="13"/>
      <c r="PLT22" s="13"/>
      <c r="PLU22" s="14"/>
      <c r="PLV22" s="15"/>
      <c r="PLW22" s="15"/>
      <c r="PLX22" s="16"/>
      <c r="PLY22" s="41"/>
      <c r="PLZ22" s="41"/>
      <c r="PMA22" s="28"/>
      <c r="PMB22" s="29"/>
      <c r="PMC22" s="24"/>
      <c r="PMD22" s="13"/>
      <c r="PME22" s="13"/>
      <c r="PMF22" s="14"/>
      <c r="PMG22" s="15"/>
      <c r="PMH22" s="15"/>
      <c r="PMI22" s="16"/>
      <c r="PMJ22" s="41"/>
      <c r="PMK22" s="41"/>
      <c r="PML22" s="28"/>
      <c r="PMM22" s="29"/>
      <c r="PMN22" s="24"/>
      <c r="PMO22" s="13"/>
      <c r="PMP22" s="13"/>
      <c r="PMQ22" s="14"/>
      <c r="PMR22" s="15"/>
      <c r="PMS22" s="15"/>
      <c r="PMT22" s="16"/>
      <c r="PMU22" s="41"/>
      <c r="PMV22" s="41"/>
      <c r="PMW22" s="28"/>
      <c r="PMX22" s="29"/>
      <c r="PMY22" s="24"/>
      <c r="PMZ22" s="13"/>
      <c r="PNA22" s="13"/>
      <c r="PNB22" s="14"/>
      <c r="PNC22" s="15"/>
      <c r="PND22" s="15"/>
      <c r="PNE22" s="16"/>
      <c r="PNF22" s="41"/>
      <c r="PNG22" s="41"/>
      <c r="PNH22" s="28"/>
      <c r="PNI22" s="29"/>
      <c r="PNJ22" s="24"/>
      <c r="PNK22" s="13"/>
      <c r="PNL22" s="13"/>
      <c r="PNM22" s="14"/>
      <c r="PNN22" s="15"/>
      <c r="PNO22" s="15"/>
      <c r="PNP22" s="16"/>
      <c r="PNQ22" s="41"/>
      <c r="PNR22" s="41"/>
      <c r="PNS22" s="28"/>
      <c r="PNT22" s="29"/>
      <c r="PNU22" s="24"/>
      <c r="PNV22" s="13"/>
      <c r="PNW22" s="13"/>
      <c r="PNX22" s="14"/>
      <c r="PNY22" s="15"/>
      <c r="PNZ22" s="15"/>
      <c r="POA22" s="16"/>
      <c r="POB22" s="41"/>
      <c r="POC22" s="41"/>
      <c r="POD22" s="28"/>
      <c r="POE22" s="29"/>
      <c r="POF22" s="24"/>
      <c r="POG22" s="13"/>
      <c r="POH22" s="13"/>
      <c r="POI22" s="14"/>
      <c r="POJ22" s="15"/>
      <c r="POK22" s="15"/>
      <c r="POL22" s="16"/>
      <c r="POM22" s="41"/>
      <c r="PON22" s="41"/>
      <c r="POO22" s="28"/>
      <c r="POP22" s="29"/>
      <c r="POQ22" s="24"/>
      <c r="POR22" s="13"/>
      <c r="POS22" s="13"/>
      <c r="POT22" s="14"/>
      <c r="POU22" s="15"/>
      <c r="POV22" s="15"/>
      <c r="POW22" s="16"/>
      <c r="POX22" s="41"/>
      <c r="POY22" s="41"/>
      <c r="POZ22" s="28"/>
      <c r="PPA22" s="29"/>
      <c r="PPB22" s="24"/>
      <c r="PPC22" s="13"/>
      <c r="PPD22" s="13"/>
      <c r="PPE22" s="14"/>
      <c r="PPF22" s="15"/>
      <c r="PPG22" s="15"/>
      <c r="PPH22" s="16"/>
      <c r="PPI22" s="41"/>
      <c r="PPJ22" s="41"/>
      <c r="PPK22" s="28"/>
      <c r="PPL22" s="29"/>
      <c r="PPM22" s="24"/>
      <c r="PPN22" s="13"/>
      <c r="PPO22" s="13"/>
      <c r="PPP22" s="14"/>
      <c r="PPQ22" s="15"/>
      <c r="PPR22" s="15"/>
      <c r="PPS22" s="16"/>
      <c r="PPT22" s="41"/>
      <c r="PPU22" s="41"/>
      <c r="PPV22" s="28"/>
      <c r="PPW22" s="29"/>
      <c r="PPX22" s="24"/>
      <c r="PPY22" s="13"/>
      <c r="PPZ22" s="13"/>
      <c r="PQA22" s="14"/>
      <c r="PQB22" s="15"/>
      <c r="PQC22" s="15"/>
      <c r="PQD22" s="16"/>
      <c r="PQE22" s="41"/>
      <c r="PQF22" s="41"/>
      <c r="PQG22" s="28"/>
      <c r="PQH22" s="29"/>
      <c r="PQI22" s="24"/>
      <c r="PQJ22" s="13"/>
      <c r="PQK22" s="13"/>
      <c r="PQL22" s="14"/>
      <c r="PQM22" s="15"/>
      <c r="PQN22" s="15"/>
      <c r="PQO22" s="16"/>
      <c r="PQP22" s="41"/>
      <c r="PQQ22" s="41"/>
      <c r="PQR22" s="28"/>
      <c r="PQS22" s="29"/>
      <c r="PQT22" s="24"/>
      <c r="PQU22" s="13"/>
      <c r="PQV22" s="13"/>
      <c r="PQW22" s="14"/>
      <c r="PQX22" s="15"/>
      <c r="PQY22" s="15"/>
      <c r="PQZ22" s="16"/>
      <c r="PRA22" s="41"/>
      <c r="PRB22" s="41"/>
      <c r="PRC22" s="28"/>
      <c r="PRD22" s="29"/>
      <c r="PRE22" s="24"/>
      <c r="PRF22" s="13"/>
      <c r="PRG22" s="13"/>
      <c r="PRH22" s="14"/>
      <c r="PRI22" s="15"/>
      <c r="PRJ22" s="15"/>
      <c r="PRK22" s="16"/>
      <c r="PRL22" s="41"/>
      <c r="PRM22" s="41"/>
      <c r="PRN22" s="28"/>
      <c r="PRO22" s="29"/>
      <c r="PRP22" s="24"/>
      <c r="PRQ22" s="13"/>
      <c r="PRR22" s="13"/>
      <c r="PRS22" s="14"/>
      <c r="PRT22" s="15"/>
      <c r="PRU22" s="15"/>
      <c r="PRV22" s="16"/>
      <c r="PRW22" s="41"/>
      <c r="PRX22" s="41"/>
      <c r="PRY22" s="28"/>
      <c r="PRZ22" s="29"/>
      <c r="PSA22" s="24"/>
      <c r="PSB22" s="13"/>
      <c r="PSC22" s="13"/>
      <c r="PSD22" s="14"/>
      <c r="PSE22" s="15"/>
      <c r="PSF22" s="15"/>
      <c r="PSG22" s="16"/>
      <c r="PSH22" s="41"/>
      <c r="PSI22" s="41"/>
      <c r="PSJ22" s="28"/>
      <c r="PSK22" s="29"/>
      <c r="PSL22" s="24"/>
      <c r="PSM22" s="13"/>
      <c r="PSN22" s="13"/>
      <c r="PSO22" s="14"/>
      <c r="PSP22" s="15"/>
      <c r="PSQ22" s="15"/>
      <c r="PSR22" s="16"/>
      <c r="PSS22" s="41"/>
      <c r="PST22" s="41"/>
      <c r="PSU22" s="28"/>
      <c r="PSV22" s="29"/>
      <c r="PSW22" s="24"/>
      <c r="PSX22" s="13"/>
      <c r="PSY22" s="13"/>
      <c r="PSZ22" s="14"/>
      <c r="PTA22" s="15"/>
      <c r="PTB22" s="15"/>
      <c r="PTC22" s="16"/>
      <c r="PTD22" s="41"/>
      <c r="PTE22" s="41"/>
      <c r="PTF22" s="28"/>
      <c r="PTG22" s="29"/>
      <c r="PTH22" s="24"/>
      <c r="PTI22" s="13"/>
      <c r="PTJ22" s="13"/>
      <c r="PTK22" s="14"/>
      <c r="PTL22" s="15"/>
      <c r="PTM22" s="15"/>
      <c r="PTN22" s="16"/>
      <c r="PTO22" s="41"/>
      <c r="PTP22" s="41"/>
      <c r="PTQ22" s="28"/>
      <c r="PTR22" s="29"/>
      <c r="PTS22" s="24"/>
      <c r="PTT22" s="13"/>
      <c r="PTU22" s="13"/>
      <c r="PTV22" s="14"/>
      <c r="PTW22" s="15"/>
      <c r="PTX22" s="15"/>
      <c r="PTY22" s="16"/>
      <c r="PTZ22" s="41"/>
      <c r="PUA22" s="41"/>
      <c r="PUB22" s="28"/>
      <c r="PUC22" s="29"/>
      <c r="PUD22" s="24"/>
      <c r="PUE22" s="13"/>
      <c r="PUF22" s="13"/>
      <c r="PUG22" s="14"/>
      <c r="PUH22" s="15"/>
      <c r="PUI22" s="15"/>
      <c r="PUJ22" s="16"/>
      <c r="PUK22" s="41"/>
      <c r="PUL22" s="41"/>
      <c r="PUM22" s="28"/>
      <c r="PUN22" s="29"/>
      <c r="PUO22" s="24"/>
      <c r="PUP22" s="13"/>
      <c r="PUQ22" s="13"/>
      <c r="PUR22" s="14"/>
      <c r="PUS22" s="15"/>
      <c r="PUT22" s="15"/>
      <c r="PUU22" s="16"/>
      <c r="PUV22" s="41"/>
      <c r="PUW22" s="41"/>
      <c r="PUX22" s="28"/>
      <c r="PUY22" s="29"/>
      <c r="PUZ22" s="24"/>
      <c r="PVA22" s="13"/>
      <c r="PVB22" s="13"/>
      <c r="PVC22" s="14"/>
      <c r="PVD22" s="15"/>
      <c r="PVE22" s="15"/>
      <c r="PVF22" s="16"/>
      <c r="PVG22" s="41"/>
      <c r="PVH22" s="41"/>
      <c r="PVI22" s="28"/>
      <c r="PVJ22" s="29"/>
      <c r="PVK22" s="24"/>
      <c r="PVL22" s="13"/>
      <c r="PVM22" s="13"/>
      <c r="PVN22" s="14"/>
      <c r="PVO22" s="15"/>
      <c r="PVP22" s="15"/>
      <c r="PVQ22" s="16"/>
      <c r="PVR22" s="41"/>
      <c r="PVS22" s="41"/>
      <c r="PVT22" s="28"/>
      <c r="PVU22" s="29"/>
      <c r="PVV22" s="24"/>
      <c r="PVW22" s="13"/>
      <c r="PVX22" s="13"/>
      <c r="PVY22" s="14"/>
      <c r="PVZ22" s="15"/>
      <c r="PWA22" s="15"/>
      <c r="PWB22" s="16"/>
      <c r="PWC22" s="41"/>
      <c r="PWD22" s="41"/>
      <c r="PWE22" s="28"/>
      <c r="PWF22" s="29"/>
      <c r="PWG22" s="24"/>
      <c r="PWH22" s="13"/>
      <c r="PWI22" s="13"/>
      <c r="PWJ22" s="14"/>
      <c r="PWK22" s="15"/>
      <c r="PWL22" s="15"/>
      <c r="PWM22" s="16"/>
      <c r="PWN22" s="41"/>
      <c r="PWO22" s="41"/>
      <c r="PWP22" s="28"/>
      <c r="PWQ22" s="29"/>
      <c r="PWR22" s="24"/>
      <c r="PWS22" s="13"/>
      <c r="PWT22" s="13"/>
      <c r="PWU22" s="14"/>
      <c r="PWV22" s="15"/>
      <c r="PWW22" s="15"/>
      <c r="PWX22" s="16"/>
      <c r="PWY22" s="41"/>
      <c r="PWZ22" s="41"/>
      <c r="PXA22" s="28"/>
      <c r="PXB22" s="29"/>
      <c r="PXC22" s="24"/>
      <c r="PXD22" s="13"/>
      <c r="PXE22" s="13"/>
      <c r="PXF22" s="14"/>
      <c r="PXG22" s="15"/>
      <c r="PXH22" s="15"/>
      <c r="PXI22" s="16"/>
      <c r="PXJ22" s="41"/>
      <c r="PXK22" s="41"/>
      <c r="PXL22" s="28"/>
      <c r="PXM22" s="29"/>
      <c r="PXN22" s="24"/>
      <c r="PXO22" s="13"/>
      <c r="PXP22" s="13"/>
      <c r="PXQ22" s="14"/>
      <c r="PXR22" s="15"/>
      <c r="PXS22" s="15"/>
      <c r="PXT22" s="16"/>
      <c r="PXU22" s="41"/>
      <c r="PXV22" s="41"/>
      <c r="PXW22" s="28"/>
      <c r="PXX22" s="29"/>
      <c r="PXY22" s="24"/>
      <c r="PXZ22" s="13"/>
      <c r="PYA22" s="13"/>
      <c r="PYB22" s="14"/>
      <c r="PYC22" s="15"/>
      <c r="PYD22" s="15"/>
      <c r="PYE22" s="16"/>
      <c r="PYF22" s="41"/>
      <c r="PYG22" s="41"/>
      <c r="PYH22" s="28"/>
      <c r="PYI22" s="29"/>
      <c r="PYJ22" s="24"/>
      <c r="PYK22" s="13"/>
      <c r="PYL22" s="13"/>
      <c r="PYM22" s="14"/>
      <c r="PYN22" s="15"/>
      <c r="PYO22" s="15"/>
      <c r="PYP22" s="16"/>
      <c r="PYQ22" s="41"/>
      <c r="PYR22" s="41"/>
      <c r="PYS22" s="28"/>
      <c r="PYT22" s="29"/>
      <c r="PYU22" s="24"/>
      <c r="PYV22" s="13"/>
      <c r="PYW22" s="13"/>
      <c r="PYX22" s="14"/>
      <c r="PYY22" s="15"/>
      <c r="PYZ22" s="15"/>
      <c r="PZA22" s="16"/>
      <c r="PZB22" s="41"/>
      <c r="PZC22" s="41"/>
      <c r="PZD22" s="28"/>
      <c r="PZE22" s="29"/>
      <c r="PZF22" s="24"/>
      <c r="PZG22" s="13"/>
      <c r="PZH22" s="13"/>
      <c r="PZI22" s="14"/>
      <c r="PZJ22" s="15"/>
      <c r="PZK22" s="15"/>
      <c r="PZL22" s="16"/>
      <c r="PZM22" s="41"/>
      <c r="PZN22" s="41"/>
      <c r="PZO22" s="28"/>
      <c r="PZP22" s="29"/>
      <c r="PZQ22" s="24"/>
      <c r="PZR22" s="13"/>
      <c r="PZS22" s="13"/>
      <c r="PZT22" s="14"/>
      <c r="PZU22" s="15"/>
      <c r="PZV22" s="15"/>
      <c r="PZW22" s="16"/>
      <c r="PZX22" s="41"/>
      <c r="PZY22" s="41"/>
      <c r="PZZ22" s="28"/>
      <c r="QAA22" s="29"/>
      <c r="QAB22" s="24"/>
      <c r="QAC22" s="13"/>
      <c r="QAD22" s="13"/>
      <c r="QAE22" s="14"/>
      <c r="QAF22" s="15"/>
      <c r="QAG22" s="15"/>
      <c r="QAH22" s="16"/>
      <c r="QAI22" s="41"/>
      <c r="QAJ22" s="41"/>
      <c r="QAK22" s="28"/>
      <c r="QAL22" s="29"/>
      <c r="QAM22" s="24"/>
      <c r="QAN22" s="13"/>
      <c r="QAO22" s="13"/>
      <c r="QAP22" s="14"/>
      <c r="QAQ22" s="15"/>
      <c r="QAR22" s="15"/>
      <c r="QAS22" s="16"/>
      <c r="QAT22" s="41"/>
      <c r="QAU22" s="41"/>
      <c r="QAV22" s="28"/>
      <c r="QAW22" s="29"/>
      <c r="QAX22" s="24"/>
      <c r="QAY22" s="13"/>
      <c r="QAZ22" s="13"/>
      <c r="QBA22" s="14"/>
      <c r="QBB22" s="15"/>
      <c r="QBC22" s="15"/>
      <c r="QBD22" s="16"/>
      <c r="QBE22" s="41"/>
      <c r="QBF22" s="41"/>
      <c r="QBG22" s="28"/>
      <c r="QBH22" s="29"/>
      <c r="QBI22" s="24"/>
      <c r="QBJ22" s="13"/>
      <c r="QBK22" s="13"/>
      <c r="QBL22" s="14"/>
      <c r="QBM22" s="15"/>
      <c r="QBN22" s="15"/>
      <c r="QBO22" s="16"/>
      <c r="QBP22" s="41"/>
      <c r="QBQ22" s="41"/>
      <c r="QBR22" s="28"/>
      <c r="QBS22" s="29"/>
      <c r="QBT22" s="24"/>
      <c r="QBU22" s="13"/>
      <c r="QBV22" s="13"/>
      <c r="QBW22" s="14"/>
      <c r="QBX22" s="15"/>
      <c r="QBY22" s="15"/>
      <c r="QBZ22" s="16"/>
      <c r="QCA22" s="41"/>
      <c r="QCB22" s="41"/>
      <c r="QCC22" s="28"/>
      <c r="QCD22" s="29"/>
      <c r="QCE22" s="24"/>
      <c r="QCF22" s="13"/>
      <c r="QCG22" s="13"/>
      <c r="QCH22" s="14"/>
      <c r="QCI22" s="15"/>
      <c r="QCJ22" s="15"/>
      <c r="QCK22" s="16"/>
      <c r="QCL22" s="41"/>
      <c r="QCM22" s="41"/>
      <c r="QCN22" s="28"/>
      <c r="QCO22" s="29"/>
      <c r="QCP22" s="24"/>
      <c r="QCQ22" s="13"/>
      <c r="QCR22" s="13"/>
      <c r="QCS22" s="14"/>
      <c r="QCT22" s="15"/>
      <c r="QCU22" s="15"/>
      <c r="QCV22" s="16"/>
      <c r="QCW22" s="41"/>
      <c r="QCX22" s="41"/>
      <c r="QCY22" s="28"/>
      <c r="QCZ22" s="29"/>
      <c r="QDA22" s="24"/>
      <c r="QDB22" s="13"/>
      <c r="QDC22" s="13"/>
      <c r="QDD22" s="14"/>
      <c r="QDE22" s="15"/>
      <c r="QDF22" s="15"/>
      <c r="QDG22" s="16"/>
      <c r="QDH22" s="41"/>
      <c r="QDI22" s="41"/>
      <c r="QDJ22" s="28"/>
      <c r="QDK22" s="29"/>
      <c r="QDL22" s="24"/>
      <c r="QDM22" s="13"/>
      <c r="QDN22" s="13"/>
      <c r="QDO22" s="14"/>
      <c r="QDP22" s="15"/>
      <c r="QDQ22" s="15"/>
      <c r="QDR22" s="16"/>
      <c r="QDS22" s="41"/>
      <c r="QDT22" s="41"/>
      <c r="QDU22" s="28"/>
      <c r="QDV22" s="29"/>
      <c r="QDW22" s="24"/>
      <c r="QDX22" s="13"/>
      <c r="QDY22" s="13"/>
      <c r="QDZ22" s="14"/>
      <c r="QEA22" s="15"/>
      <c r="QEB22" s="15"/>
      <c r="QEC22" s="16"/>
      <c r="QED22" s="41"/>
      <c r="QEE22" s="41"/>
      <c r="QEF22" s="28"/>
      <c r="QEG22" s="29"/>
      <c r="QEH22" s="24"/>
      <c r="QEI22" s="13"/>
      <c r="QEJ22" s="13"/>
      <c r="QEK22" s="14"/>
      <c r="QEL22" s="15"/>
      <c r="QEM22" s="15"/>
      <c r="QEN22" s="16"/>
      <c r="QEO22" s="41"/>
      <c r="QEP22" s="41"/>
      <c r="QEQ22" s="28"/>
      <c r="QER22" s="29"/>
      <c r="QES22" s="24"/>
      <c r="QET22" s="13"/>
      <c r="QEU22" s="13"/>
      <c r="QEV22" s="14"/>
      <c r="QEW22" s="15"/>
      <c r="QEX22" s="15"/>
      <c r="QEY22" s="16"/>
      <c r="QEZ22" s="41"/>
      <c r="QFA22" s="41"/>
      <c r="QFB22" s="28"/>
      <c r="QFC22" s="29"/>
      <c r="QFD22" s="24"/>
      <c r="QFE22" s="13"/>
      <c r="QFF22" s="13"/>
      <c r="QFG22" s="14"/>
      <c r="QFH22" s="15"/>
      <c r="QFI22" s="15"/>
      <c r="QFJ22" s="16"/>
      <c r="QFK22" s="41"/>
      <c r="QFL22" s="41"/>
      <c r="QFM22" s="28"/>
      <c r="QFN22" s="29"/>
      <c r="QFO22" s="24"/>
      <c r="QFP22" s="13"/>
      <c r="QFQ22" s="13"/>
      <c r="QFR22" s="14"/>
      <c r="QFS22" s="15"/>
      <c r="QFT22" s="15"/>
      <c r="QFU22" s="16"/>
      <c r="QFV22" s="41"/>
      <c r="QFW22" s="41"/>
      <c r="QFX22" s="28"/>
      <c r="QFY22" s="29"/>
      <c r="QFZ22" s="24"/>
      <c r="QGA22" s="13"/>
      <c r="QGB22" s="13"/>
      <c r="QGC22" s="14"/>
      <c r="QGD22" s="15"/>
      <c r="QGE22" s="15"/>
      <c r="QGF22" s="16"/>
      <c r="QGG22" s="41"/>
      <c r="QGH22" s="41"/>
      <c r="QGI22" s="28"/>
      <c r="QGJ22" s="29"/>
      <c r="QGK22" s="24"/>
      <c r="QGL22" s="13"/>
      <c r="QGM22" s="13"/>
      <c r="QGN22" s="14"/>
      <c r="QGO22" s="15"/>
      <c r="QGP22" s="15"/>
      <c r="QGQ22" s="16"/>
      <c r="QGR22" s="41"/>
      <c r="QGS22" s="41"/>
      <c r="QGT22" s="28"/>
      <c r="QGU22" s="29"/>
      <c r="QGV22" s="24"/>
      <c r="QGW22" s="13"/>
      <c r="QGX22" s="13"/>
      <c r="QGY22" s="14"/>
      <c r="QGZ22" s="15"/>
      <c r="QHA22" s="15"/>
      <c r="QHB22" s="16"/>
      <c r="QHC22" s="41"/>
      <c r="QHD22" s="41"/>
      <c r="QHE22" s="28"/>
      <c r="QHF22" s="29"/>
      <c r="QHG22" s="24"/>
      <c r="QHH22" s="13"/>
      <c r="QHI22" s="13"/>
      <c r="QHJ22" s="14"/>
      <c r="QHK22" s="15"/>
      <c r="QHL22" s="15"/>
      <c r="QHM22" s="16"/>
      <c r="QHN22" s="41"/>
      <c r="QHO22" s="41"/>
      <c r="QHP22" s="28"/>
      <c r="QHQ22" s="29"/>
      <c r="QHR22" s="24"/>
      <c r="QHS22" s="13"/>
      <c r="QHT22" s="13"/>
      <c r="QHU22" s="14"/>
      <c r="QHV22" s="15"/>
      <c r="QHW22" s="15"/>
      <c r="QHX22" s="16"/>
      <c r="QHY22" s="41"/>
      <c r="QHZ22" s="41"/>
      <c r="QIA22" s="28"/>
      <c r="QIB22" s="29"/>
      <c r="QIC22" s="24"/>
      <c r="QID22" s="13"/>
      <c r="QIE22" s="13"/>
      <c r="QIF22" s="14"/>
      <c r="QIG22" s="15"/>
      <c r="QIH22" s="15"/>
      <c r="QII22" s="16"/>
      <c r="QIJ22" s="41"/>
      <c r="QIK22" s="41"/>
      <c r="QIL22" s="28"/>
      <c r="QIM22" s="29"/>
      <c r="QIN22" s="24"/>
      <c r="QIO22" s="13"/>
      <c r="QIP22" s="13"/>
      <c r="QIQ22" s="14"/>
      <c r="QIR22" s="15"/>
      <c r="QIS22" s="15"/>
      <c r="QIT22" s="16"/>
      <c r="QIU22" s="41"/>
      <c r="QIV22" s="41"/>
      <c r="QIW22" s="28"/>
      <c r="QIX22" s="29"/>
      <c r="QIY22" s="24"/>
      <c r="QIZ22" s="13"/>
      <c r="QJA22" s="13"/>
      <c r="QJB22" s="14"/>
      <c r="QJC22" s="15"/>
      <c r="QJD22" s="15"/>
      <c r="QJE22" s="16"/>
      <c r="QJF22" s="41"/>
      <c r="QJG22" s="41"/>
      <c r="QJH22" s="28"/>
      <c r="QJI22" s="29"/>
      <c r="QJJ22" s="24"/>
      <c r="QJK22" s="13"/>
      <c r="QJL22" s="13"/>
      <c r="QJM22" s="14"/>
      <c r="QJN22" s="15"/>
      <c r="QJO22" s="15"/>
      <c r="QJP22" s="16"/>
      <c r="QJQ22" s="41"/>
      <c r="QJR22" s="41"/>
      <c r="QJS22" s="28"/>
      <c r="QJT22" s="29"/>
      <c r="QJU22" s="24"/>
      <c r="QJV22" s="13"/>
      <c r="QJW22" s="13"/>
      <c r="QJX22" s="14"/>
      <c r="QJY22" s="15"/>
      <c r="QJZ22" s="15"/>
      <c r="QKA22" s="16"/>
      <c r="QKB22" s="41"/>
      <c r="QKC22" s="41"/>
      <c r="QKD22" s="28"/>
      <c r="QKE22" s="29"/>
      <c r="QKF22" s="24"/>
      <c r="QKG22" s="13"/>
      <c r="QKH22" s="13"/>
      <c r="QKI22" s="14"/>
      <c r="QKJ22" s="15"/>
      <c r="QKK22" s="15"/>
      <c r="QKL22" s="16"/>
      <c r="QKM22" s="41"/>
      <c r="QKN22" s="41"/>
      <c r="QKO22" s="28"/>
      <c r="QKP22" s="29"/>
      <c r="QKQ22" s="24"/>
      <c r="QKR22" s="13"/>
      <c r="QKS22" s="13"/>
      <c r="QKT22" s="14"/>
      <c r="QKU22" s="15"/>
      <c r="QKV22" s="15"/>
      <c r="QKW22" s="16"/>
      <c r="QKX22" s="41"/>
      <c r="QKY22" s="41"/>
      <c r="QKZ22" s="28"/>
      <c r="QLA22" s="29"/>
      <c r="QLB22" s="24"/>
      <c r="QLC22" s="13"/>
      <c r="QLD22" s="13"/>
      <c r="QLE22" s="14"/>
      <c r="QLF22" s="15"/>
      <c r="QLG22" s="15"/>
      <c r="QLH22" s="16"/>
      <c r="QLI22" s="41"/>
      <c r="QLJ22" s="41"/>
      <c r="QLK22" s="28"/>
      <c r="QLL22" s="29"/>
      <c r="QLM22" s="24"/>
      <c r="QLN22" s="13"/>
      <c r="QLO22" s="13"/>
      <c r="QLP22" s="14"/>
      <c r="QLQ22" s="15"/>
      <c r="QLR22" s="15"/>
      <c r="QLS22" s="16"/>
      <c r="QLT22" s="41"/>
      <c r="QLU22" s="41"/>
      <c r="QLV22" s="28"/>
      <c r="QLW22" s="29"/>
      <c r="QLX22" s="24"/>
      <c r="QLY22" s="13"/>
      <c r="QLZ22" s="13"/>
      <c r="QMA22" s="14"/>
      <c r="QMB22" s="15"/>
      <c r="QMC22" s="15"/>
      <c r="QMD22" s="16"/>
      <c r="QME22" s="41"/>
      <c r="QMF22" s="41"/>
      <c r="QMG22" s="28"/>
      <c r="QMH22" s="29"/>
      <c r="QMI22" s="24"/>
      <c r="QMJ22" s="13"/>
      <c r="QMK22" s="13"/>
      <c r="QML22" s="14"/>
      <c r="QMM22" s="15"/>
      <c r="QMN22" s="15"/>
      <c r="QMO22" s="16"/>
      <c r="QMP22" s="41"/>
      <c r="QMQ22" s="41"/>
      <c r="QMR22" s="28"/>
      <c r="QMS22" s="29"/>
      <c r="QMT22" s="24"/>
      <c r="QMU22" s="13"/>
      <c r="QMV22" s="13"/>
      <c r="QMW22" s="14"/>
      <c r="QMX22" s="15"/>
      <c r="QMY22" s="15"/>
      <c r="QMZ22" s="16"/>
      <c r="QNA22" s="41"/>
      <c r="QNB22" s="41"/>
      <c r="QNC22" s="28"/>
      <c r="QND22" s="29"/>
      <c r="QNE22" s="24"/>
      <c r="QNF22" s="13"/>
      <c r="QNG22" s="13"/>
      <c r="QNH22" s="14"/>
      <c r="QNI22" s="15"/>
      <c r="QNJ22" s="15"/>
      <c r="QNK22" s="16"/>
      <c r="QNL22" s="41"/>
      <c r="QNM22" s="41"/>
      <c r="QNN22" s="28"/>
      <c r="QNO22" s="29"/>
      <c r="QNP22" s="24"/>
      <c r="QNQ22" s="13"/>
      <c r="QNR22" s="13"/>
      <c r="QNS22" s="14"/>
      <c r="QNT22" s="15"/>
      <c r="QNU22" s="15"/>
      <c r="QNV22" s="16"/>
      <c r="QNW22" s="41"/>
      <c r="QNX22" s="41"/>
      <c r="QNY22" s="28"/>
      <c r="QNZ22" s="29"/>
      <c r="QOA22" s="24"/>
      <c r="QOB22" s="13"/>
      <c r="QOC22" s="13"/>
      <c r="QOD22" s="14"/>
      <c r="QOE22" s="15"/>
      <c r="QOF22" s="15"/>
      <c r="QOG22" s="16"/>
      <c r="QOH22" s="41"/>
      <c r="QOI22" s="41"/>
      <c r="QOJ22" s="28"/>
      <c r="QOK22" s="29"/>
      <c r="QOL22" s="24"/>
      <c r="QOM22" s="13"/>
      <c r="QON22" s="13"/>
      <c r="QOO22" s="14"/>
      <c r="QOP22" s="15"/>
      <c r="QOQ22" s="15"/>
      <c r="QOR22" s="16"/>
      <c r="QOS22" s="41"/>
      <c r="QOT22" s="41"/>
      <c r="QOU22" s="28"/>
      <c r="QOV22" s="29"/>
      <c r="QOW22" s="24"/>
      <c r="QOX22" s="13"/>
      <c r="QOY22" s="13"/>
      <c r="QOZ22" s="14"/>
      <c r="QPA22" s="15"/>
      <c r="QPB22" s="15"/>
      <c r="QPC22" s="16"/>
      <c r="QPD22" s="41"/>
      <c r="QPE22" s="41"/>
      <c r="QPF22" s="28"/>
      <c r="QPG22" s="29"/>
      <c r="QPH22" s="24"/>
      <c r="QPI22" s="13"/>
      <c r="QPJ22" s="13"/>
      <c r="QPK22" s="14"/>
      <c r="QPL22" s="15"/>
      <c r="QPM22" s="15"/>
      <c r="QPN22" s="16"/>
      <c r="QPO22" s="41"/>
      <c r="QPP22" s="41"/>
      <c r="QPQ22" s="28"/>
      <c r="QPR22" s="29"/>
      <c r="QPS22" s="24"/>
      <c r="QPT22" s="13"/>
      <c r="QPU22" s="13"/>
      <c r="QPV22" s="14"/>
      <c r="QPW22" s="15"/>
      <c r="QPX22" s="15"/>
      <c r="QPY22" s="16"/>
      <c r="QPZ22" s="41"/>
      <c r="QQA22" s="41"/>
      <c r="QQB22" s="28"/>
      <c r="QQC22" s="29"/>
      <c r="QQD22" s="24"/>
      <c r="QQE22" s="13"/>
      <c r="QQF22" s="13"/>
      <c r="QQG22" s="14"/>
      <c r="QQH22" s="15"/>
      <c r="QQI22" s="15"/>
      <c r="QQJ22" s="16"/>
      <c r="QQK22" s="41"/>
      <c r="QQL22" s="41"/>
      <c r="QQM22" s="28"/>
      <c r="QQN22" s="29"/>
      <c r="QQO22" s="24"/>
      <c r="QQP22" s="13"/>
      <c r="QQQ22" s="13"/>
      <c r="QQR22" s="14"/>
      <c r="QQS22" s="15"/>
      <c r="QQT22" s="15"/>
      <c r="QQU22" s="16"/>
      <c r="QQV22" s="41"/>
      <c r="QQW22" s="41"/>
      <c r="QQX22" s="28"/>
      <c r="QQY22" s="29"/>
      <c r="QQZ22" s="24"/>
      <c r="QRA22" s="13"/>
      <c r="QRB22" s="13"/>
      <c r="QRC22" s="14"/>
      <c r="QRD22" s="15"/>
      <c r="QRE22" s="15"/>
      <c r="QRF22" s="16"/>
      <c r="QRG22" s="41"/>
      <c r="QRH22" s="41"/>
      <c r="QRI22" s="28"/>
      <c r="QRJ22" s="29"/>
      <c r="QRK22" s="24"/>
      <c r="QRL22" s="13"/>
      <c r="QRM22" s="13"/>
      <c r="QRN22" s="14"/>
      <c r="QRO22" s="15"/>
      <c r="QRP22" s="15"/>
      <c r="QRQ22" s="16"/>
      <c r="QRR22" s="41"/>
      <c r="QRS22" s="41"/>
      <c r="QRT22" s="28"/>
      <c r="QRU22" s="29"/>
      <c r="QRV22" s="24"/>
      <c r="QRW22" s="13"/>
      <c r="QRX22" s="13"/>
      <c r="QRY22" s="14"/>
      <c r="QRZ22" s="15"/>
      <c r="QSA22" s="15"/>
      <c r="QSB22" s="16"/>
      <c r="QSC22" s="41"/>
      <c r="QSD22" s="41"/>
      <c r="QSE22" s="28"/>
      <c r="QSF22" s="29"/>
      <c r="QSG22" s="24"/>
      <c r="QSH22" s="13"/>
      <c r="QSI22" s="13"/>
      <c r="QSJ22" s="14"/>
      <c r="QSK22" s="15"/>
      <c r="QSL22" s="15"/>
      <c r="QSM22" s="16"/>
      <c r="QSN22" s="41"/>
      <c r="QSO22" s="41"/>
      <c r="QSP22" s="28"/>
      <c r="QSQ22" s="29"/>
      <c r="QSR22" s="24"/>
      <c r="QSS22" s="13"/>
      <c r="QST22" s="13"/>
      <c r="QSU22" s="14"/>
      <c r="QSV22" s="15"/>
      <c r="QSW22" s="15"/>
      <c r="QSX22" s="16"/>
      <c r="QSY22" s="41"/>
      <c r="QSZ22" s="41"/>
      <c r="QTA22" s="28"/>
      <c r="QTB22" s="29"/>
      <c r="QTC22" s="24"/>
      <c r="QTD22" s="13"/>
      <c r="QTE22" s="13"/>
      <c r="QTF22" s="14"/>
      <c r="QTG22" s="15"/>
      <c r="QTH22" s="15"/>
      <c r="QTI22" s="16"/>
      <c r="QTJ22" s="41"/>
      <c r="QTK22" s="41"/>
      <c r="QTL22" s="28"/>
      <c r="QTM22" s="29"/>
      <c r="QTN22" s="24"/>
      <c r="QTO22" s="13"/>
      <c r="QTP22" s="13"/>
      <c r="QTQ22" s="14"/>
      <c r="QTR22" s="15"/>
      <c r="QTS22" s="15"/>
      <c r="QTT22" s="16"/>
      <c r="QTU22" s="41"/>
      <c r="QTV22" s="41"/>
      <c r="QTW22" s="28"/>
      <c r="QTX22" s="29"/>
      <c r="QTY22" s="24"/>
      <c r="QTZ22" s="13"/>
      <c r="QUA22" s="13"/>
      <c r="QUB22" s="14"/>
      <c r="QUC22" s="15"/>
      <c r="QUD22" s="15"/>
      <c r="QUE22" s="16"/>
      <c r="QUF22" s="41"/>
      <c r="QUG22" s="41"/>
      <c r="QUH22" s="28"/>
      <c r="QUI22" s="29"/>
      <c r="QUJ22" s="24"/>
      <c r="QUK22" s="13"/>
      <c r="QUL22" s="13"/>
      <c r="QUM22" s="14"/>
      <c r="QUN22" s="15"/>
      <c r="QUO22" s="15"/>
      <c r="QUP22" s="16"/>
      <c r="QUQ22" s="41"/>
      <c r="QUR22" s="41"/>
      <c r="QUS22" s="28"/>
      <c r="QUT22" s="29"/>
      <c r="QUU22" s="24"/>
      <c r="QUV22" s="13"/>
      <c r="QUW22" s="13"/>
      <c r="QUX22" s="14"/>
      <c r="QUY22" s="15"/>
      <c r="QUZ22" s="15"/>
      <c r="QVA22" s="16"/>
      <c r="QVB22" s="41"/>
      <c r="QVC22" s="41"/>
      <c r="QVD22" s="28"/>
      <c r="QVE22" s="29"/>
      <c r="QVF22" s="24"/>
      <c r="QVG22" s="13"/>
      <c r="QVH22" s="13"/>
      <c r="QVI22" s="14"/>
      <c r="QVJ22" s="15"/>
      <c r="QVK22" s="15"/>
      <c r="QVL22" s="16"/>
      <c r="QVM22" s="41"/>
      <c r="QVN22" s="41"/>
      <c r="QVO22" s="28"/>
      <c r="QVP22" s="29"/>
      <c r="QVQ22" s="24"/>
      <c r="QVR22" s="13"/>
      <c r="QVS22" s="13"/>
      <c r="QVT22" s="14"/>
      <c r="QVU22" s="15"/>
      <c r="QVV22" s="15"/>
      <c r="QVW22" s="16"/>
      <c r="QVX22" s="41"/>
      <c r="QVY22" s="41"/>
      <c r="QVZ22" s="28"/>
      <c r="QWA22" s="29"/>
      <c r="QWB22" s="24"/>
      <c r="QWC22" s="13"/>
      <c r="QWD22" s="13"/>
      <c r="QWE22" s="14"/>
      <c r="QWF22" s="15"/>
      <c r="QWG22" s="15"/>
      <c r="QWH22" s="16"/>
      <c r="QWI22" s="41"/>
      <c r="QWJ22" s="41"/>
      <c r="QWK22" s="28"/>
      <c r="QWL22" s="29"/>
      <c r="QWM22" s="24"/>
      <c r="QWN22" s="13"/>
      <c r="QWO22" s="13"/>
      <c r="QWP22" s="14"/>
      <c r="QWQ22" s="15"/>
      <c r="QWR22" s="15"/>
      <c r="QWS22" s="16"/>
      <c r="QWT22" s="41"/>
      <c r="QWU22" s="41"/>
      <c r="QWV22" s="28"/>
      <c r="QWW22" s="29"/>
      <c r="QWX22" s="24"/>
      <c r="QWY22" s="13"/>
      <c r="QWZ22" s="13"/>
      <c r="QXA22" s="14"/>
      <c r="QXB22" s="15"/>
      <c r="QXC22" s="15"/>
      <c r="QXD22" s="16"/>
      <c r="QXE22" s="41"/>
      <c r="QXF22" s="41"/>
      <c r="QXG22" s="28"/>
      <c r="QXH22" s="29"/>
      <c r="QXI22" s="24"/>
      <c r="QXJ22" s="13"/>
      <c r="QXK22" s="13"/>
      <c r="QXL22" s="14"/>
      <c r="QXM22" s="15"/>
      <c r="QXN22" s="15"/>
      <c r="QXO22" s="16"/>
      <c r="QXP22" s="41"/>
      <c r="QXQ22" s="41"/>
      <c r="QXR22" s="28"/>
      <c r="QXS22" s="29"/>
      <c r="QXT22" s="24"/>
      <c r="QXU22" s="13"/>
      <c r="QXV22" s="13"/>
      <c r="QXW22" s="14"/>
      <c r="QXX22" s="15"/>
      <c r="QXY22" s="15"/>
      <c r="QXZ22" s="16"/>
      <c r="QYA22" s="41"/>
      <c r="QYB22" s="41"/>
      <c r="QYC22" s="28"/>
      <c r="QYD22" s="29"/>
      <c r="QYE22" s="24"/>
      <c r="QYF22" s="13"/>
      <c r="QYG22" s="13"/>
      <c r="QYH22" s="14"/>
      <c r="QYI22" s="15"/>
      <c r="QYJ22" s="15"/>
      <c r="QYK22" s="16"/>
      <c r="QYL22" s="41"/>
      <c r="QYM22" s="41"/>
      <c r="QYN22" s="28"/>
      <c r="QYO22" s="29"/>
      <c r="QYP22" s="24"/>
      <c r="QYQ22" s="13"/>
      <c r="QYR22" s="13"/>
      <c r="QYS22" s="14"/>
      <c r="QYT22" s="15"/>
      <c r="QYU22" s="15"/>
      <c r="QYV22" s="16"/>
      <c r="QYW22" s="41"/>
      <c r="QYX22" s="41"/>
      <c r="QYY22" s="28"/>
      <c r="QYZ22" s="29"/>
      <c r="QZA22" s="24"/>
      <c r="QZB22" s="13"/>
      <c r="QZC22" s="13"/>
      <c r="QZD22" s="14"/>
      <c r="QZE22" s="15"/>
      <c r="QZF22" s="15"/>
      <c r="QZG22" s="16"/>
      <c r="QZH22" s="41"/>
      <c r="QZI22" s="41"/>
      <c r="QZJ22" s="28"/>
      <c r="QZK22" s="29"/>
      <c r="QZL22" s="24"/>
      <c r="QZM22" s="13"/>
      <c r="QZN22" s="13"/>
      <c r="QZO22" s="14"/>
      <c r="QZP22" s="15"/>
      <c r="QZQ22" s="15"/>
      <c r="QZR22" s="16"/>
      <c r="QZS22" s="41"/>
      <c r="QZT22" s="41"/>
      <c r="QZU22" s="28"/>
      <c r="QZV22" s="29"/>
      <c r="QZW22" s="24"/>
      <c r="QZX22" s="13"/>
      <c r="QZY22" s="13"/>
      <c r="QZZ22" s="14"/>
      <c r="RAA22" s="15"/>
      <c r="RAB22" s="15"/>
      <c r="RAC22" s="16"/>
      <c r="RAD22" s="41"/>
      <c r="RAE22" s="41"/>
      <c r="RAF22" s="28"/>
      <c r="RAG22" s="29"/>
      <c r="RAH22" s="24"/>
      <c r="RAI22" s="13"/>
      <c r="RAJ22" s="13"/>
      <c r="RAK22" s="14"/>
      <c r="RAL22" s="15"/>
      <c r="RAM22" s="15"/>
      <c r="RAN22" s="16"/>
      <c r="RAO22" s="41"/>
      <c r="RAP22" s="41"/>
      <c r="RAQ22" s="28"/>
      <c r="RAR22" s="29"/>
      <c r="RAS22" s="24"/>
      <c r="RAT22" s="13"/>
      <c r="RAU22" s="13"/>
      <c r="RAV22" s="14"/>
      <c r="RAW22" s="15"/>
      <c r="RAX22" s="15"/>
      <c r="RAY22" s="16"/>
      <c r="RAZ22" s="41"/>
      <c r="RBA22" s="41"/>
      <c r="RBB22" s="28"/>
      <c r="RBC22" s="29"/>
      <c r="RBD22" s="24"/>
      <c r="RBE22" s="13"/>
      <c r="RBF22" s="13"/>
      <c r="RBG22" s="14"/>
      <c r="RBH22" s="15"/>
      <c r="RBI22" s="15"/>
      <c r="RBJ22" s="16"/>
      <c r="RBK22" s="41"/>
      <c r="RBL22" s="41"/>
      <c r="RBM22" s="28"/>
      <c r="RBN22" s="29"/>
      <c r="RBO22" s="24"/>
      <c r="RBP22" s="13"/>
      <c r="RBQ22" s="13"/>
      <c r="RBR22" s="14"/>
      <c r="RBS22" s="15"/>
      <c r="RBT22" s="15"/>
      <c r="RBU22" s="16"/>
      <c r="RBV22" s="41"/>
      <c r="RBW22" s="41"/>
      <c r="RBX22" s="28"/>
      <c r="RBY22" s="29"/>
      <c r="RBZ22" s="24"/>
      <c r="RCA22" s="13"/>
      <c r="RCB22" s="13"/>
      <c r="RCC22" s="14"/>
      <c r="RCD22" s="15"/>
      <c r="RCE22" s="15"/>
      <c r="RCF22" s="16"/>
      <c r="RCG22" s="41"/>
      <c r="RCH22" s="41"/>
      <c r="RCI22" s="28"/>
      <c r="RCJ22" s="29"/>
      <c r="RCK22" s="24"/>
      <c r="RCL22" s="13"/>
      <c r="RCM22" s="13"/>
      <c r="RCN22" s="14"/>
      <c r="RCO22" s="15"/>
      <c r="RCP22" s="15"/>
      <c r="RCQ22" s="16"/>
      <c r="RCR22" s="41"/>
      <c r="RCS22" s="41"/>
      <c r="RCT22" s="28"/>
      <c r="RCU22" s="29"/>
      <c r="RCV22" s="24"/>
      <c r="RCW22" s="13"/>
      <c r="RCX22" s="13"/>
      <c r="RCY22" s="14"/>
      <c r="RCZ22" s="15"/>
      <c r="RDA22" s="15"/>
      <c r="RDB22" s="16"/>
      <c r="RDC22" s="41"/>
      <c r="RDD22" s="41"/>
      <c r="RDE22" s="28"/>
      <c r="RDF22" s="29"/>
      <c r="RDG22" s="24"/>
      <c r="RDH22" s="13"/>
      <c r="RDI22" s="13"/>
      <c r="RDJ22" s="14"/>
      <c r="RDK22" s="15"/>
      <c r="RDL22" s="15"/>
      <c r="RDM22" s="16"/>
      <c r="RDN22" s="41"/>
      <c r="RDO22" s="41"/>
      <c r="RDP22" s="28"/>
      <c r="RDQ22" s="29"/>
      <c r="RDR22" s="24"/>
      <c r="RDS22" s="13"/>
      <c r="RDT22" s="13"/>
      <c r="RDU22" s="14"/>
      <c r="RDV22" s="15"/>
      <c r="RDW22" s="15"/>
      <c r="RDX22" s="16"/>
      <c r="RDY22" s="41"/>
      <c r="RDZ22" s="41"/>
      <c r="REA22" s="28"/>
      <c r="REB22" s="29"/>
      <c r="REC22" s="24"/>
      <c r="RED22" s="13"/>
      <c r="REE22" s="13"/>
      <c r="REF22" s="14"/>
      <c r="REG22" s="15"/>
      <c r="REH22" s="15"/>
      <c r="REI22" s="16"/>
      <c r="REJ22" s="41"/>
      <c r="REK22" s="41"/>
      <c r="REL22" s="28"/>
      <c r="REM22" s="29"/>
      <c r="REN22" s="24"/>
      <c r="REO22" s="13"/>
      <c r="REP22" s="13"/>
      <c r="REQ22" s="14"/>
      <c r="RER22" s="15"/>
      <c r="RES22" s="15"/>
      <c r="RET22" s="16"/>
      <c r="REU22" s="41"/>
      <c r="REV22" s="41"/>
      <c r="REW22" s="28"/>
      <c r="REX22" s="29"/>
      <c r="REY22" s="24"/>
      <c r="REZ22" s="13"/>
      <c r="RFA22" s="13"/>
      <c r="RFB22" s="14"/>
      <c r="RFC22" s="15"/>
      <c r="RFD22" s="15"/>
      <c r="RFE22" s="16"/>
      <c r="RFF22" s="41"/>
      <c r="RFG22" s="41"/>
      <c r="RFH22" s="28"/>
      <c r="RFI22" s="29"/>
      <c r="RFJ22" s="24"/>
      <c r="RFK22" s="13"/>
      <c r="RFL22" s="13"/>
      <c r="RFM22" s="14"/>
      <c r="RFN22" s="15"/>
      <c r="RFO22" s="15"/>
      <c r="RFP22" s="16"/>
      <c r="RFQ22" s="41"/>
      <c r="RFR22" s="41"/>
      <c r="RFS22" s="28"/>
      <c r="RFT22" s="29"/>
      <c r="RFU22" s="24"/>
      <c r="RFV22" s="13"/>
      <c r="RFW22" s="13"/>
      <c r="RFX22" s="14"/>
      <c r="RFY22" s="15"/>
      <c r="RFZ22" s="15"/>
      <c r="RGA22" s="16"/>
      <c r="RGB22" s="41"/>
      <c r="RGC22" s="41"/>
      <c r="RGD22" s="28"/>
      <c r="RGE22" s="29"/>
      <c r="RGF22" s="24"/>
      <c r="RGG22" s="13"/>
      <c r="RGH22" s="13"/>
      <c r="RGI22" s="14"/>
      <c r="RGJ22" s="15"/>
      <c r="RGK22" s="15"/>
      <c r="RGL22" s="16"/>
      <c r="RGM22" s="41"/>
      <c r="RGN22" s="41"/>
      <c r="RGO22" s="28"/>
      <c r="RGP22" s="29"/>
      <c r="RGQ22" s="24"/>
      <c r="RGR22" s="13"/>
      <c r="RGS22" s="13"/>
      <c r="RGT22" s="14"/>
      <c r="RGU22" s="15"/>
      <c r="RGV22" s="15"/>
      <c r="RGW22" s="16"/>
      <c r="RGX22" s="41"/>
      <c r="RGY22" s="41"/>
      <c r="RGZ22" s="28"/>
      <c r="RHA22" s="29"/>
      <c r="RHB22" s="24"/>
      <c r="RHC22" s="13"/>
      <c r="RHD22" s="13"/>
      <c r="RHE22" s="14"/>
      <c r="RHF22" s="15"/>
      <c r="RHG22" s="15"/>
      <c r="RHH22" s="16"/>
      <c r="RHI22" s="41"/>
      <c r="RHJ22" s="41"/>
      <c r="RHK22" s="28"/>
      <c r="RHL22" s="29"/>
      <c r="RHM22" s="24"/>
      <c r="RHN22" s="13"/>
      <c r="RHO22" s="13"/>
      <c r="RHP22" s="14"/>
      <c r="RHQ22" s="15"/>
      <c r="RHR22" s="15"/>
      <c r="RHS22" s="16"/>
      <c r="RHT22" s="41"/>
      <c r="RHU22" s="41"/>
      <c r="RHV22" s="28"/>
      <c r="RHW22" s="29"/>
      <c r="RHX22" s="24"/>
      <c r="RHY22" s="13"/>
      <c r="RHZ22" s="13"/>
      <c r="RIA22" s="14"/>
      <c r="RIB22" s="15"/>
      <c r="RIC22" s="15"/>
      <c r="RID22" s="16"/>
      <c r="RIE22" s="41"/>
      <c r="RIF22" s="41"/>
      <c r="RIG22" s="28"/>
      <c r="RIH22" s="29"/>
      <c r="RII22" s="24"/>
      <c r="RIJ22" s="13"/>
      <c r="RIK22" s="13"/>
      <c r="RIL22" s="14"/>
      <c r="RIM22" s="15"/>
      <c r="RIN22" s="15"/>
      <c r="RIO22" s="16"/>
      <c r="RIP22" s="41"/>
      <c r="RIQ22" s="41"/>
      <c r="RIR22" s="28"/>
      <c r="RIS22" s="29"/>
      <c r="RIT22" s="24"/>
      <c r="RIU22" s="13"/>
      <c r="RIV22" s="13"/>
      <c r="RIW22" s="14"/>
      <c r="RIX22" s="15"/>
      <c r="RIY22" s="15"/>
      <c r="RIZ22" s="16"/>
      <c r="RJA22" s="41"/>
      <c r="RJB22" s="41"/>
      <c r="RJC22" s="28"/>
      <c r="RJD22" s="29"/>
      <c r="RJE22" s="24"/>
      <c r="RJF22" s="13"/>
      <c r="RJG22" s="13"/>
      <c r="RJH22" s="14"/>
      <c r="RJI22" s="15"/>
      <c r="RJJ22" s="15"/>
      <c r="RJK22" s="16"/>
      <c r="RJL22" s="41"/>
      <c r="RJM22" s="41"/>
      <c r="RJN22" s="28"/>
      <c r="RJO22" s="29"/>
      <c r="RJP22" s="24"/>
      <c r="RJQ22" s="13"/>
      <c r="RJR22" s="13"/>
      <c r="RJS22" s="14"/>
      <c r="RJT22" s="15"/>
      <c r="RJU22" s="15"/>
      <c r="RJV22" s="16"/>
      <c r="RJW22" s="41"/>
      <c r="RJX22" s="41"/>
      <c r="RJY22" s="28"/>
      <c r="RJZ22" s="29"/>
      <c r="RKA22" s="24"/>
      <c r="RKB22" s="13"/>
      <c r="RKC22" s="13"/>
      <c r="RKD22" s="14"/>
      <c r="RKE22" s="15"/>
      <c r="RKF22" s="15"/>
      <c r="RKG22" s="16"/>
      <c r="RKH22" s="41"/>
      <c r="RKI22" s="41"/>
      <c r="RKJ22" s="28"/>
      <c r="RKK22" s="29"/>
      <c r="RKL22" s="24"/>
      <c r="RKM22" s="13"/>
      <c r="RKN22" s="13"/>
      <c r="RKO22" s="14"/>
      <c r="RKP22" s="15"/>
      <c r="RKQ22" s="15"/>
      <c r="RKR22" s="16"/>
      <c r="RKS22" s="41"/>
      <c r="RKT22" s="41"/>
      <c r="RKU22" s="28"/>
      <c r="RKV22" s="29"/>
      <c r="RKW22" s="24"/>
      <c r="RKX22" s="13"/>
      <c r="RKY22" s="13"/>
      <c r="RKZ22" s="14"/>
      <c r="RLA22" s="15"/>
      <c r="RLB22" s="15"/>
      <c r="RLC22" s="16"/>
      <c r="RLD22" s="41"/>
      <c r="RLE22" s="41"/>
      <c r="RLF22" s="28"/>
      <c r="RLG22" s="29"/>
      <c r="RLH22" s="24"/>
      <c r="RLI22" s="13"/>
      <c r="RLJ22" s="13"/>
      <c r="RLK22" s="14"/>
      <c r="RLL22" s="15"/>
      <c r="RLM22" s="15"/>
      <c r="RLN22" s="16"/>
      <c r="RLO22" s="41"/>
      <c r="RLP22" s="41"/>
      <c r="RLQ22" s="28"/>
      <c r="RLR22" s="29"/>
      <c r="RLS22" s="24"/>
      <c r="RLT22" s="13"/>
      <c r="RLU22" s="13"/>
      <c r="RLV22" s="14"/>
      <c r="RLW22" s="15"/>
      <c r="RLX22" s="15"/>
      <c r="RLY22" s="16"/>
      <c r="RLZ22" s="41"/>
      <c r="RMA22" s="41"/>
      <c r="RMB22" s="28"/>
      <c r="RMC22" s="29"/>
      <c r="RMD22" s="24"/>
      <c r="RME22" s="13"/>
      <c r="RMF22" s="13"/>
      <c r="RMG22" s="14"/>
      <c r="RMH22" s="15"/>
      <c r="RMI22" s="15"/>
      <c r="RMJ22" s="16"/>
      <c r="RMK22" s="41"/>
      <c r="RML22" s="41"/>
      <c r="RMM22" s="28"/>
      <c r="RMN22" s="29"/>
      <c r="RMO22" s="24"/>
      <c r="RMP22" s="13"/>
      <c r="RMQ22" s="13"/>
      <c r="RMR22" s="14"/>
      <c r="RMS22" s="15"/>
      <c r="RMT22" s="15"/>
      <c r="RMU22" s="16"/>
      <c r="RMV22" s="41"/>
      <c r="RMW22" s="41"/>
      <c r="RMX22" s="28"/>
      <c r="RMY22" s="29"/>
      <c r="RMZ22" s="24"/>
      <c r="RNA22" s="13"/>
      <c r="RNB22" s="13"/>
      <c r="RNC22" s="14"/>
      <c r="RND22" s="15"/>
      <c r="RNE22" s="15"/>
      <c r="RNF22" s="16"/>
      <c r="RNG22" s="41"/>
      <c r="RNH22" s="41"/>
      <c r="RNI22" s="28"/>
      <c r="RNJ22" s="29"/>
      <c r="RNK22" s="24"/>
      <c r="RNL22" s="13"/>
      <c r="RNM22" s="13"/>
      <c r="RNN22" s="14"/>
      <c r="RNO22" s="15"/>
      <c r="RNP22" s="15"/>
      <c r="RNQ22" s="16"/>
      <c r="RNR22" s="41"/>
      <c r="RNS22" s="41"/>
      <c r="RNT22" s="28"/>
      <c r="RNU22" s="29"/>
      <c r="RNV22" s="24"/>
      <c r="RNW22" s="13"/>
      <c r="RNX22" s="13"/>
      <c r="RNY22" s="14"/>
      <c r="RNZ22" s="15"/>
      <c r="ROA22" s="15"/>
      <c r="ROB22" s="16"/>
      <c r="ROC22" s="41"/>
      <c r="ROD22" s="41"/>
      <c r="ROE22" s="28"/>
      <c r="ROF22" s="29"/>
      <c r="ROG22" s="24"/>
      <c r="ROH22" s="13"/>
      <c r="ROI22" s="13"/>
      <c r="ROJ22" s="14"/>
      <c r="ROK22" s="15"/>
      <c r="ROL22" s="15"/>
      <c r="ROM22" s="16"/>
      <c r="RON22" s="41"/>
      <c r="ROO22" s="41"/>
      <c r="ROP22" s="28"/>
      <c r="ROQ22" s="29"/>
      <c r="ROR22" s="24"/>
      <c r="ROS22" s="13"/>
      <c r="ROT22" s="13"/>
      <c r="ROU22" s="14"/>
      <c r="ROV22" s="15"/>
      <c r="ROW22" s="15"/>
      <c r="ROX22" s="16"/>
      <c r="ROY22" s="41"/>
      <c r="ROZ22" s="41"/>
      <c r="RPA22" s="28"/>
      <c r="RPB22" s="29"/>
      <c r="RPC22" s="24"/>
      <c r="RPD22" s="13"/>
      <c r="RPE22" s="13"/>
      <c r="RPF22" s="14"/>
      <c r="RPG22" s="15"/>
      <c r="RPH22" s="15"/>
      <c r="RPI22" s="16"/>
      <c r="RPJ22" s="41"/>
      <c r="RPK22" s="41"/>
      <c r="RPL22" s="28"/>
      <c r="RPM22" s="29"/>
      <c r="RPN22" s="24"/>
      <c r="RPO22" s="13"/>
      <c r="RPP22" s="13"/>
      <c r="RPQ22" s="14"/>
      <c r="RPR22" s="15"/>
      <c r="RPS22" s="15"/>
      <c r="RPT22" s="16"/>
      <c r="RPU22" s="41"/>
      <c r="RPV22" s="41"/>
      <c r="RPW22" s="28"/>
      <c r="RPX22" s="29"/>
      <c r="RPY22" s="24"/>
      <c r="RPZ22" s="13"/>
      <c r="RQA22" s="13"/>
      <c r="RQB22" s="14"/>
      <c r="RQC22" s="15"/>
      <c r="RQD22" s="15"/>
      <c r="RQE22" s="16"/>
      <c r="RQF22" s="41"/>
      <c r="RQG22" s="41"/>
      <c r="RQH22" s="28"/>
      <c r="RQI22" s="29"/>
      <c r="RQJ22" s="24"/>
      <c r="RQK22" s="13"/>
      <c r="RQL22" s="13"/>
      <c r="RQM22" s="14"/>
      <c r="RQN22" s="15"/>
      <c r="RQO22" s="15"/>
      <c r="RQP22" s="16"/>
      <c r="RQQ22" s="41"/>
      <c r="RQR22" s="41"/>
      <c r="RQS22" s="28"/>
      <c r="RQT22" s="29"/>
      <c r="RQU22" s="24"/>
      <c r="RQV22" s="13"/>
      <c r="RQW22" s="13"/>
      <c r="RQX22" s="14"/>
      <c r="RQY22" s="15"/>
      <c r="RQZ22" s="15"/>
      <c r="RRA22" s="16"/>
      <c r="RRB22" s="41"/>
      <c r="RRC22" s="41"/>
      <c r="RRD22" s="28"/>
      <c r="RRE22" s="29"/>
      <c r="RRF22" s="24"/>
      <c r="RRG22" s="13"/>
      <c r="RRH22" s="13"/>
      <c r="RRI22" s="14"/>
      <c r="RRJ22" s="15"/>
      <c r="RRK22" s="15"/>
      <c r="RRL22" s="16"/>
      <c r="RRM22" s="41"/>
      <c r="RRN22" s="41"/>
      <c r="RRO22" s="28"/>
      <c r="RRP22" s="29"/>
      <c r="RRQ22" s="24"/>
      <c r="RRR22" s="13"/>
      <c r="RRS22" s="13"/>
      <c r="RRT22" s="14"/>
      <c r="RRU22" s="15"/>
      <c r="RRV22" s="15"/>
      <c r="RRW22" s="16"/>
      <c r="RRX22" s="41"/>
      <c r="RRY22" s="41"/>
      <c r="RRZ22" s="28"/>
      <c r="RSA22" s="29"/>
      <c r="RSB22" s="24"/>
      <c r="RSC22" s="13"/>
      <c r="RSD22" s="13"/>
      <c r="RSE22" s="14"/>
      <c r="RSF22" s="15"/>
      <c r="RSG22" s="15"/>
      <c r="RSH22" s="16"/>
      <c r="RSI22" s="41"/>
      <c r="RSJ22" s="41"/>
      <c r="RSK22" s="28"/>
      <c r="RSL22" s="29"/>
      <c r="RSM22" s="24"/>
      <c r="RSN22" s="13"/>
      <c r="RSO22" s="13"/>
      <c r="RSP22" s="14"/>
      <c r="RSQ22" s="15"/>
      <c r="RSR22" s="15"/>
      <c r="RSS22" s="16"/>
      <c r="RST22" s="41"/>
      <c r="RSU22" s="41"/>
      <c r="RSV22" s="28"/>
      <c r="RSW22" s="29"/>
      <c r="RSX22" s="24"/>
      <c r="RSY22" s="13"/>
      <c r="RSZ22" s="13"/>
      <c r="RTA22" s="14"/>
      <c r="RTB22" s="15"/>
      <c r="RTC22" s="15"/>
      <c r="RTD22" s="16"/>
      <c r="RTE22" s="41"/>
      <c r="RTF22" s="41"/>
      <c r="RTG22" s="28"/>
      <c r="RTH22" s="29"/>
      <c r="RTI22" s="24"/>
      <c r="RTJ22" s="13"/>
      <c r="RTK22" s="13"/>
      <c r="RTL22" s="14"/>
      <c r="RTM22" s="15"/>
      <c r="RTN22" s="15"/>
      <c r="RTO22" s="16"/>
      <c r="RTP22" s="41"/>
      <c r="RTQ22" s="41"/>
      <c r="RTR22" s="28"/>
      <c r="RTS22" s="29"/>
      <c r="RTT22" s="24"/>
      <c r="RTU22" s="13"/>
      <c r="RTV22" s="13"/>
      <c r="RTW22" s="14"/>
      <c r="RTX22" s="15"/>
      <c r="RTY22" s="15"/>
      <c r="RTZ22" s="16"/>
      <c r="RUA22" s="41"/>
      <c r="RUB22" s="41"/>
      <c r="RUC22" s="28"/>
      <c r="RUD22" s="29"/>
      <c r="RUE22" s="24"/>
      <c r="RUF22" s="13"/>
      <c r="RUG22" s="13"/>
      <c r="RUH22" s="14"/>
      <c r="RUI22" s="15"/>
      <c r="RUJ22" s="15"/>
      <c r="RUK22" s="16"/>
      <c r="RUL22" s="41"/>
      <c r="RUM22" s="41"/>
      <c r="RUN22" s="28"/>
      <c r="RUO22" s="29"/>
      <c r="RUP22" s="24"/>
      <c r="RUQ22" s="13"/>
      <c r="RUR22" s="13"/>
      <c r="RUS22" s="14"/>
      <c r="RUT22" s="15"/>
      <c r="RUU22" s="15"/>
      <c r="RUV22" s="16"/>
      <c r="RUW22" s="41"/>
      <c r="RUX22" s="41"/>
      <c r="RUY22" s="28"/>
      <c r="RUZ22" s="29"/>
      <c r="RVA22" s="24"/>
      <c r="RVB22" s="13"/>
      <c r="RVC22" s="13"/>
      <c r="RVD22" s="14"/>
      <c r="RVE22" s="15"/>
      <c r="RVF22" s="15"/>
      <c r="RVG22" s="16"/>
      <c r="RVH22" s="41"/>
      <c r="RVI22" s="41"/>
      <c r="RVJ22" s="28"/>
      <c r="RVK22" s="29"/>
      <c r="RVL22" s="24"/>
      <c r="RVM22" s="13"/>
      <c r="RVN22" s="13"/>
      <c r="RVO22" s="14"/>
      <c r="RVP22" s="15"/>
      <c r="RVQ22" s="15"/>
      <c r="RVR22" s="16"/>
      <c r="RVS22" s="41"/>
      <c r="RVT22" s="41"/>
      <c r="RVU22" s="28"/>
      <c r="RVV22" s="29"/>
      <c r="RVW22" s="24"/>
      <c r="RVX22" s="13"/>
      <c r="RVY22" s="13"/>
      <c r="RVZ22" s="14"/>
      <c r="RWA22" s="15"/>
      <c r="RWB22" s="15"/>
      <c r="RWC22" s="16"/>
      <c r="RWD22" s="41"/>
      <c r="RWE22" s="41"/>
      <c r="RWF22" s="28"/>
      <c r="RWG22" s="29"/>
      <c r="RWH22" s="24"/>
      <c r="RWI22" s="13"/>
      <c r="RWJ22" s="13"/>
      <c r="RWK22" s="14"/>
      <c r="RWL22" s="15"/>
      <c r="RWM22" s="15"/>
      <c r="RWN22" s="16"/>
      <c r="RWO22" s="41"/>
      <c r="RWP22" s="41"/>
      <c r="RWQ22" s="28"/>
      <c r="RWR22" s="29"/>
      <c r="RWS22" s="24"/>
      <c r="RWT22" s="13"/>
      <c r="RWU22" s="13"/>
      <c r="RWV22" s="14"/>
      <c r="RWW22" s="15"/>
      <c r="RWX22" s="15"/>
      <c r="RWY22" s="16"/>
      <c r="RWZ22" s="41"/>
      <c r="RXA22" s="41"/>
      <c r="RXB22" s="28"/>
      <c r="RXC22" s="29"/>
      <c r="RXD22" s="24"/>
      <c r="RXE22" s="13"/>
      <c r="RXF22" s="13"/>
      <c r="RXG22" s="14"/>
      <c r="RXH22" s="15"/>
      <c r="RXI22" s="15"/>
      <c r="RXJ22" s="16"/>
      <c r="RXK22" s="41"/>
      <c r="RXL22" s="41"/>
      <c r="RXM22" s="28"/>
      <c r="RXN22" s="29"/>
      <c r="RXO22" s="24"/>
      <c r="RXP22" s="13"/>
      <c r="RXQ22" s="13"/>
      <c r="RXR22" s="14"/>
      <c r="RXS22" s="15"/>
      <c r="RXT22" s="15"/>
      <c r="RXU22" s="16"/>
      <c r="RXV22" s="41"/>
      <c r="RXW22" s="41"/>
      <c r="RXX22" s="28"/>
      <c r="RXY22" s="29"/>
      <c r="RXZ22" s="24"/>
      <c r="RYA22" s="13"/>
      <c r="RYB22" s="13"/>
      <c r="RYC22" s="14"/>
      <c r="RYD22" s="15"/>
      <c r="RYE22" s="15"/>
      <c r="RYF22" s="16"/>
      <c r="RYG22" s="41"/>
      <c r="RYH22" s="41"/>
      <c r="RYI22" s="28"/>
      <c r="RYJ22" s="29"/>
      <c r="RYK22" s="24"/>
      <c r="RYL22" s="13"/>
      <c r="RYM22" s="13"/>
      <c r="RYN22" s="14"/>
      <c r="RYO22" s="15"/>
      <c r="RYP22" s="15"/>
      <c r="RYQ22" s="16"/>
      <c r="RYR22" s="41"/>
      <c r="RYS22" s="41"/>
      <c r="RYT22" s="28"/>
      <c r="RYU22" s="29"/>
      <c r="RYV22" s="24"/>
      <c r="RYW22" s="13"/>
      <c r="RYX22" s="13"/>
      <c r="RYY22" s="14"/>
      <c r="RYZ22" s="15"/>
      <c r="RZA22" s="15"/>
      <c r="RZB22" s="16"/>
      <c r="RZC22" s="41"/>
      <c r="RZD22" s="41"/>
      <c r="RZE22" s="28"/>
      <c r="RZF22" s="29"/>
      <c r="RZG22" s="24"/>
      <c r="RZH22" s="13"/>
      <c r="RZI22" s="13"/>
      <c r="RZJ22" s="14"/>
      <c r="RZK22" s="15"/>
      <c r="RZL22" s="15"/>
      <c r="RZM22" s="16"/>
      <c r="RZN22" s="41"/>
      <c r="RZO22" s="41"/>
      <c r="RZP22" s="28"/>
      <c r="RZQ22" s="29"/>
      <c r="RZR22" s="24"/>
      <c r="RZS22" s="13"/>
      <c r="RZT22" s="13"/>
      <c r="RZU22" s="14"/>
      <c r="RZV22" s="15"/>
      <c r="RZW22" s="15"/>
      <c r="RZX22" s="16"/>
      <c r="RZY22" s="41"/>
      <c r="RZZ22" s="41"/>
      <c r="SAA22" s="28"/>
      <c r="SAB22" s="29"/>
      <c r="SAC22" s="24"/>
      <c r="SAD22" s="13"/>
      <c r="SAE22" s="13"/>
      <c r="SAF22" s="14"/>
      <c r="SAG22" s="15"/>
      <c r="SAH22" s="15"/>
      <c r="SAI22" s="16"/>
      <c r="SAJ22" s="41"/>
      <c r="SAK22" s="41"/>
      <c r="SAL22" s="28"/>
      <c r="SAM22" s="29"/>
      <c r="SAN22" s="24"/>
      <c r="SAO22" s="13"/>
      <c r="SAP22" s="13"/>
      <c r="SAQ22" s="14"/>
      <c r="SAR22" s="15"/>
      <c r="SAS22" s="15"/>
      <c r="SAT22" s="16"/>
      <c r="SAU22" s="41"/>
      <c r="SAV22" s="41"/>
      <c r="SAW22" s="28"/>
      <c r="SAX22" s="29"/>
      <c r="SAY22" s="24"/>
      <c r="SAZ22" s="13"/>
      <c r="SBA22" s="13"/>
      <c r="SBB22" s="14"/>
      <c r="SBC22" s="15"/>
      <c r="SBD22" s="15"/>
      <c r="SBE22" s="16"/>
      <c r="SBF22" s="41"/>
      <c r="SBG22" s="41"/>
      <c r="SBH22" s="28"/>
      <c r="SBI22" s="29"/>
      <c r="SBJ22" s="24"/>
      <c r="SBK22" s="13"/>
      <c r="SBL22" s="13"/>
      <c r="SBM22" s="14"/>
      <c r="SBN22" s="15"/>
      <c r="SBO22" s="15"/>
      <c r="SBP22" s="16"/>
      <c r="SBQ22" s="41"/>
      <c r="SBR22" s="41"/>
      <c r="SBS22" s="28"/>
      <c r="SBT22" s="29"/>
      <c r="SBU22" s="24"/>
      <c r="SBV22" s="13"/>
      <c r="SBW22" s="13"/>
      <c r="SBX22" s="14"/>
      <c r="SBY22" s="15"/>
      <c r="SBZ22" s="15"/>
      <c r="SCA22" s="16"/>
      <c r="SCB22" s="41"/>
      <c r="SCC22" s="41"/>
      <c r="SCD22" s="28"/>
      <c r="SCE22" s="29"/>
      <c r="SCF22" s="24"/>
      <c r="SCG22" s="13"/>
      <c r="SCH22" s="13"/>
      <c r="SCI22" s="14"/>
      <c r="SCJ22" s="15"/>
      <c r="SCK22" s="15"/>
      <c r="SCL22" s="16"/>
      <c r="SCM22" s="41"/>
      <c r="SCN22" s="41"/>
      <c r="SCO22" s="28"/>
      <c r="SCP22" s="29"/>
      <c r="SCQ22" s="24"/>
      <c r="SCR22" s="13"/>
      <c r="SCS22" s="13"/>
      <c r="SCT22" s="14"/>
      <c r="SCU22" s="15"/>
      <c r="SCV22" s="15"/>
      <c r="SCW22" s="16"/>
      <c r="SCX22" s="41"/>
      <c r="SCY22" s="41"/>
      <c r="SCZ22" s="28"/>
      <c r="SDA22" s="29"/>
      <c r="SDB22" s="24"/>
      <c r="SDC22" s="13"/>
      <c r="SDD22" s="13"/>
      <c r="SDE22" s="14"/>
      <c r="SDF22" s="15"/>
      <c r="SDG22" s="15"/>
      <c r="SDH22" s="16"/>
      <c r="SDI22" s="41"/>
      <c r="SDJ22" s="41"/>
      <c r="SDK22" s="28"/>
      <c r="SDL22" s="29"/>
      <c r="SDM22" s="24"/>
      <c r="SDN22" s="13"/>
      <c r="SDO22" s="13"/>
      <c r="SDP22" s="14"/>
      <c r="SDQ22" s="15"/>
      <c r="SDR22" s="15"/>
      <c r="SDS22" s="16"/>
      <c r="SDT22" s="41"/>
      <c r="SDU22" s="41"/>
      <c r="SDV22" s="28"/>
      <c r="SDW22" s="29"/>
      <c r="SDX22" s="24"/>
      <c r="SDY22" s="13"/>
      <c r="SDZ22" s="13"/>
      <c r="SEA22" s="14"/>
      <c r="SEB22" s="15"/>
      <c r="SEC22" s="15"/>
      <c r="SED22" s="16"/>
      <c r="SEE22" s="41"/>
      <c r="SEF22" s="41"/>
      <c r="SEG22" s="28"/>
      <c r="SEH22" s="29"/>
      <c r="SEI22" s="24"/>
      <c r="SEJ22" s="13"/>
      <c r="SEK22" s="13"/>
      <c r="SEL22" s="14"/>
      <c r="SEM22" s="15"/>
      <c r="SEN22" s="15"/>
      <c r="SEO22" s="16"/>
      <c r="SEP22" s="41"/>
      <c r="SEQ22" s="41"/>
      <c r="SER22" s="28"/>
      <c r="SES22" s="29"/>
      <c r="SET22" s="24"/>
      <c r="SEU22" s="13"/>
      <c r="SEV22" s="13"/>
      <c r="SEW22" s="14"/>
      <c r="SEX22" s="15"/>
      <c r="SEY22" s="15"/>
      <c r="SEZ22" s="16"/>
      <c r="SFA22" s="41"/>
      <c r="SFB22" s="41"/>
      <c r="SFC22" s="28"/>
      <c r="SFD22" s="29"/>
      <c r="SFE22" s="24"/>
      <c r="SFF22" s="13"/>
      <c r="SFG22" s="13"/>
      <c r="SFH22" s="14"/>
      <c r="SFI22" s="15"/>
      <c r="SFJ22" s="15"/>
      <c r="SFK22" s="16"/>
      <c r="SFL22" s="41"/>
      <c r="SFM22" s="41"/>
      <c r="SFN22" s="28"/>
      <c r="SFO22" s="29"/>
      <c r="SFP22" s="24"/>
      <c r="SFQ22" s="13"/>
      <c r="SFR22" s="13"/>
      <c r="SFS22" s="14"/>
      <c r="SFT22" s="15"/>
      <c r="SFU22" s="15"/>
      <c r="SFV22" s="16"/>
      <c r="SFW22" s="41"/>
      <c r="SFX22" s="41"/>
      <c r="SFY22" s="28"/>
      <c r="SFZ22" s="29"/>
      <c r="SGA22" s="24"/>
      <c r="SGB22" s="13"/>
      <c r="SGC22" s="13"/>
      <c r="SGD22" s="14"/>
      <c r="SGE22" s="15"/>
      <c r="SGF22" s="15"/>
      <c r="SGG22" s="16"/>
      <c r="SGH22" s="41"/>
      <c r="SGI22" s="41"/>
      <c r="SGJ22" s="28"/>
      <c r="SGK22" s="29"/>
      <c r="SGL22" s="24"/>
      <c r="SGM22" s="13"/>
      <c r="SGN22" s="13"/>
      <c r="SGO22" s="14"/>
      <c r="SGP22" s="15"/>
      <c r="SGQ22" s="15"/>
      <c r="SGR22" s="16"/>
      <c r="SGS22" s="41"/>
      <c r="SGT22" s="41"/>
      <c r="SGU22" s="28"/>
      <c r="SGV22" s="29"/>
      <c r="SGW22" s="24"/>
      <c r="SGX22" s="13"/>
      <c r="SGY22" s="13"/>
      <c r="SGZ22" s="14"/>
      <c r="SHA22" s="15"/>
      <c r="SHB22" s="15"/>
      <c r="SHC22" s="16"/>
      <c r="SHD22" s="41"/>
      <c r="SHE22" s="41"/>
      <c r="SHF22" s="28"/>
      <c r="SHG22" s="29"/>
      <c r="SHH22" s="24"/>
      <c r="SHI22" s="13"/>
      <c r="SHJ22" s="13"/>
      <c r="SHK22" s="14"/>
      <c r="SHL22" s="15"/>
      <c r="SHM22" s="15"/>
      <c r="SHN22" s="16"/>
      <c r="SHO22" s="41"/>
      <c r="SHP22" s="41"/>
      <c r="SHQ22" s="28"/>
      <c r="SHR22" s="29"/>
      <c r="SHS22" s="24"/>
      <c r="SHT22" s="13"/>
      <c r="SHU22" s="13"/>
      <c r="SHV22" s="14"/>
      <c r="SHW22" s="15"/>
      <c r="SHX22" s="15"/>
      <c r="SHY22" s="16"/>
      <c r="SHZ22" s="41"/>
      <c r="SIA22" s="41"/>
      <c r="SIB22" s="28"/>
      <c r="SIC22" s="29"/>
      <c r="SID22" s="24"/>
      <c r="SIE22" s="13"/>
      <c r="SIF22" s="13"/>
      <c r="SIG22" s="14"/>
      <c r="SIH22" s="15"/>
      <c r="SII22" s="15"/>
      <c r="SIJ22" s="16"/>
      <c r="SIK22" s="41"/>
      <c r="SIL22" s="41"/>
      <c r="SIM22" s="28"/>
      <c r="SIN22" s="29"/>
      <c r="SIO22" s="24"/>
      <c r="SIP22" s="13"/>
      <c r="SIQ22" s="13"/>
      <c r="SIR22" s="14"/>
      <c r="SIS22" s="15"/>
      <c r="SIT22" s="15"/>
      <c r="SIU22" s="16"/>
      <c r="SIV22" s="41"/>
      <c r="SIW22" s="41"/>
      <c r="SIX22" s="28"/>
      <c r="SIY22" s="29"/>
      <c r="SIZ22" s="24"/>
      <c r="SJA22" s="13"/>
      <c r="SJB22" s="13"/>
      <c r="SJC22" s="14"/>
      <c r="SJD22" s="15"/>
      <c r="SJE22" s="15"/>
      <c r="SJF22" s="16"/>
      <c r="SJG22" s="41"/>
      <c r="SJH22" s="41"/>
      <c r="SJI22" s="28"/>
      <c r="SJJ22" s="29"/>
      <c r="SJK22" s="24"/>
      <c r="SJL22" s="13"/>
      <c r="SJM22" s="13"/>
      <c r="SJN22" s="14"/>
      <c r="SJO22" s="15"/>
      <c r="SJP22" s="15"/>
      <c r="SJQ22" s="16"/>
      <c r="SJR22" s="41"/>
      <c r="SJS22" s="41"/>
      <c r="SJT22" s="28"/>
      <c r="SJU22" s="29"/>
      <c r="SJV22" s="24"/>
      <c r="SJW22" s="13"/>
      <c r="SJX22" s="13"/>
      <c r="SJY22" s="14"/>
      <c r="SJZ22" s="15"/>
      <c r="SKA22" s="15"/>
      <c r="SKB22" s="16"/>
      <c r="SKC22" s="41"/>
      <c r="SKD22" s="41"/>
      <c r="SKE22" s="28"/>
      <c r="SKF22" s="29"/>
      <c r="SKG22" s="24"/>
      <c r="SKH22" s="13"/>
      <c r="SKI22" s="13"/>
      <c r="SKJ22" s="14"/>
      <c r="SKK22" s="15"/>
      <c r="SKL22" s="15"/>
      <c r="SKM22" s="16"/>
      <c r="SKN22" s="41"/>
      <c r="SKO22" s="41"/>
      <c r="SKP22" s="28"/>
      <c r="SKQ22" s="29"/>
      <c r="SKR22" s="24"/>
      <c r="SKS22" s="13"/>
      <c r="SKT22" s="13"/>
      <c r="SKU22" s="14"/>
      <c r="SKV22" s="15"/>
      <c r="SKW22" s="15"/>
      <c r="SKX22" s="16"/>
      <c r="SKY22" s="41"/>
      <c r="SKZ22" s="41"/>
      <c r="SLA22" s="28"/>
      <c r="SLB22" s="29"/>
      <c r="SLC22" s="24"/>
      <c r="SLD22" s="13"/>
      <c r="SLE22" s="13"/>
      <c r="SLF22" s="14"/>
      <c r="SLG22" s="15"/>
      <c r="SLH22" s="15"/>
      <c r="SLI22" s="16"/>
      <c r="SLJ22" s="41"/>
      <c r="SLK22" s="41"/>
      <c r="SLL22" s="28"/>
      <c r="SLM22" s="29"/>
      <c r="SLN22" s="24"/>
      <c r="SLO22" s="13"/>
      <c r="SLP22" s="13"/>
      <c r="SLQ22" s="14"/>
      <c r="SLR22" s="15"/>
      <c r="SLS22" s="15"/>
      <c r="SLT22" s="16"/>
      <c r="SLU22" s="41"/>
      <c r="SLV22" s="41"/>
      <c r="SLW22" s="28"/>
      <c r="SLX22" s="29"/>
      <c r="SLY22" s="24"/>
      <c r="SLZ22" s="13"/>
      <c r="SMA22" s="13"/>
      <c r="SMB22" s="14"/>
      <c r="SMC22" s="15"/>
      <c r="SMD22" s="15"/>
      <c r="SME22" s="16"/>
      <c r="SMF22" s="41"/>
      <c r="SMG22" s="41"/>
      <c r="SMH22" s="28"/>
      <c r="SMI22" s="29"/>
      <c r="SMJ22" s="24"/>
      <c r="SMK22" s="13"/>
      <c r="SML22" s="13"/>
      <c r="SMM22" s="14"/>
      <c r="SMN22" s="15"/>
      <c r="SMO22" s="15"/>
      <c r="SMP22" s="16"/>
      <c r="SMQ22" s="41"/>
      <c r="SMR22" s="41"/>
      <c r="SMS22" s="28"/>
      <c r="SMT22" s="29"/>
      <c r="SMU22" s="24"/>
      <c r="SMV22" s="13"/>
      <c r="SMW22" s="13"/>
      <c r="SMX22" s="14"/>
      <c r="SMY22" s="15"/>
      <c r="SMZ22" s="15"/>
      <c r="SNA22" s="16"/>
      <c r="SNB22" s="41"/>
      <c r="SNC22" s="41"/>
      <c r="SND22" s="28"/>
      <c r="SNE22" s="29"/>
      <c r="SNF22" s="24"/>
      <c r="SNG22" s="13"/>
      <c r="SNH22" s="13"/>
      <c r="SNI22" s="14"/>
      <c r="SNJ22" s="15"/>
      <c r="SNK22" s="15"/>
      <c r="SNL22" s="16"/>
      <c r="SNM22" s="41"/>
      <c r="SNN22" s="41"/>
      <c r="SNO22" s="28"/>
      <c r="SNP22" s="29"/>
      <c r="SNQ22" s="24"/>
      <c r="SNR22" s="13"/>
      <c r="SNS22" s="13"/>
      <c r="SNT22" s="14"/>
      <c r="SNU22" s="15"/>
      <c r="SNV22" s="15"/>
      <c r="SNW22" s="16"/>
      <c r="SNX22" s="41"/>
      <c r="SNY22" s="41"/>
      <c r="SNZ22" s="28"/>
      <c r="SOA22" s="29"/>
      <c r="SOB22" s="24"/>
      <c r="SOC22" s="13"/>
      <c r="SOD22" s="13"/>
      <c r="SOE22" s="14"/>
      <c r="SOF22" s="15"/>
      <c r="SOG22" s="15"/>
      <c r="SOH22" s="16"/>
      <c r="SOI22" s="41"/>
      <c r="SOJ22" s="41"/>
      <c r="SOK22" s="28"/>
      <c r="SOL22" s="29"/>
      <c r="SOM22" s="24"/>
      <c r="SON22" s="13"/>
      <c r="SOO22" s="13"/>
      <c r="SOP22" s="14"/>
      <c r="SOQ22" s="15"/>
      <c r="SOR22" s="15"/>
      <c r="SOS22" s="16"/>
      <c r="SOT22" s="41"/>
      <c r="SOU22" s="41"/>
      <c r="SOV22" s="28"/>
      <c r="SOW22" s="29"/>
      <c r="SOX22" s="24"/>
      <c r="SOY22" s="13"/>
      <c r="SOZ22" s="13"/>
      <c r="SPA22" s="14"/>
      <c r="SPB22" s="15"/>
      <c r="SPC22" s="15"/>
      <c r="SPD22" s="16"/>
      <c r="SPE22" s="41"/>
      <c r="SPF22" s="41"/>
      <c r="SPG22" s="28"/>
      <c r="SPH22" s="29"/>
      <c r="SPI22" s="24"/>
      <c r="SPJ22" s="13"/>
      <c r="SPK22" s="13"/>
      <c r="SPL22" s="14"/>
      <c r="SPM22" s="15"/>
      <c r="SPN22" s="15"/>
      <c r="SPO22" s="16"/>
      <c r="SPP22" s="41"/>
      <c r="SPQ22" s="41"/>
      <c r="SPR22" s="28"/>
      <c r="SPS22" s="29"/>
      <c r="SPT22" s="24"/>
      <c r="SPU22" s="13"/>
      <c r="SPV22" s="13"/>
      <c r="SPW22" s="14"/>
      <c r="SPX22" s="15"/>
      <c r="SPY22" s="15"/>
      <c r="SPZ22" s="16"/>
      <c r="SQA22" s="41"/>
      <c r="SQB22" s="41"/>
      <c r="SQC22" s="28"/>
      <c r="SQD22" s="29"/>
      <c r="SQE22" s="24"/>
      <c r="SQF22" s="13"/>
      <c r="SQG22" s="13"/>
      <c r="SQH22" s="14"/>
      <c r="SQI22" s="15"/>
      <c r="SQJ22" s="15"/>
      <c r="SQK22" s="16"/>
      <c r="SQL22" s="41"/>
      <c r="SQM22" s="41"/>
      <c r="SQN22" s="28"/>
      <c r="SQO22" s="29"/>
      <c r="SQP22" s="24"/>
      <c r="SQQ22" s="13"/>
      <c r="SQR22" s="13"/>
      <c r="SQS22" s="14"/>
      <c r="SQT22" s="15"/>
      <c r="SQU22" s="15"/>
      <c r="SQV22" s="16"/>
      <c r="SQW22" s="41"/>
      <c r="SQX22" s="41"/>
      <c r="SQY22" s="28"/>
      <c r="SQZ22" s="29"/>
      <c r="SRA22" s="24"/>
      <c r="SRB22" s="13"/>
      <c r="SRC22" s="13"/>
      <c r="SRD22" s="14"/>
      <c r="SRE22" s="15"/>
      <c r="SRF22" s="15"/>
      <c r="SRG22" s="16"/>
      <c r="SRH22" s="41"/>
      <c r="SRI22" s="41"/>
      <c r="SRJ22" s="28"/>
      <c r="SRK22" s="29"/>
      <c r="SRL22" s="24"/>
      <c r="SRM22" s="13"/>
      <c r="SRN22" s="13"/>
      <c r="SRO22" s="14"/>
      <c r="SRP22" s="15"/>
      <c r="SRQ22" s="15"/>
      <c r="SRR22" s="16"/>
      <c r="SRS22" s="41"/>
      <c r="SRT22" s="41"/>
      <c r="SRU22" s="28"/>
      <c r="SRV22" s="29"/>
      <c r="SRW22" s="24"/>
      <c r="SRX22" s="13"/>
      <c r="SRY22" s="13"/>
      <c r="SRZ22" s="14"/>
      <c r="SSA22" s="15"/>
      <c r="SSB22" s="15"/>
      <c r="SSC22" s="16"/>
      <c r="SSD22" s="41"/>
      <c r="SSE22" s="41"/>
      <c r="SSF22" s="28"/>
      <c r="SSG22" s="29"/>
      <c r="SSH22" s="24"/>
      <c r="SSI22" s="13"/>
      <c r="SSJ22" s="13"/>
      <c r="SSK22" s="14"/>
      <c r="SSL22" s="15"/>
      <c r="SSM22" s="15"/>
      <c r="SSN22" s="16"/>
      <c r="SSO22" s="41"/>
      <c r="SSP22" s="41"/>
      <c r="SSQ22" s="28"/>
      <c r="SSR22" s="29"/>
      <c r="SSS22" s="24"/>
      <c r="SST22" s="13"/>
      <c r="SSU22" s="13"/>
      <c r="SSV22" s="14"/>
      <c r="SSW22" s="15"/>
      <c r="SSX22" s="15"/>
      <c r="SSY22" s="16"/>
      <c r="SSZ22" s="41"/>
      <c r="STA22" s="41"/>
      <c r="STB22" s="28"/>
      <c r="STC22" s="29"/>
      <c r="STD22" s="24"/>
      <c r="STE22" s="13"/>
      <c r="STF22" s="13"/>
      <c r="STG22" s="14"/>
      <c r="STH22" s="15"/>
      <c r="STI22" s="15"/>
      <c r="STJ22" s="16"/>
      <c r="STK22" s="41"/>
      <c r="STL22" s="41"/>
      <c r="STM22" s="28"/>
      <c r="STN22" s="29"/>
      <c r="STO22" s="24"/>
      <c r="STP22" s="13"/>
      <c r="STQ22" s="13"/>
      <c r="STR22" s="14"/>
      <c r="STS22" s="15"/>
      <c r="STT22" s="15"/>
      <c r="STU22" s="16"/>
      <c r="STV22" s="41"/>
      <c r="STW22" s="41"/>
      <c r="STX22" s="28"/>
      <c r="STY22" s="29"/>
      <c r="STZ22" s="24"/>
      <c r="SUA22" s="13"/>
      <c r="SUB22" s="13"/>
      <c r="SUC22" s="14"/>
      <c r="SUD22" s="15"/>
      <c r="SUE22" s="15"/>
      <c r="SUF22" s="16"/>
      <c r="SUG22" s="41"/>
      <c r="SUH22" s="41"/>
      <c r="SUI22" s="28"/>
      <c r="SUJ22" s="29"/>
      <c r="SUK22" s="24"/>
      <c r="SUL22" s="13"/>
      <c r="SUM22" s="13"/>
      <c r="SUN22" s="14"/>
      <c r="SUO22" s="15"/>
      <c r="SUP22" s="15"/>
      <c r="SUQ22" s="16"/>
      <c r="SUR22" s="41"/>
      <c r="SUS22" s="41"/>
      <c r="SUT22" s="28"/>
      <c r="SUU22" s="29"/>
      <c r="SUV22" s="24"/>
      <c r="SUW22" s="13"/>
      <c r="SUX22" s="13"/>
      <c r="SUY22" s="14"/>
      <c r="SUZ22" s="15"/>
      <c r="SVA22" s="15"/>
      <c r="SVB22" s="16"/>
      <c r="SVC22" s="41"/>
      <c r="SVD22" s="41"/>
      <c r="SVE22" s="28"/>
      <c r="SVF22" s="29"/>
      <c r="SVG22" s="24"/>
      <c r="SVH22" s="13"/>
      <c r="SVI22" s="13"/>
      <c r="SVJ22" s="14"/>
      <c r="SVK22" s="15"/>
      <c r="SVL22" s="15"/>
      <c r="SVM22" s="16"/>
      <c r="SVN22" s="41"/>
      <c r="SVO22" s="41"/>
      <c r="SVP22" s="28"/>
      <c r="SVQ22" s="29"/>
      <c r="SVR22" s="24"/>
      <c r="SVS22" s="13"/>
      <c r="SVT22" s="13"/>
      <c r="SVU22" s="14"/>
      <c r="SVV22" s="15"/>
      <c r="SVW22" s="15"/>
      <c r="SVX22" s="16"/>
      <c r="SVY22" s="41"/>
      <c r="SVZ22" s="41"/>
      <c r="SWA22" s="28"/>
      <c r="SWB22" s="29"/>
      <c r="SWC22" s="24"/>
      <c r="SWD22" s="13"/>
      <c r="SWE22" s="13"/>
      <c r="SWF22" s="14"/>
      <c r="SWG22" s="15"/>
      <c r="SWH22" s="15"/>
      <c r="SWI22" s="16"/>
      <c r="SWJ22" s="41"/>
      <c r="SWK22" s="41"/>
      <c r="SWL22" s="28"/>
      <c r="SWM22" s="29"/>
      <c r="SWN22" s="24"/>
      <c r="SWO22" s="13"/>
      <c r="SWP22" s="13"/>
      <c r="SWQ22" s="14"/>
      <c r="SWR22" s="15"/>
      <c r="SWS22" s="15"/>
      <c r="SWT22" s="16"/>
      <c r="SWU22" s="41"/>
      <c r="SWV22" s="41"/>
      <c r="SWW22" s="28"/>
      <c r="SWX22" s="29"/>
      <c r="SWY22" s="24"/>
      <c r="SWZ22" s="13"/>
      <c r="SXA22" s="13"/>
      <c r="SXB22" s="14"/>
      <c r="SXC22" s="15"/>
      <c r="SXD22" s="15"/>
      <c r="SXE22" s="16"/>
      <c r="SXF22" s="41"/>
      <c r="SXG22" s="41"/>
      <c r="SXH22" s="28"/>
      <c r="SXI22" s="29"/>
      <c r="SXJ22" s="24"/>
      <c r="SXK22" s="13"/>
      <c r="SXL22" s="13"/>
      <c r="SXM22" s="14"/>
      <c r="SXN22" s="15"/>
      <c r="SXO22" s="15"/>
      <c r="SXP22" s="16"/>
      <c r="SXQ22" s="41"/>
      <c r="SXR22" s="41"/>
      <c r="SXS22" s="28"/>
      <c r="SXT22" s="29"/>
      <c r="SXU22" s="24"/>
      <c r="SXV22" s="13"/>
      <c r="SXW22" s="13"/>
      <c r="SXX22" s="14"/>
      <c r="SXY22" s="15"/>
      <c r="SXZ22" s="15"/>
      <c r="SYA22" s="16"/>
      <c r="SYB22" s="41"/>
      <c r="SYC22" s="41"/>
      <c r="SYD22" s="28"/>
      <c r="SYE22" s="29"/>
      <c r="SYF22" s="24"/>
      <c r="SYG22" s="13"/>
      <c r="SYH22" s="13"/>
      <c r="SYI22" s="14"/>
      <c r="SYJ22" s="15"/>
      <c r="SYK22" s="15"/>
      <c r="SYL22" s="16"/>
      <c r="SYM22" s="41"/>
      <c r="SYN22" s="41"/>
      <c r="SYO22" s="28"/>
      <c r="SYP22" s="29"/>
      <c r="SYQ22" s="24"/>
      <c r="SYR22" s="13"/>
      <c r="SYS22" s="13"/>
      <c r="SYT22" s="14"/>
      <c r="SYU22" s="15"/>
      <c r="SYV22" s="15"/>
      <c r="SYW22" s="16"/>
      <c r="SYX22" s="41"/>
      <c r="SYY22" s="41"/>
      <c r="SYZ22" s="28"/>
      <c r="SZA22" s="29"/>
      <c r="SZB22" s="24"/>
      <c r="SZC22" s="13"/>
      <c r="SZD22" s="13"/>
      <c r="SZE22" s="14"/>
      <c r="SZF22" s="15"/>
      <c r="SZG22" s="15"/>
      <c r="SZH22" s="16"/>
      <c r="SZI22" s="41"/>
      <c r="SZJ22" s="41"/>
      <c r="SZK22" s="28"/>
      <c r="SZL22" s="29"/>
      <c r="SZM22" s="24"/>
      <c r="SZN22" s="13"/>
      <c r="SZO22" s="13"/>
      <c r="SZP22" s="14"/>
      <c r="SZQ22" s="15"/>
      <c r="SZR22" s="15"/>
      <c r="SZS22" s="16"/>
      <c r="SZT22" s="41"/>
      <c r="SZU22" s="41"/>
      <c r="SZV22" s="28"/>
      <c r="SZW22" s="29"/>
      <c r="SZX22" s="24"/>
      <c r="SZY22" s="13"/>
      <c r="SZZ22" s="13"/>
      <c r="TAA22" s="14"/>
      <c r="TAB22" s="15"/>
      <c r="TAC22" s="15"/>
      <c r="TAD22" s="16"/>
      <c r="TAE22" s="41"/>
      <c r="TAF22" s="41"/>
      <c r="TAG22" s="28"/>
      <c r="TAH22" s="29"/>
      <c r="TAI22" s="24"/>
      <c r="TAJ22" s="13"/>
      <c r="TAK22" s="13"/>
      <c r="TAL22" s="14"/>
      <c r="TAM22" s="15"/>
      <c r="TAN22" s="15"/>
      <c r="TAO22" s="16"/>
      <c r="TAP22" s="41"/>
      <c r="TAQ22" s="41"/>
      <c r="TAR22" s="28"/>
      <c r="TAS22" s="29"/>
      <c r="TAT22" s="24"/>
      <c r="TAU22" s="13"/>
      <c r="TAV22" s="13"/>
      <c r="TAW22" s="14"/>
      <c r="TAX22" s="15"/>
      <c r="TAY22" s="15"/>
      <c r="TAZ22" s="16"/>
      <c r="TBA22" s="41"/>
      <c r="TBB22" s="41"/>
      <c r="TBC22" s="28"/>
      <c r="TBD22" s="29"/>
      <c r="TBE22" s="24"/>
      <c r="TBF22" s="13"/>
      <c r="TBG22" s="13"/>
      <c r="TBH22" s="14"/>
      <c r="TBI22" s="15"/>
      <c r="TBJ22" s="15"/>
      <c r="TBK22" s="16"/>
      <c r="TBL22" s="41"/>
      <c r="TBM22" s="41"/>
      <c r="TBN22" s="28"/>
      <c r="TBO22" s="29"/>
      <c r="TBP22" s="24"/>
      <c r="TBQ22" s="13"/>
      <c r="TBR22" s="13"/>
      <c r="TBS22" s="14"/>
      <c r="TBT22" s="15"/>
      <c r="TBU22" s="15"/>
      <c r="TBV22" s="16"/>
      <c r="TBW22" s="41"/>
      <c r="TBX22" s="41"/>
      <c r="TBY22" s="28"/>
      <c r="TBZ22" s="29"/>
      <c r="TCA22" s="24"/>
      <c r="TCB22" s="13"/>
      <c r="TCC22" s="13"/>
      <c r="TCD22" s="14"/>
      <c r="TCE22" s="15"/>
      <c r="TCF22" s="15"/>
      <c r="TCG22" s="16"/>
      <c r="TCH22" s="41"/>
      <c r="TCI22" s="41"/>
      <c r="TCJ22" s="28"/>
      <c r="TCK22" s="29"/>
      <c r="TCL22" s="24"/>
      <c r="TCM22" s="13"/>
      <c r="TCN22" s="13"/>
      <c r="TCO22" s="14"/>
      <c r="TCP22" s="15"/>
      <c r="TCQ22" s="15"/>
      <c r="TCR22" s="16"/>
      <c r="TCS22" s="41"/>
      <c r="TCT22" s="41"/>
      <c r="TCU22" s="28"/>
      <c r="TCV22" s="29"/>
      <c r="TCW22" s="24"/>
      <c r="TCX22" s="13"/>
      <c r="TCY22" s="13"/>
      <c r="TCZ22" s="14"/>
      <c r="TDA22" s="15"/>
      <c r="TDB22" s="15"/>
      <c r="TDC22" s="16"/>
      <c r="TDD22" s="41"/>
      <c r="TDE22" s="41"/>
      <c r="TDF22" s="28"/>
      <c r="TDG22" s="29"/>
      <c r="TDH22" s="24"/>
      <c r="TDI22" s="13"/>
      <c r="TDJ22" s="13"/>
      <c r="TDK22" s="14"/>
      <c r="TDL22" s="15"/>
      <c r="TDM22" s="15"/>
      <c r="TDN22" s="16"/>
      <c r="TDO22" s="41"/>
      <c r="TDP22" s="41"/>
      <c r="TDQ22" s="28"/>
      <c r="TDR22" s="29"/>
      <c r="TDS22" s="24"/>
      <c r="TDT22" s="13"/>
      <c r="TDU22" s="13"/>
      <c r="TDV22" s="14"/>
      <c r="TDW22" s="15"/>
      <c r="TDX22" s="15"/>
      <c r="TDY22" s="16"/>
      <c r="TDZ22" s="41"/>
      <c r="TEA22" s="41"/>
      <c r="TEB22" s="28"/>
      <c r="TEC22" s="29"/>
      <c r="TED22" s="24"/>
      <c r="TEE22" s="13"/>
      <c r="TEF22" s="13"/>
      <c r="TEG22" s="14"/>
      <c r="TEH22" s="15"/>
      <c r="TEI22" s="15"/>
      <c r="TEJ22" s="16"/>
      <c r="TEK22" s="41"/>
      <c r="TEL22" s="41"/>
      <c r="TEM22" s="28"/>
      <c r="TEN22" s="29"/>
      <c r="TEO22" s="24"/>
      <c r="TEP22" s="13"/>
      <c r="TEQ22" s="13"/>
      <c r="TER22" s="14"/>
      <c r="TES22" s="15"/>
      <c r="TET22" s="15"/>
      <c r="TEU22" s="16"/>
      <c r="TEV22" s="41"/>
      <c r="TEW22" s="41"/>
      <c r="TEX22" s="28"/>
      <c r="TEY22" s="29"/>
      <c r="TEZ22" s="24"/>
      <c r="TFA22" s="13"/>
      <c r="TFB22" s="13"/>
      <c r="TFC22" s="14"/>
      <c r="TFD22" s="15"/>
      <c r="TFE22" s="15"/>
      <c r="TFF22" s="16"/>
      <c r="TFG22" s="41"/>
      <c r="TFH22" s="41"/>
      <c r="TFI22" s="28"/>
      <c r="TFJ22" s="29"/>
      <c r="TFK22" s="24"/>
      <c r="TFL22" s="13"/>
      <c r="TFM22" s="13"/>
      <c r="TFN22" s="14"/>
      <c r="TFO22" s="15"/>
      <c r="TFP22" s="15"/>
      <c r="TFQ22" s="16"/>
      <c r="TFR22" s="41"/>
      <c r="TFS22" s="41"/>
      <c r="TFT22" s="28"/>
      <c r="TFU22" s="29"/>
      <c r="TFV22" s="24"/>
      <c r="TFW22" s="13"/>
      <c r="TFX22" s="13"/>
      <c r="TFY22" s="14"/>
      <c r="TFZ22" s="15"/>
      <c r="TGA22" s="15"/>
      <c r="TGB22" s="16"/>
      <c r="TGC22" s="41"/>
      <c r="TGD22" s="41"/>
      <c r="TGE22" s="28"/>
      <c r="TGF22" s="29"/>
      <c r="TGG22" s="24"/>
      <c r="TGH22" s="13"/>
      <c r="TGI22" s="13"/>
      <c r="TGJ22" s="14"/>
      <c r="TGK22" s="15"/>
      <c r="TGL22" s="15"/>
      <c r="TGM22" s="16"/>
      <c r="TGN22" s="41"/>
      <c r="TGO22" s="41"/>
      <c r="TGP22" s="28"/>
      <c r="TGQ22" s="29"/>
      <c r="TGR22" s="24"/>
      <c r="TGS22" s="13"/>
      <c r="TGT22" s="13"/>
      <c r="TGU22" s="14"/>
      <c r="TGV22" s="15"/>
      <c r="TGW22" s="15"/>
      <c r="TGX22" s="16"/>
      <c r="TGY22" s="41"/>
      <c r="TGZ22" s="41"/>
      <c r="THA22" s="28"/>
      <c r="THB22" s="29"/>
      <c r="THC22" s="24"/>
      <c r="THD22" s="13"/>
      <c r="THE22" s="13"/>
      <c r="THF22" s="14"/>
      <c r="THG22" s="15"/>
      <c r="THH22" s="15"/>
      <c r="THI22" s="16"/>
      <c r="THJ22" s="41"/>
      <c r="THK22" s="41"/>
      <c r="THL22" s="28"/>
      <c r="THM22" s="29"/>
      <c r="THN22" s="24"/>
      <c r="THO22" s="13"/>
      <c r="THP22" s="13"/>
      <c r="THQ22" s="14"/>
      <c r="THR22" s="15"/>
      <c r="THS22" s="15"/>
      <c r="THT22" s="16"/>
      <c r="THU22" s="41"/>
      <c r="THV22" s="41"/>
      <c r="THW22" s="28"/>
      <c r="THX22" s="29"/>
      <c r="THY22" s="24"/>
      <c r="THZ22" s="13"/>
      <c r="TIA22" s="13"/>
      <c r="TIB22" s="14"/>
      <c r="TIC22" s="15"/>
      <c r="TID22" s="15"/>
      <c r="TIE22" s="16"/>
      <c r="TIF22" s="41"/>
      <c r="TIG22" s="41"/>
      <c r="TIH22" s="28"/>
      <c r="TII22" s="29"/>
      <c r="TIJ22" s="24"/>
      <c r="TIK22" s="13"/>
      <c r="TIL22" s="13"/>
      <c r="TIM22" s="14"/>
      <c r="TIN22" s="15"/>
      <c r="TIO22" s="15"/>
      <c r="TIP22" s="16"/>
      <c r="TIQ22" s="41"/>
      <c r="TIR22" s="41"/>
      <c r="TIS22" s="28"/>
      <c r="TIT22" s="29"/>
      <c r="TIU22" s="24"/>
      <c r="TIV22" s="13"/>
      <c r="TIW22" s="13"/>
      <c r="TIX22" s="14"/>
      <c r="TIY22" s="15"/>
      <c r="TIZ22" s="15"/>
      <c r="TJA22" s="16"/>
      <c r="TJB22" s="41"/>
      <c r="TJC22" s="41"/>
      <c r="TJD22" s="28"/>
      <c r="TJE22" s="29"/>
      <c r="TJF22" s="24"/>
      <c r="TJG22" s="13"/>
      <c r="TJH22" s="13"/>
      <c r="TJI22" s="14"/>
      <c r="TJJ22" s="15"/>
      <c r="TJK22" s="15"/>
      <c r="TJL22" s="16"/>
      <c r="TJM22" s="41"/>
      <c r="TJN22" s="41"/>
      <c r="TJO22" s="28"/>
      <c r="TJP22" s="29"/>
      <c r="TJQ22" s="24"/>
      <c r="TJR22" s="13"/>
      <c r="TJS22" s="13"/>
      <c r="TJT22" s="14"/>
      <c r="TJU22" s="15"/>
      <c r="TJV22" s="15"/>
      <c r="TJW22" s="16"/>
      <c r="TJX22" s="41"/>
      <c r="TJY22" s="41"/>
      <c r="TJZ22" s="28"/>
      <c r="TKA22" s="29"/>
      <c r="TKB22" s="24"/>
      <c r="TKC22" s="13"/>
      <c r="TKD22" s="13"/>
      <c r="TKE22" s="14"/>
      <c r="TKF22" s="15"/>
      <c r="TKG22" s="15"/>
      <c r="TKH22" s="16"/>
      <c r="TKI22" s="41"/>
      <c r="TKJ22" s="41"/>
      <c r="TKK22" s="28"/>
      <c r="TKL22" s="29"/>
      <c r="TKM22" s="24"/>
      <c r="TKN22" s="13"/>
      <c r="TKO22" s="13"/>
      <c r="TKP22" s="14"/>
      <c r="TKQ22" s="15"/>
      <c r="TKR22" s="15"/>
      <c r="TKS22" s="16"/>
      <c r="TKT22" s="41"/>
      <c r="TKU22" s="41"/>
      <c r="TKV22" s="28"/>
      <c r="TKW22" s="29"/>
      <c r="TKX22" s="24"/>
      <c r="TKY22" s="13"/>
      <c r="TKZ22" s="13"/>
      <c r="TLA22" s="14"/>
      <c r="TLB22" s="15"/>
      <c r="TLC22" s="15"/>
      <c r="TLD22" s="16"/>
      <c r="TLE22" s="41"/>
      <c r="TLF22" s="41"/>
      <c r="TLG22" s="28"/>
      <c r="TLH22" s="29"/>
      <c r="TLI22" s="24"/>
      <c r="TLJ22" s="13"/>
      <c r="TLK22" s="13"/>
      <c r="TLL22" s="14"/>
      <c r="TLM22" s="15"/>
      <c r="TLN22" s="15"/>
      <c r="TLO22" s="16"/>
      <c r="TLP22" s="41"/>
      <c r="TLQ22" s="41"/>
      <c r="TLR22" s="28"/>
      <c r="TLS22" s="29"/>
      <c r="TLT22" s="24"/>
      <c r="TLU22" s="13"/>
      <c r="TLV22" s="13"/>
      <c r="TLW22" s="14"/>
      <c r="TLX22" s="15"/>
      <c r="TLY22" s="15"/>
      <c r="TLZ22" s="16"/>
      <c r="TMA22" s="41"/>
      <c r="TMB22" s="41"/>
      <c r="TMC22" s="28"/>
      <c r="TMD22" s="29"/>
      <c r="TME22" s="24"/>
      <c r="TMF22" s="13"/>
      <c r="TMG22" s="13"/>
      <c r="TMH22" s="14"/>
      <c r="TMI22" s="15"/>
      <c r="TMJ22" s="15"/>
      <c r="TMK22" s="16"/>
      <c r="TML22" s="41"/>
      <c r="TMM22" s="41"/>
      <c r="TMN22" s="28"/>
      <c r="TMO22" s="29"/>
      <c r="TMP22" s="24"/>
      <c r="TMQ22" s="13"/>
      <c r="TMR22" s="13"/>
      <c r="TMS22" s="14"/>
      <c r="TMT22" s="15"/>
      <c r="TMU22" s="15"/>
      <c r="TMV22" s="16"/>
      <c r="TMW22" s="41"/>
      <c r="TMX22" s="41"/>
      <c r="TMY22" s="28"/>
      <c r="TMZ22" s="29"/>
      <c r="TNA22" s="24"/>
      <c r="TNB22" s="13"/>
      <c r="TNC22" s="13"/>
      <c r="TND22" s="14"/>
      <c r="TNE22" s="15"/>
      <c r="TNF22" s="15"/>
      <c r="TNG22" s="16"/>
      <c r="TNH22" s="41"/>
      <c r="TNI22" s="41"/>
      <c r="TNJ22" s="28"/>
      <c r="TNK22" s="29"/>
      <c r="TNL22" s="24"/>
      <c r="TNM22" s="13"/>
      <c r="TNN22" s="13"/>
      <c r="TNO22" s="14"/>
      <c r="TNP22" s="15"/>
      <c r="TNQ22" s="15"/>
      <c r="TNR22" s="16"/>
      <c r="TNS22" s="41"/>
      <c r="TNT22" s="41"/>
      <c r="TNU22" s="28"/>
      <c r="TNV22" s="29"/>
      <c r="TNW22" s="24"/>
      <c r="TNX22" s="13"/>
      <c r="TNY22" s="13"/>
      <c r="TNZ22" s="14"/>
      <c r="TOA22" s="15"/>
      <c r="TOB22" s="15"/>
      <c r="TOC22" s="16"/>
      <c r="TOD22" s="41"/>
      <c r="TOE22" s="41"/>
      <c r="TOF22" s="28"/>
      <c r="TOG22" s="29"/>
      <c r="TOH22" s="24"/>
      <c r="TOI22" s="13"/>
      <c r="TOJ22" s="13"/>
      <c r="TOK22" s="14"/>
      <c r="TOL22" s="15"/>
      <c r="TOM22" s="15"/>
      <c r="TON22" s="16"/>
      <c r="TOO22" s="41"/>
      <c r="TOP22" s="41"/>
      <c r="TOQ22" s="28"/>
      <c r="TOR22" s="29"/>
      <c r="TOS22" s="24"/>
      <c r="TOT22" s="13"/>
      <c r="TOU22" s="13"/>
      <c r="TOV22" s="14"/>
      <c r="TOW22" s="15"/>
      <c r="TOX22" s="15"/>
      <c r="TOY22" s="16"/>
      <c r="TOZ22" s="41"/>
      <c r="TPA22" s="41"/>
      <c r="TPB22" s="28"/>
      <c r="TPC22" s="29"/>
      <c r="TPD22" s="24"/>
      <c r="TPE22" s="13"/>
      <c r="TPF22" s="13"/>
      <c r="TPG22" s="14"/>
      <c r="TPH22" s="15"/>
      <c r="TPI22" s="15"/>
      <c r="TPJ22" s="16"/>
      <c r="TPK22" s="41"/>
      <c r="TPL22" s="41"/>
      <c r="TPM22" s="28"/>
      <c r="TPN22" s="29"/>
      <c r="TPO22" s="24"/>
      <c r="TPP22" s="13"/>
      <c r="TPQ22" s="13"/>
      <c r="TPR22" s="14"/>
      <c r="TPS22" s="15"/>
      <c r="TPT22" s="15"/>
      <c r="TPU22" s="16"/>
      <c r="TPV22" s="41"/>
      <c r="TPW22" s="41"/>
      <c r="TPX22" s="28"/>
      <c r="TPY22" s="29"/>
      <c r="TPZ22" s="24"/>
      <c r="TQA22" s="13"/>
      <c r="TQB22" s="13"/>
      <c r="TQC22" s="14"/>
      <c r="TQD22" s="15"/>
      <c r="TQE22" s="15"/>
      <c r="TQF22" s="16"/>
      <c r="TQG22" s="41"/>
      <c r="TQH22" s="41"/>
      <c r="TQI22" s="28"/>
      <c r="TQJ22" s="29"/>
      <c r="TQK22" s="24"/>
      <c r="TQL22" s="13"/>
      <c r="TQM22" s="13"/>
      <c r="TQN22" s="14"/>
      <c r="TQO22" s="15"/>
      <c r="TQP22" s="15"/>
      <c r="TQQ22" s="16"/>
      <c r="TQR22" s="41"/>
      <c r="TQS22" s="41"/>
      <c r="TQT22" s="28"/>
      <c r="TQU22" s="29"/>
      <c r="TQV22" s="24"/>
      <c r="TQW22" s="13"/>
      <c r="TQX22" s="13"/>
      <c r="TQY22" s="14"/>
      <c r="TQZ22" s="15"/>
      <c r="TRA22" s="15"/>
      <c r="TRB22" s="16"/>
      <c r="TRC22" s="41"/>
      <c r="TRD22" s="41"/>
      <c r="TRE22" s="28"/>
      <c r="TRF22" s="29"/>
      <c r="TRG22" s="24"/>
      <c r="TRH22" s="13"/>
      <c r="TRI22" s="13"/>
      <c r="TRJ22" s="14"/>
      <c r="TRK22" s="15"/>
      <c r="TRL22" s="15"/>
      <c r="TRM22" s="16"/>
      <c r="TRN22" s="41"/>
      <c r="TRO22" s="41"/>
      <c r="TRP22" s="28"/>
      <c r="TRQ22" s="29"/>
      <c r="TRR22" s="24"/>
      <c r="TRS22" s="13"/>
      <c r="TRT22" s="13"/>
      <c r="TRU22" s="14"/>
      <c r="TRV22" s="15"/>
      <c r="TRW22" s="15"/>
      <c r="TRX22" s="16"/>
      <c r="TRY22" s="41"/>
      <c r="TRZ22" s="41"/>
      <c r="TSA22" s="28"/>
      <c r="TSB22" s="29"/>
      <c r="TSC22" s="24"/>
      <c r="TSD22" s="13"/>
      <c r="TSE22" s="13"/>
      <c r="TSF22" s="14"/>
      <c r="TSG22" s="15"/>
      <c r="TSH22" s="15"/>
      <c r="TSI22" s="16"/>
      <c r="TSJ22" s="41"/>
      <c r="TSK22" s="41"/>
      <c r="TSL22" s="28"/>
      <c r="TSM22" s="29"/>
      <c r="TSN22" s="24"/>
      <c r="TSO22" s="13"/>
      <c r="TSP22" s="13"/>
      <c r="TSQ22" s="14"/>
      <c r="TSR22" s="15"/>
      <c r="TSS22" s="15"/>
      <c r="TST22" s="16"/>
      <c r="TSU22" s="41"/>
      <c r="TSV22" s="41"/>
      <c r="TSW22" s="28"/>
      <c r="TSX22" s="29"/>
      <c r="TSY22" s="24"/>
      <c r="TSZ22" s="13"/>
      <c r="TTA22" s="13"/>
      <c r="TTB22" s="14"/>
      <c r="TTC22" s="15"/>
      <c r="TTD22" s="15"/>
      <c r="TTE22" s="16"/>
      <c r="TTF22" s="41"/>
      <c r="TTG22" s="41"/>
      <c r="TTH22" s="28"/>
      <c r="TTI22" s="29"/>
      <c r="TTJ22" s="24"/>
      <c r="TTK22" s="13"/>
      <c r="TTL22" s="13"/>
      <c r="TTM22" s="14"/>
      <c r="TTN22" s="15"/>
      <c r="TTO22" s="15"/>
      <c r="TTP22" s="16"/>
      <c r="TTQ22" s="41"/>
      <c r="TTR22" s="41"/>
      <c r="TTS22" s="28"/>
      <c r="TTT22" s="29"/>
      <c r="TTU22" s="24"/>
      <c r="TTV22" s="13"/>
      <c r="TTW22" s="13"/>
      <c r="TTX22" s="14"/>
      <c r="TTY22" s="15"/>
      <c r="TTZ22" s="15"/>
      <c r="TUA22" s="16"/>
      <c r="TUB22" s="41"/>
      <c r="TUC22" s="41"/>
      <c r="TUD22" s="28"/>
      <c r="TUE22" s="29"/>
      <c r="TUF22" s="24"/>
      <c r="TUG22" s="13"/>
      <c r="TUH22" s="13"/>
      <c r="TUI22" s="14"/>
      <c r="TUJ22" s="15"/>
      <c r="TUK22" s="15"/>
      <c r="TUL22" s="16"/>
      <c r="TUM22" s="41"/>
      <c r="TUN22" s="41"/>
      <c r="TUO22" s="28"/>
      <c r="TUP22" s="29"/>
      <c r="TUQ22" s="24"/>
      <c r="TUR22" s="13"/>
      <c r="TUS22" s="13"/>
      <c r="TUT22" s="14"/>
      <c r="TUU22" s="15"/>
      <c r="TUV22" s="15"/>
      <c r="TUW22" s="16"/>
      <c r="TUX22" s="41"/>
      <c r="TUY22" s="41"/>
      <c r="TUZ22" s="28"/>
      <c r="TVA22" s="29"/>
      <c r="TVB22" s="24"/>
      <c r="TVC22" s="13"/>
      <c r="TVD22" s="13"/>
      <c r="TVE22" s="14"/>
      <c r="TVF22" s="15"/>
      <c r="TVG22" s="15"/>
      <c r="TVH22" s="16"/>
      <c r="TVI22" s="41"/>
      <c r="TVJ22" s="41"/>
      <c r="TVK22" s="28"/>
      <c r="TVL22" s="29"/>
      <c r="TVM22" s="24"/>
      <c r="TVN22" s="13"/>
      <c r="TVO22" s="13"/>
      <c r="TVP22" s="14"/>
      <c r="TVQ22" s="15"/>
      <c r="TVR22" s="15"/>
      <c r="TVS22" s="16"/>
      <c r="TVT22" s="41"/>
      <c r="TVU22" s="41"/>
      <c r="TVV22" s="28"/>
      <c r="TVW22" s="29"/>
      <c r="TVX22" s="24"/>
      <c r="TVY22" s="13"/>
      <c r="TVZ22" s="13"/>
      <c r="TWA22" s="14"/>
      <c r="TWB22" s="15"/>
      <c r="TWC22" s="15"/>
      <c r="TWD22" s="16"/>
      <c r="TWE22" s="41"/>
      <c r="TWF22" s="41"/>
      <c r="TWG22" s="28"/>
      <c r="TWH22" s="29"/>
      <c r="TWI22" s="24"/>
      <c r="TWJ22" s="13"/>
      <c r="TWK22" s="13"/>
      <c r="TWL22" s="14"/>
      <c r="TWM22" s="15"/>
      <c r="TWN22" s="15"/>
      <c r="TWO22" s="16"/>
      <c r="TWP22" s="41"/>
      <c r="TWQ22" s="41"/>
      <c r="TWR22" s="28"/>
      <c r="TWS22" s="29"/>
      <c r="TWT22" s="24"/>
      <c r="TWU22" s="13"/>
      <c r="TWV22" s="13"/>
      <c r="TWW22" s="14"/>
      <c r="TWX22" s="15"/>
      <c r="TWY22" s="15"/>
      <c r="TWZ22" s="16"/>
      <c r="TXA22" s="41"/>
      <c r="TXB22" s="41"/>
      <c r="TXC22" s="28"/>
      <c r="TXD22" s="29"/>
      <c r="TXE22" s="24"/>
      <c r="TXF22" s="13"/>
      <c r="TXG22" s="13"/>
      <c r="TXH22" s="14"/>
      <c r="TXI22" s="15"/>
      <c r="TXJ22" s="15"/>
      <c r="TXK22" s="16"/>
      <c r="TXL22" s="41"/>
      <c r="TXM22" s="41"/>
      <c r="TXN22" s="28"/>
      <c r="TXO22" s="29"/>
      <c r="TXP22" s="24"/>
      <c r="TXQ22" s="13"/>
      <c r="TXR22" s="13"/>
      <c r="TXS22" s="14"/>
      <c r="TXT22" s="15"/>
      <c r="TXU22" s="15"/>
      <c r="TXV22" s="16"/>
      <c r="TXW22" s="41"/>
      <c r="TXX22" s="41"/>
      <c r="TXY22" s="28"/>
      <c r="TXZ22" s="29"/>
      <c r="TYA22" s="24"/>
      <c r="TYB22" s="13"/>
      <c r="TYC22" s="13"/>
      <c r="TYD22" s="14"/>
      <c r="TYE22" s="15"/>
      <c r="TYF22" s="15"/>
      <c r="TYG22" s="16"/>
      <c r="TYH22" s="41"/>
      <c r="TYI22" s="41"/>
      <c r="TYJ22" s="28"/>
      <c r="TYK22" s="29"/>
      <c r="TYL22" s="24"/>
      <c r="TYM22" s="13"/>
      <c r="TYN22" s="13"/>
      <c r="TYO22" s="14"/>
      <c r="TYP22" s="15"/>
      <c r="TYQ22" s="15"/>
      <c r="TYR22" s="16"/>
      <c r="TYS22" s="41"/>
      <c r="TYT22" s="41"/>
      <c r="TYU22" s="28"/>
      <c r="TYV22" s="29"/>
      <c r="TYW22" s="24"/>
      <c r="TYX22" s="13"/>
      <c r="TYY22" s="13"/>
      <c r="TYZ22" s="14"/>
      <c r="TZA22" s="15"/>
      <c r="TZB22" s="15"/>
      <c r="TZC22" s="16"/>
      <c r="TZD22" s="41"/>
      <c r="TZE22" s="41"/>
      <c r="TZF22" s="28"/>
      <c r="TZG22" s="29"/>
      <c r="TZH22" s="24"/>
      <c r="TZI22" s="13"/>
      <c r="TZJ22" s="13"/>
      <c r="TZK22" s="14"/>
      <c r="TZL22" s="15"/>
      <c r="TZM22" s="15"/>
      <c r="TZN22" s="16"/>
      <c r="TZO22" s="41"/>
      <c r="TZP22" s="41"/>
      <c r="TZQ22" s="28"/>
      <c r="TZR22" s="29"/>
      <c r="TZS22" s="24"/>
      <c r="TZT22" s="13"/>
      <c r="TZU22" s="13"/>
      <c r="TZV22" s="14"/>
      <c r="TZW22" s="15"/>
      <c r="TZX22" s="15"/>
      <c r="TZY22" s="16"/>
      <c r="TZZ22" s="41"/>
      <c r="UAA22" s="41"/>
      <c r="UAB22" s="28"/>
      <c r="UAC22" s="29"/>
      <c r="UAD22" s="24"/>
      <c r="UAE22" s="13"/>
      <c r="UAF22" s="13"/>
      <c r="UAG22" s="14"/>
      <c r="UAH22" s="15"/>
      <c r="UAI22" s="15"/>
      <c r="UAJ22" s="16"/>
      <c r="UAK22" s="41"/>
      <c r="UAL22" s="41"/>
      <c r="UAM22" s="28"/>
      <c r="UAN22" s="29"/>
      <c r="UAO22" s="24"/>
      <c r="UAP22" s="13"/>
      <c r="UAQ22" s="13"/>
      <c r="UAR22" s="14"/>
      <c r="UAS22" s="15"/>
      <c r="UAT22" s="15"/>
      <c r="UAU22" s="16"/>
      <c r="UAV22" s="41"/>
      <c r="UAW22" s="41"/>
      <c r="UAX22" s="28"/>
      <c r="UAY22" s="29"/>
      <c r="UAZ22" s="24"/>
      <c r="UBA22" s="13"/>
      <c r="UBB22" s="13"/>
      <c r="UBC22" s="14"/>
      <c r="UBD22" s="15"/>
      <c r="UBE22" s="15"/>
      <c r="UBF22" s="16"/>
      <c r="UBG22" s="41"/>
      <c r="UBH22" s="41"/>
      <c r="UBI22" s="28"/>
      <c r="UBJ22" s="29"/>
      <c r="UBK22" s="24"/>
      <c r="UBL22" s="13"/>
      <c r="UBM22" s="13"/>
      <c r="UBN22" s="14"/>
      <c r="UBO22" s="15"/>
      <c r="UBP22" s="15"/>
      <c r="UBQ22" s="16"/>
      <c r="UBR22" s="41"/>
      <c r="UBS22" s="41"/>
      <c r="UBT22" s="28"/>
      <c r="UBU22" s="29"/>
      <c r="UBV22" s="24"/>
      <c r="UBW22" s="13"/>
      <c r="UBX22" s="13"/>
      <c r="UBY22" s="14"/>
      <c r="UBZ22" s="15"/>
      <c r="UCA22" s="15"/>
      <c r="UCB22" s="16"/>
      <c r="UCC22" s="41"/>
      <c r="UCD22" s="41"/>
      <c r="UCE22" s="28"/>
      <c r="UCF22" s="29"/>
      <c r="UCG22" s="24"/>
      <c r="UCH22" s="13"/>
      <c r="UCI22" s="13"/>
      <c r="UCJ22" s="14"/>
      <c r="UCK22" s="15"/>
      <c r="UCL22" s="15"/>
      <c r="UCM22" s="16"/>
      <c r="UCN22" s="41"/>
      <c r="UCO22" s="41"/>
      <c r="UCP22" s="28"/>
      <c r="UCQ22" s="29"/>
      <c r="UCR22" s="24"/>
      <c r="UCS22" s="13"/>
      <c r="UCT22" s="13"/>
      <c r="UCU22" s="14"/>
      <c r="UCV22" s="15"/>
      <c r="UCW22" s="15"/>
      <c r="UCX22" s="16"/>
      <c r="UCY22" s="41"/>
      <c r="UCZ22" s="41"/>
      <c r="UDA22" s="28"/>
      <c r="UDB22" s="29"/>
      <c r="UDC22" s="24"/>
      <c r="UDD22" s="13"/>
      <c r="UDE22" s="13"/>
      <c r="UDF22" s="14"/>
      <c r="UDG22" s="15"/>
      <c r="UDH22" s="15"/>
      <c r="UDI22" s="16"/>
      <c r="UDJ22" s="41"/>
      <c r="UDK22" s="41"/>
      <c r="UDL22" s="28"/>
      <c r="UDM22" s="29"/>
      <c r="UDN22" s="24"/>
      <c r="UDO22" s="13"/>
      <c r="UDP22" s="13"/>
      <c r="UDQ22" s="14"/>
      <c r="UDR22" s="15"/>
      <c r="UDS22" s="15"/>
      <c r="UDT22" s="16"/>
      <c r="UDU22" s="41"/>
      <c r="UDV22" s="41"/>
      <c r="UDW22" s="28"/>
      <c r="UDX22" s="29"/>
      <c r="UDY22" s="24"/>
      <c r="UDZ22" s="13"/>
      <c r="UEA22" s="13"/>
      <c r="UEB22" s="14"/>
      <c r="UEC22" s="15"/>
      <c r="UED22" s="15"/>
      <c r="UEE22" s="16"/>
      <c r="UEF22" s="41"/>
      <c r="UEG22" s="41"/>
      <c r="UEH22" s="28"/>
      <c r="UEI22" s="29"/>
      <c r="UEJ22" s="24"/>
      <c r="UEK22" s="13"/>
      <c r="UEL22" s="13"/>
      <c r="UEM22" s="14"/>
      <c r="UEN22" s="15"/>
      <c r="UEO22" s="15"/>
      <c r="UEP22" s="16"/>
      <c r="UEQ22" s="41"/>
      <c r="UER22" s="41"/>
      <c r="UES22" s="28"/>
      <c r="UET22" s="29"/>
      <c r="UEU22" s="24"/>
      <c r="UEV22" s="13"/>
      <c r="UEW22" s="13"/>
      <c r="UEX22" s="14"/>
      <c r="UEY22" s="15"/>
      <c r="UEZ22" s="15"/>
      <c r="UFA22" s="16"/>
      <c r="UFB22" s="41"/>
      <c r="UFC22" s="41"/>
      <c r="UFD22" s="28"/>
      <c r="UFE22" s="29"/>
      <c r="UFF22" s="24"/>
      <c r="UFG22" s="13"/>
      <c r="UFH22" s="13"/>
      <c r="UFI22" s="14"/>
      <c r="UFJ22" s="15"/>
      <c r="UFK22" s="15"/>
      <c r="UFL22" s="16"/>
      <c r="UFM22" s="41"/>
      <c r="UFN22" s="41"/>
      <c r="UFO22" s="28"/>
      <c r="UFP22" s="29"/>
      <c r="UFQ22" s="24"/>
      <c r="UFR22" s="13"/>
      <c r="UFS22" s="13"/>
      <c r="UFT22" s="14"/>
      <c r="UFU22" s="15"/>
      <c r="UFV22" s="15"/>
      <c r="UFW22" s="16"/>
      <c r="UFX22" s="41"/>
      <c r="UFY22" s="41"/>
      <c r="UFZ22" s="28"/>
      <c r="UGA22" s="29"/>
      <c r="UGB22" s="24"/>
      <c r="UGC22" s="13"/>
      <c r="UGD22" s="13"/>
      <c r="UGE22" s="14"/>
      <c r="UGF22" s="15"/>
      <c r="UGG22" s="15"/>
      <c r="UGH22" s="16"/>
      <c r="UGI22" s="41"/>
      <c r="UGJ22" s="41"/>
      <c r="UGK22" s="28"/>
      <c r="UGL22" s="29"/>
      <c r="UGM22" s="24"/>
      <c r="UGN22" s="13"/>
      <c r="UGO22" s="13"/>
      <c r="UGP22" s="14"/>
      <c r="UGQ22" s="15"/>
      <c r="UGR22" s="15"/>
      <c r="UGS22" s="16"/>
      <c r="UGT22" s="41"/>
      <c r="UGU22" s="41"/>
      <c r="UGV22" s="28"/>
      <c r="UGW22" s="29"/>
      <c r="UGX22" s="24"/>
      <c r="UGY22" s="13"/>
      <c r="UGZ22" s="13"/>
      <c r="UHA22" s="14"/>
      <c r="UHB22" s="15"/>
      <c r="UHC22" s="15"/>
      <c r="UHD22" s="16"/>
      <c r="UHE22" s="41"/>
      <c r="UHF22" s="41"/>
      <c r="UHG22" s="28"/>
      <c r="UHH22" s="29"/>
      <c r="UHI22" s="24"/>
      <c r="UHJ22" s="13"/>
      <c r="UHK22" s="13"/>
      <c r="UHL22" s="14"/>
      <c r="UHM22" s="15"/>
      <c r="UHN22" s="15"/>
      <c r="UHO22" s="16"/>
      <c r="UHP22" s="41"/>
      <c r="UHQ22" s="41"/>
      <c r="UHR22" s="28"/>
      <c r="UHS22" s="29"/>
      <c r="UHT22" s="24"/>
      <c r="UHU22" s="13"/>
      <c r="UHV22" s="13"/>
      <c r="UHW22" s="14"/>
      <c r="UHX22" s="15"/>
      <c r="UHY22" s="15"/>
      <c r="UHZ22" s="16"/>
      <c r="UIA22" s="41"/>
      <c r="UIB22" s="41"/>
      <c r="UIC22" s="28"/>
      <c r="UID22" s="29"/>
      <c r="UIE22" s="24"/>
      <c r="UIF22" s="13"/>
      <c r="UIG22" s="13"/>
      <c r="UIH22" s="14"/>
      <c r="UII22" s="15"/>
      <c r="UIJ22" s="15"/>
      <c r="UIK22" s="16"/>
      <c r="UIL22" s="41"/>
      <c r="UIM22" s="41"/>
      <c r="UIN22" s="28"/>
      <c r="UIO22" s="29"/>
      <c r="UIP22" s="24"/>
      <c r="UIQ22" s="13"/>
      <c r="UIR22" s="13"/>
      <c r="UIS22" s="14"/>
      <c r="UIT22" s="15"/>
      <c r="UIU22" s="15"/>
      <c r="UIV22" s="16"/>
      <c r="UIW22" s="41"/>
      <c r="UIX22" s="41"/>
      <c r="UIY22" s="28"/>
      <c r="UIZ22" s="29"/>
      <c r="UJA22" s="24"/>
      <c r="UJB22" s="13"/>
      <c r="UJC22" s="13"/>
      <c r="UJD22" s="14"/>
      <c r="UJE22" s="15"/>
      <c r="UJF22" s="15"/>
      <c r="UJG22" s="16"/>
      <c r="UJH22" s="41"/>
      <c r="UJI22" s="41"/>
      <c r="UJJ22" s="28"/>
      <c r="UJK22" s="29"/>
      <c r="UJL22" s="24"/>
      <c r="UJM22" s="13"/>
      <c r="UJN22" s="13"/>
      <c r="UJO22" s="14"/>
      <c r="UJP22" s="15"/>
      <c r="UJQ22" s="15"/>
      <c r="UJR22" s="16"/>
      <c r="UJS22" s="41"/>
      <c r="UJT22" s="41"/>
      <c r="UJU22" s="28"/>
      <c r="UJV22" s="29"/>
      <c r="UJW22" s="24"/>
      <c r="UJX22" s="13"/>
      <c r="UJY22" s="13"/>
      <c r="UJZ22" s="14"/>
      <c r="UKA22" s="15"/>
      <c r="UKB22" s="15"/>
      <c r="UKC22" s="16"/>
      <c r="UKD22" s="41"/>
      <c r="UKE22" s="41"/>
      <c r="UKF22" s="28"/>
      <c r="UKG22" s="29"/>
      <c r="UKH22" s="24"/>
      <c r="UKI22" s="13"/>
      <c r="UKJ22" s="13"/>
      <c r="UKK22" s="14"/>
      <c r="UKL22" s="15"/>
      <c r="UKM22" s="15"/>
      <c r="UKN22" s="16"/>
      <c r="UKO22" s="41"/>
      <c r="UKP22" s="41"/>
      <c r="UKQ22" s="28"/>
      <c r="UKR22" s="29"/>
      <c r="UKS22" s="24"/>
      <c r="UKT22" s="13"/>
      <c r="UKU22" s="13"/>
      <c r="UKV22" s="14"/>
      <c r="UKW22" s="15"/>
      <c r="UKX22" s="15"/>
      <c r="UKY22" s="16"/>
      <c r="UKZ22" s="41"/>
      <c r="ULA22" s="41"/>
      <c r="ULB22" s="28"/>
      <c r="ULC22" s="29"/>
      <c r="ULD22" s="24"/>
      <c r="ULE22" s="13"/>
      <c r="ULF22" s="13"/>
      <c r="ULG22" s="14"/>
      <c r="ULH22" s="15"/>
      <c r="ULI22" s="15"/>
      <c r="ULJ22" s="16"/>
      <c r="ULK22" s="41"/>
      <c r="ULL22" s="41"/>
      <c r="ULM22" s="28"/>
      <c r="ULN22" s="29"/>
      <c r="ULO22" s="24"/>
      <c r="ULP22" s="13"/>
      <c r="ULQ22" s="13"/>
      <c r="ULR22" s="14"/>
      <c r="ULS22" s="15"/>
      <c r="ULT22" s="15"/>
      <c r="ULU22" s="16"/>
      <c r="ULV22" s="41"/>
      <c r="ULW22" s="41"/>
      <c r="ULX22" s="28"/>
      <c r="ULY22" s="29"/>
      <c r="ULZ22" s="24"/>
      <c r="UMA22" s="13"/>
      <c r="UMB22" s="13"/>
      <c r="UMC22" s="14"/>
      <c r="UMD22" s="15"/>
      <c r="UME22" s="15"/>
      <c r="UMF22" s="16"/>
      <c r="UMG22" s="41"/>
      <c r="UMH22" s="41"/>
      <c r="UMI22" s="28"/>
      <c r="UMJ22" s="29"/>
      <c r="UMK22" s="24"/>
      <c r="UML22" s="13"/>
      <c r="UMM22" s="13"/>
      <c r="UMN22" s="14"/>
      <c r="UMO22" s="15"/>
      <c r="UMP22" s="15"/>
      <c r="UMQ22" s="16"/>
      <c r="UMR22" s="41"/>
      <c r="UMS22" s="41"/>
      <c r="UMT22" s="28"/>
      <c r="UMU22" s="29"/>
      <c r="UMV22" s="24"/>
      <c r="UMW22" s="13"/>
      <c r="UMX22" s="13"/>
      <c r="UMY22" s="14"/>
      <c r="UMZ22" s="15"/>
      <c r="UNA22" s="15"/>
      <c r="UNB22" s="16"/>
      <c r="UNC22" s="41"/>
      <c r="UND22" s="41"/>
      <c r="UNE22" s="28"/>
      <c r="UNF22" s="29"/>
      <c r="UNG22" s="24"/>
      <c r="UNH22" s="13"/>
      <c r="UNI22" s="13"/>
      <c r="UNJ22" s="14"/>
      <c r="UNK22" s="15"/>
      <c r="UNL22" s="15"/>
      <c r="UNM22" s="16"/>
      <c r="UNN22" s="41"/>
      <c r="UNO22" s="41"/>
      <c r="UNP22" s="28"/>
      <c r="UNQ22" s="29"/>
      <c r="UNR22" s="24"/>
      <c r="UNS22" s="13"/>
      <c r="UNT22" s="13"/>
      <c r="UNU22" s="14"/>
      <c r="UNV22" s="15"/>
      <c r="UNW22" s="15"/>
      <c r="UNX22" s="16"/>
      <c r="UNY22" s="41"/>
      <c r="UNZ22" s="41"/>
      <c r="UOA22" s="28"/>
      <c r="UOB22" s="29"/>
      <c r="UOC22" s="24"/>
      <c r="UOD22" s="13"/>
      <c r="UOE22" s="13"/>
      <c r="UOF22" s="14"/>
      <c r="UOG22" s="15"/>
      <c r="UOH22" s="15"/>
      <c r="UOI22" s="16"/>
      <c r="UOJ22" s="41"/>
      <c r="UOK22" s="41"/>
      <c r="UOL22" s="28"/>
      <c r="UOM22" s="29"/>
      <c r="UON22" s="24"/>
      <c r="UOO22" s="13"/>
      <c r="UOP22" s="13"/>
      <c r="UOQ22" s="14"/>
      <c r="UOR22" s="15"/>
      <c r="UOS22" s="15"/>
      <c r="UOT22" s="16"/>
      <c r="UOU22" s="41"/>
      <c r="UOV22" s="41"/>
      <c r="UOW22" s="28"/>
      <c r="UOX22" s="29"/>
      <c r="UOY22" s="24"/>
      <c r="UOZ22" s="13"/>
      <c r="UPA22" s="13"/>
      <c r="UPB22" s="14"/>
      <c r="UPC22" s="15"/>
      <c r="UPD22" s="15"/>
      <c r="UPE22" s="16"/>
      <c r="UPF22" s="41"/>
      <c r="UPG22" s="41"/>
      <c r="UPH22" s="28"/>
      <c r="UPI22" s="29"/>
      <c r="UPJ22" s="24"/>
      <c r="UPK22" s="13"/>
      <c r="UPL22" s="13"/>
      <c r="UPM22" s="14"/>
      <c r="UPN22" s="15"/>
      <c r="UPO22" s="15"/>
      <c r="UPP22" s="16"/>
      <c r="UPQ22" s="41"/>
      <c r="UPR22" s="41"/>
      <c r="UPS22" s="28"/>
      <c r="UPT22" s="29"/>
      <c r="UPU22" s="24"/>
      <c r="UPV22" s="13"/>
      <c r="UPW22" s="13"/>
      <c r="UPX22" s="14"/>
      <c r="UPY22" s="15"/>
      <c r="UPZ22" s="15"/>
      <c r="UQA22" s="16"/>
      <c r="UQB22" s="41"/>
      <c r="UQC22" s="41"/>
      <c r="UQD22" s="28"/>
      <c r="UQE22" s="29"/>
      <c r="UQF22" s="24"/>
      <c r="UQG22" s="13"/>
      <c r="UQH22" s="13"/>
      <c r="UQI22" s="14"/>
      <c r="UQJ22" s="15"/>
      <c r="UQK22" s="15"/>
      <c r="UQL22" s="16"/>
      <c r="UQM22" s="41"/>
      <c r="UQN22" s="41"/>
      <c r="UQO22" s="28"/>
      <c r="UQP22" s="29"/>
      <c r="UQQ22" s="24"/>
      <c r="UQR22" s="13"/>
      <c r="UQS22" s="13"/>
      <c r="UQT22" s="14"/>
      <c r="UQU22" s="15"/>
      <c r="UQV22" s="15"/>
      <c r="UQW22" s="16"/>
      <c r="UQX22" s="41"/>
      <c r="UQY22" s="41"/>
      <c r="UQZ22" s="28"/>
      <c r="URA22" s="29"/>
      <c r="URB22" s="24"/>
      <c r="URC22" s="13"/>
      <c r="URD22" s="13"/>
      <c r="URE22" s="14"/>
      <c r="URF22" s="15"/>
      <c r="URG22" s="15"/>
      <c r="URH22" s="16"/>
      <c r="URI22" s="41"/>
      <c r="URJ22" s="41"/>
      <c r="URK22" s="28"/>
      <c r="URL22" s="29"/>
      <c r="URM22" s="24"/>
      <c r="URN22" s="13"/>
      <c r="URO22" s="13"/>
      <c r="URP22" s="14"/>
      <c r="URQ22" s="15"/>
      <c r="URR22" s="15"/>
      <c r="URS22" s="16"/>
      <c r="URT22" s="41"/>
      <c r="URU22" s="41"/>
      <c r="URV22" s="28"/>
      <c r="URW22" s="29"/>
      <c r="URX22" s="24"/>
      <c r="URY22" s="13"/>
      <c r="URZ22" s="13"/>
      <c r="USA22" s="14"/>
      <c r="USB22" s="15"/>
      <c r="USC22" s="15"/>
      <c r="USD22" s="16"/>
      <c r="USE22" s="41"/>
      <c r="USF22" s="41"/>
      <c r="USG22" s="28"/>
      <c r="USH22" s="29"/>
      <c r="USI22" s="24"/>
      <c r="USJ22" s="13"/>
      <c r="USK22" s="13"/>
      <c r="USL22" s="14"/>
      <c r="USM22" s="15"/>
      <c r="USN22" s="15"/>
      <c r="USO22" s="16"/>
      <c r="USP22" s="41"/>
      <c r="USQ22" s="41"/>
      <c r="USR22" s="28"/>
      <c r="USS22" s="29"/>
      <c r="UST22" s="24"/>
      <c r="USU22" s="13"/>
      <c r="USV22" s="13"/>
      <c r="USW22" s="14"/>
      <c r="USX22" s="15"/>
      <c r="USY22" s="15"/>
      <c r="USZ22" s="16"/>
      <c r="UTA22" s="41"/>
      <c r="UTB22" s="41"/>
      <c r="UTC22" s="28"/>
      <c r="UTD22" s="29"/>
      <c r="UTE22" s="24"/>
      <c r="UTF22" s="13"/>
      <c r="UTG22" s="13"/>
      <c r="UTH22" s="14"/>
      <c r="UTI22" s="15"/>
      <c r="UTJ22" s="15"/>
      <c r="UTK22" s="16"/>
      <c r="UTL22" s="41"/>
      <c r="UTM22" s="41"/>
      <c r="UTN22" s="28"/>
      <c r="UTO22" s="29"/>
      <c r="UTP22" s="24"/>
      <c r="UTQ22" s="13"/>
      <c r="UTR22" s="13"/>
      <c r="UTS22" s="14"/>
      <c r="UTT22" s="15"/>
      <c r="UTU22" s="15"/>
      <c r="UTV22" s="16"/>
      <c r="UTW22" s="41"/>
      <c r="UTX22" s="41"/>
      <c r="UTY22" s="28"/>
      <c r="UTZ22" s="29"/>
      <c r="UUA22" s="24"/>
      <c r="UUB22" s="13"/>
      <c r="UUC22" s="13"/>
      <c r="UUD22" s="14"/>
      <c r="UUE22" s="15"/>
      <c r="UUF22" s="15"/>
      <c r="UUG22" s="16"/>
      <c r="UUH22" s="41"/>
      <c r="UUI22" s="41"/>
      <c r="UUJ22" s="28"/>
      <c r="UUK22" s="29"/>
      <c r="UUL22" s="24"/>
      <c r="UUM22" s="13"/>
      <c r="UUN22" s="13"/>
      <c r="UUO22" s="14"/>
      <c r="UUP22" s="15"/>
      <c r="UUQ22" s="15"/>
      <c r="UUR22" s="16"/>
      <c r="UUS22" s="41"/>
      <c r="UUT22" s="41"/>
      <c r="UUU22" s="28"/>
      <c r="UUV22" s="29"/>
      <c r="UUW22" s="24"/>
      <c r="UUX22" s="13"/>
      <c r="UUY22" s="13"/>
      <c r="UUZ22" s="14"/>
      <c r="UVA22" s="15"/>
      <c r="UVB22" s="15"/>
      <c r="UVC22" s="16"/>
      <c r="UVD22" s="41"/>
      <c r="UVE22" s="41"/>
      <c r="UVF22" s="28"/>
      <c r="UVG22" s="29"/>
      <c r="UVH22" s="24"/>
      <c r="UVI22" s="13"/>
      <c r="UVJ22" s="13"/>
      <c r="UVK22" s="14"/>
      <c r="UVL22" s="15"/>
      <c r="UVM22" s="15"/>
      <c r="UVN22" s="16"/>
      <c r="UVO22" s="41"/>
      <c r="UVP22" s="41"/>
      <c r="UVQ22" s="28"/>
      <c r="UVR22" s="29"/>
      <c r="UVS22" s="24"/>
      <c r="UVT22" s="13"/>
      <c r="UVU22" s="13"/>
      <c r="UVV22" s="14"/>
      <c r="UVW22" s="15"/>
      <c r="UVX22" s="15"/>
      <c r="UVY22" s="16"/>
      <c r="UVZ22" s="41"/>
      <c r="UWA22" s="41"/>
      <c r="UWB22" s="28"/>
      <c r="UWC22" s="29"/>
      <c r="UWD22" s="24"/>
      <c r="UWE22" s="13"/>
      <c r="UWF22" s="13"/>
      <c r="UWG22" s="14"/>
      <c r="UWH22" s="15"/>
      <c r="UWI22" s="15"/>
      <c r="UWJ22" s="16"/>
      <c r="UWK22" s="41"/>
      <c r="UWL22" s="41"/>
      <c r="UWM22" s="28"/>
      <c r="UWN22" s="29"/>
      <c r="UWO22" s="24"/>
      <c r="UWP22" s="13"/>
      <c r="UWQ22" s="13"/>
      <c r="UWR22" s="14"/>
      <c r="UWS22" s="15"/>
      <c r="UWT22" s="15"/>
      <c r="UWU22" s="16"/>
      <c r="UWV22" s="41"/>
      <c r="UWW22" s="41"/>
      <c r="UWX22" s="28"/>
      <c r="UWY22" s="29"/>
      <c r="UWZ22" s="24"/>
      <c r="UXA22" s="13"/>
      <c r="UXB22" s="13"/>
      <c r="UXC22" s="14"/>
      <c r="UXD22" s="15"/>
      <c r="UXE22" s="15"/>
      <c r="UXF22" s="16"/>
      <c r="UXG22" s="41"/>
      <c r="UXH22" s="41"/>
      <c r="UXI22" s="28"/>
      <c r="UXJ22" s="29"/>
      <c r="UXK22" s="24"/>
      <c r="UXL22" s="13"/>
      <c r="UXM22" s="13"/>
      <c r="UXN22" s="14"/>
      <c r="UXO22" s="15"/>
      <c r="UXP22" s="15"/>
      <c r="UXQ22" s="16"/>
      <c r="UXR22" s="41"/>
      <c r="UXS22" s="41"/>
      <c r="UXT22" s="28"/>
      <c r="UXU22" s="29"/>
      <c r="UXV22" s="24"/>
      <c r="UXW22" s="13"/>
      <c r="UXX22" s="13"/>
      <c r="UXY22" s="14"/>
      <c r="UXZ22" s="15"/>
      <c r="UYA22" s="15"/>
      <c r="UYB22" s="16"/>
      <c r="UYC22" s="41"/>
      <c r="UYD22" s="41"/>
      <c r="UYE22" s="28"/>
      <c r="UYF22" s="29"/>
      <c r="UYG22" s="24"/>
      <c r="UYH22" s="13"/>
      <c r="UYI22" s="13"/>
      <c r="UYJ22" s="14"/>
      <c r="UYK22" s="15"/>
      <c r="UYL22" s="15"/>
      <c r="UYM22" s="16"/>
      <c r="UYN22" s="41"/>
      <c r="UYO22" s="41"/>
      <c r="UYP22" s="28"/>
      <c r="UYQ22" s="29"/>
      <c r="UYR22" s="24"/>
      <c r="UYS22" s="13"/>
      <c r="UYT22" s="13"/>
      <c r="UYU22" s="14"/>
      <c r="UYV22" s="15"/>
      <c r="UYW22" s="15"/>
      <c r="UYX22" s="16"/>
      <c r="UYY22" s="41"/>
      <c r="UYZ22" s="41"/>
      <c r="UZA22" s="28"/>
      <c r="UZB22" s="29"/>
      <c r="UZC22" s="24"/>
      <c r="UZD22" s="13"/>
      <c r="UZE22" s="13"/>
      <c r="UZF22" s="14"/>
      <c r="UZG22" s="15"/>
      <c r="UZH22" s="15"/>
      <c r="UZI22" s="16"/>
      <c r="UZJ22" s="41"/>
      <c r="UZK22" s="41"/>
      <c r="UZL22" s="28"/>
      <c r="UZM22" s="29"/>
      <c r="UZN22" s="24"/>
      <c r="UZO22" s="13"/>
      <c r="UZP22" s="13"/>
      <c r="UZQ22" s="14"/>
      <c r="UZR22" s="15"/>
      <c r="UZS22" s="15"/>
      <c r="UZT22" s="16"/>
      <c r="UZU22" s="41"/>
      <c r="UZV22" s="41"/>
      <c r="UZW22" s="28"/>
      <c r="UZX22" s="29"/>
      <c r="UZY22" s="24"/>
      <c r="UZZ22" s="13"/>
      <c r="VAA22" s="13"/>
      <c r="VAB22" s="14"/>
      <c r="VAC22" s="15"/>
      <c r="VAD22" s="15"/>
      <c r="VAE22" s="16"/>
      <c r="VAF22" s="41"/>
      <c r="VAG22" s="41"/>
      <c r="VAH22" s="28"/>
      <c r="VAI22" s="29"/>
      <c r="VAJ22" s="24"/>
      <c r="VAK22" s="13"/>
      <c r="VAL22" s="13"/>
      <c r="VAM22" s="14"/>
      <c r="VAN22" s="15"/>
      <c r="VAO22" s="15"/>
      <c r="VAP22" s="16"/>
      <c r="VAQ22" s="41"/>
      <c r="VAR22" s="41"/>
      <c r="VAS22" s="28"/>
      <c r="VAT22" s="29"/>
      <c r="VAU22" s="24"/>
      <c r="VAV22" s="13"/>
      <c r="VAW22" s="13"/>
      <c r="VAX22" s="14"/>
      <c r="VAY22" s="15"/>
      <c r="VAZ22" s="15"/>
      <c r="VBA22" s="16"/>
      <c r="VBB22" s="41"/>
      <c r="VBC22" s="41"/>
      <c r="VBD22" s="28"/>
      <c r="VBE22" s="29"/>
      <c r="VBF22" s="24"/>
      <c r="VBG22" s="13"/>
      <c r="VBH22" s="13"/>
      <c r="VBI22" s="14"/>
      <c r="VBJ22" s="15"/>
      <c r="VBK22" s="15"/>
      <c r="VBL22" s="16"/>
      <c r="VBM22" s="41"/>
      <c r="VBN22" s="41"/>
      <c r="VBO22" s="28"/>
      <c r="VBP22" s="29"/>
      <c r="VBQ22" s="24"/>
      <c r="VBR22" s="13"/>
      <c r="VBS22" s="13"/>
      <c r="VBT22" s="14"/>
      <c r="VBU22" s="15"/>
      <c r="VBV22" s="15"/>
      <c r="VBW22" s="16"/>
      <c r="VBX22" s="41"/>
      <c r="VBY22" s="41"/>
      <c r="VBZ22" s="28"/>
      <c r="VCA22" s="29"/>
      <c r="VCB22" s="24"/>
      <c r="VCC22" s="13"/>
      <c r="VCD22" s="13"/>
      <c r="VCE22" s="14"/>
      <c r="VCF22" s="15"/>
      <c r="VCG22" s="15"/>
      <c r="VCH22" s="16"/>
      <c r="VCI22" s="41"/>
      <c r="VCJ22" s="41"/>
      <c r="VCK22" s="28"/>
      <c r="VCL22" s="29"/>
      <c r="VCM22" s="24"/>
      <c r="VCN22" s="13"/>
      <c r="VCO22" s="13"/>
      <c r="VCP22" s="14"/>
      <c r="VCQ22" s="15"/>
      <c r="VCR22" s="15"/>
      <c r="VCS22" s="16"/>
      <c r="VCT22" s="41"/>
      <c r="VCU22" s="41"/>
      <c r="VCV22" s="28"/>
      <c r="VCW22" s="29"/>
      <c r="VCX22" s="24"/>
      <c r="VCY22" s="13"/>
      <c r="VCZ22" s="13"/>
      <c r="VDA22" s="14"/>
      <c r="VDB22" s="15"/>
      <c r="VDC22" s="15"/>
      <c r="VDD22" s="16"/>
      <c r="VDE22" s="41"/>
      <c r="VDF22" s="41"/>
      <c r="VDG22" s="28"/>
      <c r="VDH22" s="29"/>
      <c r="VDI22" s="24"/>
      <c r="VDJ22" s="13"/>
      <c r="VDK22" s="13"/>
      <c r="VDL22" s="14"/>
      <c r="VDM22" s="15"/>
      <c r="VDN22" s="15"/>
      <c r="VDO22" s="16"/>
      <c r="VDP22" s="41"/>
      <c r="VDQ22" s="41"/>
      <c r="VDR22" s="28"/>
      <c r="VDS22" s="29"/>
      <c r="VDT22" s="24"/>
      <c r="VDU22" s="13"/>
      <c r="VDV22" s="13"/>
      <c r="VDW22" s="14"/>
      <c r="VDX22" s="15"/>
      <c r="VDY22" s="15"/>
      <c r="VDZ22" s="16"/>
      <c r="VEA22" s="41"/>
      <c r="VEB22" s="41"/>
      <c r="VEC22" s="28"/>
      <c r="VED22" s="29"/>
      <c r="VEE22" s="24"/>
      <c r="VEF22" s="13"/>
      <c r="VEG22" s="13"/>
      <c r="VEH22" s="14"/>
      <c r="VEI22" s="15"/>
      <c r="VEJ22" s="15"/>
      <c r="VEK22" s="16"/>
      <c r="VEL22" s="41"/>
      <c r="VEM22" s="41"/>
      <c r="VEN22" s="28"/>
      <c r="VEO22" s="29"/>
      <c r="VEP22" s="24"/>
      <c r="VEQ22" s="13"/>
      <c r="VER22" s="13"/>
      <c r="VES22" s="14"/>
      <c r="VET22" s="15"/>
      <c r="VEU22" s="15"/>
      <c r="VEV22" s="16"/>
      <c r="VEW22" s="41"/>
      <c r="VEX22" s="41"/>
      <c r="VEY22" s="28"/>
      <c r="VEZ22" s="29"/>
      <c r="VFA22" s="24"/>
      <c r="VFB22" s="13"/>
      <c r="VFC22" s="13"/>
      <c r="VFD22" s="14"/>
      <c r="VFE22" s="15"/>
      <c r="VFF22" s="15"/>
      <c r="VFG22" s="16"/>
      <c r="VFH22" s="41"/>
      <c r="VFI22" s="41"/>
      <c r="VFJ22" s="28"/>
      <c r="VFK22" s="29"/>
      <c r="VFL22" s="24"/>
      <c r="VFM22" s="13"/>
      <c r="VFN22" s="13"/>
      <c r="VFO22" s="14"/>
      <c r="VFP22" s="15"/>
      <c r="VFQ22" s="15"/>
      <c r="VFR22" s="16"/>
      <c r="VFS22" s="41"/>
      <c r="VFT22" s="41"/>
      <c r="VFU22" s="28"/>
      <c r="VFV22" s="29"/>
      <c r="VFW22" s="24"/>
      <c r="VFX22" s="13"/>
      <c r="VFY22" s="13"/>
      <c r="VFZ22" s="14"/>
      <c r="VGA22" s="15"/>
      <c r="VGB22" s="15"/>
      <c r="VGC22" s="16"/>
      <c r="VGD22" s="41"/>
      <c r="VGE22" s="41"/>
      <c r="VGF22" s="28"/>
      <c r="VGG22" s="29"/>
      <c r="VGH22" s="24"/>
      <c r="VGI22" s="13"/>
      <c r="VGJ22" s="13"/>
      <c r="VGK22" s="14"/>
      <c r="VGL22" s="15"/>
      <c r="VGM22" s="15"/>
      <c r="VGN22" s="16"/>
      <c r="VGO22" s="41"/>
      <c r="VGP22" s="41"/>
      <c r="VGQ22" s="28"/>
      <c r="VGR22" s="29"/>
      <c r="VGS22" s="24"/>
      <c r="VGT22" s="13"/>
      <c r="VGU22" s="13"/>
      <c r="VGV22" s="14"/>
      <c r="VGW22" s="15"/>
      <c r="VGX22" s="15"/>
      <c r="VGY22" s="16"/>
      <c r="VGZ22" s="41"/>
      <c r="VHA22" s="41"/>
      <c r="VHB22" s="28"/>
      <c r="VHC22" s="29"/>
      <c r="VHD22" s="24"/>
      <c r="VHE22" s="13"/>
      <c r="VHF22" s="13"/>
      <c r="VHG22" s="14"/>
      <c r="VHH22" s="15"/>
      <c r="VHI22" s="15"/>
      <c r="VHJ22" s="16"/>
      <c r="VHK22" s="41"/>
      <c r="VHL22" s="41"/>
      <c r="VHM22" s="28"/>
      <c r="VHN22" s="29"/>
      <c r="VHO22" s="24"/>
      <c r="VHP22" s="13"/>
      <c r="VHQ22" s="13"/>
      <c r="VHR22" s="14"/>
      <c r="VHS22" s="15"/>
      <c r="VHT22" s="15"/>
      <c r="VHU22" s="16"/>
      <c r="VHV22" s="41"/>
      <c r="VHW22" s="41"/>
      <c r="VHX22" s="28"/>
      <c r="VHY22" s="29"/>
      <c r="VHZ22" s="24"/>
      <c r="VIA22" s="13"/>
      <c r="VIB22" s="13"/>
      <c r="VIC22" s="14"/>
      <c r="VID22" s="15"/>
      <c r="VIE22" s="15"/>
      <c r="VIF22" s="16"/>
      <c r="VIG22" s="41"/>
      <c r="VIH22" s="41"/>
      <c r="VII22" s="28"/>
      <c r="VIJ22" s="29"/>
      <c r="VIK22" s="24"/>
      <c r="VIL22" s="13"/>
      <c r="VIM22" s="13"/>
      <c r="VIN22" s="14"/>
      <c r="VIO22" s="15"/>
      <c r="VIP22" s="15"/>
      <c r="VIQ22" s="16"/>
      <c r="VIR22" s="41"/>
      <c r="VIS22" s="41"/>
      <c r="VIT22" s="28"/>
      <c r="VIU22" s="29"/>
      <c r="VIV22" s="24"/>
      <c r="VIW22" s="13"/>
      <c r="VIX22" s="13"/>
      <c r="VIY22" s="14"/>
      <c r="VIZ22" s="15"/>
      <c r="VJA22" s="15"/>
      <c r="VJB22" s="16"/>
      <c r="VJC22" s="41"/>
      <c r="VJD22" s="41"/>
      <c r="VJE22" s="28"/>
      <c r="VJF22" s="29"/>
      <c r="VJG22" s="24"/>
      <c r="VJH22" s="13"/>
      <c r="VJI22" s="13"/>
      <c r="VJJ22" s="14"/>
      <c r="VJK22" s="15"/>
      <c r="VJL22" s="15"/>
      <c r="VJM22" s="16"/>
      <c r="VJN22" s="41"/>
      <c r="VJO22" s="41"/>
      <c r="VJP22" s="28"/>
      <c r="VJQ22" s="29"/>
      <c r="VJR22" s="24"/>
      <c r="VJS22" s="13"/>
      <c r="VJT22" s="13"/>
      <c r="VJU22" s="14"/>
      <c r="VJV22" s="15"/>
      <c r="VJW22" s="15"/>
      <c r="VJX22" s="16"/>
      <c r="VJY22" s="41"/>
      <c r="VJZ22" s="41"/>
      <c r="VKA22" s="28"/>
      <c r="VKB22" s="29"/>
      <c r="VKC22" s="24"/>
      <c r="VKD22" s="13"/>
      <c r="VKE22" s="13"/>
      <c r="VKF22" s="14"/>
      <c r="VKG22" s="15"/>
      <c r="VKH22" s="15"/>
      <c r="VKI22" s="16"/>
      <c r="VKJ22" s="41"/>
      <c r="VKK22" s="41"/>
      <c r="VKL22" s="28"/>
      <c r="VKM22" s="29"/>
      <c r="VKN22" s="24"/>
      <c r="VKO22" s="13"/>
      <c r="VKP22" s="13"/>
      <c r="VKQ22" s="14"/>
      <c r="VKR22" s="15"/>
      <c r="VKS22" s="15"/>
      <c r="VKT22" s="16"/>
      <c r="VKU22" s="41"/>
      <c r="VKV22" s="41"/>
      <c r="VKW22" s="28"/>
      <c r="VKX22" s="29"/>
      <c r="VKY22" s="24"/>
      <c r="VKZ22" s="13"/>
      <c r="VLA22" s="13"/>
      <c r="VLB22" s="14"/>
      <c r="VLC22" s="15"/>
      <c r="VLD22" s="15"/>
      <c r="VLE22" s="16"/>
      <c r="VLF22" s="41"/>
      <c r="VLG22" s="41"/>
      <c r="VLH22" s="28"/>
      <c r="VLI22" s="29"/>
      <c r="VLJ22" s="24"/>
      <c r="VLK22" s="13"/>
      <c r="VLL22" s="13"/>
      <c r="VLM22" s="14"/>
      <c r="VLN22" s="15"/>
      <c r="VLO22" s="15"/>
      <c r="VLP22" s="16"/>
      <c r="VLQ22" s="41"/>
      <c r="VLR22" s="41"/>
      <c r="VLS22" s="28"/>
      <c r="VLT22" s="29"/>
      <c r="VLU22" s="24"/>
      <c r="VLV22" s="13"/>
      <c r="VLW22" s="13"/>
      <c r="VLX22" s="14"/>
      <c r="VLY22" s="15"/>
      <c r="VLZ22" s="15"/>
      <c r="VMA22" s="16"/>
      <c r="VMB22" s="41"/>
      <c r="VMC22" s="41"/>
      <c r="VMD22" s="28"/>
      <c r="VME22" s="29"/>
      <c r="VMF22" s="24"/>
      <c r="VMG22" s="13"/>
      <c r="VMH22" s="13"/>
      <c r="VMI22" s="14"/>
      <c r="VMJ22" s="15"/>
      <c r="VMK22" s="15"/>
      <c r="VML22" s="16"/>
      <c r="VMM22" s="41"/>
      <c r="VMN22" s="41"/>
      <c r="VMO22" s="28"/>
      <c r="VMP22" s="29"/>
      <c r="VMQ22" s="24"/>
      <c r="VMR22" s="13"/>
      <c r="VMS22" s="13"/>
      <c r="VMT22" s="14"/>
      <c r="VMU22" s="15"/>
      <c r="VMV22" s="15"/>
      <c r="VMW22" s="16"/>
      <c r="VMX22" s="41"/>
      <c r="VMY22" s="41"/>
      <c r="VMZ22" s="28"/>
      <c r="VNA22" s="29"/>
      <c r="VNB22" s="24"/>
      <c r="VNC22" s="13"/>
      <c r="VND22" s="13"/>
      <c r="VNE22" s="14"/>
      <c r="VNF22" s="15"/>
      <c r="VNG22" s="15"/>
      <c r="VNH22" s="16"/>
      <c r="VNI22" s="41"/>
      <c r="VNJ22" s="41"/>
      <c r="VNK22" s="28"/>
      <c r="VNL22" s="29"/>
      <c r="VNM22" s="24"/>
      <c r="VNN22" s="13"/>
      <c r="VNO22" s="13"/>
      <c r="VNP22" s="14"/>
      <c r="VNQ22" s="15"/>
      <c r="VNR22" s="15"/>
      <c r="VNS22" s="16"/>
      <c r="VNT22" s="41"/>
      <c r="VNU22" s="41"/>
      <c r="VNV22" s="28"/>
      <c r="VNW22" s="29"/>
      <c r="VNX22" s="24"/>
      <c r="VNY22" s="13"/>
      <c r="VNZ22" s="13"/>
      <c r="VOA22" s="14"/>
      <c r="VOB22" s="15"/>
      <c r="VOC22" s="15"/>
      <c r="VOD22" s="16"/>
      <c r="VOE22" s="41"/>
      <c r="VOF22" s="41"/>
      <c r="VOG22" s="28"/>
      <c r="VOH22" s="29"/>
      <c r="VOI22" s="24"/>
      <c r="VOJ22" s="13"/>
      <c r="VOK22" s="13"/>
      <c r="VOL22" s="14"/>
      <c r="VOM22" s="15"/>
      <c r="VON22" s="15"/>
      <c r="VOO22" s="16"/>
      <c r="VOP22" s="41"/>
      <c r="VOQ22" s="41"/>
      <c r="VOR22" s="28"/>
      <c r="VOS22" s="29"/>
      <c r="VOT22" s="24"/>
      <c r="VOU22" s="13"/>
      <c r="VOV22" s="13"/>
      <c r="VOW22" s="14"/>
      <c r="VOX22" s="15"/>
      <c r="VOY22" s="15"/>
      <c r="VOZ22" s="16"/>
      <c r="VPA22" s="41"/>
      <c r="VPB22" s="41"/>
      <c r="VPC22" s="28"/>
      <c r="VPD22" s="29"/>
      <c r="VPE22" s="24"/>
      <c r="VPF22" s="13"/>
      <c r="VPG22" s="13"/>
      <c r="VPH22" s="14"/>
      <c r="VPI22" s="15"/>
      <c r="VPJ22" s="15"/>
      <c r="VPK22" s="16"/>
      <c r="VPL22" s="41"/>
      <c r="VPM22" s="41"/>
      <c r="VPN22" s="28"/>
      <c r="VPO22" s="29"/>
      <c r="VPP22" s="24"/>
      <c r="VPQ22" s="13"/>
      <c r="VPR22" s="13"/>
      <c r="VPS22" s="14"/>
      <c r="VPT22" s="15"/>
      <c r="VPU22" s="15"/>
      <c r="VPV22" s="16"/>
      <c r="VPW22" s="41"/>
      <c r="VPX22" s="41"/>
      <c r="VPY22" s="28"/>
      <c r="VPZ22" s="29"/>
      <c r="VQA22" s="24"/>
      <c r="VQB22" s="13"/>
      <c r="VQC22" s="13"/>
      <c r="VQD22" s="14"/>
      <c r="VQE22" s="15"/>
      <c r="VQF22" s="15"/>
      <c r="VQG22" s="16"/>
      <c r="VQH22" s="41"/>
      <c r="VQI22" s="41"/>
      <c r="VQJ22" s="28"/>
      <c r="VQK22" s="29"/>
      <c r="VQL22" s="24"/>
      <c r="VQM22" s="13"/>
      <c r="VQN22" s="13"/>
      <c r="VQO22" s="14"/>
      <c r="VQP22" s="15"/>
      <c r="VQQ22" s="15"/>
      <c r="VQR22" s="16"/>
      <c r="VQS22" s="41"/>
      <c r="VQT22" s="41"/>
      <c r="VQU22" s="28"/>
      <c r="VQV22" s="29"/>
      <c r="VQW22" s="24"/>
      <c r="VQX22" s="13"/>
      <c r="VQY22" s="13"/>
      <c r="VQZ22" s="14"/>
      <c r="VRA22" s="15"/>
      <c r="VRB22" s="15"/>
      <c r="VRC22" s="16"/>
      <c r="VRD22" s="41"/>
      <c r="VRE22" s="41"/>
      <c r="VRF22" s="28"/>
      <c r="VRG22" s="29"/>
      <c r="VRH22" s="24"/>
      <c r="VRI22" s="13"/>
      <c r="VRJ22" s="13"/>
      <c r="VRK22" s="14"/>
      <c r="VRL22" s="15"/>
      <c r="VRM22" s="15"/>
      <c r="VRN22" s="16"/>
      <c r="VRO22" s="41"/>
      <c r="VRP22" s="41"/>
      <c r="VRQ22" s="28"/>
      <c r="VRR22" s="29"/>
      <c r="VRS22" s="24"/>
      <c r="VRT22" s="13"/>
      <c r="VRU22" s="13"/>
      <c r="VRV22" s="14"/>
      <c r="VRW22" s="15"/>
      <c r="VRX22" s="15"/>
      <c r="VRY22" s="16"/>
      <c r="VRZ22" s="41"/>
      <c r="VSA22" s="41"/>
      <c r="VSB22" s="28"/>
      <c r="VSC22" s="29"/>
      <c r="VSD22" s="24"/>
      <c r="VSE22" s="13"/>
      <c r="VSF22" s="13"/>
      <c r="VSG22" s="14"/>
      <c r="VSH22" s="15"/>
      <c r="VSI22" s="15"/>
      <c r="VSJ22" s="16"/>
      <c r="VSK22" s="41"/>
      <c r="VSL22" s="41"/>
      <c r="VSM22" s="28"/>
      <c r="VSN22" s="29"/>
      <c r="VSO22" s="24"/>
      <c r="VSP22" s="13"/>
      <c r="VSQ22" s="13"/>
      <c r="VSR22" s="14"/>
      <c r="VSS22" s="15"/>
      <c r="VST22" s="15"/>
      <c r="VSU22" s="16"/>
      <c r="VSV22" s="41"/>
      <c r="VSW22" s="41"/>
      <c r="VSX22" s="28"/>
      <c r="VSY22" s="29"/>
      <c r="VSZ22" s="24"/>
      <c r="VTA22" s="13"/>
      <c r="VTB22" s="13"/>
      <c r="VTC22" s="14"/>
      <c r="VTD22" s="15"/>
      <c r="VTE22" s="15"/>
      <c r="VTF22" s="16"/>
      <c r="VTG22" s="41"/>
      <c r="VTH22" s="41"/>
      <c r="VTI22" s="28"/>
      <c r="VTJ22" s="29"/>
      <c r="VTK22" s="24"/>
      <c r="VTL22" s="13"/>
      <c r="VTM22" s="13"/>
      <c r="VTN22" s="14"/>
      <c r="VTO22" s="15"/>
      <c r="VTP22" s="15"/>
      <c r="VTQ22" s="16"/>
      <c r="VTR22" s="41"/>
      <c r="VTS22" s="41"/>
      <c r="VTT22" s="28"/>
      <c r="VTU22" s="29"/>
      <c r="VTV22" s="24"/>
      <c r="VTW22" s="13"/>
      <c r="VTX22" s="13"/>
      <c r="VTY22" s="14"/>
      <c r="VTZ22" s="15"/>
      <c r="VUA22" s="15"/>
      <c r="VUB22" s="16"/>
      <c r="VUC22" s="41"/>
      <c r="VUD22" s="41"/>
      <c r="VUE22" s="28"/>
      <c r="VUF22" s="29"/>
      <c r="VUG22" s="24"/>
      <c r="VUH22" s="13"/>
      <c r="VUI22" s="13"/>
      <c r="VUJ22" s="14"/>
      <c r="VUK22" s="15"/>
      <c r="VUL22" s="15"/>
      <c r="VUM22" s="16"/>
      <c r="VUN22" s="41"/>
      <c r="VUO22" s="41"/>
      <c r="VUP22" s="28"/>
      <c r="VUQ22" s="29"/>
      <c r="VUR22" s="24"/>
      <c r="VUS22" s="13"/>
      <c r="VUT22" s="13"/>
      <c r="VUU22" s="14"/>
      <c r="VUV22" s="15"/>
      <c r="VUW22" s="15"/>
      <c r="VUX22" s="16"/>
      <c r="VUY22" s="41"/>
      <c r="VUZ22" s="41"/>
      <c r="VVA22" s="28"/>
      <c r="VVB22" s="29"/>
      <c r="VVC22" s="24"/>
      <c r="VVD22" s="13"/>
      <c r="VVE22" s="13"/>
      <c r="VVF22" s="14"/>
      <c r="VVG22" s="15"/>
      <c r="VVH22" s="15"/>
      <c r="VVI22" s="16"/>
      <c r="VVJ22" s="41"/>
      <c r="VVK22" s="41"/>
      <c r="VVL22" s="28"/>
      <c r="VVM22" s="29"/>
      <c r="VVN22" s="24"/>
      <c r="VVO22" s="13"/>
      <c r="VVP22" s="13"/>
      <c r="VVQ22" s="14"/>
      <c r="VVR22" s="15"/>
      <c r="VVS22" s="15"/>
      <c r="VVT22" s="16"/>
      <c r="VVU22" s="41"/>
      <c r="VVV22" s="41"/>
      <c r="VVW22" s="28"/>
      <c r="VVX22" s="29"/>
      <c r="VVY22" s="24"/>
      <c r="VVZ22" s="13"/>
      <c r="VWA22" s="13"/>
      <c r="VWB22" s="14"/>
      <c r="VWC22" s="15"/>
      <c r="VWD22" s="15"/>
      <c r="VWE22" s="16"/>
      <c r="VWF22" s="41"/>
      <c r="VWG22" s="41"/>
      <c r="VWH22" s="28"/>
      <c r="VWI22" s="29"/>
      <c r="VWJ22" s="24"/>
      <c r="VWK22" s="13"/>
      <c r="VWL22" s="13"/>
      <c r="VWM22" s="14"/>
      <c r="VWN22" s="15"/>
      <c r="VWO22" s="15"/>
      <c r="VWP22" s="16"/>
      <c r="VWQ22" s="41"/>
      <c r="VWR22" s="41"/>
      <c r="VWS22" s="28"/>
      <c r="VWT22" s="29"/>
      <c r="VWU22" s="24"/>
      <c r="VWV22" s="13"/>
      <c r="VWW22" s="13"/>
      <c r="VWX22" s="14"/>
      <c r="VWY22" s="15"/>
      <c r="VWZ22" s="15"/>
      <c r="VXA22" s="16"/>
      <c r="VXB22" s="41"/>
      <c r="VXC22" s="41"/>
      <c r="VXD22" s="28"/>
      <c r="VXE22" s="29"/>
      <c r="VXF22" s="24"/>
      <c r="VXG22" s="13"/>
      <c r="VXH22" s="13"/>
      <c r="VXI22" s="14"/>
      <c r="VXJ22" s="15"/>
      <c r="VXK22" s="15"/>
      <c r="VXL22" s="16"/>
      <c r="VXM22" s="41"/>
      <c r="VXN22" s="41"/>
      <c r="VXO22" s="28"/>
      <c r="VXP22" s="29"/>
      <c r="VXQ22" s="24"/>
      <c r="VXR22" s="13"/>
      <c r="VXS22" s="13"/>
      <c r="VXT22" s="14"/>
      <c r="VXU22" s="15"/>
      <c r="VXV22" s="15"/>
      <c r="VXW22" s="16"/>
      <c r="VXX22" s="41"/>
      <c r="VXY22" s="41"/>
      <c r="VXZ22" s="28"/>
      <c r="VYA22" s="29"/>
      <c r="VYB22" s="24"/>
      <c r="VYC22" s="13"/>
      <c r="VYD22" s="13"/>
      <c r="VYE22" s="14"/>
      <c r="VYF22" s="15"/>
      <c r="VYG22" s="15"/>
      <c r="VYH22" s="16"/>
      <c r="VYI22" s="41"/>
      <c r="VYJ22" s="41"/>
      <c r="VYK22" s="28"/>
      <c r="VYL22" s="29"/>
      <c r="VYM22" s="24"/>
      <c r="VYN22" s="13"/>
      <c r="VYO22" s="13"/>
      <c r="VYP22" s="14"/>
      <c r="VYQ22" s="15"/>
      <c r="VYR22" s="15"/>
      <c r="VYS22" s="16"/>
      <c r="VYT22" s="41"/>
      <c r="VYU22" s="41"/>
      <c r="VYV22" s="28"/>
      <c r="VYW22" s="29"/>
      <c r="VYX22" s="24"/>
      <c r="VYY22" s="13"/>
      <c r="VYZ22" s="13"/>
      <c r="VZA22" s="14"/>
      <c r="VZB22" s="15"/>
      <c r="VZC22" s="15"/>
      <c r="VZD22" s="16"/>
      <c r="VZE22" s="41"/>
      <c r="VZF22" s="41"/>
      <c r="VZG22" s="28"/>
      <c r="VZH22" s="29"/>
      <c r="VZI22" s="24"/>
      <c r="VZJ22" s="13"/>
      <c r="VZK22" s="13"/>
      <c r="VZL22" s="14"/>
      <c r="VZM22" s="15"/>
      <c r="VZN22" s="15"/>
      <c r="VZO22" s="16"/>
      <c r="VZP22" s="41"/>
      <c r="VZQ22" s="41"/>
      <c r="VZR22" s="28"/>
      <c r="VZS22" s="29"/>
      <c r="VZT22" s="24"/>
      <c r="VZU22" s="13"/>
      <c r="VZV22" s="13"/>
      <c r="VZW22" s="14"/>
      <c r="VZX22" s="15"/>
      <c r="VZY22" s="15"/>
      <c r="VZZ22" s="16"/>
      <c r="WAA22" s="41"/>
      <c r="WAB22" s="41"/>
      <c r="WAC22" s="28"/>
      <c r="WAD22" s="29"/>
      <c r="WAE22" s="24"/>
      <c r="WAF22" s="13"/>
      <c r="WAG22" s="13"/>
      <c r="WAH22" s="14"/>
      <c r="WAI22" s="15"/>
      <c r="WAJ22" s="15"/>
      <c r="WAK22" s="16"/>
      <c r="WAL22" s="41"/>
      <c r="WAM22" s="41"/>
      <c r="WAN22" s="28"/>
      <c r="WAO22" s="29"/>
      <c r="WAP22" s="24"/>
      <c r="WAQ22" s="13"/>
      <c r="WAR22" s="13"/>
      <c r="WAS22" s="14"/>
      <c r="WAT22" s="15"/>
      <c r="WAU22" s="15"/>
      <c r="WAV22" s="16"/>
      <c r="WAW22" s="41"/>
      <c r="WAX22" s="41"/>
      <c r="WAY22" s="28"/>
      <c r="WAZ22" s="29"/>
      <c r="WBA22" s="24"/>
      <c r="WBB22" s="13"/>
      <c r="WBC22" s="13"/>
      <c r="WBD22" s="14"/>
      <c r="WBE22" s="15"/>
      <c r="WBF22" s="15"/>
      <c r="WBG22" s="16"/>
      <c r="WBH22" s="41"/>
      <c r="WBI22" s="41"/>
      <c r="WBJ22" s="28"/>
      <c r="WBK22" s="29"/>
      <c r="WBL22" s="24"/>
      <c r="WBM22" s="13"/>
      <c r="WBN22" s="13"/>
      <c r="WBO22" s="14"/>
      <c r="WBP22" s="15"/>
      <c r="WBQ22" s="15"/>
      <c r="WBR22" s="16"/>
      <c r="WBS22" s="41"/>
      <c r="WBT22" s="41"/>
      <c r="WBU22" s="28"/>
      <c r="WBV22" s="29"/>
      <c r="WBW22" s="24"/>
      <c r="WBX22" s="13"/>
      <c r="WBY22" s="13"/>
      <c r="WBZ22" s="14"/>
      <c r="WCA22" s="15"/>
      <c r="WCB22" s="15"/>
      <c r="WCC22" s="16"/>
      <c r="WCD22" s="41"/>
      <c r="WCE22" s="41"/>
      <c r="WCF22" s="28"/>
      <c r="WCG22" s="29"/>
      <c r="WCH22" s="24"/>
      <c r="WCI22" s="13"/>
      <c r="WCJ22" s="13"/>
      <c r="WCK22" s="14"/>
      <c r="WCL22" s="15"/>
      <c r="WCM22" s="15"/>
      <c r="WCN22" s="16"/>
      <c r="WCO22" s="41"/>
      <c r="WCP22" s="41"/>
      <c r="WCQ22" s="28"/>
      <c r="WCR22" s="29"/>
      <c r="WCS22" s="24"/>
      <c r="WCT22" s="13"/>
      <c r="WCU22" s="13"/>
      <c r="WCV22" s="14"/>
      <c r="WCW22" s="15"/>
      <c r="WCX22" s="15"/>
      <c r="WCY22" s="16"/>
      <c r="WCZ22" s="41"/>
      <c r="WDA22" s="41"/>
      <c r="WDB22" s="28"/>
      <c r="WDC22" s="29"/>
      <c r="WDD22" s="24"/>
      <c r="WDE22" s="13"/>
      <c r="WDF22" s="13"/>
      <c r="WDG22" s="14"/>
      <c r="WDH22" s="15"/>
      <c r="WDI22" s="15"/>
      <c r="WDJ22" s="16"/>
      <c r="WDK22" s="41"/>
      <c r="WDL22" s="41"/>
      <c r="WDM22" s="28"/>
      <c r="WDN22" s="29"/>
      <c r="WDO22" s="24"/>
      <c r="WDP22" s="13"/>
      <c r="WDQ22" s="13"/>
      <c r="WDR22" s="14"/>
      <c r="WDS22" s="15"/>
      <c r="WDT22" s="15"/>
      <c r="WDU22" s="16"/>
      <c r="WDV22" s="41"/>
      <c r="WDW22" s="41"/>
      <c r="WDX22" s="28"/>
      <c r="WDY22" s="29"/>
      <c r="WDZ22" s="24"/>
      <c r="WEA22" s="13"/>
      <c r="WEB22" s="13"/>
      <c r="WEC22" s="14"/>
      <c r="WED22" s="15"/>
      <c r="WEE22" s="15"/>
      <c r="WEF22" s="16"/>
      <c r="WEG22" s="41"/>
      <c r="WEH22" s="41"/>
      <c r="WEI22" s="28"/>
      <c r="WEJ22" s="29"/>
      <c r="WEK22" s="24"/>
      <c r="WEL22" s="13"/>
      <c r="WEM22" s="13"/>
      <c r="WEN22" s="14"/>
      <c r="WEO22" s="15"/>
      <c r="WEP22" s="15"/>
      <c r="WEQ22" s="16"/>
      <c r="WER22" s="41"/>
      <c r="WES22" s="41"/>
      <c r="WET22" s="28"/>
      <c r="WEU22" s="29"/>
      <c r="WEV22" s="24"/>
      <c r="WEW22" s="13"/>
      <c r="WEX22" s="13"/>
      <c r="WEY22" s="14"/>
      <c r="WEZ22" s="15"/>
      <c r="WFA22" s="15"/>
      <c r="WFB22" s="16"/>
      <c r="WFC22" s="41"/>
      <c r="WFD22" s="41"/>
      <c r="WFE22" s="28"/>
      <c r="WFF22" s="29"/>
      <c r="WFG22" s="24"/>
      <c r="WFH22" s="13"/>
      <c r="WFI22" s="13"/>
      <c r="WFJ22" s="14"/>
      <c r="WFK22" s="15"/>
      <c r="WFL22" s="15"/>
      <c r="WFM22" s="16"/>
      <c r="WFN22" s="41"/>
      <c r="WFO22" s="41"/>
      <c r="WFP22" s="28"/>
      <c r="WFQ22" s="29"/>
      <c r="WFR22" s="24"/>
      <c r="WFS22" s="13"/>
      <c r="WFT22" s="13"/>
      <c r="WFU22" s="14"/>
      <c r="WFV22" s="15"/>
      <c r="WFW22" s="15"/>
      <c r="WFX22" s="16"/>
      <c r="WFY22" s="41"/>
      <c r="WFZ22" s="41"/>
      <c r="WGA22" s="28"/>
      <c r="WGB22" s="29"/>
      <c r="WGC22" s="24"/>
      <c r="WGD22" s="13"/>
      <c r="WGE22" s="13"/>
      <c r="WGF22" s="14"/>
      <c r="WGG22" s="15"/>
      <c r="WGH22" s="15"/>
      <c r="WGI22" s="16"/>
      <c r="WGJ22" s="41"/>
      <c r="WGK22" s="41"/>
      <c r="WGL22" s="28"/>
      <c r="WGM22" s="29"/>
      <c r="WGN22" s="24"/>
      <c r="WGO22" s="13"/>
      <c r="WGP22" s="13"/>
      <c r="WGQ22" s="14"/>
      <c r="WGR22" s="15"/>
      <c r="WGS22" s="15"/>
      <c r="WGT22" s="16"/>
      <c r="WGU22" s="41"/>
      <c r="WGV22" s="41"/>
      <c r="WGW22" s="28"/>
      <c r="WGX22" s="29"/>
      <c r="WGY22" s="24"/>
      <c r="WGZ22" s="13"/>
      <c r="WHA22" s="13"/>
      <c r="WHB22" s="14"/>
      <c r="WHC22" s="15"/>
      <c r="WHD22" s="15"/>
      <c r="WHE22" s="16"/>
      <c r="WHF22" s="41"/>
      <c r="WHG22" s="41"/>
      <c r="WHH22" s="28"/>
      <c r="WHI22" s="29"/>
      <c r="WHJ22" s="24"/>
      <c r="WHK22" s="13"/>
      <c r="WHL22" s="13"/>
      <c r="WHM22" s="14"/>
      <c r="WHN22" s="15"/>
      <c r="WHO22" s="15"/>
      <c r="WHP22" s="16"/>
      <c r="WHQ22" s="41"/>
      <c r="WHR22" s="41"/>
      <c r="WHS22" s="28"/>
      <c r="WHT22" s="29"/>
      <c r="WHU22" s="24"/>
      <c r="WHV22" s="13"/>
      <c r="WHW22" s="13"/>
      <c r="WHX22" s="14"/>
      <c r="WHY22" s="15"/>
      <c r="WHZ22" s="15"/>
      <c r="WIA22" s="16"/>
      <c r="WIB22" s="41"/>
      <c r="WIC22" s="41"/>
      <c r="WID22" s="28"/>
      <c r="WIE22" s="29"/>
      <c r="WIF22" s="24"/>
      <c r="WIG22" s="13"/>
      <c r="WIH22" s="13"/>
      <c r="WII22" s="14"/>
      <c r="WIJ22" s="15"/>
      <c r="WIK22" s="15"/>
      <c r="WIL22" s="16"/>
      <c r="WIM22" s="41"/>
      <c r="WIN22" s="41"/>
      <c r="WIO22" s="28"/>
      <c r="WIP22" s="29"/>
      <c r="WIQ22" s="24"/>
      <c r="WIR22" s="13"/>
      <c r="WIS22" s="13"/>
      <c r="WIT22" s="14"/>
      <c r="WIU22" s="15"/>
      <c r="WIV22" s="15"/>
      <c r="WIW22" s="16"/>
      <c r="WIX22" s="41"/>
      <c r="WIY22" s="41"/>
      <c r="WIZ22" s="28"/>
      <c r="WJA22" s="29"/>
      <c r="WJB22" s="24"/>
      <c r="WJC22" s="13"/>
      <c r="WJD22" s="13"/>
      <c r="WJE22" s="14"/>
      <c r="WJF22" s="15"/>
      <c r="WJG22" s="15"/>
      <c r="WJH22" s="16"/>
      <c r="WJI22" s="41"/>
      <c r="WJJ22" s="41"/>
      <c r="WJK22" s="28"/>
      <c r="WJL22" s="29"/>
      <c r="WJM22" s="24"/>
      <c r="WJN22" s="13"/>
      <c r="WJO22" s="13"/>
      <c r="WJP22" s="14"/>
      <c r="WJQ22" s="15"/>
      <c r="WJR22" s="15"/>
      <c r="WJS22" s="16"/>
      <c r="WJT22" s="41"/>
      <c r="WJU22" s="41"/>
      <c r="WJV22" s="28"/>
      <c r="WJW22" s="29"/>
      <c r="WJX22" s="24"/>
      <c r="WJY22" s="13"/>
      <c r="WJZ22" s="13"/>
      <c r="WKA22" s="14"/>
      <c r="WKB22" s="15"/>
      <c r="WKC22" s="15"/>
      <c r="WKD22" s="16"/>
      <c r="WKE22" s="41"/>
      <c r="WKF22" s="41"/>
      <c r="WKG22" s="28"/>
      <c r="WKH22" s="29"/>
      <c r="WKI22" s="24"/>
      <c r="WKJ22" s="13"/>
      <c r="WKK22" s="13"/>
      <c r="WKL22" s="14"/>
      <c r="WKM22" s="15"/>
      <c r="WKN22" s="15"/>
      <c r="WKO22" s="16"/>
      <c r="WKP22" s="41"/>
      <c r="WKQ22" s="41"/>
      <c r="WKR22" s="28"/>
      <c r="WKS22" s="29"/>
      <c r="WKT22" s="24"/>
      <c r="WKU22" s="13"/>
      <c r="WKV22" s="13"/>
      <c r="WKW22" s="14"/>
      <c r="WKX22" s="15"/>
      <c r="WKY22" s="15"/>
      <c r="WKZ22" s="16"/>
      <c r="WLA22" s="41"/>
      <c r="WLB22" s="41"/>
      <c r="WLC22" s="28"/>
      <c r="WLD22" s="29"/>
      <c r="WLE22" s="24"/>
      <c r="WLF22" s="13"/>
      <c r="WLG22" s="13"/>
      <c r="WLH22" s="14"/>
      <c r="WLI22" s="15"/>
      <c r="WLJ22" s="15"/>
      <c r="WLK22" s="16"/>
      <c r="WLL22" s="41"/>
      <c r="WLM22" s="41"/>
      <c r="WLN22" s="28"/>
      <c r="WLO22" s="29"/>
      <c r="WLP22" s="24"/>
      <c r="WLQ22" s="13"/>
      <c r="WLR22" s="13"/>
      <c r="WLS22" s="14"/>
      <c r="WLT22" s="15"/>
      <c r="WLU22" s="15"/>
      <c r="WLV22" s="16"/>
      <c r="WLW22" s="41"/>
      <c r="WLX22" s="41"/>
      <c r="WLY22" s="28"/>
      <c r="WLZ22" s="29"/>
      <c r="WMA22" s="24"/>
      <c r="WMB22" s="13"/>
      <c r="WMC22" s="13"/>
      <c r="WMD22" s="14"/>
      <c r="WME22" s="15"/>
      <c r="WMF22" s="15"/>
      <c r="WMG22" s="16"/>
      <c r="WMH22" s="41"/>
      <c r="WMI22" s="41"/>
      <c r="WMJ22" s="28"/>
      <c r="WMK22" s="29"/>
      <c r="WML22" s="24"/>
      <c r="WMM22" s="13"/>
      <c r="WMN22" s="13"/>
      <c r="WMO22" s="14"/>
      <c r="WMP22" s="15"/>
      <c r="WMQ22" s="15"/>
      <c r="WMR22" s="16"/>
      <c r="WMS22" s="41"/>
      <c r="WMT22" s="41"/>
      <c r="WMU22" s="28"/>
      <c r="WMV22" s="29"/>
      <c r="WMW22" s="24"/>
      <c r="WMX22" s="13"/>
      <c r="WMY22" s="13"/>
      <c r="WMZ22" s="14"/>
      <c r="WNA22" s="15"/>
      <c r="WNB22" s="15"/>
      <c r="WNC22" s="16"/>
      <c r="WND22" s="41"/>
      <c r="WNE22" s="41"/>
      <c r="WNF22" s="28"/>
      <c r="WNG22" s="29"/>
      <c r="WNH22" s="24"/>
      <c r="WNI22" s="13"/>
      <c r="WNJ22" s="13"/>
      <c r="WNK22" s="14"/>
      <c r="WNL22" s="15"/>
      <c r="WNM22" s="15"/>
      <c r="WNN22" s="16"/>
      <c r="WNO22" s="41"/>
      <c r="WNP22" s="41"/>
      <c r="WNQ22" s="28"/>
      <c r="WNR22" s="29"/>
      <c r="WNS22" s="24"/>
      <c r="WNT22" s="13"/>
      <c r="WNU22" s="13"/>
      <c r="WNV22" s="14"/>
      <c r="WNW22" s="15"/>
      <c r="WNX22" s="15"/>
      <c r="WNY22" s="16"/>
      <c r="WNZ22" s="41"/>
      <c r="WOA22" s="41"/>
      <c r="WOB22" s="28"/>
      <c r="WOC22" s="29"/>
      <c r="WOD22" s="24"/>
      <c r="WOE22" s="13"/>
      <c r="WOF22" s="13"/>
      <c r="WOG22" s="14"/>
      <c r="WOH22" s="15"/>
      <c r="WOI22" s="15"/>
      <c r="WOJ22" s="16"/>
      <c r="WOK22" s="41"/>
      <c r="WOL22" s="41"/>
      <c r="WOM22" s="28"/>
      <c r="WON22" s="29"/>
      <c r="WOO22" s="24"/>
      <c r="WOP22" s="13"/>
      <c r="WOQ22" s="13"/>
      <c r="WOR22" s="14"/>
      <c r="WOS22" s="15"/>
      <c r="WOT22" s="15"/>
      <c r="WOU22" s="16"/>
      <c r="WOV22" s="41"/>
      <c r="WOW22" s="41"/>
      <c r="WOX22" s="28"/>
      <c r="WOY22" s="29"/>
      <c r="WOZ22" s="24"/>
      <c r="WPA22" s="13"/>
      <c r="WPB22" s="13"/>
      <c r="WPC22" s="14"/>
      <c r="WPD22" s="15"/>
      <c r="WPE22" s="15"/>
      <c r="WPF22" s="16"/>
      <c r="WPG22" s="41"/>
      <c r="WPH22" s="41"/>
      <c r="WPI22" s="28"/>
      <c r="WPJ22" s="29"/>
      <c r="WPK22" s="24"/>
      <c r="WPL22" s="13"/>
      <c r="WPM22" s="13"/>
      <c r="WPN22" s="14"/>
      <c r="WPO22" s="15"/>
      <c r="WPP22" s="15"/>
      <c r="WPQ22" s="16"/>
      <c r="WPR22" s="41"/>
      <c r="WPS22" s="41"/>
      <c r="WPT22" s="28"/>
      <c r="WPU22" s="29"/>
      <c r="WPV22" s="24"/>
      <c r="WPW22" s="13"/>
      <c r="WPX22" s="13"/>
      <c r="WPY22" s="14"/>
      <c r="WPZ22" s="15"/>
      <c r="WQA22" s="15"/>
      <c r="WQB22" s="16"/>
      <c r="WQC22" s="41"/>
      <c r="WQD22" s="41"/>
      <c r="WQE22" s="28"/>
      <c r="WQF22" s="29"/>
      <c r="WQG22" s="24"/>
      <c r="WQH22" s="13"/>
      <c r="WQI22" s="13"/>
      <c r="WQJ22" s="14"/>
      <c r="WQK22" s="15"/>
      <c r="WQL22" s="15"/>
      <c r="WQM22" s="16"/>
      <c r="WQN22" s="41"/>
      <c r="WQO22" s="41"/>
      <c r="WQP22" s="28"/>
      <c r="WQQ22" s="29"/>
      <c r="WQR22" s="24"/>
      <c r="WQS22" s="13"/>
      <c r="WQT22" s="13"/>
      <c r="WQU22" s="14"/>
      <c r="WQV22" s="15"/>
      <c r="WQW22" s="15"/>
      <c r="WQX22" s="16"/>
      <c r="WQY22" s="41"/>
      <c r="WQZ22" s="41"/>
      <c r="WRA22" s="28"/>
      <c r="WRB22" s="29"/>
      <c r="WRC22" s="24"/>
      <c r="WRD22" s="13"/>
      <c r="WRE22" s="13"/>
      <c r="WRF22" s="14"/>
      <c r="WRG22" s="15"/>
      <c r="WRH22" s="15"/>
      <c r="WRI22" s="16"/>
      <c r="WRJ22" s="41"/>
      <c r="WRK22" s="41"/>
      <c r="WRL22" s="28"/>
      <c r="WRM22" s="29"/>
      <c r="WRN22" s="24"/>
      <c r="WRO22" s="13"/>
      <c r="WRP22" s="13"/>
      <c r="WRQ22" s="14"/>
      <c r="WRR22" s="15"/>
      <c r="WRS22" s="15"/>
      <c r="WRT22" s="16"/>
      <c r="WRU22" s="41"/>
      <c r="WRV22" s="41"/>
      <c r="WRW22" s="28"/>
      <c r="WRX22" s="29"/>
      <c r="WRY22" s="24"/>
      <c r="WRZ22" s="13"/>
      <c r="WSA22" s="13"/>
      <c r="WSB22" s="14"/>
      <c r="WSC22" s="15"/>
      <c r="WSD22" s="15"/>
      <c r="WSE22" s="16"/>
      <c r="WSF22" s="41"/>
      <c r="WSG22" s="41"/>
      <c r="WSH22" s="28"/>
      <c r="WSI22" s="29"/>
      <c r="WSJ22" s="24"/>
      <c r="WSK22" s="13"/>
      <c r="WSL22" s="13"/>
      <c r="WSM22" s="14"/>
      <c r="WSN22" s="15"/>
      <c r="WSO22" s="15"/>
      <c r="WSP22" s="16"/>
      <c r="WSQ22" s="41"/>
      <c r="WSR22" s="41"/>
      <c r="WSS22" s="28"/>
      <c r="WST22" s="29"/>
      <c r="WSU22" s="24"/>
      <c r="WSV22" s="13"/>
      <c r="WSW22" s="13"/>
      <c r="WSX22" s="14"/>
      <c r="WSY22" s="15"/>
      <c r="WSZ22" s="15"/>
      <c r="WTA22" s="16"/>
      <c r="WTB22" s="41"/>
      <c r="WTC22" s="41"/>
      <c r="WTD22" s="28"/>
      <c r="WTE22" s="29"/>
      <c r="WTF22" s="24"/>
      <c r="WTG22" s="13"/>
      <c r="WTH22" s="13"/>
      <c r="WTI22" s="14"/>
      <c r="WTJ22" s="15"/>
      <c r="WTK22" s="15"/>
      <c r="WTL22" s="16"/>
      <c r="WTM22" s="41"/>
      <c r="WTN22" s="41"/>
      <c r="WTO22" s="28"/>
      <c r="WTP22" s="29"/>
      <c r="WTQ22" s="24"/>
      <c r="WTR22" s="13"/>
      <c r="WTS22" s="13"/>
      <c r="WTT22" s="14"/>
      <c r="WTU22" s="15"/>
      <c r="WTV22" s="15"/>
      <c r="WTW22" s="16"/>
      <c r="WTX22" s="41"/>
      <c r="WTY22" s="41"/>
      <c r="WTZ22" s="28"/>
      <c r="WUA22" s="29"/>
      <c r="WUB22" s="24"/>
      <c r="WUC22" s="13"/>
      <c r="WUD22" s="13"/>
      <c r="WUE22" s="14"/>
      <c r="WUF22" s="15"/>
      <c r="WUG22" s="15"/>
      <c r="WUH22" s="16"/>
      <c r="WUI22" s="41"/>
      <c r="WUJ22" s="41"/>
      <c r="WUK22" s="28"/>
      <c r="WUL22" s="29"/>
      <c r="WUM22" s="24"/>
      <c r="WUN22" s="13"/>
      <c r="WUO22" s="13"/>
      <c r="WUP22" s="14"/>
      <c r="WUQ22" s="15"/>
      <c r="WUR22" s="15"/>
      <c r="WUS22" s="16"/>
      <c r="WUT22" s="41"/>
      <c r="WUU22" s="41"/>
      <c r="WUV22" s="28"/>
      <c r="WUW22" s="29"/>
      <c r="WUX22" s="24"/>
      <c r="WUY22" s="13"/>
      <c r="WUZ22" s="13"/>
      <c r="WVA22" s="14"/>
      <c r="WVB22" s="15"/>
      <c r="WVC22" s="15"/>
      <c r="WVD22" s="16"/>
      <c r="WVE22" s="41"/>
      <c r="WVF22" s="41"/>
      <c r="WVG22" s="28"/>
      <c r="WVH22" s="29"/>
      <c r="WVI22" s="24"/>
      <c r="WVJ22" s="13"/>
      <c r="WVK22" s="13"/>
      <c r="WVL22" s="14"/>
      <c r="WVM22" s="15"/>
      <c r="WVN22" s="15"/>
      <c r="WVO22" s="16"/>
      <c r="WVP22" s="41"/>
      <c r="WVQ22" s="41"/>
      <c r="WVR22" s="28"/>
      <c r="WVS22" s="29"/>
      <c r="WVT22" s="24"/>
      <c r="WVU22" s="13"/>
      <c r="WVV22" s="13"/>
      <c r="WVW22" s="14"/>
      <c r="WVX22" s="15"/>
      <c r="WVY22" s="15"/>
      <c r="WVZ22" s="16"/>
      <c r="WWA22" s="41"/>
      <c r="WWB22" s="41"/>
      <c r="WWC22" s="28"/>
      <c r="WWD22" s="29"/>
      <c r="WWE22" s="24"/>
      <c r="WWF22" s="13"/>
      <c r="WWG22" s="13"/>
      <c r="WWH22" s="14"/>
      <c r="WWI22" s="15"/>
      <c r="WWJ22" s="15"/>
      <c r="WWK22" s="16"/>
      <c r="WWL22" s="41"/>
      <c r="WWM22" s="41"/>
      <c r="WWN22" s="28"/>
      <c r="WWO22" s="29"/>
      <c r="WWP22" s="24"/>
      <c r="WWQ22" s="13"/>
      <c r="WWR22" s="13"/>
      <c r="WWS22" s="14"/>
      <c r="WWT22" s="15"/>
      <c r="WWU22" s="15"/>
      <c r="WWV22" s="16"/>
      <c r="WWW22" s="41"/>
      <c r="WWX22" s="41"/>
      <c r="WWY22" s="28"/>
      <c r="WWZ22" s="29"/>
      <c r="WXA22" s="24"/>
      <c r="WXB22" s="13"/>
      <c r="WXC22" s="13"/>
      <c r="WXD22" s="14"/>
      <c r="WXE22" s="15"/>
      <c r="WXF22" s="15"/>
      <c r="WXG22" s="16"/>
      <c r="WXH22" s="41"/>
      <c r="WXI22" s="41"/>
      <c r="WXJ22" s="28"/>
      <c r="WXK22" s="29"/>
      <c r="WXL22" s="24"/>
      <c r="WXM22" s="13"/>
      <c r="WXN22" s="13"/>
      <c r="WXO22" s="14"/>
      <c r="WXP22" s="15"/>
      <c r="WXQ22" s="15"/>
      <c r="WXR22" s="16"/>
      <c r="WXS22" s="41"/>
      <c r="WXT22" s="41"/>
      <c r="WXU22" s="28"/>
      <c r="WXV22" s="29"/>
      <c r="WXW22" s="24"/>
      <c r="WXX22" s="13"/>
      <c r="WXY22" s="13"/>
      <c r="WXZ22" s="14"/>
      <c r="WYA22" s="15"/>
      <c r="WYB22" s="15"/>
      <c r="WYC22" s="16"/>
      <c r="WYD22" s="41"/>
      <c r="WYE22" s="41"/>
      <c r="WYF22" s="28"/>
      <c r="WYG22" s="29"/>
      <c r="WYH22" s="24"/>
      <c r="WYI22" s="13"/>
      <c r="WYJ22" s="13"/>
      <c r="WYK22" s="14"/>
      <c r="WYL22" s="15"/>
      <c r="WYM22" s="15"/>
      <c r="WYN22" s="16"/>
      <c r="WYO22" s="41"/>
      <c r="WYP22" s="41"/>
      <c r="WYQ22" s="28"/>
      <c r="WYR22" s="29"/>
      <c r="WYS22" s="24"/>
      <c r="WYT22" s="13"/>
      <c r="WYU22" s="13"/>
      <c r="WYV22" s="14"/>
      <c r="WYW22" s="15"/>
      <c r="WYX22" s="15"/>
      <c r="WYY22" s="16"/>
      <c r="WYZ22" s="41"/>
      <c r="WZA22" s="41"/>
      <c r="WZB22" s="28"/>
      <c r="WZC22" s="29"/>
      <c r="WZD22" s="24"/>
      <c r="WZE22" s="13"/>
      <c r="WZF22" s="13"/>
      <c r="WZG22" s="14"/>
      <c r="WZH22" s="15"/>
      <c r="WZI22" s="15"/>
      <c r="WZJ22" s="16"/>
      <c r="WZK22" s="41"/>
      <c r="WZL22" s="41"/>
      <c r="WZM22" s="28"/>
      <c r="WZN22" s="29"/>
      <c r="WZO22" s="24"/>
      <c r="WZP22" s="13"/>
      <c r="WZQ22" s="13"/>
      <c r="WZR22" s="14"/>
      <c r="WZS22" s="15"/>
      <c r="WZT22" s="15"/>
      <c r="WZU22" s="16"/>
      <c r="WZV22" s="41"/>
      <c r="WZW22" s="41"/>
      <c r="WZX22" s="28"/>
      <c r="WZY22" s="29"/>
      <c r="WZZ22" s="24"/>
      <c r="XAA22" s="13"/>
      <c r="XAB22" s="13"/>
      <c r="XAC22" s="14"/>
      <c r="XAD22" s="15"/>
      <c r="XAE22" s="15"/>
      <c r="XAF22" s="16"/>
      <c r="XAG22" s="41"/>
      <c r="XAH22" s="41"/>
      <c r="XAI22" s="28"/>
      <c r="XAJ22" s="29"/>
      <c r="XAK22" s="24"/>
      <c r="XAL22" s="13"/>
      <c r="XAM22" s="13"/>
      <c r="XAN22" s="14"/>
      <c r="XAO22" s="15"/>
      <c r="XAP22" s="15"/>
      <c r="XAQ22" s="16"/>
      <c r="XAR22" s="41"/>
      <c r="XAS22" s="41"/>
      <c r="XAT22" s="28"/>
      <c r="XAU22" s="29"/>
      <c r="XAV22" s="24"/>
      <c r="XAW22" s="13"/>
      <c r="XAX22" s="13"/>
      <c r="XAY22" s="14"/>
      <c r="XAZ22" s="15"/>
      <c r="XBA22" s="15"/>
      <c r="XBB22" s="16"/>
      <c r="XBC22" s="41"/>
      <c r="XBD22" s="41"/>
      <c r="XBE22" s="28"/>
      <c r="XBF22" s="29"/>
      <c r="XBG22" s="24"/>
      <c r="XBH22" s="13"/>
      <c r="XBI22" s="13"/>
      <c r="XBJ22" s="14"/>
      <c r="XBK22" s="15"/>
      <c r="XBL22" s="15"/>
      <c r="XBM22" s="16"/>
      <c r="XBN22" s="41"/>
      <c r="XBO22" s="41"/>
      <c r="XBP22" s="28"/>
      <c r="XBQ22" s="29"/>
      <c r="XBR22" s="24"/>
      <c r="XBS22" s="13"/>
      <c r="XBT22" s="13"/>
      <c r="XBU22" s="14"/>
      <c r="XBV22" s="15"/>
      <c r="XBW22" s="15"/>
      <c r="XBX22" s="16"/>
      <c r="XBY22" s="41"/>
      <c r="XBZ22" s="41"/>
      <c r="XCA22" s="28"/>
      <c r="XCB22" s="29"/>
      <c r="XCC22" s="24"/>
      <c r="XCD22" s="13"/>
      <c r="XCE22" s="13"/>
      <c r="XCF22" s="14"/>
      <c r="XCG22" s="15"/>
      <c r="XCH22" s="15"/>
      <c r="XCI22" s="16"/>
      <c r="XCJ22" s="41"/>
      <c r="XCK22" s="41"/>
      <c r="XCL22" s="28"/>
      <c r="XCM22" s="29"/>
      <c r="XCN22" s="24"/>
      <c r="XCO22" s="13"/>
      <c r="XCP22" s="13"/>
      <c r="XCQ22" s="14"/>
      <c r="XCR22" s="15"/>
      <c r="XCS22" s="15"/>
      <c r="XCT22" s="16"/>
      <c r="XCU22" s="41"/>
      <c r="XCV22" s="41"/>
      <c r="XCW22" s="28"/>
      <c r="XCX22" s="29"/>
      <c r="XCY22" s="24"/>
      <c r="XCZ22" s="13"/>
      <c r="XDA22" s="13"/>
      <c r="XDB22" s="14"/>
      <c r="XDC22" s="15"/>
      <c r="XDD22" s="15"/>
      <c r="XDE22" s="16"/>
      <c r="XDF22" s="41"/>
      <c r="XDG22" s="41"/>
      <c r="XDH22" s="28"/>
      <c r="XDI22" s="29"/>
      <c r="XDJ22" s="24"/>
      <c r="XDK22" s="13"/>
      <c r="XDL22" s="13"/>
      <c r="XDM22" s="14"/>
      <c r="XDN22" s="15"/>
      <c r="XDO22" s="15"/>
      <c r="XDP22" s="16"/>
      <c r="XDQ22" s="41"/>
      <c r="XDR22" s="41"/>
      <c r="XDS22" s="28"/>
      <c r="XDT22" s="29"/>
      <c r="XDU22" s="24"/>
      <c r="XDV22" s="13"/>
      <c r="XDW22" s="13"/>
      <c r="XDX22" s="14"/>
      <c r="XDY22" s="15"/>
      <c r="XDZ22" s="15"/>
      <c r="XEA22" s="16"/>
      <c r="XEB22" s="41"/>
      <c r="XEC22" s="41"/>
      <c r="XED22" s="28"/>
      <c r="XEE22" s="29"/>
      <c r="XEF22" s="24"/>
      <c r="XEG22" s="13"/>
      <c r="XEH22" s="13"/>
      <c r="XEI22" s="14"/>
      <c r="XEJ22" s="15"/>
      <c r="XEK22" s="15"/>
      <c r="XEL22" s="16"/>
      <c r="XEM22" s="41"/>
      <c r="XEN22" s="41"/>
      <c r="XEO22" s="28"/>
      <c r="XEP22" s="29"/>
      <c r="XEQ22" s="24"/>
      <c r="XER22" s="13"/>
      <c r="XES22" s="13"/>
      <c r="XET22" s="14"/>
      <c r="XEU22" s="15"/>
      <c r="XEV22" s="15"/>
      <c r="XEW22" s="16"/>
      <c r="XEX22" s="41"/>
      <c r="XEY22" s="41"/>
      <c r="XEZ22" s="28"/>
      <c r="XFA22" s="29"/>
      <c r="XFB22" s="24"/>
      <c r="XFC22" s="13"/>
      <c r="XFD22" s="13"/>
    </row>
    <row r="23" spans="1:16384" ht="15.6">
      <c r="A23" s="30" t="str">
        <v>Chandler - B of A Campus Bldg A</v>
      </c>
      <c r="B23" s="31" t="str">
        <v>AZ</v>
      </c>
      <c r="C23" s="11"/>
      <c r="D23" s="18"/>
      <c r="E23" s="18" t="str">
        <f t="shared" si="0"/>
        <v/>
      </c>
      <c r="F23" s="19" t="str">
        <f t="shared" si="4"/>
        <v/>
      </c>
      <c r="G23" s="20"/>
      <c r="H23" s="20" t="str">
        <f t="shared" si="1"/>
        <v/>
      </c>
      <c r="I23" s="19" t="str">
        <f t="shared" si="5"/>
        <v/>
      </c>
      <c r="J23" s="42"/>
      <c r="K23" s="42"/>
    </row>
    <row r="24" spans="1:16384" ht="15.6">
      <c r="A24" s="28" t="str">
        <v>Chandler - B of A Campus Bldg B</v>
      </c>
      <c r="B24" s="29" t="str">
        <v>AZ</v>
      </c>
      <c r="C24" s="24"/>
      <c r="D24" s="13"/>
      <c r="E24" s="13" t="str">
        <f t="shared" si="0"/>
        <v/>
      </c>
      <c r="F24" s="14" t="str">
        <f t="shared" si="4"/>
        <v/>
      </c>
      <c r="G24" s="15"/>
      <c r="H24" s="15" t="str">
        <f t="shared" si="1"/>
        <v/>
      </c>
      <c r="I24" s="16" t="str">
        <f t="shared" si="5"/>
        <v/>
      </c>
      <c r="J24" s="41"/>
      <c r="K24" s="41"/>
    </row>
    <row r="25" spans="1:16384" ht="15.6">
      <c r="A25" s="30" t="str">
        <v>Chandler - B of A Campus Bldg C</v>
      </c>
      <c r="B25" s="31" t="str">
        <v>AZ</v>
      </c>
      <c r="C25" s="11"/>
      <c r="D25" s="18"/>
      <c r="E25" s="18" t="str">
        <f t="shared" si="0"/>
        <v/>
      </c>
      <c r="F25" s="19" t="str">
        <f t="shared" si="4"/>
        <v/>
      </c>
      <c r="G25" s="20"/>
      <c r="H25" s="20" t="str">
        <f t="shared" si="1"/>
        <v/>
      </c>
      <c r="I25" s="19" t="str">
        <f t="shared" si="5"/>
        <v/>
      </c>
      <c r="J25" s="59"/>
      <c r="K25" s="59"/>
    </row>
    <row r="26" spans="1:16384" ht="15.6">
      <c r="A26" s="28" t="str">
        <v>Chandler - B of A Campus Bldg D</v>
      </c>
      <c r="B26" s="29" t="str">
        <v>AZ</v>
      </c>
      <c r="C26" s="24"/>
      <c r="D26" s="13"/>
      <c r="E26" s="13" t="str">
        <f t="shared" si="0"/>
        <v/>
      </c>
      <c r="F26" s="14" t="str">
        <f t="shared" si="4"/>
        <v/>
      </c>
      <c r="G26" s="15"/>
      <c r="H26" s="15" t="str">
        <f t="shared" si="1"/>
        <v/>
      </c>
      <c r="I26" s="16" t="str">
        <f t="shared" si="5"/>
        <v/>
      </c>
      <c r="J26" s="50"/>
      <c r="K26" s="50"/>
    </row>
    <row r="27" spans="1:16384" ht="15.6">
      <c r="A27" s="30" t="str">
        <v>Tampa - BoA Ekman</v>
      </c>
      <c r="B27" s="31" t="str">
        <v>FL</v>
      </c>
      <c r="C27" s="11"/>
      <c r="D27" s="18"/>
      <c r="E27" s="18" t="str">
        <f t="shared" si="0"/>
        <v/>
      </c>
      <c r="F27" s="19" t="str">
        <f t="shared" si="4"/>
        <v/>
      </c>
      <c r="G27" s="20"/>
      <c r="H27" s="20" t="str">
        <f t="shared" si="1"/>
        <v/>
      </c>
      <c r="I27" s="19" t="str">
        <f t="shared" si="5"/>
        <v/>
      </c>
      <c r="J27" s="53"/>
      <c r="K27" s="47"/>
    </row>
    <row r="28" spans="1:16384" ht="15.6">
      <c r="A28" s="28" t="str">
        <v>Charlotte - B of A - Sherrill</v>
      </c>
      <c r="B28" s="29" t="str">
        <v>NC</v>
      </c>
      <c r="C28" s="24"/>
      <c r="D28" s="13"/>
      <c r="E28" s="13" t="str">
        <f t="shared" si="0"/>
        <v/>
      </c>
      <c r="F28" s="14" t="str">
        <f t="shared" si="4"/>
        <v/>
      </c>
      <c r="G28" s="15"/>
      <c r="H28" s="15" t="str">
        <f t="shared" si="1"/>
        <v/>
      </c>
      <c r="I28" s="16" t="str">
        <f t="shared" si="5"/>
        <v/>
      </c>
      <c r="J28" s="41"/>
      <c r="K28" s="41"/>
    </row>
    <row r="29" spans="1:16384" ht="14.45">
      <c r="A29" s="21"/>
      <c r="B29" s="33"/>
      <c r="C29" s="21"/>
      <c r="D29" s="21"/>
      <c r="E29" s="21"/>
      <c r="F29" s="21"/>
      <c r="G29" s="21"/>
      <c r="H29" s="21"/>
      <c r="I29" s="21"/>
      <c r="J29" s="21"/>
      <c r="K29" s="21"/>
    </row>
    <row r="30" spans="1:16384" ht="14.45">
      <c r="A30" s="21"/>
      <c r="B30" s="33"/>
      <c r="C30" s="21"/>
      <c r="D30" s="21"/>
      <c r="E30" s="21"/>
      <c r="F30" s="21"/>
      <c r="G30" s="21"/>
      <c r="H30" s="21"/>
      <c r="I30" s="21"/>
      <c r="J30" s="21"/>
      <c r="K30" s="21"/>
    </row>
    <row r="31" spans="1:16384" ht="14.45">
      <c r="A31" s="21"/>
      <c r="B31" s="33"/>
      <c r="C31" s="21"/>
      <c r="D31" s="21"/>
      <c r="E31" s="21"/>
      <c r="F31" s="22"/>
      <c r="G31" s="21"/>
      <c r="H31" s="21"/>
      <c r="I31" s="22"/>
      <c r="J31" s="21"/>
      <c r="K31" s="21"/>
    </row>
    <row r="32" spans="1:16384"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phoneticPr fontId="37" type="noConversion"/>
  <conditionalFormatting sqref="F2 I2 F4:F98 I4:I98 DL22 DO22 DW22 DZ22 EH22 EK22 ES22 EV22 FD22 FG22 FO22 FR22 FZ22 GC22 GK22 GN22 GV22 GY22 HG22 HJ22 HR22 HU22 IC22 IF22 IN22 IQ22 IY22 JB22 JJ22 JM22 JU22 JX22 KF22 KI22 KQ22 KT22 LB22 LE22 LM22 LP22 LX22 MA22 MI22 ML22 MT22 MW22 NE22 NH22 NP22 NS22 OA22 OD22 OL22 OO22 OW22 OZ22 PH22 PK22 PS22 PV22 QD22 QG22 QO22 QR22 QZ22 RC22 RK22 RN22 RV22 RY22 SG22 SJ22 SR22 SU22 TC22 TF22 TN22 TQ22 TY22 UB22 UJ22 UM22 UU22 UX22 VF22 VI22 VQ22 VT22 WB22 WE22 WM22 WP22 WX22 XA22 XI22 XL22 XT22 XW22 YE22 YH22 YP22 YS22 ZA22 ZD22 ZL22 ZO22 ZW22 ZZ22 AAH22 AAK22 AAS22 AAV22 ABD22 ABG22 ABO22 ABR22 ABZ22 ACC22 ACK22 ACN22 ACV22 ACY22 ADG22 ADJ22 ADR22 ADU22 AEC22 AEF22 AEN22 AEQ22 AEY22 AFB22 AFJ22 AFM22 AFU22 AFX22 AGF22 AGI22 AGQ22 AGT22 AHB22 AHE22 AHM22 AHP22 AHX22 AIA22 AII22 AIL22 AIT22 AIW22 AJE22 AJH22 AJP22 AJS22 AKA22 AKD22 AKL22 AKO22 AKW22 AKZ22 ALH22 ALK22 ALS22 ALV22 AMD22 AMG22 AMO22 AMR22 AMZ22 ANC22 ANK22 ANN22 ANV22 ANY22 AOG22 AOJ22 AOR22 AOU22 APC22 APF22 APN22 APQ22 APY22 AQB22 AQJ22 AQM22 AQU22 AQX22 ARF22 ARI22 ARQ22 ART22 ASB22 ASE22 ASM22 ASP22 ASX22 ATA22 ATI22 ATL22 ATT22 ATW22 AUE22 AUH22 AUP22 AUS22 AVA22 AVD22 AVL22 AVO22 AVW22 AVZ22 AWH22 AWK22 AWS22 AWV22 AXD22 AXG22 AXO22 AXR22 AXZ22 AYC22 AYK22 AYN22 AYV22 AYY22 AZG22 AZJ22 AZR22 AZU22 BAC22 BAF22 BAN22 BAQ22 BAY22 BBB22 BBJ22 BBM22 BBU22 BBX22 BCF22 BCI22 BCQ22 BCT22 BDB22 BDE22 BDM22 BDP22 BDX22 BEA22 BEI22 BEL22 BET22 BEW22 BFE22 BFH22 BFP22 BFS22 BGA22 BGD22 BGL22 BGO22 BGW22 BGZ22 BHH22 BHK22 BHS22 BHV22 BID22 BIG22 BIO22 BIR22 BIZ22 BJC22 BJK22 BJN22 BJV22 BJY22 BKG22 BKJ22 BKR22 BKU22 BLC22 BLF22 BLN22 BLQ22 BLY22 BMB22 BMJ22 BMM22 BMU22 BMX22 BNF22 BNI22 BNQ22 BNT22 BOB22 BOE22 BOM22 BOP22 BOX22 BPA22 BPI22 BPL22 BPT22 BPW22 BQE22 BQH22 BQP22 BQS22 BRA22 BRD22 BRL22 BRO22 BRW22 BRZ22 BSH22 BSK22 BSS22 BSV22 BTD22 BTG22 BTO22 BTR22 BTZ22 BUC22 BUK22 BUN22 BUV22 BUY22 BVG22 BVJ22 BVR22 BVU22 BWC22 BWF22 BWN22 BWQ22 BWY22 BXB22 BXJ22 BXM22 BXU22 BXX22 BYF22 BYI22 BYQ22 BYT22 BZB22 BZE22 BZM22 BZP22 BZX22 CAA22 CAI22 CAL22 CAT22 CAW22 CBE22 CBH22 CBP22 CBS22 CCA22 CCD22 CCL22 CCO22 CCW22 CCZ22 CDH22 CDK22 CDS22 CDV22 CED22 CEG22 CEO22 CER22 CEZ22 CFC22 CFK22 CFN22 CFV22 CFY22 CGG22 CGJ22 CGR22 CGU22 CHC22 CHF22 CHN22 CHQ22 CHY22 CIB22 CIJ22 CIM22 CIU22 CIX22 CJF22 CJI22 CJQ22 CJT22 CKB22 CKE22 CKM22 CKP22 CKX22 CLA22 CLI22 CLL22 CLT22 CLW22 CME22 CMH22 CMP22 CMS22 CNA22 CND22 CNL22 CNO22 CNW22 CNZ22 COH22 COK22 COS22 COV22 CPD22 CPG22 CPO22 CPR22 CPZ22 CQC22 CQK22 CQN22 CQV22 CQY22 CRG22 CRJ22 CRR22 CRU22 CSC22 CSF22 CSN22 CSQ22 CSY22 CTB22 CTJ22 CTM22 CTU22 CTX22 CUF22 CUI22 CUQ22 CUT22 CVB22 CVE22 CVM22 CVP22 CVX22 CWA22 CWI22 CWL22 CWT22 CWW22 CXE22 CXH22 CXP22 CXS22 CYA22 CYD22 CYL22 CYO22 CYW22 CYZ22 CZH22 CZK22 CZS22 CZV22 DAD22 DAG22 DAO22 DAR22 DAZ22 DBC22 DBK22 DBN22 DBV22 DBY22 DCG22 DCJ22 DCR22 DCU22 DDC22 DDF22 DDN22 DDQ22 DDY22 DEB22 DEJ22 DEM22 DEU22 DEX22 DFF22 DFI22 DFQ22 DFT22 DGB22 DGE22 DGM22 DGP22 DGX22 DHA22 DHI22 DHL22 DHT22 DHW22 DIE22 DIH22 DIP22 DIS22 DJA22 DJD22 DJL22 DJO22 DJW22 DJZ22 DKH22 DKK22 DKS22 DKV22 DLD22 DLG22 DLO22 DLR22 DLZ22 DMC22 DMK22 DMN22 DMV22 DMY22 DNG22 DNJ22 DNR22 DNU22 DOC22 DOF22 DON22 DOQ22 DOY22 DPB22 DPJ22 DPM22 DPU22 DPX22 DQF22 DQI22 DQQ22 DQT22 DRB22 DRE22 DRM22 DRP22 DRX22 DSA22 DSI22 DSL22 DST22 DSW22 DTE22 DTH22 DTP22 DTS22 DUA22 DUD22 DUL22 DUO22 DUW22 DUZ22 DVH22 DVK22 DVS22 DVV22 DWD22 DWG22 DWO22 DWR22 DWZ22 DXC22 DXK22 DXN22 DXV22 DXY22 DYG22 DYJ22 DYR22 DYU22 DZC22 DZF22 DZN22 DZQ22 DZY22 EAB22 EAJ22 EAM22 EAU22 EAX22 EBF22 EBI22 EBQ22 EBT22 ECB22 ECE22 ECM22 ECP22 ECX22 EDA22 EDI22 EDL22 EDT22 EDW22 EEE22 EEH22 EEP22 EES22 EFA22 EFD22 EFL22 EFO22 EFW22 EFZ22 EGH22 EGK22 EGS22 EGV22 EHD22 EHG22 EHO22 EHR22 EHZ22 EIC22 EIK22 EIN22 EIV22 EIY22 EJG22 EJJ22 EJR22 EJU22 EKC22 EKF22 EKN22 EKQ22 EKY22 ELB22 ELJ22 ELM22 ELU22 ELX22 EMF22 EMI22 EMQ22 EMT22 ENB22 ENE22 ENM22 ENP22 ENX22 EOA22 EOI22 EOL22 EOT22 EOW22 EPE22 EPH22 EPP22 EPS22 EQA22 EQD22 EQL22 EQO22 EQW22 EQZ22 ERH22 ERK22 ERS22 ERV22 ESD22 ESG22 ESO22 ESR22 ESZ22 ETC22 ETK22 ETN22 ETV22 ETY22 EUG22 EUJ22 EUR22 EUU22 EVC22 EVF22 EVN22 EVQ22 EVY22 EWB22 EWJ22 EWM22 EWU22 EWX22 EXF22 EXI22 EXQ22 EXT22 EYB22 EYE22 EYM22 EYP22 EYX22 EZA22 EZI22 EZL22 EZT22 EZW22 FAE22 FAH22 FAP22 FAS22 FBA22 FBD22 FBL22 FBO22 FBW22 FBZ22 FCH22 FCK22 FCS22 FCV22 FDD22 FDG22 FDO22 FDR22 FDZ22 FEC22 FEK22 FEN22 FEV22 FEY22 FFG22 FFJ22 FFR22 FFU22 FGC22 FGF22 FGN22 FGQ22 FGY22 FHB22 FHJ22 FHM22 FHU22 FHX22 FIF22 FII22 FIQ22 FIT22 FJB22 FJE22 FJM22 FJP22 FJX22 FKA22 FKI22 FKL22 FKT22 FKW22 FLE22 FLH22 FLP22 FLS22 FMA22 FMD22 FML22 FMO22 FMW22 FMZ22 FNH22 FNK22 FNS22 FNV22 FOD22 FOG22 FOO22 FOR22 FOZ22 FPC22 FPK22 FPN22 FPV22 FPY22 FQG22 FQJ22 FQR22 FQU22 FRC22 FRF22 FRN22 FRQ22 FRY22 FSB22 FSJ22 FSM22 FSU22 FSX22 FTF22 FTI22 FTQ22 FTT22 FUB22 FUE22 FUM22 FUP22 FUX22 FVA22 FVI22 FVL22 FVT22 FVW22 FWE22 FWH22 FWP22 FWS22 FXA22 FXD22 FXL22 FXO22 FXW22 FXZ22 FYH22 FYK22 FYS22 FYV22 FZD22 FZG22 FZO22 FZR22 FZZ22 GAC22 GAK22 GAN22 GAV22 GAY22 GBG22 GBJ22 GBR22 GBU22 GCC22 GCF22 GCN22 GCQ22 GCY22 GDB22 GDJ22 GDM22 GDU22 GDX22 GEF22 GEI22 GEQ22 GET22 GFB22 GFE22 GFM22 GFP22 GFX22 GGA22 GGI22 GGL22 GGT22 GGW22 GHE22 GHH22 GHP22 GHS22 GIA22 GID22 GIL22 GIO22 GIW22 GIZ22 GJH22 GJK22 GJS22 GJV22 GKD22 GKG22 GKO22 GKR22 GKZ22 GLC22 GLK22 GLN22 GLV22 GLY22 GMG22 GMJ22 GMR22 GMU22 GNC22 GNF22 GNN22 GNQ22 GNY22 GOB22 GOJ22 GOM22 GOU22 GOX22 GPF22 GPI22 GPQ22 GPT22 GQB22 GQE22 GQM22 GQP22 GQX22 GRA22 GRI22 GRL22 GRT22 GRW22 GSE22 GSH22 GSP22 GSS22 GTA22 GTD22 GTL22 GTO22 GTW22 GTZ22 GUH22 GUK22 GUS22 GUV22 GVD22 GVG22 GVO22 GVR22 GVZ22 GWC22 GWK22 GWN22 GWV22 GWY22 GXG22 GXJ22 GXR22 GXU22 GYC22 GYF22 GYN22 GYQ22 GYY22 GZB22 GZJ22 GZM22 GZU22 GZX22 HAF22 HAI22 HAQ22 HAT22 HBB22 HBE22 HBM22 HBP22 HBX22 HCA22 HCI22 HCL22 HCT22 HCW22 HDE22 HDH22 HDP22 HDS22 HEA22 HED22 HEL22 HEO22 HEW22 HEZ22 HFH22 HFK22 HFS22 HFV22 HGD22 HGG22 HGO22 HGR22 HGZ22 HHC22 HHK22 HHN22 HHV22 HHY22 HIG22 HIJ22 HIR22 HIU22 HJC22 HJF22 HJN22 HJQ22 HJY22 HKB22 HKJ22 HKM22 HKU22 HKX22 HLF22 HLI22 HLQ22 HLT22 HMB22 HME22 HMM22 HMP22 HMX22 HNA22 HNI22 HNL22 HNT22 HNW22 HOE22 HOH22 HOP22 HOS22 HPA22 HPD22 HPL22 HPO22 HPW22 HPZ22 HQH22 HQK22 HQS22 HQV22 HRD22 HRG22 HRO22 HRR22 HRZ22 HSC22 HSK22 HSN22 HSV22 HSY22 HTG22 HTJ22 HTR22 HTU22 HUC22 HUF22 HUN22 HUQ22 HUY22 HVB22 HVJ22 HVM22 HVU22 HVX22 HWF22 HWI22 HWQ22 HWT22 HXB22 HXE22 HXM22 HXP22 HXX22 HYA22 HYI22 HYL22 HYT22 HYW22 HZE22 HZH22 HZP22 HZS22 IAA22 IAD22 IAL22 IAO22 IAW22 IAZ22 IBH22 IBK22 IBS22 IBV22 ICD22 ICG22 ICO22 ICR22 ICZ22 IDC22 IDK22 IDN22 IDV22 IDY22 IEG22 IEJ22 IER22 IEU22 IFC22 IFF22 IFN22 IFQ22 IFY22 IGB22 IGJ22 IGM22 IGU22 IGX22 IHF22 IHI22 IHQ22 IHT22 IIB22 IIE22 IIM22 IIP22 IIX22 IJA22 IJI22 IJL22 IJT22 IJW22 IKE22 IKH22 IKP22 IKS22 ILA22 ILD22 ILL22 ILO22 ILW22 ILZ22 IMH22 IMK22 IMS22 IMV22 IND22 ING22 INO22 INR22 INZ22 IOC22 IOK22 ION22 IOV22 IOY22 IPG22 IPJ22 IPR22 IPU22 IQC22 IQF22 IQN22 IQQ22 IQY22 IRB22 IRJ22 IRM22 IRU22 IRX22 ISF22 ISI22 ISQ22 IST22 ITB22 ITE22 ITM22 ITP22 ITX22 IUA22 IUI22 IUL22 IUT22 IUW22 IVE22 IVH22 IVP22 IVS22 IWA22 IWD22 IWL22 IWO22 IWW22 IWZ22 IXH22 IXK22 IXS22 IXV22 IYD22 IYG22 IYO22 IYR22 IYZ22 IZC22 IZK22 IZN22 IZV22 IZY22 JAG22 JAJ22 JAR22 JAU22 JBC22 JBF22 JBN22 JBQ22 JBY22 JCB22 JCJ22 JCM22 JCU22 JCX22 JDF22 JDI22 JDQ22 JDT22 JEB22 JEE22 JEM22 JEP22 JEX22 JFA22 JFI22 JFL22 JFT22 JFW22 JGE22 JGH22 JGP22 JGS22 JHA22 JHD22 JHL22 JHO22 JHW22 JHZ22 JIH22 JIK22 JIS22 JIV22 JJD22 JJG22 JJO22 JJR22 JJZ22 JKC22 JKK22 JKN22 JKV22 JKY22 JLG22 JLJ22 JLR22 JLU22 JMC22 JMF22 JMN22 JMQ22 JMY22 JNB22 JNJ22 JNM22 JNU22 JNX22 JOF22 JOI22 JOQ22 JOT22 JPB22 JPE22 JPM22 JPP22 JPX22 JQA22 JQI22 JQL22 JQT22 JQW22 JRE22 JRH22 JRP22 JRS22 JSA22 JSD22 JSL22 JSO22 JSW22 JSZ22 JTH22 JTK22 JTS22 JTV22 JUD22 JUG22 JUO22 JUR22 JUZ22 JVC22 JVK22 JVN22 JVV22 JVY22 JWG22 JWJ22 JWR22 JWU22 JXC22 JXF22 JXN22 JXQ22 JXY22 JYB22 JYJ22 JYM22 JYU22 JYX22 JZF22 JZI22 JZQ22 JZT22 KAB22 KAE22 KAM22 KAP22 KAX22 KBA22 KBI22 KBL22 KBT22 KBW22 KCE22 KCH22 KCP22 KCS22 KDA22 KDD22 KDL22 KDO22 KDW22 KDZ22 KEH22 KEK22 KES22 KEV22 KFD22 KFG22 KFO22 KFR22 KFZ22 KGC22 KGK22 KGN22 KGV22 KGY22 KHG22 KHJ22 KHR22 KHU22 KIC22 KIF22 KIN22 KIQ22 KIY22 KJB22 KJJ22 KJM22 KJU22 KJX22 KKF22 KKI22 KKQ22 KKT22 KLB22 KLE22 KLM22 KLP22 KLX22 KMA22 KMI22 KML22 KMT22 KMW22 KNE22 KNH22 KNP22 KNS22 KOA22 KOD22 KOL22 KOO22 KOW22 KOZ22 KPH22 KPK22 KPS22 KPV22 KQD22 KQG22 KQO22 KQR22 KQZ22 KRC22 KRK22 KRN22 KRV22 KRY22 KSG22 KSJ22 KSR22 KSU22 KTC22 KTF22 KTN22 KTQ22 KTY22 KUB22 KUJ22 KUM22 KUU22 KUX22 KVF22 KVI22 KVQ22 KVT22 KWB22 KWE22 KWM22 KWP22 KWX22 KXA22 KXI22 KXL22 KXT22 KXW22 KYE22 KYH22 KYP22 KYS22 KZA22 KZD22 KZL22 KZO22 KZW22 KZZ22 LAH22 LAK22 LAS22 LAV22 LBD22 LBG22 LBO22 LBR22 LBZ22 LCC22 LCK22 LCN22 LCV22 LCY22 LDG22 LDJ22 LDR22 LDU22 LEC22 LEF22 LEN22 LEQ22 LEY22 LFB22 LFJ22 LFM22 LFU22 LFX22 LGF22 LGI22 LGQ22 LGT22 LHB22 LHE22 LHM22 LHP22 LHX22 LIA22 LII22 LIL22 LIT22 LIW22 LJE22 LJH22 LJP22 LJS22 LKA22 LKD22 LKL22 LKO22 LKW22 LKZ22 LLH22 LLK22 LLS22 LLV22 LMD22 LMG22 LMO22 LMR22 LMZ22 LNC22 LNK22 LNN22 LNV22 LNY22 LOG22 LOJ22 LOR22 LOU22 LPC22 LPF22 LPN22 LPQ22 LPY22 LQB22 LQJ22 LQM22 LQU22 LQX22 LRF22 LRI22 LRQ22 LRT22 LSB22 LSE22 LSM22 LSP22 LSX22 LTA22 LTI22 LTL22 LTT22 LTW22 LUE22 LUH22 LUP22 LUS22 LVA22 LVD22 LVL22 LVO22 LVW22 LVZ22 LWH22 LWK22 LWS22 LWV22 LXD22 LXG22 LXO22 LXR22 LXZ22 LYC22 LYK22 LYN22 LYV22 LYY22 LZG22 LZJ22 LZR22 LZU22 MAC22 MAF22 MAN22 MAQ22 MAY22 MBB22 MBJ22 MBM22 MBU22 MBX22 MCF22 MCI22 MCQ22 MCT22 MDB22 MDE22 MDM22 MDP22 MDX22 MEA22 MEI22 MEL22 MET22 MEW22 MFE22 MFH22 MFP22 MFS22 MGA22 MGD22 MGL22 MGO22 MGW22 MGZ22 MHH22 MHK22 MHS22 MHV22 MID22 MIG22 MIO22 MIR22 MIZ22 MJC22 MJK22 MJN22 MJV22 MJY22 MKG22 MKJ22 MKR22 MKU22 MLC22 MLF22 MLN22 MLQ22 MLY22 MMB22 MMJ22 MMM22 MMU22 MMX22 MNF22 MNI22 MNQ22 MNT22 MOB22 MOE22 MOM22 MOP22 MOX22 MPA22 MPI22 MPL22 MPT22 MPW22 MQE22 MQH22 MQP22 MQS22 MRA22 MRD22 MRL22 MRO22 MRW22 MRZ22 MSH22 MSK22 MSS22 MSV22 MTD22 MTG22 MTO22 MTR22 MTZ22 MUC22 MUK22 MUN22 MUV22 MUY22 MVG22 MVJ22 MVR22 MVU22 MWC22 MWF22 MWN22 MWQ22 MWY22 MXB22 MXJ22 MXM22 MXU22 MXX22 MYF22 MYI22 MYQ22 MYT22 MZB22 MZE22 MZM22 MZP22 MZX22 NAA22 NAI22 NAL22 NAT22 NAW22 NBE22 NBH22 NBP22 NBS22 NCA22 NCD22 NCL22 NCO22 NCW22 NCZ22 NDH22 NDK22 NDS22 NDV22 NED22 NEG22 NEO22 NER22 NEZ22 NFC22 NFK22 NFN22 NFV22 NFY22 NGG22 NGJ22 NGR22 NGU22 NHC22 NHF22 NHN22 NHQ22 NHY22 NIB22 NIJ22 NIM22 NIU22 NIX22 NJF22 NJI22 NJQ22 NJT22 NKB22 NKE22 NKM22 NKP22 NKX22 NLA22 NLI22 NLL22 NLT22 NLW22 NME22 NMH22 NMP22 NMS22 NNA22 NND22 NNL22 NNO22 NNW22 NNZ22 NOH22 NOK22 NOS22 NOV22 NPD22 NPG22 NPO22 NPR22 NPZ22 NQC22 NQK22 NQN22 NQV22 NQY22 NRG22 NRJ22 NRR22 NRU22 NSC22 NSF22 NSN22 NSQ22 NSY22 NTB22 NTJ22 NTM22 NTU22 NTX22 NUF22 NUI22 NUQ22 NUT22 NVB22 NVE22 NVM22 NVP22 NVX22 NWA22 NWI22 NWL22 NWT22 NWW22 NXE22 NXH22 NXP22 NXS22 NYA22 NYD22 NYL22 NYO22 NYW22 NYZ22 NZH22 NZK22 NZS22 NZV22 OAD22 OAG22 OAO22 OAR22 OAZ22 OBC22 OBK22 OBN22 OBV22 OBY22 OCG22 OCJ22 OCR22 OCU22 ODC22 ODF22 ODN22 ODQ22 ODY22 OEB22 OEJ22 OEM22 OEU22 OEX22 OFF22 OFI22 OFQ22 OFT22 OGB22 OGE22 OGM22 OGP22 OGX22 OHA22 OHI22 OHL22 OHT22 OHW22 OIE22 OIH22 OIP22 OIS22 OJA22 OJD22 OJL22 OJO22 OJW22 OJZ22 OKH22 OKK22 OKS22 OKV22 OLD22 OLG22 OLO22 OLR22 OLZ22 OMC22 OMK22 OMN22 OMV22 OMY22 ONG22 ONJ22 ONR22 ONU22 OOC22 OOF22 OON22 OOQ22 OOY22 OPB22 OPJ22 OPM22 OPU22 OPX22 OQF22 OQI22 OQQ22 OQT22 ORB22 ORE22 ORM22 ORP22 ORX22 OSA22 OSI22 OSL22 OST22 OSW22 OTE22 OTH22 OTP22 OTS22 OUA22 OUD22 OUL22 OUO22 OUW22 OUZ22 OVH22 OVK22 OVS22 OVV22 OWD22 OWG22 OWO22 OWR22 OWZ22 OXC22 OXK22 OXN22 OXV22 OXY22 OYG22 OYJ22 OYR22 OYU22 OZC22 OZF22 OZN22 OZQ22 OZY22 PAB22 PAJ22 PAM22 PAU22 PAX22 PBF22 PBI22 PBQ22 PBT22 PCB22 PCE22 PCM22 PCP22 PCX22 PDA22 PDI22 PDL22 PDT22 PDW22 PEE22 PEH22 PEP22 PES22 PFA22 PFD22 PFL22 PFO22 PFW22 PFZ22 PGH22 PGK22 PGS22 PGV22 PHD22 PHG22 PHO22 PHR22 PHZ22 PIC22 PIK22 PIN22 PIV22 PIY22 PJG22 PJJ22 PJR22 PJU22 PKC22 PKF22 PKN22 PKQ22 PKY22 PLB22 PLJ22 PLM22 PLU22 PLX22 PMF22 PMI22 PMQ22 PMT22 PNB22 PNE22 PNM22 PNP22 PNX22 POA22 POI22 POL22 POT22 POW22 PPE22 PPH22 PPP22 PPS22 PQA22 PQD22 PQL22 PQO22 PQW22 PQZ22 PRH22 PRK22 PRS22 PRV22 PSD22 PSG22 PSO22 PSR22 PSZ22 PTC22 PTK22 PTN22 PTV22 PTY22 PUG22 PUJ22 PUR22 PUU22 PVC22 PVF22 PVN22 PVQ22 PVY22 PWB22 PWJ22 PWM22 PWU22 PWX22 PXF22 PXI22 PXQ22 PXT22 PYB22 PYE22 PYM22 PYP22 PYX22 PZA22 PZI22 PZL22 PZT22 PZW22 QAE22 QAH22 QAP22 QAS22 QBA22 QBD22 QBL22 QBO22 QBW22 QBZ22 QCH22 QCK22 QCS22 QCV22 QDD22 QDG22 QDO22 QDR22 QDZ22 QEC22 QEK22 QEN22 QEV22 QEY22 QFG22 QFJ22 QFR22 QFU22 QGC22 QGF22 QGN22 QGQ22 QGY22 QHB22 QHJ22 QHM22 QHU22 QHX22 QIF22 QII22 QIQ22 QIT22 QJB22 QJE22 QJM22 QJP22 QJX22 QKA22 QKI22 QKL22 QKT22 QKW22 QLE22 QLH22 QLP22 QLS22 QMA22 QMD22 QML22 QMO22 QMW22 QMZ22 QNH22 QNK22 QNS22 QNV22 QOD22 QOG22 QOO22 QOR22 QOZ22 QPC22 QPK22 QPN22 QPV22 QPY22 QQG22 QQJ22 QQR22 QQU22 QRC22 QRF22 QRN22 QRQ22 QRY22 QSB22 QSJ22 QSM22 QSU22 QSX22 QTF22 QTI22 QTQ22 QTT22 QUB22 QUE22 QUM22 QUP22 QUX22 QVA22 QVI22 QVL22 QVT22 QVW22 QWE22 QWH22 QWP22 QWS22 QXA22 QXD22 QXL22 QXO22 QXW22 QXZ22 QYH22 QYK22 QYS22 QYV22 QZD22 QZG22 QZO22 QZR22 QZZ22 RAC22 RAK22 RAN22 RAV22 RAY22 RBG22 RBJ22 RBR22 RBU22 RCC22 RCF22 RCN22 RCQ22 RCY22 RDB22 RDJ22 RDM22 RDU22 RDX22 REF22 REI22 REQ22 RET22 RFB22 RFE22 RFM22 RFP22 RFX22 RGA22 RGI22 RGL22 RGT22 RGW22 RHE22 RHH22 RHP22 RHS22 RIA22 RID22 RIL22 RIO22 RIW22 RIZ22 RJH22 RJK22 RJS22 RJV22 RKD22 RKG22 RKO22 RKR22 RKZ22 RLC22 RLK22 RLN22 RLV22 RLY22 RMG22 RMJ22 RMR22 RMU22 RNC22 RNF22 RNN22 RNQ22 RNY22 ROB22 ROJ22 ROM22 ROU22 ROX22 RPF22 RPI22 RPQ22 RPT22 RQB22 RQE22 RQM22 RQP22 RQX22 RRA22 RRI22 RRL22 RRT22 RRW22 RSE22 RSH22 RSP22 RSS22 RTA22 RTD22 RTL22 RTO22 RTW22 RTZ22 RUH22 RUK22 RUS22 RUV22 RVD22 RVG22 RVO22 RVR22 RVZ22 RWC22 RWK22 RWN22 RWV22 RWY22 RXG22 RXJ22 RXR22 RXU22 RYC22 RYF22 RYN22 RYQ22 RYY22 RZB22 RZJ22 RZM22 RZU22 RZX22 SAF22 SAI22 SAQ22 SAT22 SBB22 SBE22 SBM22 SBP22 SBX22 SCA22 SCI22 SCL22 SCT22 SCW22 SDE22 SDH22 SDP22 SDS22 SEA22 SED22 SEL22 SEO22 SEW22 SEZ22 SFH22 SFK22 SFS22 SFV22 SGD22 SGG22 SGO22 SGR22 SGZ22 SHC22 SHK22 SHN22 SHV22 SHY22 SIG22 SIJ22 SIR22 SIU22 SJC22 SJF22 SJN22 SJQ22 SJY22 SKB22 SKJ22 SKM22 SKU22 SKX22 SLF22 SLI22 SLQ22 SLT22 SMB22 SME22 SMM22 SMP22 SMX22 SNA22 SNI22 SNL22 SNT22 SNW22 SOE22 SOH22 SOP22 SOS22 SPA22 SPD22 SPL22 SPO22 SPW22 SPZ22 SQH22 SQK22 SQS22 SQV22 SRD22 SRG22 SRO22 SRR22 SRZ22 SSC22 SSK22 SSN22 SSV22 SSY22 STG22 STJ22 STR22 STU22 SUC22 SUF22 SUN22 SUQ22 SUY22 SVB22 SVJ22 SVM22 SVU22 SVX22 SWF22 SWI22 SWQ22 SWT22 SXB22 SXE22 SXM22 SXP22 SXX22 SYA22 SYI22 SYL22 SYT22 SYW22 SZE22 SZH22 SZP22 SZS22 TAA22 TAD22 TAL22 TAO22 TAW22 TAZ22 TBH22 TBK22 TBS22 TBV22 TCD22 TCG22 TCO22 TCR22 TCZ22 TDC22 TDK22 TDN22 TDV22 TDY22 TEG22 TEJ22 TER22 TEU22 TFC22 TFF22 TFN22 TFQ22 TFY22 TGB22 TGJ22 TGM22 TGU22 TGX22 THF22 THI22 THQ22 THT22 TIB22 TIE22 TIM22 TIP22 TIX22 TJA22 TJI22 TJL22 TJT22 TJW22 TKE22 TKH22 TKP22 TKS22 TLA22 TLD22 TLL22 TLO22 TLW22 TLZ22 TMH22 TMK22 TMS22 TMV22 TND22 TNG22 TNO22 TNR22 TNZ22 TOC22 TOK22 TON22 TOV22 TOY22 TPG22 TPJ22 TPR22 TPU22 TQC22 TQF22 TQN22 TQQ22 TQY22 TRB22 TRJ22 TRM22 TRU22 TRX22 TSF22 TSI22 TSQ22 TST22 TTB22 TTE22 TTM22 TTP22 TTX22 TUA22 TUI22 TUL22 TUT22 TUW22 TVE22 TVH22 TVP22 TVS22 TWA22 TWD22 TWL22 TWO22 TWW22 TWZ22 TXH22 TXK22 TXS22 TXV22 TYD22 TYG22 TYO22 TYR22 TYZ22 TZC22 TZK22 TZN22 TZV22 TZY22 UAG22 UAJ22 UAR22 UAU22 UBC22 UBF22 UBN22 UBQ22 UBY22 UCB22 UCJ22 UCM22 UCU22 UCX22 UDF22 UDI22 UDQ22 UDT22 UEB22 UEE22 UEM22 UEP22 UEX22 UFA22 UFI22 UFL22 UFT22 UFW22 UGE22 UGH22 UGP22 UGS22 UHA22 UHD22 UHL22 UHO22 UHW22 UHZ22 UIH22 UIK22 UIS22 UIV22 UJD22 UJG22 UJO22 UJR22 UJZ22 UKC22 UKK22 UKN22 UKV22 UKY22 ULG22 ULJ22 ULR22 ULU22 UMC22 UMF22 UMN22 UMQ22 UMY22 UNB22 UNJ22 UNM22 UNU22 UNX22 UOF22 UOI22 UOQ22 UOT22 UPB22 UPE22 UPM22 UPP22 UPX22 UQA22 UQI22 UQL22 UQT22 UQW22 URE22 URH22 URP22 URS22 USA22 USD22 USL22 USO22 USW22 USZ22 UTH22 UTK22 UTS22 UTV22 UUD22 UUG22 UUO22 UUR22 UUZ22 UVC22 UVK22 UVN22 UVV22 UVY22 UWG22 UWJ22 UWR22 UWU22 UXC22 UXF22 UXN22 UXQ22 UXY22 UYB22 UYJ22 UYM22 UYU22 UYX22 UZF22 UZI22 UZQ22 UZT22 VAB22 VAE22 VAM22 VAP22 VAX22 VBA22 VBI22 VBL22 VBT22 VBW22 VCE22 VCH22 VCP22 VCS22 VDA22 VDD22 VDL22 VDO22 VDW22 VDZ22 VEH22 VEK22 VES22 VEV22 VFD22 VFG22 VFO22 VFR22 VFZ22 VGC22 VGK22 VGN22 VGV22 VGY22 VHG22 VHJ22 VHR22 VHU22 VIC22 VIF22 VIN22 VIQ22 VIY22 VJB22 VJJ22 VJM22 VJU22 VJX22 VKF22 VKI22 VKQ22 VKT22 VLB22 VLE22 VLM22 VLP22 VLX22 VMA22 VMI22 VML22 VMT22 VMW22 VNE22 VNH22 VNP22 VNS22 VOA22 VOD22 VOL22 VOO22 VOW22 VOZ22 VPH22 VPK22 VPS22 VPV22 VQD22 VQG22 VQO22 VQR22 VQZ22 VRC22 VRK22 VRN22 VRV22 VRY22 VSG22 VSJ22 VSR22 VSU22 VTC22 VTF22 VTN22 VTQ22 VTY22 VUB22 VUJ22 VUM22 VUU22 VUX22 VVF22 VVI22 VVQ22 VVT22 VWB22 VWE22 VWM22 VWP22 VWX22 VXA22 VXI22 VXL22 VXT22 VXW22 VYE22 VYH22 VYP22 VYS22 VZA22 VZD22 VZL22 VZO22 VZW22 VZZ22 WAH22 WAK22 WAS22 WAV22 WBD22 WBG22 WBO22 WBR22 WBZ22 WCC22 WCK22 WCN22 WCV22 WCY22 WDG22 WDJ22 WDR22 WDU22 WEC22 WEF22 WEN22 WEQ22 WEY22 WFB22 WFJ22 WFM22 WFU22 WFX22 WGF22 WGI22 WGQ22 WGT22 WHB22 WHE22 WHM22 WHP22 WHX22 WIA22 WII22 WIL22 WIT22 WIW22 WJE22 WJH22 WJP22 WJS22 WKA22 WKD22 WKL22 WKO22 WKW22 WKZ22 WLH22 WLK22 WLS22 WLV22 WMD22 WMG22 WMO22 WMR22 WMZ22 WNC22 WNK22 WNN22 WNV22 WNY22 WOG22 WOJ22 WOR22 WOU22 WPC22 WPF22 WPN22 WPQ22 WPY22 WQB22 WQJ22 WQM22 WQU22 WQX22 WRF22 WRI22 WRQ22 WRT22 WSB22 WSE22 WSM22 WSP22 WSX22 WTA22 WTI22 WTL22 WTT22 WTW22 WUE22 WUH22 WUP22 WUS22 WVA22 WVD22 WVL22 WVO22 WVW22 WVZ22 WWH22 WWK22 WWS22 WWV22 WXD22 WXG22 WXO22 WXR22 WXZ22 WYC22 WYK22 WYN22 WYV22 WYY22 WZG22 WZJ22 WZR22 WZU22 XAC22 XAF22 XAN22 XAQ22 XAY22 XBB22 XBJ22 XBM22 XBU22 XBX22 XCF22 XCI22 XCQ22 XCT22 XDB22 XDE22 XDM22 XDP22 XDX22 XEA22 XEI22 XEL22 XET22 XEW22">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8"/>
  <sheetViews>
    <sheetView workbookViewId="0">
      <pane ySplit="3" topLeftCell="A4" activePane="bottomLeft" state="frozen"/>
      <selection pane="bottomLeft" activeCell="A6" sqref="A6:XFD6"/>
    </sheetView>
  </sheetViews>
  <sheetFormatPr defaultRowHeight="12.75" customHeight="1"/>
  <cols>
    <col min="1" max="1" width="48.5703125" customWidth="1"/>
    <col min="2" max="2" width="30.28515625" customWidth="1"/>
    <col min="4" max="4" width="9.140625" customWidth="1"/>
    <col min="5" max="5" width="18.28515625" customWidth="1"/>
    <col min="6" max="13" width="9.140625" customWidth="1"/>
  </cols>
  <sheetData>
    <row r="1" spans="1:6" ht="12.75" customHeight="1">
      <c r="A1" t="s">
        <v>128</v>
      </c>
      <c r="B1" t="s">
        <v>129</v>
      </c>
    </row>
    <row r="3" spans="1:6" ht="13.15">
      <c r="A3" t="s">
        <v>130</v>
      </c>
      <c r="B3" t="s">
        <v>3</v>
      </c>
      <c r="C3" t="s">
        <v>4</v>
      </c>
      <c r="D3" t="s">
        <v>131</v>
      </c>
      <c r="E3" s="2" t="s">
        <v>132</v>
      </c>
    </row>
    <row r="4" spans="1:6" ht="14.45">
      <c r="A4" s="44" t="s">
        <v>133</v>
      </c>
      <c r="B4" s="45" t="s">
        <v>134</v>
      </c>
      <c r="C4" s="45" t="s">
        <v>135</v>
      </c>
      <c r="E4" t="s">
        <v>136</v>
      </c>
      <c r="F4" s="3"/>
    </row>
    <row r="5" spans="1:6" ht="14.45">
      <c r="A5" s="44" t="s">
        <v>137</v>
      </c>
      <c r="B5" s="45" t="s">
        <v>138</v>
      </c>
      <c r="C5" s="45" t="s">
        <v>135</v>
      </c>
      <c r="E5" t="s">
        <v>136</v>
      </c>
      <c r="F5" s="3"/>
    </row>
    <row r="6" spans="1:6" ht="14.45">
      <c r="A6" s="44" t="s">
        <v>139</v>
      </c>
      <c r="B6" s="45" t="s">
        <v>140</v>
      </c>
      <c r="C6" s="45" t="s">
        <v>135</v>
      </c>
      <c r="E6" t="s">
        <v>136</v>
      </c>
      <c r="F6" s="3"/>
    </row>
    <row r="7" spans="1:6" ht="12.75" customHeight="1">
      <c r="A7" s="44" t="s">
        <v>141</v>
      </c>
      <c r="B7" s="45" t="s">
        <v>142</v>
      </c>
      <c r="C7" s="45" t="s">
        <v>143</v>
      </c>
      <c r="E7" t="s">
        <v>136</v>
      </c>
    </row>
    <row r="8" spans="1:6" ht="12.75" customHeight="1">
      <c r="A8" s="44" t="s">
        <v>144</v>
      </c>
      <c r="B8" s="45" t="s">
        <v>145</v>
      </c>
      <c r="C8" s="45" t="s">
        <v>143</v>
      </c>
      <c r="E8" t="s">
        <v>136</v>
      </c>
    </row>
    <row r="9" spans="1:6" ht="12.75" customHeight="1">
      <c r="A9" s="44" t="s">
        <v>146</v>
      </c>
      <c r="B9" s="45" t="s">
        <v>147</v>
      </c>
      <c r="C9" s="45" t="s">
        <v>143</v>
      </c>
      <c r="E9" t="s">
        <v>136</v>
      </c>
    </row>
    <row r="10" spans="1:6" ht="12.75" customHeight="1">
      <c r="A10" s="44" t="s">
        <v>148</v>
      </c>
      <c r="B10" s="45" t="s">
        <v>149</v>
      </c>
      <c r="C10" s="45" t="s">
        <v>143</v>
      </c>
      <c r="E10" t="s">
        <v>136</v>
      </c>
    </row>
    <row r="11" spans="1:6" ht="12.75" customHeight="1">
      <c r="A11" s="44" t="s">
        <v>150</v>
      </c>
      <c r="B11" s="45" t="s">
        <v>151</v>
      </c>
      <c r="C11" s="45" t="s">
        <v>143</v>
      </c>
      <c r="E11" t="s">
        <v>136</v>
      </c>
    </row>
    <row r="12" spans="1:6" ht="12.75" customHeight="1">
      <c r="A12" s="44" t="s">
        <v>152</v>
      </c>
      <c r="B12" s="45" t="s">
        <v>153</v>
      </c>
      <c r="C12" s="45" t="s">
        <v>143</v>
      </c>
      <c r="E12" t="s">
        <v>136</v>
      </c>
    </row>
    <row r="13" spans="1:6" ht="12.75" customHeight="1">
      <c r="A13" s="44" t="s">
        <v>154</v>
      </c>
      <c r="B13" s="45" t="s">
        <v>155</v>
      </c>
      <c r="C13" s="45" t="s">
        <v>143</v>
      </c>
      <c r="E13" t="s">
        <v>136</v>
      </c>
    </row>
    <row r="14" spans="1:6" ht="12.75" customHeight="1">
      <c r="A14" s="44" t="s">
        <v>156</v>
      </c>
      <c r="B14" s="45" t="s">
        <v>157</v>
      </c>
      <c r="C14" s="45" t="s">
        <v>158</v>
      </c>
      <c r="E14" t="s">
        <v>136</v>
      </c>
    </row>
    <row r="15" spans="1:6" ht="12.75" customHeight="1">
      <c r="A15" s="44" t="s">
        <v>159</v>
      </c>
      <c r="B15" s="45" t="s">
        <v>160</v>
      </c>
      <c r="C15" s="45" t="s">
        <v>161</v>
      </c>
      <c r="E15" t="s">
        <v>136</v>
      </c>
    </row>
    <row r="16" spans="1:6" ht="12.75" customHeight="1">
      <c r="A16" s="44" t="s">
        <v>162</v>
      </c>
      <c r="B16" s="45" t="s">
        <v>163</v>
      </c>
      <c r="C16" s="45" t="s">
        <v>161</v>
      </c>
      <c r="E16" t="s">
        <v>136</v>
      </c>
    </row>
    <row r="17" spans="1:5" ht="12.75" customHeight="1">
      <c r="A17" s="44" t="s">
        <v>164</v>
      </c>
      <c r="B17" s="45" t="s">
        <v>165</v>
      </c>
      <c r="C17" s="45" t="s">
        <v>166</v>
      </c>
      <c r="E17" t="s">
        <v>136</v>
      </c>
    </row>
    <row r="18" spans="1:5" ht="12.75" customHeight="1">
      <c r="A18" s="44" t="s">
        <v>167</v>
      </c>
      <c r="B18" s="45" t="s">
        <v>168</v>
      </c>
      <c r="C18" s="45" t="s">
        <v>169</v>
      </c>
      <c r="E18" t="s">
        <v>136</v>
      </c>
    </row>
    <row r="19" spans="1:5" ht="12.75" customHeight="1">
      <c r="A19" s="44" t="s">
        <v>170</v>
      </c>
      <c r="B19" s="45" t="s">
        <v>171</v>
      </c>
      <c r="C19" s="45" t="s">
        <v>169</v>
      </c>
      <c r="E19" t="s">
        <v>136</v>
      </c>
    </row>
    <row r="20" spans="1:5" ht="12.75" customHeight="1">
      <c r="A20" s="44" t="s">
        <v>172</v>
      </c>
      <c r="B20" s="45" t="s">
        <v>173</v>
      </c>
      <c r="C20" s="45" t="s">
        <v>169</v>
      </c>
      <c r="E20" t="s">
        <v>136</v>
      </c>
    </row>
    <row r="21" spans="1:5" ht="12.75" customHeight="1">
      <c r="A21" s="55" t="s">
        <v>174</v>
      </c>
      <c r="B21" s="56" t="s">
        <v>175</v>
      </c>
      <c r="C21" s="57" t="s">
        <v>161</v>
      </c>
      <c r="E21" t="s">
        <v>176</v>
      </c>
    </row>
    <row r="22" spans="1:5" ht="12.75" customHeight="1">
      <c r="A22" s="55" t="s">
        <v>177</v>
      </c>
      <c r="B22" s="56" t="s">
        <v>178</v>
      </c>
      <c r="C22" s="57" t="s">
        <v>161</v>
      </c>
      <c r="E22" t="s">
        <v>176</v>
      </c>
    </row>
    <row r="23" spans="1:5" ht="12.75" customHeight="1">
      <c r="A23" s="55" t="s">
        <v>179</v>
      </c>
      <c r="B23" s="56" t="s">
        <v>180</v>
      </c>
      <c r="C23" s="45" t="s">
        <v>135</v>
      </c>
      <c r="E23" t="s">
        <v>176</v>
      </c>
    </row>
    <row r="24" spans="1:5" ht="12.75" customHeight="1">
      <c r="A24" s="55" t="s">
        <v>181</v>
      </c>
      <c r="B24" s="56" t="s">
        <v>182</v>
      </c>
      <c r="C24" s="45" t="s">
        <v>135</v>
      </c>
      <c r="E24" t="s">
        <v>176</v>
      </c>
    </row>
    <row r="25" spans="1:5" ht="12.75" customHeight="1">
      <c r="A25" s="55" t="s">
        <v>183</v>
      </c>
      <c r="B25" s="56" t="s">
        <v>184</v>
      </c>
      <c r="C25" s="45" t="s">
        <v>135</v>
      </c>
      <c r="E25" t="s">
        <v>176</v>
      </c>
    </row>
    <row r="26" spans="1:5" ht="12.75" customHeight="1">
      <c r="A26" s="55" t="s">
        <v>185</v>
      </c>
      <c r="B26" s="56" t="s">
        <v>186</v>
      </c>
      <c r="C26" s="45" t="s">
        <v>135</v>
      </c>
      <c r="E26" t="s">
        <v>176</v>
      </c>
    </row>
    <row r="27" spans="1:5" ht="12.75" customHeight="1">
      <c r="A27" s="55" t="s">
        <v>187</v>
      </c>
      <c r="B27" s="56" t="s">
        <v>188</v>
      </c>
      <c r="C27" s="57" t="s">
        <v>143</v>
      </c>
      <c r="E27" t="s">
        <v>176</v>
      </c>
    </row>
    <row r="28" spans="1:5" ht="12.75" customHeight="1">
      <c r="A28" s="55" t="s">
        <v>189</v>
      </c>
      <c r="B28" s="56" t="s">
        <v>189</v>
      </c>
      <c r="C28" s="57" t="s">
        <v>161</v>
      </c>
      <c r="E28" t="s">
        <v>176</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8.xml>��
</file>

<file path=customXml/item19.xml>��
</file>

<file path=customXml/item20.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5C6359-7763-4C37-8EAF-2BC4698CB285}"/>
</file>

<file path=customXml/itemProps2.xml><?xml version="1.0" encoding="utf-8"?>
<ds:datastoreItem xmlns:ds="http://schemas.openxmlformats.org/officeDocument/2006/customXml" ds:itemID="{F12EFA50-0068-4A8C-85A0-F1B26389EBC3}"/>
</file>

<file path=customXml/itemProps3.xml><?xml version="1.0" encoding="utf-8"?>
<ds:datastoreItem xmlns:ds="http://schemas.openxmlformats.org/officeDocument/2006/customXml" ds:itemID="{2BC74AAC-D69B-4AF1-9649-B21EF3C1C463}"/>
</file>

<file path=customXml/itemProps4.xml><?xml version="1.0" encoding="utf-8"?>
<ds:datastoreItem xmlns:ds="http://schemas.openxmlformats.org/officeDocument/2006/customXml" ds:itemID="{AB6F44E8-5D1A-4AFE-8CD1-1F640E76C151}"/>
</file>

<file path=customXml/itemProps5.xml><?xml version="1.0" encoding="utf-8"?>
<ds:datastoreItem xmlns:ds="http://schemas.openxmlformats.org/officeDocument/2006/customXml" ds:itemID="{3AEAA9D8-2182-46BA-A58E-96C72DDA1C54}"/>
</file>

<file path=customXml/itemProps6.xml><?xml version="1.0" encoding="utf-8"?>
<ds:datastoreItem xmlns:ds="http://schemas.openxmlformats.org/officeDocument/2006/customXml" ds:itemID="{89CF5C07-45EB-4100-9AFB-2C6AF77FA787}"/>
</file>

<file path=customXml/itemProps7.xml><?xml version="1.0" encoding="utf-8"?>
<ds:datastoreItem xmlns:ds="http://schemas.openxmlformats.org/officeDocument/2006/customXml" ds:itemID="{F6B2B1A1-1C4B-4AC9-9A7D-7A102DD1C942}"/>
</file>

<file path=customXml/itemProps8.xml><?xml version="1.0" encoding="utf-8"?>
<ds:datastoreItem xmlns:ds="http://schemas.openxmlformats.org/officeDocument/2006/customXml" ds:itemID="{BE26B669-A686-459C-A5E9-FEC3409C4C81}"/>
</file>

<file path=customXml/itemProps9.xml><?xml version="1.0" encoding="utf-8"?>
<ds:datastoreItem xmlns:ds="http://schemas.openxmlformats.org/officeDocument/2006/customXml" ds:itemID="{1954BBA4-0359-438C-B0EC-A756015F7C02}"/>
</file>

<file path=customXml/itemProps10.xml><?xml version="1.0" encoding="utf-8"?>
<ds:datastoreItem xmlns:ds="http://schemas.openxmlformats.org/officeDocument/2006/customXml" ds:itemID="{D3A7101F-9A85-4235-8B03-415370C100B2}"/>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CB52044A-5C0B-44A2-99D0-C1C315EC302D}"/>
</file>

<file path=customXml/itemProps13.xml><?xml version="1.0" encoding="utf-8"?>
<ds:datastoreItem xmlns:ds="http://schemas.openxmlformats.org/officeDocument/2006/customXml" ds:itemID="{0389C43E-394D-44C0-87DC-4780FCFCFB40}"/>
</file>

<file path=customXml/itemProps14.xml><?xml version="1.0" encoding="utf-8"?>
<ds:datastoreItem xmlns:ds="http://schemas.openxmlformats.org/officeDocument/2006/customXml" ds:itemID="{078388C9-06F9-42F4-B857-EF76B5CAF1FD}"/>
</file>

<file path=customXml/itemProps15.xml><?xml version="1.0" encoding="utf-8"?>
<ds:datastoreItem xmlns:ds="http://schemas.openxmlformats.org/officeDocument/2006/customXml" ds:itemID="{E3716282-BFD2-4ED2-BA47-BFA1123827F0}"/>
</file>

<file path=customXml/itemProps16.xml><?xml version="1.0" encoding="utf-8"?>
<ds:datastoreItem xmlns:ds="http://schemas.openxmlformats.org/officeDocument/2006/customXml" ds:itemID="{E20E8303-6A67-485C-B6F4-303542CC295C}"/>
</file>

<file path=customXml/itemProps17.xml><?xml version="1.0" encoding="utf-8"?>
<ds:datastoreItem xmlns:ds="http://schemas.openxmlformats.org/officeDocument/2006/customXml" ds:itemID="{8D732231-4216-4543-A665-18A2886B0EB7}"/>
</file>

<file path=customXml/itemProps18.xml><?xml version="1.0" encoding="utf-8"?>
<ds:datastoreItem xmlns:ds="http://schemas.openxmlformats.org/officeDocument/2006/customXml" ds:itemID="{14966E4F-347B-477B-B74C-9DAC05405806}"/>
</file>

<file path=customXml/itemProps19.xml><?xml version="1.0" encoding="utf-8"?>
<ds:datastoreItem xmlns:ds="http://schemas.openxmlformats.org/officeDocument/2006/customXml" ds:itemID="{98A113BB-8B7A-453C-8BD4-8EFC67FC2D3F}"/>
</file>

<file path=customXml/itemProps20.xml><?xml version="1.0" encoding="utf-8"?>
<ds:datastoreItem xmlns:ds="http://schemas.openxmlformats.org/officeDocument/2006/customXml" ds:itemID="{7946C510-7D04-49D8-9B25-EEC04582A1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Boughman, Kaylin</cp:lastModifiedBy>
  <cp:revision/>
  <dcterms:created xsi:type="dcterms:W3CDTF">2021-01-01T16:39:53Z</dcterms:created>
  <dcterms:modified xsi:type="dcterms:W3CDTF">2025-06-23T19:09:03Z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2024-10-17T19:45:42Z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940bdbbc-2637-4ce1-81c0-d59093b4d809</vt:lpwstr>
  </property>
  <property fmtid="{D5CDD505-2E9C-101B-9397-08002B2CF9AE}" pid="9" name="MSIP_Label_9d817c99-0b37-4a07-8277-96aa1f96b74b_ContentBits">
    <vt:lpwstr>0</vt:lpwstr>
  </property>
</Properties>
</file>