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's\"/>
    </mc:Choice>
  </mc:AlternateContent>
  <xr:revisionPtr revIDLastSave="10" documentId="13_ncr:1_{A0B03F60-8B14-4939-A9A0-CA0A85606DC3}" xr6:coauthVersionLast="47" xr6:coauthVersionMax="47" xr10:uidLastSave="{68946666-2048-4294-8F4D-B138DBFA2B8E}"/>
  <bookViews>
    <workbookView xWindow="1080" yWindow="1080" windowWidth="17280" windowHeight="9960" tabRatio="86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8" i="34" l="1"/>
  <c r="G6" i="34"/>
  <c r="G7" i="34"/>
  <c r="G8" i="34"/>
  <c r="G9" i="34"/>
  <c r="G10" i="34"/>
  <c r="G11" i="34"/>
  <c r="G12" i="34"/>
  <c r="G13" i="34"/>
  <c r="G14" i="34"/>
  <c r="G15" i="34"/>
  <c r="G16" i="34"/>
  <c r="G17" i="34"/>
  <c r="G18" i="34"/>
  <c r="G19" i="34"/>
  <c r="G20" i="34"/>
  <c r="G21" i="34"/>
  <c r="G22" i="34"/>
  <c r="G23" i="34"/>
  <c r="G24" i="34"/>
  <c r="G25" i="34"/>
  <c r="G26" i="34"/>
  <c r="G27" i="34"/>
  <c r="G28" i="34"/>
  <c r="G29" i="34"/>
  <c r="G30" i="34"/>
  <c r="G31" i="34"/>
  <c r="G32" i="34"/>
  <c r="G33" i="34"/>
  <c r="G34" i="34"/>
  <c r="G35" i="34"/>
  <c r="G36" i="34"/>
  <c r="G37" i="34"/>
  <c r="G5" i="3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4" i="3"/>
  <c r="I34" i="3" s="1"/>
  <c r="E6" i="3"/>
  <c r="F6" i="3" s="1"/>
  <c r="E29" i="20"/>
  <c r="F29" i="20" s="1"/>
  <c r="E18" i="33"/>
  <c r="F18" i="33" s="1"/>
  <c r="H18" i="33"/>
  <c r="I18" i="33" s="1"/>
  <c r="E19" i="33"/>
  <c r="F19" i="33" s="1"/>
  <c r="H19" i="33"/>
  <c r="I19" i="33" s="1"/>
  <c r="E20" i="33"/>
  <c r="F20" i="33" s="1"/>
  <c r="H20" i="33"/>
  <c r="I20" i="33" s="1"/>
  <c r="E21" i="33"/>
  <c r="F21" i="33"/>
  <c r="H21" i="33"/>
  <c r="I21" i="33" s="1"/>
  <c r="E22" i="33"/>
  <c r="F22" i="33" s="1"/>
  <c r="H22" i="33"/>
  <c r="I22" i="33" s="1"/>
  <c r="E23" i="33"/>
  <c r="F23" i="33"/>
  <c r="H23" i="33"/>
  <c r="I23" i="33"/>
  <c r="E24" i="33"/>
  <c r="F24" i="33" s="1"/>
  <c r="H24" i="33"/>
  <c r="I24" i="33" s="1"/>
  <c r="E25" i="33"/>
  <c r="F25" i="33" s="1"/>
  <c r="H25" i="33"/>
  <c r="I25" i="33"/>
  <c r="E26" i="33"/>
  <c r="F26" i="33" s="1"/>
  <c r="H26" i="33"/>
  <c r="I26" i="33" s="1"/>
  <c r="E27" i="33"/>
  <c r="F27" i="33" s="1"/>
  <c r="H27" i="33"/>
  <c r="I27" i="33" s="1"/>
  <c r="E28" i="33"/>
  <c r="F28" i="33" s="1"/>
  <c r="H28" i="33"/>
  <c r="I28" i="33" s="1"/>
  <c r="E29" i="33"/>
  <c r="F29" i="33"/>
  <c r="H29" i="33"/>
  <c r="I29" i="33" s="1"/>
  <c r="E30" i="33"/>
  <c r="F30" i="33" s="1"/>
  <c r="H30" i="33"/>
  <c r="I30" i="33" s="1"/>
  <c r="E31" i="33"/>
  <c r="F31" i="33"/>
  <c r="H31" i="33"/>
  <c r="I31" i="33"/>
  <c r="E32" i="33"/>
  <c r="F32" i="33" s="1"/>
  <c r="H32" i="33"/>
  <c r="I32" i="33" s="1"/>
  <c r="E33" i="33"/>
  <c r="F33" i="33" s="1"/>
  <c r="H33" i="33"/>
  <c r="I33" i="33"/>
  <c r="E34" i="33"/>
  <c r="F34" i="33" s="1"/>
  <c r="H34" i="33"/>
  <c r="I34" i="33" s="1"/>
  <c r="E35" i="33"/>
  <c r="F35" i="33" s="1"/>
  <c r="H35" i="33"/>
  <c r="I35" i="33" s="1"/>
  <c r="E36" i="33"/>
  <c r="F36" i="33" s="1"/>
  <c r="H36" i="33"/>
  <c r="I36" i="33" s="1"/>
  <c r="E37" i="33"/>
  <c r="F37" i="33"/>
  <c r="H37" i="33"/>
  <c r="I37" i="33" s="1"/>
  <c r="E38" i="33"/>
  <c r="F38" i="33" s="1"/>
  <c r="H38" i="33"/>
  <c r="I38" i="33" s="1"/>
  <c r="E18" i="32"/>
  <c r="F18" i="32"/>
  <c r="H18" i="32"/>
  <c r="I18" i="32" s="1"/>
  <c r="E19" i="32"/>
  <c r="F19" i="32" s="1"/>
  <c r="H19" i="32"/>
  <c r="E20" i="32"/>
  <c r="F20" i="32" s="1"/>
  <c r="H20" i="32"/>
  <c r="I20" i="32" s="1"/>
  <c r="E21" i="32"/>
  <c r="F21" i="32"/>
  <c r="H21" i="32"/>
  <c r="I21" i="32" s="1"/>
  <c r="E22" i="32"/>
  <c r="F22" i="32" s="1"/>
  <c r="H22" i="32"/>
  <c r="I22" i="32" s="1"/>
  <c r="E23" i="32"/>
  <c r="F23" i="32" s="1"/>
  <c r="H23" i="32"/>
  <c r="I23" i="32" s="1"/>
  <c r="E24" i="32"/>
  <c r="F24" i="32" s="1"/>
  <c r="H24" i="32"/>
  <c r="I24" i="32" s="1"/>
  <c r="E25" i="32"/>
  <c r="F25" i="32" s="1"/>
  <c r="H25" i="32"/>
  <c r="I25" i="32" s="1"/>
  <c r="E26" i="32"/>
  <c r="F26" i="32" s="1"/>
  <c r="H26" i="32"/>
  <c r="I26" i="32"/>
  <c r="E27" i="32"/>
  <c r="F27" i="32"/>
  <c r="H27" i="32"/>
  <c r="I27" i="32" s="1"/>
  <c r="E28" i="32"/>
  <c r="F28" i="32"/>
  <c r="H28" i="32"/>
  <c r="I28" i="32" s="1"/>
  <c r="E29" i="32"/>
  <c r="F29" i="32"/>
  <c r="H29" i="32"/>
  <c r="I29" i="32" s="1"/>
  <c r="E30" i="32"/>
  <c r="F30" i="32" s="1"/>
  <c r="H30" i="32"/>
  <c r="I30" i="32"/>
  <c r="E31" i="32"/>
  <c r="F31" i="32" s="1"/>
  <c r="H31" i="32"/>
  <c r="I31" i="32" s="1"/>
  <c r="E32" i="32"/>
  <c r="F32" i="32" s="1"/>
  <c r="H32" i="32"/>
  <c r="I32" i="32" s="1"/>
  <c r="E33" i="32"/>
  <c r="F33" i="32" s="1"/>
  <c r="H33" i="32"/>
  <c r="I33" i="32"/>
  <c r="E34" i="32"/>
  <c r="F34" i="32"/>
  <c r="H34" i="32"/>
  <c r="I34" i="32" s="1"/>
  <c r="E35" i="32"/>
  <c r="F35" i="32" s="1"/>
  <c r="H35" i="32"/>
  <c r="I35" i="32" s="1"/>
  <c r="E36" i="32"/>
  <c r="F36" i="32" s="1"/>
  <c r="H36" i="32"/>
  <c r="I36" i="32"/>
  <c r="E37" i="32"/>
  <c r="F37" i="32"/>
  <c r="H37" i="32"/>
  <c r="E38" i="32"/>
  <c r="F38" i="32" s="1"/>
  <c r="H38" i="32"/>
  <c r="I38" i="32" s="1"/>
  <c r="E18" i="31"/>
  <c r="F18" i="31" s="1"/>
  <c r="H18" i="31"/>
  <c r="I18" i="31" s="1"/>
  <c r="E19" i="31"/>
  <c r="F19" i="31"/>
  <c r="H19" i="31"/>
  <c r="I19" i="31" s="1"/>
  <c r="E20" i="31"/>
  <c r="F20" i="31" s="1"/>
  <c r="H20" i="31"/>
  <c r="I20" i="31" s="1"/>
  <c r="E21" i="31"/>
  <c r="F21" i="31" s="1"/>
  <c r="H21" i="31"/>
  <c r="I21" i="31" s="1"/>
  <c r="E22" i="31"/>
  <c r="F22" i="31" s="1"/>
  <c r="H22" i="31"/>
  <c r="I22" i="31" s="1"/>
  <c r="E23" i="31"/>
  <c r="F23" i="31" s="1"/>
  <c r="H23" i="31"/>
  <c r="I23" i="31" s="1"/>
  <c r="E24" i="31"/>
  <c r="F24" i="31" s="1"/>
  <c r="H24" i="31"/>
  <c r="I24" i="31" s="1"/>
  <c r="E25" i="31"/>
  <c r="F25" i="31" s="1"/>
  <c r="H25" i="31"/>
  <c r="I25" i="31" s="1"/>
  <c r="E26" i="31"/>
  <c r="F26" i="31" s="1"/>
  <c r="H26" i="31"/>
  <c r="E27" i="31"/>
  <c r="F27" i="31" s="1"/>
  <c r="H27" i="31"/>
  <c r="I27" i="31" s="1"/>
  <c r="E28" i="31"/>
  <c r="F28" i="31" s="1"/>
  <c r="H28" i="31"/>
  <c r="I28" i="31" s="1"/>
  <c r="E29" i="31"/>
  <c r="F29" i="31" s="1"/>
  <c r="H29" i="31"/>
  <c r="I29" i="31" s="1"/>
  <c r="E30" i="31"/>
  <c r="F30" i="31" s="1"/>
  <c r="H30" i="31"/>
  <c r="I30" i="31" s="1"/>
  <c r="E31" i="31"/>
  <c r="F31" i="31"/>
  <c r="H31" i="31"/>
  <c r="E32" i="31"/>
  <c r="F32" i="31"/>
  <c r="H32" i="31"/>
  <c r="E33" i="31"/>
  <c r="F33" i="31"/>
  <c r="H33" i="31"/>
  <c r="E34" i="31"/>
  <c r="F34" i="31" s="1"/>
  <c r="H34" i="31"/>
  <c r="I34" i="31" s="1"/>
  <c r="E35" i="31"/>
  <c r="F35" i="31" s="1"/>
  <c r="H35" i="31"/>
  <c r="I35" i="31" s="1"/>
  <c r="E36" i="31"/>
  <c r="F36" i="31" s="1"/>
  <c r="H36" i="31"/>
  <c r="I36" i="31" s="1"/>
  <c r="E37" i="31"/>
  <c r="F37" i="31" s="1"/>
  <c r="H37" i="31"/>
  <c r="I37" i="31" s="1"/>
  <c r="E38" i="31"/>
  <c r="F38" i="31" s="1"/>
  <c r="H38" i="31"/>
  <c r="I38" i="31" s="1"/>
  <c r="E18" i="28"/>
  <c r="F18" i="28" s="1"/>
  <c r="H18" i="28"/>
  <c r="I18" i="28" s="1"/>
  <c r="E19" i="28"/>
  <c r="F19" i="28" s="1"/>
  <c r="H19" i="28"/>
  <c r="I19" i="28" s="1"/>
  <c r="E20" i="28"/>
  <c r="F20" i="28"/>
  <c r="H20" i="28"/>
  <c r="I20" i="28"/>
  <c r="E21" i="28"/>
  <c r="F21" i="28" s="1"/>
  <c r="H21" i="28"/>
  <c r="I21" i="28" s="1"/>
  <c r="E22" i="28"/>
  <c r="F22" i="28" s="1"/>
  <c r="H22" i="28"/>
  <c r="I22" i="28" s="1"/>
  <c r="E23" i="28"/>
  <c r="F23" i="28"/>
  <c r="H23" i="28"/>
  <c r="I23" i="28"/>
  <c r="E24" i="28"/>
  <c r="F24" i="28" s="1"/>
  <c r="H24" i="28"/>
  <c r="I24" i="28" s="1"/>
  <c r="E25" i="28"/>
  <c r="F25" i="28" s="1"/>
  <c r="H25" i="28"/>
  <c r="I25" i="28" s="1"/>
  <c r="E26" i="28"/>
  <c r="F26" i="28"/>
  <c r="H26" i="28"/>
  <c r="I26" i="28" s="1"/>
  <c r="E27" i="28"/>
  <c r="F27" i="28" s="1"/>
  <c r="H27" i="28"/>
  <c r="I27" i="28" s="1"/>
  <c r="E28" i="28"/>
  <c r="F28" i="28" s="1"/>
  <c r="H28" i="28"/>
  <c r="I28" i="28" s="1"/>
  <c r="E29" i="28"/>
  <c r="F29" i="28" s="1"/>
  <c r="H29" i="28"/>
  <c r="I29" i="28" s="1"/>
  <c r="E30" i="28"/>
  <c r="F30" i="28"/>
  <c r="H30" i="28"/>
  <c r="I30" i="28" s="1"/>
  <c r="E31" i="28"/>
  <c r="F31" i="28" s="1"/>
  <c r="H31" i="28"/>
  <c r="I31" i="28" s="1"/>
  <c r="E32" i="28"/>
  <c r="F32" i="28" s="1"/>
  <c r="H32" i="28"/>
  <c r="I32" i="28" s="1"/>
  <c r="E33" i="28"/>
  <c r="F33" i="28" s="1"/>
  <c r="H33" i="28"/>
  <c r="I33" i="28"/>
  <c r="E34" i="28"/>
  <c r="F34" i="28"/>
  <c r="H34" i="28"/>
  <c r="I34" i="28" s="1"/>
  <c r="E35" i="28"/>
  <c r="F35" i="28"/>
  <c r="H35" i="28"/>
  <c r="I35" i="28" s="1"/>
  <c r="E36" i="28"/>
  <c r="F36" i="28" s="1"/>
  <c r="H36" i="28"/>
  <c r="I36" i="28" s="1"/>
  <c r="E37" i="28"/>
  <c r="F37" i="28" s="1"/>
  <c r="H37" i="28"/>
  <c r="I37" i="28"/>
  <c r="E38" i="28"/>
  <c r="F38" i="28" s="1"/>
  <c r="H38" i="28"/>
  <c r="I38" i="28" s="1"/>
  <c r="E18" i="27"/>
  <c r="F18" i="27" s="1"/>
  <c r="H18" i="27"/>
  <c r="I18" i="27" s="1"/>
  <c r="E19" i="27"/>
  <c r="F19" i="27"/>
  <c r="H19" i="27"/>
  <c r="I19" i="27"/>
  <c r="E20" i="27"/>
  <c r="F20" i="27" s="1"/>
  <c r="H20" i="27"/>
  <c r="I20" i="27"/>
  <c r="E21" i="27"/>
  <c r="F21" i="27"/>
  <c r="H21" i="27"/>
  <c r="E22" i="27"/>
  <c r="F22" i="27" s="1"/>
  <c r="H22" i="27"/>
  <c r="H22" i="29" s="1"/>
  <c r="I22" i="29" s="1"/>
  <c r="E23" i="27"/>
  <c r="F23" i="27" s="1"/>
  <c r="H23" i="27"/>
  <c r="I23" i="27" s="1"/>
  <c r="E24" i="27"/>
  <c r="F24" i="27" s="1"/>
  <c r="H24" i="27"/>
  <c r="I24" i="27" s="1"/>
  <c r="E25" i="27"/>
  <c r="F25" i="27"/>
  <c r="H25" i="27"/>
  <c r="I25" i="27" s="1"/>
  <c r="E26" i="27"/>
  <c r="F26" i="27" s="1"/>
  <c r="H26" i="27"/>
  <c r="I26" i="27"/>
  <c r="E27" i="27"/>
  <c r="F27" i="27"/>
  <c r="H27" i="27"/>
  <c r="I27" i="27" s="1"/>
  <c r="E28" i="27"/>
  <c r="F28" i="27"/>
  <c r="H28" i="27"/>
  <c r="I28" i="27" s="1"/>
  <c r="E29" i="27"/>
  <c r="F29" i="27" s="1"/>
  <c r="H29" i="27"/>
  <c r="I29" i="27"/>
  <c r="E30" i="27"/>
  <c r="F30" i="27" s="1"/>
  <c r="H30" i="27"/>
  <c r="I30" i="27" s="1"/>
  <c r="E31" i="27"/>
  <c r="F31" i="27" s="1"/>
  <c r="H31" i="27"/>
  <c r="I31" i="27"/>
  <c r="E32" i="27"/>
  <c r="F32" i="27"/>
  <c r="H32" i="27"/>
  <c r="I32" i="27" s="1"/>
  <c r="E33" i="27"/>
  <c r="F33" i="27" s="1"/>
  <c r="H33" i="27"/>
  <c r="I33" i="27" s="1"/>
  <c r="E34" i="27"/>
  <c r="F34" i="27"/>
  <c r="H34" i="27"/>
  <c r="I34" i="27" s="1"/>
  <c r="E35" i="27"/>
  <c r="F35" i="27" s="1"/>
  <c r="H35" i="27"/>
  <c r="I35" i="27" s="1"/>
  <c r="E36" i="27"/>
  <c r="F36" i="27"/>
  <c r="H36" i="27"/>
  <c r="I36" i="27" s="1"/>
  <c r="E37" i="27"/>
  <c r="F37" i="27" s="1"/>
  <c r="H37" i="27"/>
  <c r="I37" i="27" s="1"/>
  <c r="E38" i="27"/>
  <c r="F38" i="27" s="1"/>
  <c r="H38" i="27"/>
  <c r="I38" i="27" s="1"/>
  <c r="E18" i="26"/>
  <c r="F18" i="26" s="1"/>
  <c r="H18" i="26"/>
  <c r="I18" i="26" s="1"/>
  <c r="E19" i="26"/>
  <c r="F19" i="26"/>
  <c r="H19" i="26"/>
  <c r="I19" i="26" s="1"/>
  <c r="E20" i="26"/>
  <c r="F20" i="26" s="1"/>
  <c r="H20" i="26"/>
  <c r="I20" i="26"/>
  <c r="E21" i="26"/>
  <c r="F21" i="26" s="1"/>
  <c r="H21" i="26"/>
  <c r="I21" i="26" s="1"/>
  <c r="E22" i="26"/>
  <c r="F22" i="26" s="1"/>
  <c r="H22" i="26"/>
  <c r="I22" i="26" s="1"/>
  <c r="E23" i="26"/>
  <c r="F23" i="26"/>
  <c r="H23" i="26"/>
  <c r="I23" i="26"/>
  <c r="E24" i="26"/>
  <c r="F24" i="26" s="1"/>
  <c r="H24" i="26"/>
  <c r="I24" i="26" s="1"/>
  <c r="E25" i="26"/>
  <c r="F25" i="26" s="1"/>
  <c r="H25" i="26"/>
  <c r="I25" i="26" s="1"/>
  <c r="E26" i="26"/>
  <c r="F26" i="26"/>
  <c r="H26" i="26"/>
  <c r="I26" i="26" s="1"/>
  <c r="E27" i="26"/>
  <c r="F27" i="26" s="1"/>
  <c r="H27" i="26"/>
  <c r="I27" i="26"/>
  <c r="E28" i="26"/>
  <c r="F28" i="26"/>
  <c r="H28" i="26"/>
  <c r="I28" i="26"/>
  <c r="E29" i="26"/>
  <c r="F29" i="26" s="1"/>
  <c r="H29" i="26"/>
  <c r="I29" i="26"/>
  <c r="E30" i="26"/>
  <c r="F30" i="26" s="1"/>
  <c r="H30" i="26"/>
  <c r="I30" i="26"/>
  <c r="E31" i="26"/>
  <c r="F31" i="26" s="1"/>
  <c r="H31" i="26"/>
  <c r="I31" i="26" s="1"/>
  <c r="E32" i="26"/>
  <c r="F32" i="26" s="1"/>
  <c r="H32" i="26"/>
  <c r="E33" i="26"/>
  <c r="F33" i="26" s="1"/>
  <c r="H33" i="26"/>
  <c r="I33" i="26" s="1"/>
  <c r="E34" i="26"/>
  <c r="F34" i="26" s="1"/>
  <c r="H34" i="26"/>
  <c r="I34" i="26" s="1"/>
  <c r="E35" i="26"/>
  <c r="F35" i="26" s="1"/>
  <c r="H35" i="26"/>
  <c r="I35" i="26" s="1"/>
  <c r="E36" i="26"/>
  <c r="F36" i="26" s="1"/>
  <c r="H36" i="26"/>
  <c r="I36" i="26"/>
  <c r="E37" i="26"/>
  <c r="F37" i="26" s="1"/>
  <c r="H37" i="26"/>
  <c r="I37" i="26"/>
  <c r="E38" i="26"/>
  <c r="F38" i="26" s="1"/>
  <c r="H38" i="26"/>
  <c r="I38" i="26" s="1"/>
  <c r="E18" i="19"/>
  <c r="F18" i="19"/>
  <c r="H18" i="19"/>
  <c r="I18" i="19"/>
  <c r="E19" i="19"/>
  <c r="F19" i="19" s="1"/>
  <c r="H19" i="19"/>
  <c r="I19" i="19"/>
  <c r="E20" i="19"/>
  <c r="F20" i="19"/>
  <c r="H20" i="19"/>
  <c r="I20" i="19"/>
  <c r="E21" i="19"/>
  <c r="F21" i="19" s="1"/>
  <c r="H21" i="19"/>
  <c r="I21" i="19"/>
  <c r="E22" i="19"/>
  <c r="F22" i="19"/>
  <c r="H22" i="19"/>
  <c r="I22" i="19"/>
  <c r="E23" i="19"/>
  <c r="F23" i="19" s="1"/>
  <c r="H23" i="19"/>
  <c r="I23" i="19"/>
  <c r="E24" i="19"/>
  <c r="F24" i="19"/>
  <c r="H24" i="19"/>
  <c r="I24" i="19"/>
  <c r="E25" i="19"/>
  <c r="F25" i="19" s="1"/>
  <c r="H25" i="19"/>
  <c r="I25" i="19"/>
  <c r="E26" i="19"/>
  <c r="F26" i="19"/>
  <c r="H26" i="19"/>
  <c r="I26" i="19"/>
  <c r="E27" i="19"/>
  <c r="F27" i="19" s="1"/>
  <c r="H27" i="19"/>
  <c r="I27" i="19"/>
  <c r="E28" i="19"/>
  <c r="F28" i="19"/>
  <c r="H28" i="19"/>
  <c r="I28" i="19"/>
  <c r="E29" i="19"/>
  <c r="F29" i="19" s="1"/>
  <c r="H29" i="19"/>
  <c r="I29" i="19"/>
  <c r="E30" i="19"/>
  <c r="F30" i="19"/>
  <c r="H30" i="19"/>
  <c r="I30" i="19"/>
  <c r="E31" i="19"/>
  <c r="F31" i="19" s="1"/>
  <c r="H31" i="19"/>
  <c r="I31" i="19"/>
  <c r="E32" i="19"/>
  <c r="F32" i="19"/>
  <c r="H32" i="19"/>
  <c r="I32" i="19"/>
  <c r="E33" i="19"/>
  <c r="F33" i="19" s="1"/>
  <c r="H33" i="19"/>
  <c r="I33" i="19"/>
  <c r="E34" i="19"/>
  <c r="F34" i="19"/>
  <c r="H34" i="19"/>
  <c r="I34" i="19"/>
  <c r="E35" i="19"/>
  <c r="F35" i="19" s="1"/>
  <c r="H35" i="19"/>
  <c r="I35" i="19"/>
  <c r="E36" i="19"/>
  <c r="F36" i="19"/>
  <c r="H36" i="19"/>
  <c r="I36" i="19"/>
  <c r="E37" i="19"/>
  <c r="F37" i="19" s="1"/>
  <c r="H37" i="19"/>
  <c r="I37" i="19"/>
  <c r="E38" i="19"/>
  <c r="F38" i="19"/>
  <c r="H38" i="19"/>
  <c r="I38" i="19"/>
  <c r="E18" i="20"/>
  <c r="F18" i="20" s="1"/>
  <c r="H18" i="20"/>
  <c r="I18" i="20"/>
  <c r="E19" i="20"/>
  <c r="F19" i="20"/>
  <c r="H19" i="20"/>
  <c r="I19" i="20"/>
  <c r="E20" i="20"/>
  <c r="F20" i="20" s="1"/>
  <c r="H20" i="20"/>
  <c r="I20" i="20"/>
  <c r="E21" i="20"/>
  <c r="F21" i="20"/>
  <c r="H21" i="20"/>
  <c r="I21" i="20"/>
  <c r="E22" i="20"/>
  <c r="F22" i="20" s="1"/>
  <c r="H22" i="20"/>
  <c r="I22" i="20"/>
  <c r="E23" i="20"/>
  <c r="F23" i="20"/>
  <c r="H23" i="20"/>
  <c r="I23" i="20"/>
  <c r="E24" i="20"/>
  <c r="F24" i="20" s="1"/>
  <c r="H24" i="20"/>
  <c r="I24" i="20"/>
  <c r="E25" i="20"/>
  <c r="F25" i="20"/>
  <c r="H25" i="20"/>
  <c r="I25" i="20"/>
  <c r="E26" i="20"/>
  <c r="F26" i="20" s="1"/>
  <c r="H26" i="20"/>
  <c r="I26" i="20"/>
  <c r="E27" i="20"/>
  <c r="F27" i="20"/>
  <c r="H27" i="20"/>
  <c r="I27" i="20"/>
  <c r="E28" i="20"/>
  <c r="F28" i="20" s="1"/>
  <c r="H28" i="20"/>
  <c r="I28" i="20"/>
  <c r="H29" i="20"/>
  <c r="I29" i="20" s="1"/>
  <c r="E30" i="20"/>
  <c r="F30" i="20"/>
  <c r="H30" i="20"/>
  <c r="I30" i="20"/>
  <c r="E31" i="20"/>
  <c r="F31" i="20" s="1"/>
  <c r="H31" i="20"/>
  <c r="I31" i="20" s="1"/>
  <c r="E32" i="20"/>
  <c r="F32" i="20" s="1"/>
  <c r="H32" i="20"/>
  <c r="I32" i="20"/>
  <c r="E33" i="20"/>
  <c r="F33" i="20" s="1"/>
  <c r="H33" i="20"/>
  <c r="I33" i="20" s="1"/>
  <c r="E34" i="20"/>
  <c r="F34" i="20"/>
  <c r="H34" i="20"/>
  <c r="I34" i="20" s="1"/>
  <c r="E35" i="20"/>
  <c r="F35" i="20" s="1"/>
  <c r="H35" i="20"/>
  <c r="I35" i="20" s="1"/>
  <c r="E36" i="20"/>
  <c r="F36" i="20"/>
  <c r="H36" i="20"/>
  <c r="I36" i="20"/>
  <c r="E37" i="20"/>
  <c r="F37" i="20" s="1"/>
  <c r="H37" i="20"/>
  <c r="I37" i="20" s="1"/>
  <c r="E38" i="20"/>
  <c r="F38" i="20"/>
  <c r="H38" i="20"/>
  <c r="I38" i="20"/>
  <c r="E18" i="21"/>
  <c r="F18" i="21" s="1"/>
  <c r="H18" i="21"/>
  <c r="I18" i="21" s="1"/>
  <c r="E19" i="21"/>
  <c r="F19" i="21" s="1"/>
  <c r="H19" i="21"/>
  <c r="I19" i="21"/>
  <c r="E20" i="21"/>
  <c r="F20" i="21" s="1"/>
  <c r="H20" i="21"/>
  <c r="H20" i="18" s="1"/>
  <c r="I20" i="18" s="1"/>
  <c r="E21" i="21"/>
  <c r="F21" i="21"/>
  <c r="H21" i="21"/>
  <c r="I21" i="21" s="1"/>
  <c r="E22" i="21"/>
  <c r="F22" i="21" s="1"/>
  <c r="H22" i="21"/>
  <c r="I22" i="21" s="1"/>
  <c r="E23" i="21"/>
  <c r="F23" i="21"/>
  <c r="H23" i="21"/>
  <c r="I23" i="21"/>
  <c r="E24" i="21"/>
  <c r="F24" i="21" s="1"/>
  <c r="H24" i="21"/>
  <c r="E25" i="21"/>
  <c r="F25" i="21"/>
  <c r="H25" i="21"/>
  <c r="H25" i="18" s="1"/>
  <c r="I25" i="18" s="1"/>
  <c r="I25" i="21"/>
  <c r="E26" i="21"/>
  <c r="F26" i="21" s="1"/>
  <c r="H26" i="21"/>
  <c r="I26" i="21" s="1"/>
  <c r="E27" i="21"/>
  <c r="F27" i="21" s="1"/>
  <c r="H27" i="21"/>
  <c r="I27" i="21"/>
  <c r="E28" i="21"/>
  <c r="F28" i="21" s="1"/>
  <c r="H28" i="21"/>
  <c r="I28" i="21" s="1"/>
  <c r="E29" i="21"/>
  <c r="F29" i="21" s="1"/>
  <c r="H29" i="21"/>
  <c r="I29" i="21"/>
  <c r="E30" i="21"/>
  <c r="F30" i="21"/>
  <c r="H30" i="21"/>
  <c r="I30" i="21" s="1"/>
  <c r="E31" i="21"/>
  <c r="F31" i="21" s="1"/>
  <c r="H31" i="21"/>
  <c r="H31" i="18" s="1"/>
  <c r="I31" i="18" s="1"/>
  <c r="E32" i="21"/>
  <c r="F32" i="21"/>
  <c r="H32" i="21"/>
  <c r="I32" i="21" s="1"/>
  <c r="E33" i="21"/>
  <c r="F33" i="21" s="1"/>
  <c r="H33" i="21"/>
  <c r="H33" i="18" s="1"/>
  <c r="I33" i="18" s="1"/>
  <c r="I33" i="21"/>
  <c r="E34" i="21"/>
  <c r="F34" i="21" s="1"/>
  <c r="H34" i="21"/>
  <c r="I34" i="21" s="1"/>
  <c r="E35" i="21"/>
  <c r="F35" i="21" s="1"/>
  <c r="H35" i="21"/>
  <c r="I35" i="21"/>
  <c r="E36" i="21"/>
  <c r="F36" i="21"/>
  <c r="H36" i="21"/>
  <c r="I36" i="21" s="1"/>
  <c r="E37" i="21"/>
  <c r="F37" i="21" s="1"/>
  <c r="H37" i="21"/>
  <c r="I37" i="21"/>
  <c r="E38" i="21"/>
  <c r="F38" i="21"/>
  <c r="H38" i="21"/>
  <c r="I38" i="21" s="1"/>
  <c r="E18" i="4"/>
  <c r="F18" i="4" s="1"/>
  <c r="I18" i="4"/>
  <c r="E19" i="4"/>
  <c r="F19" i="4" s="1"/>
  <c r="I19" i="4"/>
  <c r="E20" i="4"/>
  <c r="F20" i="4" s="1"/>
  <c r="I20" i="4"/>
  <c r="E21" i="4"/>
  <c r="F21" i="4" s="1"/>
  <c r="I21" i="4"/>
  <c r="E22" i="4"/>
  <c r="F22" i="4" s="1"/>
  <c r="I22" i="4"/>
  <c r="E23" i="4"/>
  <c r="F23" i="4" s="1"/>
  <c r="H23" i="1"/>
  <c r="I23" i="1" s="1"/>
  <c r="E24" i="4"/>
  <c r="F24" i="4" s="1"/>
  <c r="I24" i="4"/>
  <c r="E25" i="4"/>
  <c r="F25" i="4" s="1"/>
  <c r="I25" i="4"/>
  <c r="E26" i="4"/>
  <c r="F26" i="4" s="1"/>
  <c r="I26" i="4"/>
  <c r="E27" i="4"/>
  <c r="F27" i="4" s="1"/>
  <c r="I27" i="4"/>
  <c r="E28" i="4"/>
  <c r="F28" i="4" s="1"/>
  <c r="I28" i="4"/>
  <c r="E29" i="4"/>
  <c r="F29" i="4" s="1"/>
  <c r="I29" i="4"/>
  <c r="E30" i="4"/>
  <c r="F30" i="4" s="1"/>
  <c r="I30" i="4"/>
  <c r="E31" i="4"/>
  <c r="F31" i="4" s="1"/>
  <c r="I31" i="4"/>
  <c r="E32" i="4"/>
  <c r="F32" i="4" s="1"/>
  <c r="I32" i="4"/>
  <c r="E33" i="4"/>
  <c r="F33" i="4" s="1"/>
  <c r="I33" i="4"/>
  <c r="E34" i="4"/>
  <c r="F34" i="4" s="1"/>
  <c r="I34" i="4"/>
  <c r="E35" i="4"/>
  <c r="F35" i="4" s="1"/>
  <c r="I35" i="4"/>
  <c r="E36" i="4"/>
  <c r="F36" i="4" s="1"/>
  <c r="I36" i="4"/>
  <c r="E37" i="4"/>
  <c r="F37" i="4" s="1"/>
  <c r="H37" i="4"/>
  <c r="I37" i="4" s="1"/>
  <c r="E38" i="4"/>
  <c r="F38" i="4" s="1"/>
  <c r="H38" i="4"/>
  <c r="I38" i="4" s="1"/>
  <c r="E18" i="3"/>
  <c r="F18" i="3" s="1"/>
  <c r="H18" i="3"/>
  <c r="I18" i="3" s="1"/>
  <c r="E19" i="3"/>
  <c r="F19" i="3" s="1"/>
  <c r="H19" i="3"/>
  <c r="I19" i="3" s="1"/>
  <c r="E20" i="3"/>
  <c r="F20" i="3" s="1"/>
  <c r="H20" i="3"/>
  <c r="I20" i="3" s="1"/>
  <c r="E21" i="3"/>
  <c r="F21" i="3" s="1"/>
  <c r="H21" i="3"/>
  <c r="I21" i="3" s="1"/>
  <c r="E22" i="3"/>
  <c r="F22" i="3" s="1"/>
  <c r="H22" i="3"/>
  <c r="I22" i="3" s="1"/>
  <c r="E23" i="3"/>
  <c r="F23" i="3" s="1"/>
  <c r="H23" i="3"/>
  <c r="I23" i="3" s="1"/>
  <c r="E24" i="3"/>
  <c r="F24" i="3" s="1"/>
  <c r="H24" i="3"/>
  <c r="I24" i="3" s="1"/>
  <c r="E25" i="3"/>
  <c r="F25" i="3" s="1"/>
  <c r="H25" i="3"/>
  <c r="I25" i="3" s="1"/>
  <c r="E26" i="3"/>
  <c r="F26" i="3"/>
  <c r="H26" i="3"/>
  <c r="I26" i="3" s="1"/>
  <c r="E27" i="3"/>
  <c r="F27" i="3" s="1"/>
  <c r="H27" i="3"/>
  <c r="I27" i="3" s="1"/>
  <c r="E28" i="3"/>
  <c r="F28" i="3" s="1"/>
  <c r="H28" i="3"/>
  <c r="I28" i="3" s="1"/>
  <c r="E29" i="3"/>
  <c r="F29" i="3" s="1"/>
  <c r="H29" i="3"/>
  <c r="I29" i="3" s="1"/>
  <c r="E30" i="3"/>
  <c r="F30" i="3" s="1"/>
  <c r="H30" i="3"/>
  <c r="I30" i="3" s="1"/>
  <c r="E31" i="3"/>
  <c r="F31" i="3" s="1"/>
  <c r="H31" i="3"/>
  <c r="I31" i="3" s="1"/>
  <c r="E32" i="3"/>
  <c r="F32" i="3" s="1"/>
  <c r="H32" i="3"/>
  <c r="I32" i="3" s="1"/>
  <c r="E33" i="3"/>
  <c r="F33" i="3" s="1"/>
  <c r="H33" i="3"/>
  <c r="I33" i="3" s="1"/>
  <c r="E34" i="3"/>
  <c r="F34" i="3" s="1"/>
  <c r="E35" i="3"/>
  <c r="F35" i="3" s="1"/>
  <c r="H35" i="3"/>
  <c r="E36" i="3"/>
  <c r="F36" i="3" s="1"/>
  <c r="H36" i="3"/>
  <c r="I36" i="3" s="1"/>
  <c r="E37" i="3"/>
  <c r="F37" i="3" s="1"/>
  <c r="H37" i="3"/>
  <c r="I37" i="3" s="1"/>
  <c r="E38" i="3"/>
  <c r="F38" i="3" s="1"/>
  <c r="H38" i="3"/>
  <c r="I38" i="3" s="1"/>
  <c r="E18" i="72"/>
  <c r="F18" i="72" s="1"/>
  <c r="H18" i="72"/>
  <c r="I18" i="72" s="1"/>
  <c r="E19" i="72"/>
  <c r="F19" i="72" s="1"/>
  <c r="H19" i="72"/>
  <c r="I19" i="72"/>
  <c r="E20" i="72"/>
  <c r="F20" i="72" s="1"/>
  <c r="H20" i="72"/>
  <c r="I20" i="72" s="1"/>
  <c r="E21" i="72"/>
  <c r="F21" i="72" s="1"/>
  <c r="H21" i="72"/>
  <c r="I21" i="72"/>
  <c r="E22" i="72"/>
  <c r="F22" i="72"/>
  <c r="H22" i="72"/>
  <c r="I22" i="72" s="1"/>
  <c r="E23" i="72"/>
  <c r="F23" i="72" s="1"/>
  <c r="H23" i="72"/>
  <c r="I23" i="72"/>
  <c r="E24" i="72"/>
  <c r="F24" i="72" s="1"/>
  <c r="H24" i="72"/>
  <c r="I24" i="72" s="1"/>
  <c r="E25" i="72"/>
  <c r="F25" i="72" s="1"/>
  <c r="H25" i="72"/>
  <c r="I25" i="72" s="1"/>
  <c r="E26" i="72"/>
  <c r="F26" i="72" s="1"/>
  <c r="H26" i="72"/>
  <c r="I26" i="72" s="1"/>
  <c r="E27" i="72"/>
  <c r="F27" i="72" s="1"/>
  <c r="H27" i="72"/>
  <c r="E28" i="72"/>
  <c r="F28" i="72"/>
  <c r="H28" i="72"/>
  <c r="I28" i="72" s="1"/>
  <c r="E29" i="72"/>
  <c r="F29" i="72"/>
  <c r="H29" i="72"/>
  <c r="H29" i="34" s="1"/>
  <c r="E30" i="72"/>
  <c r="F30" i="72" s="1"/>
  <c r="H30" i="72"/>
  <c r="I30" i="72" s="1"/>
  <c r="E31" i="72"/>
  <c r="F31" i="72"/>
  <c r="H31" i="72"/>
  <c r="I31" i="72" s="1"/>
  <c r="E32" i="72"/>
  <c r="F32" i="72" s="1"/>
  <c r="H32" i="72"/>
  <c r="I32" i="72" s="1"/>
  <c r="E33" i="72"/>
  <c r="F33" i="72"/>
  <c r="H33" i="72"/>
  <c r="I33" i="72"/>
  <c r="E34" i="72"/>
  <c r="F34" i="72" s="1"/>
  <c r="H34" i="72"/>
  <c r="H34" i="1" s="1"/>
  <c r="I34" i="72"/>
  <c r="E35" i="72"/>
  <c r="F35" i="72" s="1"/>
  <c r="H35" i="72"/>
  <c r="I35" i="72"/>
  <c r="E36" i="72"/>
  <c r="F36" i="72" s="1"/>
  <c r="H36" i="72"/>
  <c r="E37" i="72"/>
  <c r="F37" i="72" s="1"/>
  <c r="H37" i="72"/>
  <c r="I37" i="72" s="1"/>
  <c r="E38" i="72"/>
  <c r="F38" i="72" s="1"/>
  <c r="H38" i="72"/>
  <c r="H38" i="34" s="1"/>
  <c r="C18" i="30"/>
  <c r="D18" i="30"/>
  <c r="C19" i="30"/>
  <c r="D19" i="30"/>
  <c r="C20" i="30"/>
  <c r="D20" i="30"/>
  <c r="C21" i="30"/>
  <c r="D21" i="30"/>
  <c r="E21" i="30"/>
  <c r="F21" i="30" s="1"/>
  <c r="C22" i="30"/>
  <c r="D22" i="30"/>
  <c r="C23" i="30"/>
  <c r="D23" i="30"/>
  <c r="C24" i="30"/>
  <c r="D24" i="30"/>
  <c r="C25" i="30"/>
  <c r="D25" i="30"/>
  <c r="C26" i="30"/>
  <c r="D26" i="30"/>
  <c r="C27" i="30"/>
  <c r="D27" i="30"/>
  <c r="C28" i="30"/>
  <c r="D28" i="30"/>
  <c r="E28" i="30"/>
  <c r="F28" i="30" s="1"/>
  <c r="C29" i="30"/>
  <c r="D29" i="30"/>
  <c r="C30" i="30"/>
  <c r="D30" i="30"/>
  <c r="C31" i="30"/>
  <c r="D31" i="30"/>
  <c r="E31" i="30" s="1"/>
  <c r="F31" i="30" s="1"/>
  <c r="C32" i="30"/>
  <c r="D32" i="30"/>
  <c r="C33" i="30"/>
  <c r="D33" i="30"/>
  <c r="C34" i="30"/>
  <c r="D34" i="30"/>
  <c r="C35" i="30"/>
  <c r="D35" i="30"/>
  <c r="C36" i="30"/>
  <c r="D36" i="30"/>
  <c r="C37" i="30"/>
  <c r="D37" i="30"/>
  <c r="C38" i="30"/>
  <c r="D38" i="30"/>
  <c r="C18" i="29"/>
  <c r="D18" i="29"/>
  <c r="E18" i="29" s="1"/>
  <c r="F18" i="29" s="1"/>
  <c r="C19" i="29"/>
  <c r="D19" i="29"/>
  <c r="C20" i="29"/>
  <c r="D20" i="29"/>
  <c r="C21" i="29"/>
  <c r="D21" i="29"/>
  <c r="C22" i="29"/>
  <c r="D22" i="29"/>
  <c r="C23" i="29"/>
  <c r="E23" i="29" s="1"/>
  <c r="F23" i="29" s="1"/>
  <c r="D23" i="29"/>
  <c r="C24" i="29"/>
  <c r="D24" i="29"/>
  <c r="E24" i="29"/>
  <c r="F24" i="29" s="1"/>
  <c r="C25" i="29"/>
  <c r="D25" i="29"/>
  <c r="E25" i="29" s="1"/>
  <c r="F25" i="29" s="1"/>
  <c r="C26" i="29"/>
  <c r="D26" i="29"/>
  <c r="C27" i="29"/>
  <c r="D27" i="29"/>
  <c r="C28" i="29"/>
  <c r="D28" i="29"/>
  <c r="E28" i="29" s="1"/>
  <c r="F28" i="29" s="1"/>
  <c r="C29" i="29"/>
  <c r="D29" i="29"/>
  <c r="C30" i="29"/>
  <c r="D30" i="29"/>
  <c r="C31" i="29"/>
  <c r="D31" i="29"/>
  <c r="E31" i="29"/>
  <c r="F31" i="29" s="1"/>
  <c r="C32" i="29"/>
  <c r="D32" i="29"/>
  <c r="C33" i="29"/>
  <c r="D33" i="29"/>
  <c r="C34" i="29"/>
  <c r="D34" i="29"/>
  <c r="C35" i="29"/>
  <c r="D35" i="29"/>
  <c r="C36" i="29"/>
  <c r="D36" i="29"/>
  <c r="C37" i="29"/>
  <c r="D37" i="29"/>
  <c r="C38" i="29"/>
  <c r="D38" i="29"/>
  <c r="C18" i="18"/>
  <c r="D18" i="18"/>
  <c r="E18" i="18"/>
  <c r="F18" i="18"/>
  <c r="C19" i="18"/>
  <c r="D19" i="18"/>
  <c r="E19" i="18"/>
  <c r="F19" i="18"/>
  <c r="C20" i="18"/>
  <c r="D20" i="18"/>
  <c r="C21" i="18"/>
  <c r="D21" i="18"/>
  <c r="E21" i="18"/>
  <c r="F21" i="18" s="1"/>
  <c r="C22" i="18"/>
  <c r="D22" i="18"/>
  <c r="E22" i="18" s="1"/>
  <c r="F22" i="18" s="1"/>
  <c r="C23" i="18"/>
  <c r="D23" i="18"/>
  <c r="C24" i="18"/>
  <c r="D24" i="18"/>
  <c r="E24" i="18"/>
  <c r="F24" i="18"/>
  <c r="C25" i="18"/>
  <c r="D25" i="18"/>
  <c r="E25" i="18"/>
  <c r="F25" i="18" s="1"/>
  <c r="C26" i="18"/>
  <c r="D26" i="18"/>
  <c r="E26" i="18" s="1"/>
  <c r="F26" i="18" s="1"/>
  <c r="C27" i="18"/>
  <c r="D27" i="18"/>
  <c r="C28" i="18"/>
  <c r="D28" i="18"/>
  <c r="C29" i="18"/>
  <c r="D29" i="18"/>
  <c r="E29" i="18" s="1"/>
  <c r="F29" i="18" s="1"/>
  <c r="H29" i="18"/>
  <c r="I29" i="18" s="1"/>
  <c r="C30" i="18"/>
  <c r="D30" i="18"/>
  <c r="E30" i="18"/>
  <c r="F30" i="18"/>
  <c r="C31" i="18"/>
  <c r="D31" i="18"/>
  <c r="C32" i="18"/>
  <c r="D32" i="18"/>
  <c r="E32" i="18"/>
  <c r="F32" i="18"/>
  <c r="C33" i="18"/>
  <c r="D33" i="18"/>
  <c r="E33" i="18" s="1"/>
  <c r="F33" i="18" s="1"/>
  <c r="C34" i="18"/>
  <c r="D34" i="18"/>
  <c r="E34" i="18"/>
  <c r="F34" i="18"/>
  <c r="C35" i="18"/>
  <c r="D35" i="18"/>
  <c r="C36" i="18"/>
  <c r="D36" i="18"/>
  <c r="E36" i="18"/>
  <c r="F36" i="18"/>
  <c r="C37" i="18"/>
  <c r="D37" i="18"/>
  <c r="E37" i="18" s="1"/>
  <c r="F37" i="18" s="1"/>
  <c r="C38" i="18"/>
  <c r="D38" i="18"/>
  <c r="D17" i="34"/>
  <c r="D18" i="34"/>
  <c r="D19" i="34"/>
  <c r="D20" i="34"/>
  <c r="D21" i="34"/>
  <c r="D22" i="34"/>
  <c r="D23" i="34"/>
  <c r="D24" i="34"/>
  <c r="D25" i="34"/>
  <c r="D26" i="34"/>
  <c r="D27" i="34"/>
  <c r="D28" i="34"/>
  <c r="D29" i="34"/>
  <c r="D30" i="34"/>
  <c r="D31" i="34"/>
  <c r="D32" i="34"/>
  <c r="D33" i="34"/>
  <c r="D34" i="34"/>
  <c r="H34" i="34"/>
  <c r="D35" i="34"/>
  <c r="D36" i="34"/>
  <c r="D37" i="34"/>
  <c r="D38" i="34"/>
  <c r="C18" i="1"/>
  <c r="D18" i="1"/>
  <c r="G18" i="1"/>
  <c r="C19" i="1"/>
  <c r="D19" i="1"/>
  <c r="G19" i="1"/>
  <c r="C20" i="1"/>
  <c r="D20" i="1"/>
  <c r="G20" i="1"/>
  <c r="C21" i="1"/>
  <c r="D21" i="1"/>
  <c r="E21" i="1" s="1"/>
  <c r="F21" i="1" s="1"/>
  <c r="G21" i="1"/>
  <c r="C22" i="1"/>
  <c r="D22" i="1"/>
  <c r="G22" i="1"/>
  <c r="C23" i="1"/>
  <c r="D23" i="1"/>
  <c r="E23" i="1" s="1"/>
  <c r="F23" i="1" s="1"/>
  <c r="G23" i="1"/>
  <c r="C24" i="1"/>
  <c r="C24" i="34" s="1"/>
  <c r="D24" i="1"/>
  <c r="E24" i="1" s="1"/>
  <c r="F24" i="1" s="1"/>
  <c r="G24" i="1"/>
  <c r="C25" i="1"/>
  <c r="D25" i="1"/>
  <c r="G25" i="1"/>
  <c r="H25" i="1"/>
  <c r="C26" i="1"/>
  <c r="D26" i="1"/>
  <c r="G26" i="1"/>
  <c r="C27" i="1"/>
  <c r="D27" i="1"/>
  <c r="G27" i="1"/>
  <c r="C28" i="1"/>
  <c r="D28" i="1"/>
  <c r="G28" i="1"/>
  <c r="C29" i="1"/>
  <c r="D29" i="1"/>
  <c r="E29" i="1" s="1"/>
  <c r="F29" i="1" s="1"/>
  <c r="G29" i="1"/>
  <c r="C30" i="1"/>
  <c r="D30" i="1"/>
  <c r="G30" i="1"/>
  <c r="C31" i="1"/>
  <c r="D31" i="1"/>
  <c r="G31" i="1"/>
  <c r="C32" i="1"/>
  <c r="D32" i="1"/>
  <c r="G32" i="1"/>
  <c r="C33" i="1"/>
  <c r="C33" i="34" s="1"/>
  <c r="D33" i="1"/>
  <c r="E33" i="1" s="1"/>
  <c r="F33" i="1" s="1"/>
  <c r="G33" i="1"/>
  <c r="C34" i="1"/>
  <c r="D34" i="1"/>
  <c r="E34" i="1" s="1"/>
  <c r="F34" i="1" s="1"/>
  <c r="G34" i="1"/>
  <c r="C35" i="1"/>
  <c r="D35" i="1"/>
  <c r="E35" i="1" s="1"/>
  <c r="F35" i="1" s="1"/>
  <c r="G35" i="1"/>
  <c r="C36" i="1"/>
  <c r="D36" i="1"/>
  <c r="E36" i="1" s="1"/>
  <c r="F36" i="1" s="1"/>
  <c r="G36" i="1"/>
  <c r="C37" i="1"/>
  <c r="D37" i="1"/>
  <c r="G37" i="1"/>
  <c r="C38" i="1"/>
  <c r="D38" i="1"/>
  <c r="G38" i="1"/>
  <c r="C16" i="30"/>
  <c r="D16" i="30"/>
  <c r="C17" i="30"/>
  <c r="D17" i="30"/>
  <c r="C16" i="29"/>
  <c r="D16" i="29"/>
  <c r="C17" i="29"/>
  <c r="D17" i="29"/>
  <c r="C16" i="18"/>
  <c r="D16" i="18"/>
  <c r="C17" i="18"/>
  <c r="D17" i="18"/>
  <c r="E17" i="18"/>
  <c r="F17" i="18" s="1"/>
  <c r="C16" i="1"/>
  <c r="D16" i="1"/>
  <c r="G16" i="1"/>
  <c r="C17" i="1"/>
  <c r="D17" i="1"/>
  <c r="G17" i="1"/>
  <c r="D16" i="34"/>
  <c r="H17" i="33"/>
  <c r="I17" i="33" s="1"/>
  <c r="E17" i="33"/>
  <c r="F17" i="33" s="1"/>
  <c r="H16" i="33"/>
  <c r="I16" i="33" s="1"/>
  <c r="E16" i="33"/>
  <c r="F16" i="33" s="1"/>
  <c r="H17" i="32"/>
  <c r="I17" i="32" s="1"/>
  <c r="E17" i="32"/>
  <c r="F17" i="32" s="1"/>
  <c r="H16" i="32"/>
  <c r="I16" i="32" s="1"/>
  <c r="E16" i="32"/>
  <c r="F16" i="32" s="1"/>
  <c r="H17" i="31"/>
  <c r="I17" i="31" s="1"/>
  <c r="E17" i="31"/>
  <c r="F17" i="31" s="1"/>
  <c r="H16" i="31"/>
  <c r="I16" i="31" s="1"/>
  <c r="E16" i="31"/>
  <c r="F16" i="31" s="1"/>
  <c r="H17" i="28"/>
  <c r="I17" i="28" s="1"/>
  <c r="E17" i="28"/>
  <c r="F17" i="28" s="1"/>
  <c r="H16" i="28"/>
  <c r="I16" i="28" s="1"/>
  <c r="E16" i="28"/>
  <c r="F16" i="28" s="1"/>
  <c r="H17" i="27"/>
  <c r="I17" i="27" s="1"/>
  <c r="E17" i="27"/>
  <c r="F17" i="27" s="1"/>
  <c r="H16" i="27"/>
  <c r="I16" i="27" s="1"/>
  <c r="E16" i="27"/>
  <c r="F16" i="27" s="1"/>
  <c r="H17" i="26"/>
  <c r="I17" i="26" s="1"/>
  <c r="E17" i="26"/>
  <c r="F17" i="26" s="1"/>
  <c r="H16" i="26"/>
  <c r="I16" i="26" s="1"/>
  <c r="E16" i="26"/>
  <c r="F16" i="26" s="1"/>
  <c r="H17" i="19"/>
  <c r="I17" i="19" s="1"/>
  <c r="E17" i="19"/>
  <c r="F17" i="19" s="1"/>
  <c r="H16" i="19"/>
  <c r="I16" i="19" s="1"/>
  <c r="E16" i="19"/>
  <c r="F16" i="19" s="1"/>
  <c r="H17" i="20"/>
  <c r="I17" i="20" s="1"/>
  <c r="E17" i="20"/>
  <c r="F17" i="20" s="1"/>
  <c r="H16" i="20"/>
  <c r="I16" i="20" s="1"/>
  <c r="E16" i="20"/>
  <c r="F16" i="20" s="1"/>
  <c r="H17" i="21"/>
  <c r="I17" i="21" s="1"/>
  <c r="E17" i="21"/>
  <c r="F17" i="21" s="1"/>
  <c r="H16" i="21"/>
  <c r="I16" i="21" s="1"/>
  <c r="E16" i="21"/>
  <c r="F16" i="21" s="1"/>
  <c r="I17" i="4"/>
  <c r="E17" i="4"/>
  <c r="F17" i="4" s="1"/>
  <c r="I16" i="4"/>
  <c r="E16" i="4"/>
  <c r="F16" i="4" s="1"/>
  <c r="E16" i="3"/>
  <c r="F16" i="3" s="1"/>
  <c r="H16" i="3"/>
  <c r="I16" i="3" s="1"/>
  <c r="E17" i="3"/>
  <c r="F17" i="3" s="1"/>
  <c r="H17" i="3"/>
  <c r="I17" i="3" s="1"/>
  <c r="E16" i="72"/>
  <c r="F16" i="72"/>
  <c r="H16" i="72"/>
  <c r="I16" i="72" s="1"/>
  <c r="E17" i="72"/>
  <c r="F17" i="72" s="1"/>
  <c r="H17" i="72"/>
  <c r="E15" i="72"/>
  <c r="F15" i="72" s="1"/>
  <c r="E14" i="72"/>
  <c r="F14" i="72" s="1"/>
  <c r="E13" i="72"/>
  <c r="F13" i="72" s="1"/>
  <c r="E12" i="72"/>
  <c r="F12" i="72" s="1"/>
  <c r="E11" i="72"/>
  <c r="F11" i="72" s="1"/>
  <c r="E10" i="72"/>
  <c r="F10" i="72" s="1"/>
  <c r="E9" i="72"/>
  <c r="F9" i="72" s="1"/>
  <c r="E8" i="72"/>
  <c r="F8" i="72" s="1"/>
  <c r="E7" i="72"/>
  <c r="F7" i="72" s="1"/>
  <c r="E6" i="72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H6" i="3"/>
  <c r="I6" i="3" s="1"/>
  <c r="E7" i="3"/>
  <c r="F7" i="3" s="1"/>
  <c r="H7" i="3"/>
  <c r="I7" i="3" s="1"/>
  <c r="E8" i="3"/>
  <c r="F8" i="3" s="1"/>
  <c r="H8" i="3"/>
  <c r="I8" i="3" s="1"/>
  <c r="E9" i="3"/>
  <c r="F9" i="3" s="1"/>
  <c r="H9" i="3"/>
  <c r="I9" i="3" s="1"/>
  <c r="E10" i="3"/>
  <c r="F10" i="3" s="1"/>
  <c r="H10" i="3"/>
  <c r="I10" i="3" s="1"/>
  <c r="E11" i="3"/>
  <c r="F11" i="3" s="1"/>
  <c r="H11" i="3"/>
  <c r="I11" i="3" s="1"/>
  <c r="E12" i="3"/>
  <c r="F12" i="3" s="1"/>
  <c r="H12" i="3"/>
  <c r="I12" i="3" s="1"/>
  <c r="E13" i="3"/>
  <c r="F13" i="3" s="1"/>
  <c r="H13" i="3"/>
  <c r="I13" i="3" s="1"/>
  <c r="E14" i="3"/>
  <c r="F14" i="3" s="1"/>
  <c r="H14" i="3"/>
  <c r="I14" i="3" s="1"/>
  <c r="E15" i="3"/>
  <c r="F15" i="3" s="1"/>
  <c r="H15" i="3"/>
  <c r="I15" i="3" s="1"/>
  <c r="G6" i="1"/>
  <c r="G7" i="1"/>
  <c r="G8" i="1"/>
  <c r="G9" i="1"/>
  <c r="G10" i="1"/>
  <c r="G11" i="1"/>
  <c r="G12" i="1"/>
  <c r="G13" i="1"/>
  <c r="G14" i="1"/>
  <c r="G15" i="1"/>
  <c r="G5" i="1"/>
  <c r="G4" i="1"/>
  <c r="D15" i="34"/>
  <c r="D14" i="34"/>
  <c r="D13" i="34"/>
  <c r="D12" i="34"/>
  <c r="D11" i="34"/>
  <c r="D10" i="34"/>
  <c r="D9" i="34"/>
  <c r="D8" i="34"/>
  <c r="D7" i="34"/>
  <c r="D6" i="34"/>
  <c r="D5" i="34"/>
  <c r="B4" i="34" a="1"/>
  <c r="B4" i="34" s="1"/>
  <c r="A4" i="34" a="1"/>
  <c r="A4" i="34" s="1"/>
  <c r="A1" i="34" a="1"/>
  <c r="A1" i="34" s="1"/>
  <c r="D15" i="30"/>
  <c r="C15" i="30"/>
  <c r="D14" i="30"/>
  <c r="C14" i="30"/>
  <c r="D13" i="30"/>
  <c r="C13" i="30"/>
  <c r="D12" i="30"/>
  <c r="C12" i="30"/>
  <c r="D11" i="30"/>
  <c r="C11" i="30"/>
  <c r="D10" i="30"/>
  <c r="C10" i="30"/>
  <c r="D9" i="30"/>
  <c r="C9" i="30"/>
  <c r="D8" i="30"/>
  <c r="C8" i="30"/>
  <c r="E8" i="30" s="1"/>
  <c r="F8" i="30" s="1"/>
  <c r="D7" i="30"/>
  <c r="C7" i="30"/>
  <c r="D6" i="30"/>
  <c r="C6" i="30"/>
  <c r="D5" i="30"/>
  <c r="C5" i="30"/>
  <c r="D4" i="30"/>
  <c r="C4" i="30"/>
  <c r="D15" i="29"/>
  <c r="C15" i="29"/>
  <c r="D14" i="29"/>
  <c r="C14" i="29"/>
  <c r="D13" i="29"/>
  <c r="C13" i="29"/>
  <c r="D12" i="29"/>
  <c r="C12" i="29"/>
  <c r="D11" i="29"/>
  <c r="C11" i="29"/>
  <c r="D10" i="29"/>
  <c r="C10" i="29"/>
  <c r="D9" i="29"/>
  <c r="C9" i="29"/>
  <c r="D8" i="29"/>
  <c r="C8" i="29"/>
  <c r="E8" i="29" s="1"/>
  <c r="F8" i="29" s="1"/>
  <c r="D7" i="29"/>
  <c r="C7" i="29"/>
  <c r="D6" i="29"/>
  <c r="C6" i="29"/>
  <c r="D5" i="29"/>
  <c r="C5" i="29"/>
  <c r="D4" i="29"/>
  <c r="C4" i="29"/>
  <c r="D15" i="18"/>
  <c r="C15" i="18"/>
  <c r="D14" i="18"/>
  <c r="C14" i="18"/>
  <c r="E14" i="18" s="1"/>
  <c r="F14" i="18" s="1"/>
  <c r="D13" i="18"/>
  <c r="C13" i="18"/>
  <c r="E13" i="18" s="1"/>
  <c r="F13" i="18" s="1"/>
  <c r="D12" i="18"/>
  <c r="C12" i="18"/>
  <c r="E12" i="18" s="1"/>
  <c r="F12" i="18" s="1"/>
  <c r="D11" i="18"/>
  <c r="C11" i="18"/>
  <c r="D10" i="18"/>
  <c r="C10" i="18"/>
  <c r="E10" i="18" s="1"/>
  <c r="F10" i="18" s="1"/>
  <c r="D9" i="18"/>
  <c r="C9" i="18"/>
  <c r="E9" i="18" s="1"/>
  <c r="F9" i="18" s="1"/>
  <c r="D8" i="18"/>
  <c r="C8" i="18"/>
  <c r="E8" i="18" s="1"/>
  <c r="F8" i="18" s="1"/>
  <c r="D7" i="18"/>
  <c r="C7" i="18"/>
  <c r="D6" i="18"/>
  <c r="C6" i="18"/>
  <c r="E6" i="18" s="1"/>
  <c r="F6" i="18" s="1"/>
  <c r="D5" i="18"/>
  <c r="C5" i="18"/>
  <c r="E5" i="18" s="1"/>
  <c r="F5" i="18" s="1"/>
  <c r="D4" i="18"/>
  <c r="C4" i="18"/>
  <c r="E4" i="18" s="1"/>
  <c r="F4" i="18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15" i="1"/>
  <c r="C14" i="1"/>
  <c r="C14" i="34" s="1"/>
  <c r="C13" i="1"/>
  <c r="C12" i="1"/>
  <c r="C11" i="1"/>
  <c r="C10" i="1"/>
  <c r="C9" i="1"/>
  <c r="C9" i="34" s="1"/>
  <c r="C8" i="1"/>
  <c r="C8" i="34" s="1"/>
  <c r="C7" i="1"/>
  <c r="C6" i="1"/>
  <c r="C5" i="1"/>
  <c r="C5" i="34" s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B4" i="1" a="1"/>
  <c r="B4" i="1" s="1"/>
  <c r="A4" i="1" a="1"/>
  <c r="A4" i="1" s="1"/>
  <c r="A1" i="1" a="1"/>
  <c r="A1" i="1" s="1"/>
  <c r="H15" i="33"/>
  <c r="I15" i="33" s="1"/>
  <c r="E15" i="33"/>
  <c r="F15" i="33" s="1"/>
  <c r="H14" i="33"/>
  <c r="I14" i="33" s="1"/>
  <c r="E14" i="33"/>
  <c r="F14" i="33" s="1"/>
  <c r="H13" i="33"/>
  <c r="I13" i="33" s="1"/>
  <c r="E13" i="33"/>
  <c r="F13" i="33" s="1"/>
  <c r="H12" i="33"/>
  <c r="I12" i="33" s="1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H8" i="33"/>
  <c r="I8" i="33" s="1"/>
  <c r="E8" i="33"/>
  <c r="F8" i="33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15" i="32"/>
  <c r="I15" i="32" s="1"/>
  <c r="E15" i="32"/>
  <c r="F15" i="32" s="1"/>
  <c r="H14" i="32"/>
  <c r="I14" i="32" s="1"/>
  <c r="E14" i="32"/>
  <c r="F14" i="32" s="1"/>
  <c r="H13" i="32"/>
  <c r="I13" i="32" s="1"/>
  <c r="E13" i="32"/>
  <c r="F13" i="32" s="1"/>
  <c r="H12" i="32"/>
  <c r="I12" i="32" s="1"/>
  <c r="E12" i="32"/>
  <c r="F12" i="32" s="1"/>
  <c r="H11" i="32"/>
  <c r="I11" i="32" s="1"/>
  <c r="E11" i="32"/>
  <c r="F11" i="32" s="1"/>
  <c r="H10" i="32"/>
  <c r="I10" i="32" s="1"/>
  <c r="E10" i="32"/>
  <c r="F10" i="32" s="1"/>
  <c r="H9" i="32"/>
  <c r="I9" i="32" s="1"/>
  <c r="E9" i="32"/>
  <c r="F9" i="32" s="1"/>
  <c r="H8" i="32"/>
  <c r="I8" i="32" s="1"/>
  <c r="E8" i="32"/>
  <c r="F8" i="32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H13" i="28"/>
  <c r="I13" i="28" s="1"/>
  <c r="E13" i="28"/>
  <c r="F13" i="28" s="1"/>
  <c r="H12" i="28"/>
  <c r="I12" i="28" s="1"/>
  <c r="E12" i="28"/>
  <c r="F12" i="28" s="1"/>
  <c r="H11" i="28"/>
  <c r="I11" i="28" s="1"/>
  <c r="E11" i="28"/>
  <c r="F11" i="28" s="1"/>
  <c r="H10" i="28"/>
  <c r="I10" i="28" s="1"/>
  <c r="E10" i="28"/>
  <c r="F10" i="28" s="1"/>
  <c r="H9" i="28"/>
  <c r="I9" i="28" s="1"/>
  <c r="E9" i="28"/>
  <c r="F9" i="28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E14" i="27"/>
  <c r="F14" i="27" s="1"/>
  <c r="H13" i="27"/>
  <c r="E13" i="27"/>
  <c r="F13" i="27" s="1"/>
  <c r="H12" i="27"/>
  <c r="I12" i="27" s="1"/>
  <c r="E12" i="27"/>
  <c r="F12" i="27" s="1"/>
  <c r="H11" i="27"/>
  <c r="I11" i="27" s="1"/>
  <c r="E11" i="27"/>
  <c r="F11" i="27" s="1"/>
  <c r="H10" i="27"/>
  <c r="I10" i="27" s="1"/>
  <c r="E10" i="27"/>
  <c r="F10" i="27" s="1"/>
  <c r="H9" i="27"/>
  <c r="I9" i="27" s="1"/>
  <c r="E9" i="27"/>
  <c r="F9" i="27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15" i="26"/>
  <c r="E15" i="26"/>
  <c r="F15" i="26" s="1"/>
  <c r="H14" i="26"/>
  <c r="I14" i="26" s="1"/>
  <c r="E14" i="26"/>
  <c r="F14" i="26" s="1"/>
  <c r="H13" i="26"/>
  <c r="I13" i="26" s="1"/>
  <c r="E13" i="26"/>
  <c r="F13" i="26" s="1"/>
  <c r="H12" i="26"/>
  <c r="E12" i="26"/>
  <c r="F12" i="26" s="1"/>
  <c r="H11" i="26"/>
  <c r="I11" i="26" s="1"/>
  <c r="E11" i="26"/>
  <c r="F11" i="26" s="1"/>
  <c r="H10" i="26"/>
  <c r="I10" i="26" s="1"/>
  <c r="E10" i="26"/>
  <c r="F10" i="26" s="1"/>
  <c r="H9" i="26"/>
  <c r="E9" i="26"/>
  <c r="F9" i="26" s="1"/>
  <c r="H8" i="26"/>
  <c r="I8" i="26" s="1"/>
  <c r="E8" i="26"/>
  <c r="F8" i="26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15" i="19"/>
  <c r="I15" i="19" s="1"/>
  <c r="E15" i="19"/>
  <c r="F15" i="19" s="1"/>
  <c r="H14" i="19"/>
  <c r="I14" i="19" s="1"/>
  <c r="E14" i="19"/>
  <c r="F14" i="19" s="1"/>
  <c r="H13" i="19"/>
  <c r="I13" i="19" s="1"/>
  <c r="E13" i="19"/>
  <c r="F13" i="19" s="1"/>
  <c r="H12" i="19"/>
  <c r="I12" i="19" s="1"/>
  <c r="E12" i="19"/>
  <c r="F12" i="19" s="1"/>
  <c r="H11" i="19"/>
  <c r="I11" i="19" s="1"/>
  <c r="E11" i="19"/>
  <c r="F11" i="19" s="1"/>
  <c r="H10" i="19"/>
  <c r="I10" i="19" s="1"/>
  <c r="E10" i="19"/>
  <c r="F10" i="19" s="1"/>
  <c r="H9" i="19"/>
  <c r="I9" i="19" s="1"/>
  <c r="E9" i="19"/>
  <c r="F9" i="19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15" i="20"/>
  <c r="I15" i="20" s="1"/>
  <c r="E15" i="20"/>
  <c r="F15" i="20" s="1"/>
  <c r="H14" i="20"/>
  <c r="I14" i="20" s="1"/>
  <c r="E14" i="20"/>
  <c r="F14" i="20" s="1"/>
  <c r="H13" i="20"/>
  <c r="I13" i="20" s="1"/>
  <c r="E13" i="20"/>
  <c r="F13" i="20" s="1"/>
  <c r="H12" i="20"/>
  <c r="I12" i="20" s="1"/>
  <c r="E12" i="20"/>
  <c r="F12" i="20" s="1"/>
  <c r="H11" i="20"/>
  <c r="I11" i="20" s="1"/>
  <c r="E11" i="20"/>
  <c r="F11" i="20" s="1"/>
  <c r="H10" i="20"/>
  <c r="I10" i="20" s="1"/>
  <c r="E10" i="20"/>
  <c r="F10" i="20" s="1"/>
  <c r="H9" i="20"/>
  <c r="I9" i="20" s="1"/>
  <c r="E9" i="20"/>
  <c r="F9" i="20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15" i="21"/>
  <c r="I15" i="21" s="1"/>
  <c r="E15" i="21"/>
  <c r="F15" i="21" s="1"/>
  <c r="H14" i="21"/>
  <c r="I14" i="21" s="1"/>
  <c r="E14" i="21"/>
  <c r="F14" i="21" s="1"/>
  <c r="H13" i="21"/>
  <c r="I13" i="21" s="1"/>
  <c r="E13" i="21"/>
  <c r="F13" i="21" s="1"/>
  <c r="H12" i="21"/>
  <c r="I12" i="21" s="1"/>
  <c r="E12" i="21"/>
  <c r="F12" i="21" s="1"/>
  <c r="H11" i="21"/>
  <c r="I11" i="21" s="1"/>
  <c r="E11" i="21"/>
  <c r="F11" i="21" s="1"/>
  <c r="H10" i="21"/>
  <c r="I10" i="21" s="1"/>
  <c r="E10" i="21"/>
  <c r="F10" i="21" s="1"/>
  <c r="H9" i="21"/>
  <c r="I9" i="21" s="1"/>
  <c r="E9" i="21"/>
  <c r="F9" i="21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I15" i="4"/>
  <c r="E15" i="4"/>
  <c r="F15" i="4" s="1"/>
  <c r="I14" i="4"/>
  <c r="E14" i="4"/>
  <c r="F14" i="4" s="1"/>
  <c r="I13" i="4"/>
  <c r="E13" i="4"/>
  <c r="F13" i="4" s="1"/>
  <c r="I12" i="4"/>
  <c r="E12" i="4"/>
  <c r="F12" i="4" s="1"/>
  <c r="I11" i="4"/>
  <c r="E11" i="4"/>
  <c r="F11" i="4" s="1"/>
  <c r="I10" i="4"/>
  <c r="E10" i="4"/>
  <c r="F10" i="4" s="1"/>
  <c r="H9" i="4"/>
  <c r="I9" i="4" s="1"/>
  <c r="E9" i="4"/>
  <c r="F9" i="4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7" i="72"/>
  <c r="I7" i="72" s="1"/>
  <c r="H8" i="72"/>
  <c r="I8" i="72" s="1"/>
  <c r="H9" i="72"/>
  <c r="I9" i="72" s="1"/>
  <c r="H10" i="72"/>
  <c r="I10" i="72" s="1"/>
  <c r="H11" i="72"/>
  <c r="I11" i="72" s="1"/>
  <c r="H12" i="72"/>
  <c r="I12" i="72" s="1"/>
  <c r="H13" i="72"/>
  <c r="I13" i="72" s="1"/>
  <c r="H14" i="72"/>
  <c r="I14" i="72" s="1"/>
  <c r="H15" i="72"/>
  <c r="I15" i="72" s="1"/>
  <c r="H5" i="72"/>
  <c r="I5" i="72" s="1"/>
  <c r="H4" i="72"/>
  <c r="I4" i="72" s="1"/>
  <c r="G2" i="72"/>
  <c r="D2" i="72"/>
  <c r="C2" i="72"/>
  <c r="J2" i="72" s="1"/>
  <c r="A1" i="72" a="1"/>
  <c r="A1" i="72" s="1"/>
  <c r="H21" i="18" l="1"/>
  <c r="I21" i="18" s="1"/>
  <c r="H18" i="18"/>
  <c r="I18" i="18" s="1"/>
  <c r="E38" i="18"/>
  <c r="F38" i="18" s="1"/>
  <c r="E23" i="18"/>
  <c r="F23" i="18" s="1"/>
  <c r="D2" i="18"/>
  <c r="E16" i="18"/>
  <c r="F16" i="18" s="1"/>
  <c r="C6" i="34"/>
  <c r="C10" i="34"/>
  <c r="I23" i="4"/>
  <c r="I25" i="1"/>
  <c r="H35" i="34"/>
  <c r="C36" i="34"/>
  <c r="C29" i="34"/>
  <c r="I34" i="1"/>
  <c r="E38" i="1"/>
  <c r="F38" i="1" s="1"/>
  <c r="E30" i="1"/>
  <c r="F30" i="1" s="1"/>
  <c r="E22" i="1"/>
  <c r="F22" i="1" s="1"/>
  <c r="E29" i="34"/>
  <c r="F29" i="34" s="1"/>
  <c r="H37" i="1"/>
  <c r="I37" i="1" s="1"/>
  <c r="E37" i="1"/>
  <c r="F37" i="1" s="1"/>
  <c r="H37" i="34"/>
  <c r="I35" i="3"/>
  <c r="H35" i="1"/>
  <c r="I35" i="1" s="1"/>
  <c r="H36" i="1"/>
  <c r="I36" i="1" s="1"/>
  <c r="H36" i="34"/>
  <c r="H33" i="1"/>
  <c r="I33" i="1" s="1"/>
  <c r="H33" i="34"/>
  <c r="H31" i="34"/>
  <c r="I31" i="34" s="1"/>
  <c r="E31" i="1"/>
  <c r="F31" i="1" s="1"/>
  <c r="E28" i="1"/>
  <c r="F28" i="1" s="1"/>
  <c r="H27" i="1"/>
  <c r="I27" i="1" s="1"/>
  <c r="H27" i="34"/>
  <c r="E27" i="1"/>
  <c r="F27" i="1" s="1"/>
  <c r="E26" i="1"/>
  <c r="F26" i="1" s="1"/>
  <c r="E25" i="1"/>
  <c r="F25" i="1" s="1"/>
  <c r="H23" i="34"/>
  <c r="H21" i="1"/>
  <c r="I21" i="1" s="1"/>
  <c r="H18" i="34"/>
  <c r="H18" i="1"/>
  <c r="I18" i="1" s="1"/>
  <c r="E20" i="1"/>
  <c r="F20" i="1" s="1"/>
  <c r="E19" i="1"/>
  <c r="F19" i="1" s="1"/>
  <c r="H19" i="34"/>
  <c r="H19" i="1"/>
  <c r="I19" i="1" s="1"/>
  <c r="H17" i="34"/>
  <c r="E16" i="1"/>
  <c r="F16" i="1" s="1"/>
  <c r="C19" i="34"/>
  <c r="E19" i="34" s="1"/>
  <c r="F19" i="34" s="1"/>
  <c r="C20" i="34"/>
  <c r="E20" i="34" s="1"/>
  <c r="F20" i="34" s="1"/>
  <c r="H25" i="34"/>
  <c r="I25" i="34" s="1"/>
  <c r="C25" i="34"/>
  <c r="E25" i="34" s="1"/>
  <c r="F25" i="34" s="1"/>
  <c r="C22" i="34"/>
  <c r="E22" i="34" s="1"/>
  <c r="F22" i="34" s="1"/>
  <c r="C27" i="34"/>
  <c r="E27" i="34" s="1"/>
  <c r="F27" i="34" s="1"/>
  <c r="I27" i="72"/>
  <c r="C28" i="34"/>
  <c r="E28" i="34" s="1"/>
  <c r="F28" i="34" s="1"/>
  <c r="C21" i="34"/>
  <c r="E21" i="34" s="1"/>
  <c r="F21" i="34" s="1"/>
  <c r="H21" i="34"/>
  <c r="H29" i="1"/>
  <c r="I29" i="1" s="1"/>
  <c r="I29" i="72"/>
  <c r="C37" i="34"/>
  <c r="E37" i="34" s="1"/>
  <c r="F37" i="34" s="1"/>
  <c r="I38" i="72"/>
  <c r="H38" i="1"/>
  <c r="I38" i="1" s="1"/>
  <c r="C16" i="34"/>
  <c r="E16" i="34" s="1"/>
  <c r="F16" i="34" s="1"/>
  <c r="C35" i="34"/>
  <c r="E35" i="34" s="1"/>
  <c r="F35" i="34" s="1"/>
  <c r="C34" i="34"/>
  <c r="E34" i="34" s="1"/>
  <c r="F34" i="34" s="1"/>
  <c r="C30" i="34"/>
  <c r="E30" i="34" s="1"/>
  <c r="F30" i="34" s="1"/>
  <c r="I17" i="72"/>
  <c r="E17" i="1"/>
  <c r="F17" i="1" s="1"/>
  <c r="C17" i="34"/>
  <c r="E17" i="34" s="1"/>
  <c r="F17" i="34" s="1"/>
  <c r="I34" i="34"/>
  <c r="I38" i="34"/>
  <c r="I29" i="34"/>
  <c r="H22" i="1"/>
  <c r="I22" i="1" s="1"/>
  <c r="H24" i="34"/>
  <c r="H31" i="1"/>
  <c r="I31" i="1" s="1"/>
  <c r="H26" i="1"/>
  <c r="I26" i="1" s="1"/>
  <c r="H26" i="34"/>
  <c r="I26" i="34" s="1"/>
  <c r="I17" i="34"/>
  <c r="H24" i="1"/>
  <c r="I24" i="1" s="1"/>
  <c r="H30" i="1"/>
  <c r="I30" i="1" s="1"/>
  <c r="H20" i="1"/>
  <c r="I20" i="1" s="1"/>
  <c r="I35" i="34"/>
  <c r="H30" i="34"/>
  <c r="H22" i="34"/>
  <c r="I22" i="34" s="1"/>
  <c r="I36" i="34"/>
  <c r="H28" i="1"/>
  <c r="I28" i="1" s="1"/>
  <c r="H28" i="34"/>
  <c r="H20" i="34"/>
  <c r="I20" i="34" s="1"/>
  <c r="E33" i="34"/>
  <c r="F33" i="34" s="1"/>
  <c r="E24" i="34"/>
  <c r="F24" i="34" s="1"/>
  <c r="I36" i="72"/>
  <c r="E36" i="34"/>
  <c r="F36" i="34" s="1"/>
  <c r="E32" i="1"/>
  <c r="F32" i="1" s="1"/>
  <c r="H32" i="1"/>
  <c r="I32" i="1" s="1"/>
  <c r="H32" i="34"/>
  <c r="I32" i="34" s="1"/>
  <c r="C32" i="34"/>
  <c r="E32" i="34" s="1"/>
  <c r="F32" i="34" s="1"/>
  <c r="I18" i="34"/>
  <c r="E18" i="1"/>
  <c r="F18" i="1" s="1"/>
  <c r="C18" i="34"/>
  <c r="E18" i="34" s="1"/>
  <c r="F18" i="34" s="1"/>
  <c r="G4" i="34"/>
  <c r="E26" i="30"/>
  <c r="F26" i="30" s="1"/>
  <c r="E27" i="29"/>
  <c r="F27" i="29" s="1"/>
  <c r="H24" i="18"/>
  <c r="I24" i="18" s="1"/>
  <c r="E21" i="29"/>
  <c r="F21" i="29" s="1"/>
  <c r="H19" i="18"/>
  <c r="I19" i="18" s="1"/>
  <c r="H27" i="30"/>
  <c r="I27" i="30" s="1"/>
  <c r="H26" i="18"/>
  <c r="I26" i="18" s="1"/>
  <c r="H22" i="18"/>
  <c r="I22" i="18" s="1"/>
  <c r="H37" i="18"/>
  <c r="I37" i="18" s="1"/>
  <c r="E7" i="18"/>
  <c r="F7" i="18" s="1"/>
  <c r="E11" i="18"/>
  <c r="F11" i="18" s="1"/>
  <c r="E15" i="18"/>
  <c r="F15" i="18" s="1"/>
  <c r="E31" i="18"/>
  <c r="F31" i="18" s="1"/>
  <c r="I31" i="21"/>
  <c r="H23" i="18"/>
  <c r="I23" i="18" s="1"/>
  <c r="H32" i="30"/>
  <c r="I32" i="30" s="1"/>
  <c r="H19" i="30"/>
  <c r="I19" i="30" s="1"/>
  <c r="H36" i="18"/>
  <c r="I36" i="18" s="1"/>
  <c r="H21" i="29"/>
  <c r="I21" i="29" s="1"/>
  <c r="H27" i="18"/>
  <c r="I27" i="18" s="1"/>
  <c r="C31" i="34"/>
  <c r="E31" i="34" s="1"/>
  <c r="F31" i="34" s="1"/>
  <c r="C7" i="34"/>
  <c r="E7" i="34" s="1"/>
  <c r="F7" i="34" s="1"/>
  <c r="H35" i="18"/>
  <c r="I35" i="18" s="1"/>
  <c r="C38" i="34"/>
  <c r="E38" i="34" s="1"/>
  <c r="F38" i="34" s="1"/>
  <c r="E16" i="29"/>
  <c r="F16" i="29" s="1"/>
  <c r="H38" i="18"/>
  <c r="I38" i="18" s="1"/>
  <c r="E23" i="30"/>
  <c r="F23" i="30" s="1"/>
  <c r="I24" i="21"/>
  <c r="I20" i="21"/>
  <c r="I22" i="27"/>
  <c r="H31" i="30"/>
  <c r="I31" i="30" s="1"/>
  <c r="C13" i="34"/>
  <c r="E13" i="34" s="1"/>
  <c r="F13" i="34" s="1"/>
  <c r="C26" i="34"/>
  <c r="E26" i="34" s="1"/>
  <c r="F26" i="34" s="1"/>
  <c r="H34" i="18"/>
  <c r="I34" i="18" s="1"/>
  <c r="H30" i="18"/>
  <c r="I30" i="18" s="1"/>
  <c r="C4" i="34"/>
  <c r="C23" i="34"/>
  <c r="E23" i="34" s="1"/>
  <c r="F23" i="34" s="1"/>
  <c r="H38" i="29"/>
  <c r="I38" i="29" s="1"/>
  <c r="H28" i="30"/>
  <c r="I28" i="30" s="1"/>
  <c r="C12" i="34"/>
  <c r="E12" i="34" s="1"/>
  <c r="F12" i="34" s="1"/>
  <c r="C15" i="34"/>
  <c r="E15" i="34" s="1"/>
  <c r="F15" i="34" s="1"/>
  <c r="E35" i="18"/>
  <c r="F35" i="18" s="1"/>
  <c r="H32" i="18"/>
  <c r="I32" i="18" s="1"/>
  <c r="E38" i="29"/>
  <c r="F38" i="29" s="1"/>
  <c r="H36" i="30"/>
  <c r="I36" i="30" s="1"/>
  <c r="H19" i="29"/>
  <c r="I19" i="29" s="1"/>
  <c r="H33" i="30"/>
  <c r="I33" i="30" s="1"/>
  <c r="H37" i="30"/>
  <c r="I37" i="30" s="1"/>
  <c r="I19" i="32"/>
  <c r="C11" i="34"/>
  <c r="E11" i="34" s="1"/>
  <c r="F11" i="34" s="1"/>
  <c r="E22" i="30"/>
  <c r="F22" i="30" s="1"/>
  <c r="E13" i="30"/>
  <c r="F13" i="30" s="1"/>
  <c r="E14" i="30"/>
  <c r="F14" i="30" s="1"/>
  <c r="E9" i="30"/>
  <c r="F9" i="30" s="1"/>
  <c r="E15" i="30"/>
  <c r="F15" i="30" s="1"/>
  <c r="E18" i="30"/>
  <c r="F18" i="30" s="1"/>
  <c r="E11" i="30"/>
  <c r="F11" i="30" s="1"/>
  <c r="H29" i="30"/>
  <c r="I29" i="30" s="1"/>
  <c r="H38" i="30"/>
  <c r="I38" i="30" s="1"/>
  <c r="I31" i="31"/>
  <c r="E36" i="30"/>
  <c r="F36" i="30" s="1"/>
  <c r="E4" i="30"/>
  <c r="F4" i="30" s="1"/>
  <c r="H34" i="30"/>
  <c r="I34" i="30" s="1"/>
  <c r="I33" i="31"/>
  <c r="H21" i="30"/>
  <c r="I21" i="30" s="1"/>
  <c r="E33" i="30"/>
  <c r="F33" i="30" s="1"/>
  <c r="I32" i="31"/>
  <c r="E35" i="30"/>
  <c r="F35" i="30" s="1"/>
  <c r="E17" i="30"/>
  <c r="F17" i="30" s="1"/>
  <c r="E34" i="30"/>
  <c r="F34" i="30" s="1"/>
  <c r="E30" i="30"/>
  <c r="F30" i="30" s="1"/>
  <c r="E20" i="30"/>
  <c r="F20" i="30" s="1"/>
  <c r="E19" i="30"/>
  <c r="F19" i="30" s="1"/>
  <c r="E38" i="30"/>
  <c r="F38" i="30" s="1"/>
  <c r="D4" i="34"/>
  <c r="D2" i="34" s="1"/>
  <c r="H18" i="30"/>
  <c r="I18" i="30" s="1"/>
  <c r="E29" i="30"/>
  <c r="F29" i="30" s="1"/>
  <c r="E25" i="30"/>
  <c r="F25" i="30" s="1"/>
  <c r="E32" i="30"/>
  <c r="F32" i="30" s="1"/>
  <c r="E10" i="30"/>
  <c r="F10" i="30" s="1"/>
  <c r="E37" i="30"/>
  <c r="F37" i="30" s="1"/>
  <c r="E24" i="30"/>
  <c r="F24" i="30" s="1"/>
  <c r="E16" i="30"/>
  <c r="F16" i="30" s="1"/>
  <c r="E27" i="30"/>
  <c r="F27" i="30" s="1"/>
  <c r="E12" i="30"/>
  <c r="F12" i="30" s="1"/>
  <c r="E6" i="30"/>
  <c r="F6" i="30" s="1"/>
  <c r="D2" i="30"/>
  <c r="E5" i="30"/>
  <c r="F5" i="30" s="1"/>
  <c r="I37" i="32"/>
  <c r="H30" i="30"/>
  <c r="I30" i="30" s="1"/>
  <c r="H25" i="30"/>
  <c r="I25" i="30" s="1"/>
  <c r="H20" i="30"/>
  <c r="I20" i="30" s="1"/>
  <c r="H26" i="30"/>
  <c r="I26" i="30" s="1"/>
  <c r="I26" i="31"/>
  <c r="H24" i="30"/>
  <c r="I24" i="30" s="1"/>
  <c r="H22" i="30"/>
  <c r="I22" i="30" s="1"/>
  <c r="H23" i="30"/>
  <c r="I23" i="30" s="1"/>
  <c r="H6" i="30"/>
  <c r="I6" i="30" s="1"/>
  <c r="H17" i="30"/>
  <c r="I17" i="30" s="1"/>
  <c r="H16" i="30"/>
  <c r="I16" i="30" s="1"/>
  <c r="H35" i="30"/>
  <c r="I35" i="30" s="1"/>
  <c r="E30" i="29"/>
  <c r="F30" i="29" s="1"/>
  <c r="E14" i="29"/>
  <c r="F14" i="29" s="1"/>
  <c r="H37" i="29"/>
  <c r="I37" i="29" s="1"/>
  <c r="H13" i="29"/>
  <c r="I13" i="29" s="1"/>
  <c r="H35" i="29"/>
  <c r="I35" i="29" s="1"/>
  <c r="E5" i="29"/>
  <c r="F5" i="29" s="1"/>
  <c r="H20" i="29"/>
  <c r="I20" i="29" s="1"/>
  <c r="I21" i="27"/>
  <c r="E11" i="29"/>
  <c r="F11" i="29" s="1"/>
  <c r="E17" i="29"/>
  <c r="F17" i="29" s="1"/>
  <c r="E6" i="29"/>
  <c r="F6" i="29" s="1"/>
  <c r="E12" i="29"/>
  <c r="F12" i="29" s="1"/>
  <c r="E26" i="29"/>
  <c r="F26" i="29" s="1"/>
  <c r="E22" i="29"/>
  <c r="F22" i="29" s="1"/>
  <c r="E32" i="29"/>
  <c r="F32" i="29" s="1"/>
  <c r="E37" i="29"/>
  <c r="F37" i="29" s="1"/>
  <c r="E13" i="29"/>
  <c r="F13" i="29" s="1"/>
  <c r="E29" i="29"/>
  <c r="F29" i="29" s="1"/>
  <c r="H31" i="29"/>
  <c r="I31" i="29" s="1"/>
  <c r="H28" i="29"/>
  <c r="I28" i="29" s="1"/>
  <c r="H34" i="29"/>
  <c r="I34" i="29" s="1"/>
  <c r="H16" i="29"/>
  <c r="I16" i="29" s="1"/>
  <c r="H24" i="29"/>
  <c r="I24" i="29" s="1"/>
  <c r="E33" i="29"/>
  <c r="F33" i="29" s="1"/>
  <c r="E36" i="29"/>
  <c r="F36" i="29" s="1"/>
  <c r="E35" i="29"/>
  <c r="F35" i="29" s="1"/>
  <c r="E20" i="29"/>
  <c r="F20" i="29" s="1"/>
  <c r="E34" i="29"/>
  <c r="F34" i="29" s="1"/>
  <c r="E19" i="29"/>
  <c r="F19" i="29" s="1"/>
  <c r="E9" i="29"/>
  <c r="F9" i="29" s="1"/>
  <c r="E10" i="29"/>
  <c r="F10" i="29" s="1"/>
  <c r="D2" i="29"/>
  <c r="I13" i="27"/>
  <c r="H36" i="29"/>
  <c r="I36" i="29" s="1"/>
  <c r="H32" i="29"/>
  <c r="I32" i="29" s="1"/>
  <c r="H33" i="29"/>
  <c r="I33" i="29" s="1"/>
  <c r="I32" i="26"/>
  <c r="H30" i="29"/>
  <c r="I30" i="29" s="1"/>
  <c r="H29" i="29"/>
  <c r="I29" i="29" s="1"/>
  <c r="H27" i="29"/>
  <c r="I27" i="29" s="1"/>
  <c r="H26" i="29"/>
  <c r="I26" i="29" s="1"/>
  <c r="H25" i="29"/>
  <c r="I25" i="29" s="1"/>
  <c r="H23" i="29"/>
  <c r="I23" i="29" s="1"/>
  <c r="H18" i="29"/>
  <c r="I18" i="29" s="1"/>
  <c r="H17" i="29"/>
  <c r="I17" i="29" s="1"/>
  <c r="H15" i="29"/>
  <c r="I15" i="29" s="1"/>
  <c r="H12" i="29"/>
  <c r="I12" i="29" s="1"/>
  <c r="H10" i="29"/>
  <c r="I10" i="29" s="1"/>
  <c r="H9" i="29"/>
  <c r="I9" i="29" s="1"/>
  <c r="H7" i="29"/>
  <c r="I7" i="29" s="1"/>
  <c r="H6" i="29"/>
  <c r="I6" i="29" s="1"/>
  <c r="E28" i="18"/>
  <c r="F28" i="18" s="1"/>
  <c r="E27" i="18"/>
  <c r="F27" i="18" s="1"/>
  <c r="E20" i="18"/>
  <c r="F20" i="18" s="1"/>
  <c r="H17" i="18"/>
  <c r="I17" i="18" s="1"/>
  <c r="H16" i="18"/>
  <c r="I16" i="18" s="1"/>
  <c r="H28" i="18"/>
  <c r="I28" i="18" s="1"/>
  <c r="H17" i="1"/>
  <c r="I17" i="1" s="1"/>
  <c r="H16" i="1"/>
  <c r="I16" i="1" s="1"/>
  <c r="H16" i="34"/>
  <c r="I16" i="34" s="1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7" i="1"/>
  <c r="F7" i="1" s="1"/>
  <c r="E15" i="1"/>
  <c r="F15" i="1" s="1"/>
  <c r="E5" i="34"/>
  <c r="F5" i="34" s="1"/>
  <c r="G2" i="1"/>
  <c r="E6" i="34"/>
  <c r="F6" i="34" s="1"/>
  <c r="E8" i="1"/>
  <c r="F8" i="1" s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3" i="1"/>
  <c r="F13" i="1" s="1"/>
  <c r="E10" i="34"/>
  <c r="F10" i="34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I6" i="26"/>
  <c r="I9" i="26"/>
  <c r="I12" i="26"/>
  <c r="I15" i="26"/>
  <c r="H14" i="29"/>
  <c r="I14" i="29" s="1"/>
  <c r="H4" i="29"/>
  <c r="I4" i="29" s="1"/>
  <c r="E15" i="29"/>
  <c r="F15" i="29" s="1"/>
  <c r="H5" i="29"/>
  <c r="I5" i="29" s="1"/>
  <c r="I7" i="26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5" i="18"/>
  <c r="I15" i="18" s="1"/>
  <c r="H10" i="18"/>
  <c r="I10" i="18" s="1"/>
  <c r="H5" i="18"/>
  <c r="I5" i="18" s="1"/>
  <c r="H13" i="18"/>
  <c r="I13" i="18" s="1"/>
  <c r="H8" i="18"/>
  <c r="I8" i="18" s="1"/>
  <c r="H11" i="18"/>
  <c r="I11" i="18" s="1"/>
  <c r="H6" i="34"/>
  <c r="I6" i="34" s="1"/>
  <c r="H7" i="34"/>
  <c r="H8" i="34"/>
  <c r="I8" i="34" s="1"/>
  <c r="H5" i="34"/>
  <c r="I5" i="34" s="1"/>
  <c r="H9" i="34"/>
  <c r="I9" i="34" s="1"/>
  <c r="H10" i="34"/>
  <c r="I10" i="34" s="1"/>
  <c r="H11" i="34"/>
  <c r="I11" i="34" s="1"/>
  <c r="H12" i="34"/>
  <c r="I12" i="34" s="1"/>
  <c r="H13" i="34"/>
  <c r="I13" i="34" s="1"/>
  <c r="H14" i="34"/>
  <c r="I14" i="34" s="1"/>
  <c r="H15" i="34"/>
  <c r="I15" i="34" s="1"/>
  <c r="E8" i="34"/>
  <c r="F8" i="34" s="1"/>
  <c r="E14" i="34"/>
  <c r="F14" i="34" s="1"/>
  <c r="C2" i="29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E2" i="3"/>
  <c r="F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I30" i="34" l="1"/>
  <c r="I23" i="34"/>
  <c r="I37" i="34"/>
  <c r="I33" i="34"/>
  <c r="I28" i="34"/>
  <c r="I27" i="34"/>
  <c r="I24" i="34"/>
  <c r="I21" i="34"/>
  <c r="I19" i="34"/>
  <c r="I7" i="34"/>
  <c r="G2" i="34"/>
  <c r="E4" i="34"/>
  <c r="F4" i="34" s="1"/>
  <c r="E2" i="29"/>
  <c r="F2" i="29" s="1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<sst xmlns="http://schemas.openxmlformats.org/spreadsheetml/2006/main" count="815" uniqueCount="194">
  <si>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</si>
  <si>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</si>
  <si>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</si>
  <si>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</si>
  <si>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</si>
  <si>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</si>
  <si>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</si>
  <si>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</si>
  <si>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</si>
  <si>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</si>
  <si>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</si>
  <si>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</si>
  <si>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</si>
  <si>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</si>
  <si>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</si>
  <si>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</si>
  <si>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</si>
  <si>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</si>
  <si>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</si>
  <si>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</si>
  <si>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</si>
  <si>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</si>
  <si>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</si>
  <si>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 Site was offline on  01/03/25 at 07:30AM due to a power generation shutdown by command. Enphase later sent a command to reset the site remotely, but it remained offline until the gateway reported back, and the issue was resolved at 13:00 the same day.</t>
  </si>
  <si>
    <t>1. SR095278</t>
  </si>
  <si>
    <t>1. Site was offline from 12/30/24 because someone had turned OFF the disconnect. It was remotely turned back ON on 01/15/25 at 15:15, bringing the site back online</t>
  </si>
  <si>
    <t>1. SR095189</t>
  </si>
  <si>
    <t>1. Gateway stopped reporting since 12/19/24.</t>
  </si>
  <si>
    <t>1. SR095095</t>
  </si>
  <si>
    <t xml:space="preserve">1. 12 microinverters have not reported since 9/28/24 due to improper mapping with Enphase. On 01/13/25, the technician found the site map inadequate for locating them. To resolve this, we’ll schedule a follow-up visit with an additional technician and a lift to update the site information in the Enphase Enlighten portal.
</t>
  </si>
  <si>
    <t>1. SR091352</t>
  </si>
  <si>
    <t>1. 10 microinverters have not producing since 01/13/25 and remained offline through the month.</t>
  </si>
  <si>
    <t>1. SR095528</t>
  </si>
  <si>
    <t>1. Site has been offline since 01/21/25 due to a possible disconnection.This indicates it was shut off from its past history and back online at 09:00 on 01/31/25.</t>
  </si>
  <si>
    <t>1. SR095900</t>
  </si>
  <si>
    <t>1. 1 microinverter have not producing since 01/08/25 and remained offline through the month.</t>
  </si>
  <si>
    <t>1. SR095596</t>
  </si>
  <si>
    <t>1. Site has been offline since 08/21/24 due to heat anomalies on the breaker affecting the conduit. On 01/15/25, the technician re-energized it and brought it back online at 14:00</t>
  </si>
  <si>
    <t>1. SR095597,  SR089922 &amp; SR095037</t>
  </si>
  <si>
    <t>SR089922</t>
  </si>
  <si>
    <t>SR095037</t>
  </si>
  <si>
    <t>1. Meter was capturing only half of the inverter production due to a faulty CT since 10/31/24. On 01/15/25 at 11:15AM, the technician replaced the RMA'd IQ Gateway, installed 3 new CTs on the supply wires, updated the software, and re-paired all devices. Proper current readings were verified through the Enphase app, and the system back to normal.</t>
  </si>
  <si>
    <t>1. SR092849, SR095290</t>
  </si>
  <si>
    <t>SR095290</t>
  </si>
  <si>
    <t>1. 1 microinverter have not producing since 01/18/25 and remained offline through the month.</t>
  </si>
  <si>
    <t>1. SR096191</t>
  </si>
  <si>
    <t>1. Microinverter 1 (202305093235)  has not been reporting since 12/02/24 and was RMA'd on 12/22/24. Parts are needed to bring it back online.</t>
  </si>
  <si>
    <t>1. SR094909</t>
  </si>
  <si>
    <t>February Actual v. Expected</t>
  </si>
  <si>
    <t>February Actual v. Forecasted</t>
  </si>
  <si>
    <t>1. The gateway stopped reporting on 12/19/24. On 02/18/25, the technician found the disconnect open and re-energized the site at 06:30 AM. It stopped reporting again on 02/20/25 and was restored at 06:30 AM on 02/24 after contacting the site.</t>
  </si>
  <si>
    <t>1. SR095095, SR097621</t>
  </si>
  <si>
    <t>SR097621</t>
  </si>
  <si>
    <t>1. Site was offline from 02/07/25 due to a power off command and brought back online on 02/11/25 after remote reset by enphase</t>
  </si>
  <si>
    <t>1. SR096470</t>
  </si>
  <si>
    <t>1. Site was offline from 12:45 on 02/03/25 due to a disconnect, which self-resolved on 02/07 at 08:15. It went offline again from 15:30 on 02/09 and self-resolved on 02/11 at 06:00. The site was offline from 02/14 and came back online on 02/17. On 02/19, the technician updated the gateway firmware as per Enphase instructions.</t>
  </si>
  <si>
    <t>1. Site was offline from 02/07/25 due to a power off command and brought back online on 02/10/25 at 14:30 after remote reset by enphase.</t>
  </si>
  <si>
    <t>1. SR095166</t>
  </si>
  <si>
    <t>1. One microinverter has not been producing since 01/08/25. It was RMA'd on 02/27/25 and remained offline throughout the month.</t>
  </si>
  <si>
    <t>1. One microinverter has not been producing since 01/18/25 and self-resolved, coming back online on 02/03.</t>
  </si>
  <si>
    <t>1. Microinverter 121938054429 has not been reporting from 7:15 on 02/20/25 and remained offline throughout the month.</t>
  </si>
  <si>
    <t>1. SR097762</t>
  </si>
  <si>
    <t xml:space="preserve"> 1. Site stopped reporting from 02/08/25. Likely AC Disconnect is off.</t>
  </si>
  <si>
    <t>1. SR096627</t>
  </si>
  <si>
    <t>March Actual v. Expected</t>
  </si>
  <si>
    <t>March Actual v. Forecasted</t>
  </si>
  <si>
    <t>1. 12 microinverters haven't reported since 09/28/24 due to incorrect mapping with Enphase. On 01/13/25, the tech found the site map inadequate. On 03/20/25, the technician lifted all modules on Array 2, optimizers photographed, and manual mapping started. Enphase portal mapping doesn't match on-site. Need to return to finish mapping Arrays 1 &amp; 2, then submit to Enphase for correction.</t>
  </si>
  <si>
    <t>1. 10 microinverters have not producing since 01/13/25.On 03/25/25, technician tested Array 1 J-Box connections – all passed, NEC compliant. Replaced all wire nuts and Wagos with new ones. Found 18 microinverters offline and unmapped. Started mapping all 84 units and confirmed with Enphase; all serials added and mapped. Restored 83 units. One unit (S/N: 202403005673, Array 1, Row 4, Col 5) still offline – MCI head damaged. AC/DC tests passed. Opened RMA with Enphase. Installed spare (S/N: 202401030429) from van, updated mapping. Enphase confirmed new unit is producing the same day.</t>
  </si>
  <si>
    <t>1. One microinverter (202305093235) has not been producing since 01/08/25. It was RMA'd on 02/27/25 and remained offline throughout the month.</t>
  </si>
  <si>
    <t>1. SR097762, PM9175</t>
  </si>
  <si>
    <t>1.The site stopped reporting from 02/08/25, likely due to the AC disconnect being off.  Site is communicating and producing normally from 03/22</t>
  </si>
  <si>
    <t>1.SR096627</t>
  </si>
  <si>
    <t>April Actual v. Expected</t>
  </si>
  <si>
    <t>April Actual v. Forecasted</t>
  </si>
  <si>
    <t xml:space="preserve">1. 12 microinverters have not reported since 09/28/24 due to incorrect mapping in the Enphase system. On 01/13/25, a technician identified the site map as inadequate. On 03/20/25, all modules on Array 2 were lifted, optimizers photographed, and manual mapping was started. However, the Enphase portal mapping still doesn't match the physical layout. The technician needs to return to complete mapping for Arrays 1 and 2 and submit the corrected map to Enphase. On 04/17/25, Array 3 was mapped, and on 04/18/25, mapping continued on the west-facing array, with modules removed to retrieve microinverter serial numbers. Despite these efforts, the microinverters are still not reporting.
</t>
  </si>
  <si>
    <t>1. 	SR091352</t>
  </si>
  <si>
    <t>1. Three SMAs have been offline since 04/15. On 04/23, the technician found major thermal damage around the capacitors, which need to be replaced in order to bring the inverters back online.</t>
  </si>
  <si>
    <t>1. SR099807</t>
  </si>
  <si>
    <t>1.SR095596</t>
  </si>
  <si>
    <t xml:space="preserve">1. One microinverter (202305093235) is not reporting the production data.Issue to be addressed on  PM </t>
  </si>
  <si>
    <t>1.SR101279</t>
  </si>
  <si>
    <t>May Actual v. Expected</t>
  </si>
  <si>
    <t>May Actual v. Forecasted</t>
  </si>
  <si>
    <t>1. 8 microinverters have been offline since 5/10 due to an AC frequency out-of-range issue. Enphase approved a remote RMA on 5/19, pending confirmation and shipping details from ROC and the OEM.
2. Gateway not reporting since 05/22 at 16:16 and later self resolved on 05/29.</t>
  </si>
  <si>
    <t>1. SR101589, 	SR101905
2. SR101905</t>
  </si>
  <si>
    <t>SR101905</t>
  </si>
  <si>
    <t>1. 12 microinverters(gray)  have not reported since 09/28/24; 9 of them were previously RMA’d. On 05/29/25, Enphase confirmed 13 microinverters(white) are missing from the array builder. A device scan was run waiting 24 hours before replacing old SNs with new ones via the self-service install replacement option. Awaiting Enphase's response on data.</t>
  </si>
  <si>
    <t>1. SR102087, SR091352</t>
  </si>
  <si>
    <t>SR091352</t>
  </si>
  <si>
    <t>1. one microinverter have not reporting since 05/28 and remained offline throughout the month.</t>
  </si>
  <si>
    <t>1. SR102088</t>
  </si>
  <si>
    <t>1. Microinverters did not report from 19:10 on 05/20 to 06:35 on 05/23 due to a mapping issue, which requires further troubleshooting.</t>
  </si>
  <si>
    <t>1. 	SR101846</t>
  </si>
  <si>
    <t>1. Three SMAs have been offline since 04/15. On 04/23, a technician found major thermal damage around the capacitors, requiring replacement. On 05/14, SMA requested as-builts to review and recommend an alternate inverter model for repowering, as the same series is no longer available</t>
  </si>
  <si>
    <t>1. One microinverter (202305093235) has not produced since 01/08. It was RMA’d on 02/27, and on 05/02, the technician replaced three microinverters, which came back online at 10:15 the same day</t>
  </si>
  <si>
    <t>1. 	SR095596</t>
  </si>
  <si>
    <t xml:space="preserve">1. One microinverter have not reporting since 05/10 and remained offline throughout the month. Issue to be addressed on PM </t>
  </si>
  <si>
    <t>1. SR101326</t>
  </si>
  <si>
    <t xml:space="preserve">1. One microinverter (202305093235) is not reporting the production data.Issue to be addressed on PM </t>
  </si>
  <si>
    <t>1. SR101279</t>
  </si>
  <si>
    <t>June Actual v. Expected</t>
  </si>
  <si>
    <t>June Actual v. Forecasted</t>
  </si>
  <si>
    <t>1. Microinverter 202305093250 lost communications on 6/4 and has not self-resolved. Possibly offline.</t>
  </si>
  <si>
    <t>1. SR102639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</si>
  <si>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</si>
  <si>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</si>
  <si>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</si>
  <si>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</si>
  <si>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</si>
  <si>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</si>
  <si>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</si>
  <si>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</si>
  <si>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</si>
  <si>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</si>
  <si>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</si>
  <si>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</si>
  <si>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</si>
  <si>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Cushman &amp; Wakefield</t>
  </si>
  <si>
    <t>Site DAS Name</t>
  </si>
  <si>
    <t>Update</t>
  </si>
  <si>
    <t>DAS</t>
  </si>
  <si>
    <t/>
  </si>
  <si>
    <t xml:space="preserve"> Adelanto - Bank of America</t>
  </si>
  <si>
    <t>CA</t>
  </si>
  <si>
    <t xml:space="preserve">Enlighten Manager </t>
  </si>
  <si>
    <t xml:space="preserve"> Apple Valley - Bank of America</t>
  </si>
  <si>
    <t>Bank of America - CAW-D36 (Arvin, CA)</t>
  </si>
  <si>
    <t xml:space="preserve"> Arvin - Bank of America</t>
  </si>
  <si>
    <t>Bank of America - CA8-122 (Bell, CA) (240 VAC High Leg Delta)</t>
  </si>
  <si>
    <t xml:space="preserve"> Bell - Bank of America</t>
  </si>
  <si>
    <t>Bank of America - CAW-G59 (Chula Vista, CA)</t>
  </si>
  <si>
    <t xml:space="preserve"> Chula Vista - Bank of America</t>
  </si>
  <si>
    <t>Bank of America - CAW-F39 (Cupertino, CA)</t>
  </si>
  <si>
    <t xml:space="preserve"> Cupertino - Bank of America</t>
  </si>
  <si>
    <t>Bank of America - CA7-202 (Diamond Bar, CA)</t>
  </si>
  <si>
    <t xml:space="preserve"> Diamond Bar - Bank of America</t>
  </si>
  <si>
    <t>Bank of America - CA0-119 (El Centro, CA)</t>
  </si>
  <si>
    <t xml:space="preserve"> El Centro - Bank of America</t>
  </si>
  <si>
    <t>Bank of America - CA6-174 (Moreno Valley, CA)</t>
  </si>
  <si>
    <t xml:space="preserve"> Moreno Valley - Bank of America</t>
  </si>
  <si>
    <t xml:space="preserve"> Redlands - Bank of America</t>
  </si>
  <si>
    <t>Bank of America - CA2-113 (Roseville, CA)</t>
  </si>
  <si>
    <t xml:space="preserve"> Roseville - Bank of America</t>
  </si>
  <si>
    <t>Bank of America - CAW-E84 (San Bernardino, CA)</t>
  </si>
  <si>
    <t xml:space="preserve"> San Bernardino - Bank of America</t>
  </si>
  <si>
    <t>Bank of America (San Diego, CA)</t>
  </si>
  <si>
    <t xml:space="preserve"> San Diego - Bank of America</t>
  </si>
  <si>
    <t>Bank of America - CA2-154 (Stockton, CA)</t>
  </si>
  <si>
    <t xml:space="preserve"> Stockton - Bank of America</t>
  </si>
  <si>
    <t xml:space="preserve"> Victorville - Bank of America</t>
  </si>
  <si>
    <t>BOA, Arapahoe Crossings #CO1-112</t>
  </si>
  <si>
    <t xml:space="preserve"> Aurora - BA - Colfax Ave</t>
  </si>
  <si>
    <t>CO</t>
  </si>
  <si>
    <t>BOA, Chambers Plaza #COW-139</t>
  </si>
  <si>
    <t xml:space="preserve"> Aurora - BA - Parker Rd</t>
  </si>
  <si>
    <t>BOA, BroomFeild #COW-107</t>
  </si>
  <si>
    <t xml:space="preserve"> Broomfield - Bank of America</t>
  </si>
  <si>
    <t>BOA, Garden of the Gods #CO1-140</t>
  </si>
  <si>
    <t xml:space="preserve"> Colorado Springs - Bank of America</t>
  </si>
  <si>
    <t>BOA, Green Valley Ranch #CO1-121</t>
  </si>
  <si>
    <t xml:space="preserve"> Denver - BA - 49th Ave</t>
  </si>
  <si>
    <t>BOA, South Wadsworth #COW-113</t>
  </si>
  <si>
    <t xml:space="preserve"> Denver - BA Wadsworth Blvd</t>
  </si>
  <si>
    <t>BOA, Front Range Village #COW-143</t>
  </si>
  <si>
    <t xml:space="preserve"> Fort Collins - Bank of America</t>
  </si>
  <si>
    <t>Bank of America - COW-135 (Lafayette, CO)</t>
  </si>
  <si>
    <t xml:space="preserve"> Lafayette - Bank of America</t>
  </si>
  <si>
    <t>BOA, Lakewood #COW-115</t>
  </si>
  <si>
    <t xml:space="preserve"> Lakewood - Bank of America</t>
  </si>
  <si>
    <t>BOA,Village at the Peaks #CO1-109</t>
  </si>
  <si>
    <t xml:space="preserve"> Longmont - Bank of America</t>
  </si>
  <si>
    <t>BOA, Thornton #COW-118</t>
  </si>
  <si>
    <t xml:space="preserve"> Thornton - Bank of America</t>
  </si>
  <si>
    <t>Bank of America - IL4-020 (River Oaks, IL)</t>
  </si>
  <si>
    <t xml:space="preserve"> Calumet City - Bank of America</t>
  </si>
  <si>
    <t>IL</t>
  </si>
  <si>
    <t>BOA, WoodRidge IL2-251</t>
  </si>
  <si>
    <t xml:space="preserve"> Downers Grove - Bank of America</t>
  </si>
  <si>
    <t xml:space="preserve"> Bloomington - Bank of America</t>
  </si>
  <si>
    <t>MN</t>
  </si>
  <si>
    <t>Bank of America - Forsyth (Clayton, MO)</t>
  </si>
  <si>
    <t xml:space="preserve"> Clayton - Bank of America</t>
  </si>
  <si>
    <t>MO</t>
  </si>
  <si>
    <t>Bank of America - MO1-064 (Manchester, MO)</t>
  </si>
  <si>
    <t xml:space="preserve"> Manchester - Bank of America</t>
  </si>
  <si>
    <t>Bank Of America (Las Vegas, NV)</t>
  </si>
  <si>
    <t xml:space="preserve"> Las Vegas - BA - Eastern Ave</t>
  </si>
  <si>
    <t>NV</t>
  </si>
  <si>
    <t xml:space="preserve"> Las Vegas - BA - Town Ctr Dr</t>
  </si>
  <si>
    <t>Bank of America - UTW-024 (Riverton, UT)</t>
  </si>
  <si>
    <t xml:space="preserve"> Riverton - Bank of America</t>
  </si>
  <si>
    <t>UT</t>
  </si>
  <si>
    <t>Bank of America - UT3-111 (Salt Lake City, UT)</t>
  </si>
  <si>
    <t xml:space="preserve"> Salt Lake City - Bank of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</si>
</sst>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8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theme="1"/>
      <name val="Arial"/>
    </font>
    <font>
      <sz val="11"/>
      <color rgb="FF000000"/>
      <name val="Calibri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7" fillId="0" borderId="0" applyNumberFormat="0" applyFill="0" applyBorder="0" applyAlignment="0" applyProtection="0"/>
  </cellStyleXfs>
  <cellXfs count="7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22" fillId="40" borderId="12" xfId="43" applyFont="1" applyFill="1" applyBorder="1" applyAlignment="1">
      <alignment horizontal="left"/>
    </xf>
    <xf numFmtId="0" fontId="22" fillId="40" borderId="13" xfId="43" applyFont="1" applyFill="1" applyBorder="1"/>
    <xf numFmtId="0" fontId="35" fillId="40" borderId="13" xfId="0" applyFont="1" applyFill="1" applyBorder="1"/>
    <xf numFmtId="0" fontId="35" fillId="40" borderId="14" xfId="0" applyFont="1" applyFill="1" applyBorder="1"/>
    <xf numFmtId="0" fontId="22" fillId="0" borderId="12" xfId="43" applyFont="1" applyBorder="1" applyAlignment="1">
      <alignment horizontal="left"/>
    </xf>
    <xf numFmtId="0" fontId="22" fillId="0" borderId="13" xfId="43" applyFont="1" applyBorder="1"/>
    <xf numFmtId="0" fontId="35" fillId="0" borderId="13" xfId="0" applyFont="1" applyBorder="1"/>
    <xf numFmtId="0" fontId="35" fillId="0" borderId="14" xfId="0" applyFont="1" applyBorder="1"/>
    <xf numFmtId="0" fontId="22" fillId="0" borderId="15" xfId="43" applyFont="1" applyBorder="1" applyAlignment="1">
      <alignment horizontal="left"/>
    </xf>
    <xf numFmtId="0" fontId="22" fillId="0" borderId="16" xfId="43" applyFont="1" applyBorder="1"/>
    <xf numFmtId="0" fontId="35" fillId="40" borderId="16" xfId="0" applyFont="1" applyFill="1" applyBorder="1"/>
    <xf numFmtId="0" fontId="35" fillId="40" borderId="17" xfId="0" applyFont="1" applyFill="1" applyBorder="1"/>
    <xf numFmtId="49" fontId="27" fillId="0" borderId="0" xfId="0" applyNumberFormat="1" applyFont="1" applyAlignment="1">
      <alignment vertical="top" wrapText="1"/>
    </xf>
    <xf numFmtId="49" fontId="30" fillId="38" borderId="0" xfId="2" applyNumberFormat="1" applyFont="1" applyFill="1" applyBorder="1" applyAlignment="1">
      <alignment horizontal="left" vertical="top" wrapText="1" indent="1"/>
    </xf>
    <xf numFmtId="164" fontId="32" fillId="0" borderId="0" xfId="0" applyNumberFormat="1" applyFont="1"/>
    <xf numFmtId="164" fontId="0" fillId="0" borderId="0" xfId="0" applyNumberFormat="1"/>
    <xf numFmtId="49" fontId="28" fillId="0" borderId="0" xfId="0" applyNumberFormat="1" applyFont="1" applyAlignment="1">
      <alignment horizontal="left" vertical="top" wrapText="1"/>
    </xf>
    <xf numFmtId="49" fontId="36" fillId="0" borderId="0" xfId="0" applyNumberFormat="1" applyFont="1" applyAlignment="1">
      <alignment horizontal="left" vertical="top" wrapText="1"/>
    </xf>
    <xf numFmtId="49" fontId="30" fillId="38" borderId="0" xfId="2" applyNumberFormat="1" applyFont="1" applyFill="1" applyBorder="1" applyAlignment="1">
      <alignment horizontal="left" vertical="top" wrapText="1"/>
    </xf>
    <xf numFmtId="3" fontId="30" fillId="4" borderId="0" xfId="1" applyNumberFormat="1" applyFont="1" applyFill="1" applyBorder="1" applyAlignment="1">
      <alignment horizontal="right" vertical="center"/>
    </xf>
    <xf numFmtId="3" fontId="30" fillId="0" borderId="0" xfId="1" applyNumberFormat="1" applyFont="1" applyFill="1" applyBorder="1" applyAlignment="1">
      <alignment horizontal="right" vertical="center"/>
    </xf>
    <xf numFmtId="49" fontId="37" fillId="38" borderId="0" xfId="45" applyNumberFormat="1" applyFill="1" applyBorder="1" applyAlignment="1">
      <alignment vertical="top" wrapText="1"/>
    </xf>
    <xf numFmtId="49" fontId="37" fillId="0" borderId="0" xfId="45" applyNumberFormat="1" applyAlignment="1">
      <alignment horizontal="left" vertical="top" wrapText="1"/>
    </xf>
    <xf numFmtId="49" fontId="37" fillId="38" borderId="0" xfId="45" applyNumberFormat="1" applyFill="1" applyBorder="1" applyAlignment="1">
      <alignment horizontal="left" vertical="top" wrapText="1"/>
    </xf>
    <xf numFmtId="49" fontId="37" fillId="0" borderId="0" xfId="45" applyNumberFormat="1" applyAlignment="1">
      <alignment vertical="top" wrapText="1"/>
    </xf>
    <xf numFmtId="0" fontId="37" fillId="0" borderId="0" xfId="45" applyAlignment="1">
      <alignment vertical="top"/>
    </xf>
    <xf numFmtId="3" fontId="30" fillId="4" borderId="0" xfId="1" applyNumberFormat="1" applyFont="1" applyFill="1" applyBorder="1" applyAlignment="1">
      <alignment horizontal="right"/>
    </xf>
    <xf numFmtId="3" fontId="30" fillId="0" borderId="0" xfId="1" applyNumberFormat="1" applyFont="1" applyFill="1" applyBorder="1" applyAlignment="1">
      <alignment horizontal="right"/>
    </xf>
    <xf numFmtId="164" fontId="37" fillId="0" borderId="0" xfId="45" applyNumberFormat="1" applyAlignment="1">
      <alignment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5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38" totalsRowShown="0">
  <autoFilter ref="A3:E38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4" dataCellStyle="Normal 2"/>
    <tableColumn id="1" xr3:uid="{9A753695-C18C-437C-AD9C-C2CE5C1A806E}" name="Site" dataDxfId="3" dataCellStyle="Normal 2"/>
    <tableColumn id="2" xr3:uid="{250F229D-34D2-4043-BE8F-6D9C210E223F}" name="State" dataDxfId="2" dataCellStyle="Normal 2"/>
    <tableColumn id="5" xr3:uid="{61DF2E38-E0FD-4D7E-AE61-BDFE8D5E1312}" name="Update" dataDxfId="1"/>
    <tableColumn id="4" xr3:uid="{E086A54F-BF3D-477F-A0D7-706863BF0C38}" name="DA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5597" TargetMode="External"/><Relationship Id="rId13" Type="http://schemas.openxmlformats.org/officeDocument/2006/relationships/hyperlink" Target="https://us3.assetplanner.com/service_request?ID=096191" TargetMode="External"/><Relationship Id="rId3" Type="http://schemas.openxmlformats.org/officeDocument/2006/relationships/hyperlink" Target="https://us3.assetplanner.com/service_request?ID=095095" TargetMode="External"/><Relationship Id="rId7" Type="http://schemas.openxmlformats.org/officeDocument/2006/relationships/hyperlink" Target="https://us3.assetplanner.com/service_request?ID=095596" TargetMode="External"/><Relationship Id="rId12" Type="http://schemas.openxmlformats.org/officeDocument/2006/relationships/hyperlink" Target="https://us3.assetplanner.com/service_request?ID=095290" TargetMode="External"/><Relationship Id="rId2" Type="http://schemas.openxmlformats.org/officeDocument/2006/relationships/hyperlink" Target="https://us3.assetplanner.com/service_request?ID=095189" TargetMode="External"/><Relationship Id="rId1" Type="http://schemas.openxmlformats.org/officeDocument/2006/relationships/hyperlink" Target="https://us3.assetplanner.com/service_request?ID=095278" TargetMode="External"/><Relationship Id="rId6" Type="http://schemas.openxmlformats.org/officeDocument/2006/relationships/hyperlink" Target="https://us3.assetplanner.com/service_request?ID=095900" TargetMode="External"/><Relationship Id="rId11" Type="http://schemas.openxmlformats.org/officeDocument/2006/relationships/hyperlink" Target="https://us3.assetplanner.com/service_request?ID=092849" TargetMode="External"/><Relationship Id="rId5" Type="http://schemas.openxmlformats.org/officeDocument/2006/relationships/hyperlink" Target="https://us3.assetplanner.com/service_request?ID=095528" TargetMode="External"/><Relationship Id="rId15" Type="http://schemas.openxmlformats.org/officeDocument/2006/relationships/printerSettings" Target="../printerSettings/printerSettings3.bin"/><Relationship Id="rId10" Type="http://schemas.openxmlformats.org/officeDocument/2006/relationships/hyperlink" Target="https://us3.assetplanner.com/service_request?ID=095037" TargetMode="External"/><Relationship Id="rId4" Type="http://schemas.openxmlformats.org/officeDocument/2006/relationships/hyperlink" Target="https://us3.assetplanner.com/service_request?ID=091352" TargetMode="External"/><Relationship Id="rId9" Type="http://schemas.openxmlformats.org/officeDocument/2006/relationships/hyperlink" Target="https://us3.assetplanner.com/service_request?ID=089922" TargetMode="External"/><Relationship Id="rId14" Type="http://schemas.openxmlformats.org/officeDocument/2006/relationships/hyperlink" Target="https://us3.assetplanner.com/service_request?ID=094909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5596" TargetMode="External"/><Relationship Id="rId3" Type="http://schemas.openxmlformats.org/officeDocument/2006/relationships/hyperlink" Target="https://us3.assetplanner.com/service_request?ID=091352" TargetMode="External"/><Relationship Id="rId7" Type="http://schemas.openxmlformats.org/officeDocument/2006/relationships/hyperlink" Target="https://us3.assetplanner.com/service_request?ID=095166" TargetMode="External"/><Relationship Id="rId12" Type="http://schemas.openxmlformats.org/officeDocument/2006/relationships/hyperlink" Target="https://us3.assetplanner.com/service_request?ID=096627" TargetMode="External"/><Relationship Id="rId2" Type="http://schemas.openxmlformats.org/officeDocument/2006/relationships/hyperlink" Target="https://us3.assetplanner.com/service_request?ID=097621" TargetMode="External"/><Relationship Id="rId1" Type="http://schemas.openxmlformats.org/officeDocument/2006/relationships/hyperlink" Target="https://us3.assetplanner.com/service_request?ID=095095" TargetMode="External"/><Relationship Id="rId6" Type="http://schemas.openxmlformats.org/officeDocument/2006/relationships/hyperlink" Target="https://us3.assetplanner.com/service_request?ID=095900" TargetMode="External"/><Relationship Id="rId11" Type="http://schemas.openxmlformats.org/officeDocument/2006/relationships/hyperlink" Target="https://us3.assetplanner.com/service_request?ID=097762" TargetMode="External"/><Relationship Id="rId5" Type="http://schemas.openxmlformats.org/officeDocument/2006/relationships/hyperlink" Target="https://us3.assetplanner.com/service_request?ID=095528" TargetMode="External"/><Relationship Id="rId10" Type="http://schemas.openxmlformats.org/officeDocument/2006/relationships/hyperlink" Target="https://us3.assetplanner.com/service_request?ID=094909" TargetMode="External"/><Relationship Id="rId4" Type="http://schemas.openxmlformats.org/officeDocument/2006/relationships/hyperlink" Target="https://us3.assetplanner.com/service_request?ID=096470" TargetMode="External"/><Relationship Id="rId9" Type="http://schemas.openxmlformats.org/officeDocument/2006/relationships/hyperlink" Target="https://us3.assetplanner.com/service_request?ID=096191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5596" TargetMode="External"/><Relationship Id="rId2" Type="http://schemas.openxmlformats.org/officeDocument/2006/relationships/hyperlink" Target="https://us3.assetplanner.com/service_request?ID=095528" TargetMode="External"/><Relationship Id="rId1" Type="http://schemas.openxmlformats.org/officeDocument/2006/relationships/hyperlink" Target="https://us3.assetplanner.com/service_request?ID=091352" TargetMode="External"/><Relationship Id="rId4" Type="http://schemas.openxmlformats.org/officeDocument/2006/relationships/hyperlink" Target="https://us3.assetplanner.com/service_request?ID=096627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5596" TargetMode="External"/><Relationship Id="rId2" Type="http://schemas.openxmlformats.org/officeDocument/2006/relationships/hyperlink" Target="https://us3.assetplanner.com/service_request?ID=099807" TargetMode="External"/><Relationship Id="rId1" Type="http://schemas.openxmlformats.org/officeDocument/2006/relationships/hyperlink" Target="https://us3.assetplanner.com/service_request?ID=091352" TargetMode="External"/><Relationship Id="rId5" Type="http://schemas.openxmlformats.org/officeDocument/2006/relationships/hyperlink" Target="https://us3.assetplanner.com/service_request?ID=097762" TargetMode="External"/><Relationship Id="rId4" Type="http://schemas.openxmlformats.org/officeDocument/2006/relationships/hyperlink" Target="https://us3.assetplanner.com/service_request?ID=101279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us3.assetplanner.com/service_request?ID=099807" TargetMode="External"/><Relationship Id="rId3" Type="http://schemas.openxmlformats.org/officeDocument/2006/relationships/hyperlink" Target="https://us3.assetplanner.com/service_request?ID=101905" TargetMode="External"/><Relationship Id="rId7" Type="http://schemas.openxmlformats.org/officeDocument/2006/relationships/hyperlink" Target="https://us3.assetplanner.com/service_request?ID=101846" TargetMode="External"/><Relationship Id="rId12" Type="http://schemas.openxmlformats.org/officeDocument/2006/relationships/hyperlink" Target="https://us3.assetplanner.com/service_request?ID=097762" TargetMode="External"/><Relationship Id="rId2" Type="http://schemas.openxmlformats.org/officeDocument/2006/relationships/hyperlink" Target="https://us3.assetplanner.com/service_request?ID=101905" TargetMode="External"/><Relationship Id="rId1" Type="http://schemas.openxmlformats.org/officeDocument/2006/relationships/hyperlink" Target="https://us3.assetplanner.com/service_request?ID=101589" TargetMode="External"/><Relationship Id="rId6" Type="http://schemas.openxmlformats.org/officeDocument/2006/relationships/hyperlink" Target="https://us3.assetplanner.com/service_request?ID=102088" TargetMode="External"/><Relationship Id="rId11" Type="http://schemas.openxmlformats.org/officeDocument/2006/relationships/hyperlink" Target="https://us3.assetplanner.com/service_request?ID=101279" TargetMode="External"/><Relationship Id="rId5" Type="http://schemas.openxmlformats.org/officeDocument/2006/relationships/hyperlink" Target="https://us3.assetplanner.com/service_request?ID=091352" TargetMode="External"/><Relationship Id="rId10" Type="http://schemas.openxmlformats.org/officeDocument/2006/relationships/hyperlink" Target="https://us3.assetplanner.com/service_request?ID=101326" TargetMode="External"/><Relationship Id="rId4" Type="http://schemas.openxmlformats.org/officeDocument/2006/relationships/hyperlink" Target="https://us3.assetplanner.com/service_request?ID=102087" TargetMode="External"/><Relationship Id="rId9" Type="http://schemas.openxmlformats.org/officeDocument/2006/relationships/hyperlink" Target="https://us3.assetplanner.com/service_request?ID=095596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42"/>
  <sheetViews>
    <sheetView tabSelected="1" workbookViewId="0">
      <pane xSplit="2" ySplit="3" topLeftCell="C4" activePane="bottomRight" state="frozen"/>
      <selection pane="bottomRight" activeCell="M13" sqref="M13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4" t="str" cm="1">
        <f t="array" ref="A1">portfolio</f>
        <v>Cushman &amp; Wakefield</v>
      </c>
      <c r="B1" s="74"/>
      <c r="C1" s="74"/>
      <c r="D1" s="75" t="s">
        <v>0</v>
      </c>
      <c r="E1" s="75"/>
      <c r="F1" s="75"/>
      <c r="G1" s="73" t="s">
        <v>1</v>
      </c>
      <c r="H1" s="73"/>
      <c r="I1" s="73"/>
    </row>
    <row r="2" spans="1:9" ht="19.5" customHeight="1">
      <c r="A2" s="76" t="s">
        <v>2</v>
      </c>
      <c r="B2" s="76"/>
      <c r="C2" s="5">
        <f>SUM(C4:C100)</f>
        <v>240280.99999999997</v>
      </c>
      <c r="D2" s="5">
        <f>SUM(D4:D100)</f>
        <v>0</v>
      </c>
      <c r="E2" s="5">
        <f>C2-D2</f>
        <v>240280.99999999997</v>
      </c>
      <c r="F2" s="6">
        <f>IFERROR(E2/D2, 0)</f>
        <v>0</v>
      </c>
      <c r="G2" s="5">
        <f>SUM(G4:G100)</f>
        <v>0</v>
      </c>
      <c r="H2" s="7">
        <f>C2-G2</f>
        <v>240280.99999999997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38">Sites[Site]</f>
        <v xml:space="preserve"> Adelanto - Bank of America</v>
      </c>
      <c r="B4" s="9" t="str" cm="1">
        <f t="array" ref="B4:B38">Sites[State]</f>
        <v>CA</v>
      </c>
      <c r="C4" s="24">
        <f>SUM('1st Qtr'!C4, '2nd Qtr'!C4, '3rd Qtr'!C4, '4th Qtr'!C4)</f>
        <v>0</v>
      </c>
      <c r="D4" s="13">
        <f>SUM('1st Qtr'!D4, '2nd Qtr'!D4, '3rd Qtr'!D4, '4th Qtr'!D4)</f>
        <v>0</v>
      </c>
      <c r="E4" s="13">
        <f>IF(AND(ISNUMBER(C4),ISNUMBER(D4)), C4-D4, "")</f>
        <v>0</v>
      </c>
      <c r="F4" s="14" t="str">
        <f>IFERROR(E4/D4, "")</f>
        <v/>
      </c>
      <c r="G4" s="15">
        <f>SUM('1st Qtr'!G4, '2nd Qtr'!G4, '3rd Qtr'!G4, '4th Qtr'!G4)</f>
        <v>0</v>
      </c>
      <c r="H4" s="15">
        <f>SUM('1st Qtr'!H4, '2nd Qtr'!H4, '3rd Qtr'!H4, '4th Qtr'!H4)</f>
        <v>0</v>
      </c>
      <c r="I4" s="16" t="str">
        <f>IFERROR(H4/G4, "")</f>
        <v/>
      </c>
    </row>
    <row r="5" spans="1:9" ht="15.6">
      <c r="A5" s="17" t="str">
        <v xml:space="preserve"> Apple Valley - Bank of America</v>
      </c>
      <c r="B5" s="10" t="str">
        <v>CA</v>
      </c>
      <c r="C5" s="18">
        <f>SUM('1st Qtr'!C5, '2nd Qtr'!C5, '3rd Qtr'!C5, '4th Qtr'!C5)</f>
        <v>0</v>
      </c>
      <c r="D5" s="18">
        <f>SUM(Jan!D5, Feb!D5, Mar!D5)</f>
        <v>0</v>
      </c>
      <c r="E5" s="18">
        <f t="shared" ref="E5:E13" si="0">IF(AND(ISNUMBER(C5),ISNUMBER(D5)), C5-D5, "")</f>
        <v>0</v>
      </c>
      <c r="F5" s="19" t="str">
        <f>IFERROR(E5/D5, "")</f>
        <v/>
      </c>
      <c r="G5" s="20">
        <f>SUM('1st Qtr'!G5, '2nd Qtr'!G5, '3rd Qtr'!G5, '4th Qtr'!G5)</f>
        <v>0</v>
      </c>
      <c r="H5" s="20">
        <f>SUM(Jan!H5, Feb!H5, Mar!H5)</f>
        <v>0</v>
      </c>
      <c r="I5" s="19" t="str">
        <f>IFERROR(H5/G5, "")</f>
        <v/>
      </c>
    </row>
    <row r="6" spans="1:9" ht="15.6">
      <c r="A6" s="12" t="str">
        <v xml:space="preserve"> Arvin - Bank of America</v>
      </c>
      <c r="B6" s="9" t="str">
        <v>CA</v>
      </c>
      <c r="C6" s="24">
        <f>SUM('1st Qtr'!C6, '2nd Qtr'!C6, '3rd Qtr'!C6, '4th Qtr'!C6)</f>
        <v>444.1</v>
      </c>
      <c r="D6" s="13">
        <f>SUM(Jan!D6, Feb!D6, Mar!D6)</f>
        <v>0</v>
      </c>
      <c r="E6" s="13">
        <f t="shared" si="0"/>
        <v>444.1</v>
      </c>
      <c r="F6" s="14" t="str">
        <f t="shared" ref="F6:F13" si="1">IFERROR(E6/D6, "")</f>
        <v/>
      </c>
      <c r="G6" s="15">
        <f>SUM('1st Qtr'!G6, '2nd Qtr'!G6, '3rd Qtr'!G6, '4th Qtr'!G6)</f>
        <v>0</v>
      </c>
      <c r="H6" s="15">
        <f>SUM(Jan!H6, Feb!H6, Mar!H6)</f>
        <v>0</v>
      </c>
      <c r="I6" s="16" t="str">
        <f t="shared" ref="I6:I13" si="2">IFERROR(H6/G6, "")</f>
        <v/>
      </c>
    </row>
    <row r="7" spans="1:9" ht="15.6">
      <c r="A7" s="17" t="str">
        <v xml:space="preserve"> Bell - Bank of America</v>
      </c>
      <c r="B7" s="10" t="str">
        <v>CA</v>
      </c>
      <c r="C7" s="18">
        <f>SUM('1st Qtr'!C7, '2nd Qtr'!C7, '3rd Qtr'!C7, '4th Qtr'!C7)</f>
        <v>10246.6</v>
      </c>
      <c r="D7" s="18">
        <f>SUM(Jan!D7, Feb!D7, Mar!D7)</f>
        <v>0</v>
      </c>
      <c r="E7" s="18">
        <f t="shared" si="0"/>
        <v>10246.6</v>
      </c>
      <c r="F7" s="19" t="str">
        <f t="shared" si="1"/>
        <v/>
      </c>
      <c r="G7" s="20">
        <f>SUM('1st Qtr'!G7, '2nd Qtr'!G7, '3rd Qtr'!G7, '4th Qtr'!G7)</f>
        <v>0</v>
      </c>
      <c r="H7" s="20">
        <f>SUM(Jan!H7, Feb!H7, Mar!H7)</f>
        <v>0</v>
      </c>
      <c r="I7" s="19" t="str">
        <f t="shared" si="2"/>
        <v/>
      </c>
    </row>
    <row r="8" spans="1:9" ht="15.6">
      <c r="A8" s="12" t="str">
        <v xml:space="preserve"> Chula Vista - Bank of America</v>
      </c>
      <c r="B8" s="9" t="str">
        <v>CA</v>
      </c>
      <c r="C8" s="24">
        <f>SUM('1st Qtr'!C8, '2nd Qtr'!C8, '3rd Qtr'!C8, '4th Qtr'!C8)</f>
        <v>5445.6</v>
      </c>
      <c r="D8" s="13">
        <f>SUM(Jan!D8, Feb!D8, Mar!D8)</f>
        <v>0</v>
      </c>
      <c r="E8" s="13">
        <f t="shared" si="0"/>
        <v>5445.6</v>
      </c>
      <c r="F8" s="14" t="str">
        <f t="shared" si="1"/>
        <v/>
      </c>
      <c r="G8" s="15">
        <f>SUM('1st Qtr'!G8, '2nd Qtr'!G8, '3rd Qtr'!G8, '4th Qtr'!G8)</f>
        <v>0</v>
      </c>
      <c r="H8" s="15">
        <f>SUM(Jan!H8, Feb!H8, Mar!H8)</f>
        <v>0</v>
      </c>
      <c r="I8" s="16" t="str">
        <f t="shared" si="2"/>
        <v/>
      </c>
    </row>
    <row r="9" spans="1:9" ht="15.6">
      <c r="A9" s="17" t="str">
        <v xml:space="preserve"> Cupertino - Bank of America</v>
      </c>
      <c r="B9" s="10" t="str">
        <v>CA</v>
      </c>
      <c r="C9" s="18">
        <f>SUM('1st Qtr'!C9, '2nd Qtr'!C9, '3rd Qtr'!C9, '4th Qtr'!C9)</f>
        <v>7115.4</v>
      </c>
      <c r="D9" s="18">
        <f>SUM(Jan!D9, Feb!D9, Mar!D9)</f>
        <v>0</v>
      </c>
      <c r="E9" s="18">
        <f t="shared" si="0"/>
        <v>7115.4</v>
      </c>
      <c r="F9" s="19" t="str">
        <f t="shared" si="1"/>
        <v/>
      </c>
      <c r="G9" s="20">
        <f>SUM('1st Qtr'!G9, '2nd Qtr'!G9, '3rd Qtr'!G9, '4th Qtr'!G9)</f>
        <v>0</v>
      </c>
      <c r="H9" s="20">
        <f>SUM(Jan!H9, Feb!H9, Mar!H9)</f>
        <v>0</v>
      </c>
      <c r="I9" s="19" t="str">
        <f t="shared" si="2"/>
        <v/>
      </c>
    </row>
    <row r="10" spans="1:9" ht="15.6">
      <c r="A10" s="12" t="str">
        <v xml:space="preserve"> Diamond Bar - Bank of America</v>
      </c>
      <c r="B10" s="9" t="str">
        <v>CA</v>
      </c>
      <c r="C10" s="24">
        <f>SUM('1st Qtr'!C10, '2nd Qtr'!C10, '3rd Qtr'!C10, '4th Qtr'!C10)</f>
        <v>12471.3</v>
      </c>
      <c r="D10" s="13">
        <f>SUM(Jan!D10, Feb!D10, Mar!D10)</f>
        <v>0</v>
      </c>
      <c r="E10" s="13">
        <f t="shared" si="0"/>
        <v>12471.3</v>
      </c>
      <c r="F10" s="14" t="str">
        <f t="shared" si="1"/>
        <v/>
      </c>
      <c r="G10" s="15">
        <f>SUM('1st Qtr'!G10, '2nd Qtr'!G10, '3rd Qtr'!G10, '4th Qtr'!G10)</f>
        <v>0</v>
      </c>
      <c r="H10" s="15">
        <f>SUM(Jan!H10, Feb!H10, Mar!H10)</f>
        <v>0</v>
      </c>
      <c r="I10" s="16" t="str">
        <f t="shared" si="2"/>
        <v/>
      </c>
    </row>
    <row r="11" spans="1:9" ht="15.6">
      <c r="A11" s="17" t="str">
        <v xml:space="preserve"> El Centro - Bank of America</v>
      </c>
      <c r="B11" s="10" t="str">
        <v>CA</v>
      </c>
      <c r="C11" s="18">
        <f>SUM('1st Qtr'!C11, '2nd Qtr'!C11, '3rd Qtr'!C11, '4th Qtr'!C11)</f>
        <v>12731.8</v>
      </c>
      <c r="D11" s="18">
        <f>SUM(Jan!D11, Feb!D11, Mar!D11)</f>
        <v>0</v>
      </c>
      <c r="E11" s="18">
        <f t="shared" si="0"/>
        <v>12731.8</v>
      </c>
      <c r="F11" s="19" t="str">
        <f t="shared" si="1"/>
        <v/>
      </c>
      <c r="G11" s="20">
        <f>SUM('1st Qtr'!G11, '2nd Qtr'!G11, '3rd Qtr'!G11, '4th Qtr'!G11)</f>
        <v>0</v>
      </c>
      <c r="H11" s="20">
        <f>SUM(Jan!H11, Feb!H11, Mar!H11)</f>
        <v>0</v>
      </c>
      <c r="I11" s="19" t="str">
        <f t="shared" si="2"/>
        <v/>
      </c>
    </row>
    <row r="12" spans="1:9" ht="15.6">
      <c r="A12" s="12" t="str">
        <v xml:space="preserve"> Moreno Valley - Bank of America</v>
      </c>
      <c r="B12" s="9" t="str">
        <v>CA</v>
      </c>
      <c r="C12" s="24">
        <f>SUM('1st Qtr'!C12, '2nd Qtr'!C12, '3rd Qtr'!C12, '4th Qtr'!C12)</f>
        <v>20128.2</v>
      </c>
      <c r="D12" s="13">
        <f>SUM(Jan!D12, Feb!D12, Mar!D12)</f>
        <v>0</v>
      </c>
      <c r="E12" s="13">
        <f t="shared" si="0"/>
        <v>20128.2</v>
      </c>
      <c r="F12" s="14" t="str">
        <f t="shared" si="1"/>
        <v/>
      </c>
      <c r="G12" s="15">
        <f>SUM('1st Qtr'!G12, '2nd Qtr'!G12, '3rd Qtr'!G12, '4th Qtr'!G12)</f>
        <v>0</v>
      </c>
      <c r="H12" s="15">
        <f>SUM(Jan!H12, Feb!H12, Mar!H12)</f>
        <v>0</v>
      </c>
      <c r="I12" s="16" t="str">
        <f t="shared" si="2"/>
        <v/>
      </c>
    </row>
    <row r="13" spans="1:9" ht="15.6">
      <c r="A13" s="17" t="str">
        <v xml:space="preserve"> Redlands - Bank of America</v>
      </c>
      <c r="B13" s="10" t="str">
        <v>CA</v>
      </c>
      <c r="C13" s="18">
        <f>SUM('1st Qtr'!C13, '2nd Qtr'!C13, '3rd Qtr'!C13, '4th Qtr'!C13)</f>
        <v>0</v>
      </c>
      <c r="D13" s="18">
        <f>SUM(Jan!D13, Feb!D13, Mar!D13)</f>
        <v>0</v>
      </c>
      <c r="E13" s="18">
        <f t="shared" si="0"/>
        <v>0</v>
      </c>
      <c r="F13" s="19" t="str">
        <f t="shared" si="1"/>
        <v/>
      </c>
      <c r="G13" s="20">
        <f>SUM('1st Qtr'!G13, '2nd Qtr'!G13, '3rd Qtr'!G13, '4th Qtr'!G13)</f>
        <v>0</v>
      </c>
      <c r="H13" s="20">
        <f>SUM(Jan!H13, Feb!H13, Mar!H13)</f>
        <v>0</v>
      </c>
      <c r="I13" s="19" t="str">
        <f t="shared" si="2"/>
        <v/>
      </c>
    </row>
    <row r="14" spans="1:9" ht="15.6">
      <c r="A14" s="12" t="str">
        <v xml:space="preserve"> Roseville - Bank of America</v>
      </c>
      <c r="B14" s="9" t="str">
        <v>CA</v>
      </c>
      <c r="C14" s="24">
        <f>SUM('1st Qtr'!C14, '2nd Qtr'!C14, '3rd Qtr'!C14, '4th Qtr'!C14)</f>
        <v>29079</v>
      </c>
      <c r="D14" s="13">
        <f>SUM(Jan!D14, Feb!D14, Mar!D14)</f>
        <v>0</v>
      </c>
      <c r="E14" s="13">
        <f>IF(AND(ISNUMBER(C14),ISNUMBER(D14)), C14-D14, "")</f>
        <v>29079</v>
      </c>
      <c r="F14" s="14" t="str">
        <f>IFERROR(E14/D14, "")</f>
        <v/>
      </c>
      <c r="G14" s="15">
        <f>SUM('1st Qtr'!G14, '2nd Qtr'!G14, '3rd Qtr'!G14, '4th Qtr'!G14)</f>
        <v>0</v>
      </c>
      <c r="H14" s="15">
        <f>SUM(Jan!H14, Feb!H14, Mar!H14)</f>
        <v>0</v>
      </c>
      <c r="I14" s="16" t="str">
        <f>IFERROR(H14/G14, "")</f>
        <v/>
      </c>
    </row>
    <row r="15" spans="1:9" ht="15.6">
      <c r="A15" s="17" t="str">
        <v xml:space="preserve"> San Bernardino - Bank of America</v>
      </c>
      <c r="B15" s="10" t="str">
        <v>CA</v>
      </c>
      <c r="C15" s="18">
        <f>SUM('1st Qtr'!C15, '2nd Qtr'!C15, '3rd Qtr'!C15, '4th Qtr'!C15)</f>
        <v>384.5</v>
      </c>
      <c r="D15" s="18">
        <f>SUM(Jan!D15, Feb!D15, Mar!D15)</f>
        <v>0</v>
      </c>
      <c r="E15" s="18">
        <f>IF(AND(ISNUMBER(C15),ISNUMBER(D15)), C15-D15, "")</f>
        <v>384.5</v>
      </c>
      <c r="F15" s="19" t="str">
        <f>IFERROR(E15/D15, "")</f>
        <v/>
      </c>
      <c r="G15" s="20">
        <f>SUM('1st Qtr'!G15, '2nd Qtr'!G15, '3rd Qtr'!G15, '4th Qtr'!G15)</f>
        <v>0</v>
      </c>
      <c r="H15" s="20">
        <f>SUM(Jan!H15, Feb!H15, Mar!H15)</f>
        <v>0</v>
      </c>
      <c r="I15" s="19" t="str">
        <f>IFERROR(H15/G15, "")</f>
        <v/>
      </c>
    </row>
    <row r="16" spans="1:9" ht="15.6">
      <c r="A16" s="12" t="str">
        <v xml:space="preserve"> San Diego - Bank of America</v>
      </c>
      <c r="B16" s="9" t="str">
        <v>CA</v>
      </c>
      <c r="C16" s="24">
        <f>SUM('1st Qtr'!C16, '2nd Qtr'!C16, '3rd Qtr'!C16, '4th Qtr'!C16)</f>
        <v>646.4</v>
      </c>
      <c r="D16" s="13">
        <f>SUM(Jan!D16, Feb!D16, Mar!D16)</f>
        <v>0</v>
      </c>
      <c r="E16" s="13">
        <f t="shared" ref="E16:E17" si="3">IF(AND(ISNUMBER(C16),ISNUMBER(D16)), C16-D16, "")</f>
        <v>646.4</v>
      </c>
      <c r="F16" s="14" t="str">
        <f t="shared" ref="F16:F17" si="4">IFERROR(E16/D16, "")</f>
        <v/>
      </c>
      <c r="G16" s="15">
        <f>SUM('1st Qtr'!G16, '2nd Qtr'!G16, '3rd Qtr'!G16, '4th Qtr'!G16)</f>
        <v>0</v>
      </c>
      <c r="H16" s="15">
        <f>SUM(Jan!H16, Feb!H16, Mar!H16)</f>
        <v>0</v>
      </c>
      <c r="I16" s="16" t="str">
        <f t="shared" ref="I16:I17" si="5">IFERROR(H16/G16, "")</f>
        <v/>
      </c>
    </row>
    <row r="17" spans="1:9" ht="15.6">
      <c r="A17" s="17" t="str">
        <v xml:space="preserve"> Stockton - Bank of America</v>
      </c>
      <c r="B17" s="10" t="str">
        <v>CA</v>
      </c>
      <c r="C17" s="18">
        <f>SUM('1st Qtr'!C17, '2nd Qtr'!C17, '3rd Qtr'!C17, '4th Qtr'!C17)</f>
        <v>7683.2999999999993</v>
      </c>
      <c r="D17" s="18">
        <f>SUM(Jan!D17, Feb!D17, Mar!D17)</f>
        <v>0</v>
      </c>
      <c r="E17" s="18">
        <f t="shared" si="3"/>
        <v>7683.2999999999993</v>
      </c>
      <c r="F17" s="19" t="str">
        <f t="shared" si="4"/>
        <v/>
      </c>
      <c r="G17" s="20">
        <f>SUM('1st Qtr'!G17, '2nd Qtr'!G17, '3rd Qtr'!G17, '4th Qtr'!G17)</f>
        <v>0</v>
      </c>
      <c r="H17" s="20">
        <f>SUM(Jan!H17, Feb!H17, Mar!H17)</f>
        <v>0</v>
      </c>
      <c r="I17" s="19" t="str">
        <f t="shared" si="5"/>
        <v/>
      </c>
    </row>
    <row r="18" spans="1:9" ht="12.75" customHeight="1">
      <c r="A18" s="12" t="str">
        <v xml:space="preserve"> Victorville - Bank of America</v>
      </c>
      <c r="B18" s="9" t="str">
        <v>CA</v>
      </c>
      <c r="C18" s="24">
        <f>SUM('1st Qtr'!C18, '2nd Qtr'!C18, '3rd Qtr'!C18, '4th Qtr'!C18)</f>
        <v>0</v>
      </c>
      <c r="D18" s="13">
        <f>SUM(Jan!D18, Feb!D18, Mar!D18)</f>
        <v>0</v>
      </c>
      <c r="E18" s="13">
        <f t="shared" ref="E18:E38" si="6">IF(AND(ISNUMBER(C18),ISNUMBER(D18)), C18-D18, "")</f>
        <v>0</v>
      </c>
      <c r="F18" s="14" t="str">
        <f t="shared" ref="F18:F38" si="7">IFERROR(E18/D18, "")</f>
        <v/>
      </c>
      <c r="G18" s="15">
        <f>SUM('1st Qtr'!G18, '2nd Qtr'!G18, '3rd Qtr'!G18, '4th Qtr'!G18)</f>
        <v>0</v>
      </c>
      <c r="H18" s="15">
        <f>SUM(Jan!H18, Feb!H18, Mar!H18)</f>
        <v>0</v>
      </c>
      <c r="I18" s="16" t="str">
        <f t="shared" ref="I18:I38" si="8">IFERROR(H18/G18, "")</f>
        <v/>
      </c>
    </row>
    <row r="19" spans="1:9" ht="15.6">
      <c r="A19" s="17" t="str">
        <v xml:space="preserve"> Aurora - BA - Colfax Ave</v>
      </c>
      <c r="B19" s="10" t="str">
        <v>CO</v>
      </c>
      <c r="C19" s="18">
        <f>SUM('1st Qtr'!C19, '2nd Qtr'!C19, '3rd Qtr'!C19, '4th Qtr'!C19)</f>
        <v>4953.8999999999996</v>
      </c>
      <c r="D19" s="18">
        <f>SUM(Jan!D19, Feb!D19, Mar!D19)</f>
        <v>0</v>
      </c>
      <c r="E19" s="18">
        <f t="shared" si="6"/>
        <v>4953.8999999999996</v>
      </c>
      <c r="F19" s="19" t="str">
        <f t="shared" si="7"/>
        <v/>
      </c>
      <c r="G19" s="20">
        <f>SUM('1st Qtr'!G19, '2nd Qtr'!G19, '3rd Qtr'!G19, '4th Qtr'!G19)</f>
        <v>0</v>
      </c>
      <c r="H19" s="20">
        <f>SUM(Jan!H19, Feb!H19, Mar!H19)</f>
        <v>0</v>
      </c>
      <c r="I19" s="19" t="str">
        <f t="shared" si="8"/>
        <v/>
      </c>
    </row>
    <row r="20" spans="1:9" ht="15.6">
      <c r="A20" s="12" t="str">
        <v xml:space="preserve"> Aurora - BA - Parker Rd</v>
      </c>
      <c r="B20" s="9" t="str">
        <v>CO</v>
      </c>
      <c r="C20" s="24">
        <f>SUM('1st Qtr'!C20, '2nd Qtr'!C20, '3rd Qtr'!C20, '4th Qtr'!C20)</f>
        <v>14404.7</v>
      </c>
      <c r="D20" s="13">
        <f>SUM(Jan!D20, Feb!D20, Mar!D20)</f>
        <v>0</v>
      </c>
      <c r="E20" s="13">
        <f t="shared" si="6"/>
        <v>14404.7</v>
      </c>
      <c r="F20" s="14" t="str">
        <f t="shared" si="7"/>
        <v/>
      </c>
      <c r="G20" s="15">
        <f>SUM('1st Qtr'!G20, '2nd Qtr'!G20, '3rd Qtr'!G20, '4th Qtr'!G20)</f>
        <v>0</v>
      </c>
      <c r="H20" s="15">
        <f>SUM(Jan!H20, Feb!H20, Mar!H20)</f>
        <v>0</v>
      </c>
      <c r="I20" s="16" t="str">
        <f t="shared" si="8"/>
        <v/>
      </c>
    </row>
    <row r="21" spans="1:9" ht="15.6">
      <c r="A21" s="17" t="str">
        <v xml:space="preserve"> Broomfield - Bank of America</v>
      </c>
      <c r="B21" s="10" t="str">
        <v>CO</v>
      </c>
      <c r="C21" s="18">
        <f>SUM('1st Qtr'!C21, '2nd Qtr'!C21, '3rd Qtr'!C21, '4th Qtr'!C21)</f>
        <v>6180.2</v>
      </c>
      <c r="D21" s="18">
        <f>SUM(Jan!D21, Feb!D21, Mar!D21)</f>
        <v>0</v>
      </c>
      <c r="E21" s="18">
        <f t="shared" si="6"/>
        <v>6180.2</v>
      </c>
      <c r="F21" s="19" t="str">
        <f t="shared" si="7"/>
        <v/>
      </c>
      <c r="G21" s="20">
        <f>SUM('1st Qtr'!G21, '2nd Qtr'!G21, '3rd Qtr'!G21, '4th Qtr'!G21)</f>
        <v>0</v>
      </c>
      <c r="H21" s="20">
        <f>SUM(Jan!H21, Feb!H21, Mar!H21)</f>
        <v>0</v>
      </c>
      <c r="I21" s="19" t="str">
        <f t="shared" si="8"/>
        <v/>
      </c>
    </row>
    <row r="22" spans="1:9" ht="15.6">
      <c r="A22" s="12" t="str">
        <v xml:space="preserve"> Colorado Springs - Bank of America</v>
      </c>
      <c r="B22" s="9" t="str">
        <v>CO</v>
      </c>
      <c r="C22" s="24">
        <f>SUM('1st Qtr'!C22, '2nd Qtr'!C22, '3rd Qtr'!C22, '4th Qtr'!C22)</f>
        <v>11496.8</v>
      </c>
      <c r="D22" s="13">
        <f>SUM(Jan!D22, Feb!D22, Mar!D22)</f>
        <v>0</v>
      </c>
      <c r="E22" s="13">
        <f t="shared" si="6"/>
        <v>11496.8</v>
      </c>
      <c r="F22" s="14" t="str">
        <f t="shared" si="7"/>
        <v/>
      </c>
      <c r="G22" s="15">
        <f>SUM('1st Qtr'!G22, '2nd Qtr'!G22, '3rd Qtr'!G22, '4th Qtr'!G22)</f>
        <v>0</v>
      </c>
      <c r="H22" s="15">
        <f>SUM(Jan!H22, Feb!H22, Mar!H22)</f>
        <v>0</v>
      </c>
      <c r="I22" s="16" t="str">
        <f t="shared" si="8"/>
        <v/>
      </c>
    </row>
    <row r="23" spans="1:9" ht="15.6">
      <c r="A23" s="17" t="str">
        <v xml:space="preserve"> Denver - BA - 49th Ave</v>
      </c>
      <c r="B23" s="10" t="str">
        <v>CO</v>
      </c>
      <c r="C23" s="18">
        <f>SUM('1st Qtr'!C23, '2nd Qtr'!C23, '3rd Qtr'!C23, '4th Qtr'!C23)</f>
        <v>5372.3</v>
      </c>
      <c r="D23" s="18">
        <f>SUM(Jan!D23, Feb!D23, Mar!D23)</f>
        <v>0</v>
      </c>
      <c r="E23" s="18">
        <f t="shared" si="6"/>
        <v>5372.3</v>
      </c>
      <c r="F23" s="19" t="str">
        <f t="shared" si="7"/>
        <v/>
      </c>
      <c r="G23" s="20">
        <f>SUM('1st Qtr'!G23, '2nd Qtr'!G23, '3rd Qtr'!G23, '4th Qtr'!G23)</f>
        <v>0</v>
      </c>
      <c r="H23" s="20">
        <f>SUM(Jan!H23, Feb!H23, Mar!H23)</f>
        <v>0</v>
      </c>
      <c r="I23" s="19" t="str">
        <f t="shared" si="8"/>
        <v/>
      </c>
    </row>
    <row r="24" spans="1:9" ht="15.6">
      <c r="A24" s="12" t="str">
        <v xml:space="preserve"> Denver - BA Wadsworth Blvd</v>
      </c>
      <c r="B24" s="9" t="str">
        <v>CO</v>
      </c>
      <c r="C24" s="24">
        <f>SUM('1st Qtr'!C24, '2nd Qtr'!C24, '3rd Qtr'!C24, '4th Qtr'!C24)</f>
        <v>9260.4000000000015</v>
      </c>
      <c r="D24" s="13">
        <f>SUM(Jan!D24, Feb!D24, Mar!D24)</f>
        <v>0</v>
      </c>
      <c r="E24" s="13">
        <f t="shared" si="6"/>
        <v>9260.4000000000015</v>
      </c>
      <c r="F24" s="14" t="str">
        <f t="shared" si="7"/>
        <v/>
      </c>
      <c r="G24" s="15">
        <f>SUM('1st Qtr'!G24, '2nd Qtr'!G24, '3rd Qtr'!G24, '4th Qtr'!G24)</f>
        <v>0</v>
      </c>
      <c r="H24" s="15">
        <f>SUM(Jan!H24, Feb!H24, Mar!H24)</f>
        <v>0</v>
      </c>
      <c r="I24" s="16" t="str">
        <f t="shared" si="8"/>
        <v/>
      </c>
    </row>
    <row r="25" spans="1:9" ht="15.6">
      <c r="A25" s="17" t="str">
        <v xml:space="preserve"> Fort Collins - Bank of America</v>
      </c>
      <c r="B25" s="10" t="str">
        <v>CO</v>
      </c>
      <c r="C25" s="18">
        <f>SUM('1st Qtr'!C25, '2nd Qtr'!C25, '3rd Qtr'!C25, '4th Qtr'!C25)</f>
        <v>5947.4</v>
      </c>
      <c r="D25" s="18">
        <f>SUM(Jan!D25, Feb!D25, Mar!D25)</f>
        <v>0</v>
      </c>
      <c r="E25" s="18">
        <f t="shared" si="6"/>
        <v>5947.4</v>
      </c>
      <c r="F25" s="19" t="str">
        <f t="shared" si="7"/>
        <v/>
      </c>
      <c r="G25" s="20">
        <f>SUM('1st Qtr'!G25, '2nd Qtr'!G25, '3rd Qtr'!G25, '4th Qtr'!G25)</f>
        <v>0</v>
      </c>
      <c r="H25" s="20">
        <f>SUM(Jan!H25, Feb!H25, Mar!H25)</f>
        <v>0</v>
      </c>
      <c r="I25" s="19" t="str">
        <f t="shared" si="8"/>
        <v/>
      </c>
    </row>
    <row r="26" spans="1:9" ht="15.6">
      <c r="A26" s="12" t="str">
        <v xml:space="preserve"> Lafayette - Bank of America</v>
      </c>
      <c r="B26" s="9" t="str">
        <v>CO</v>
      </c>
      <c r="C26" s="24">
        <f>SUM('1st Qtr'!C26, '2nd Qtr'!C26, '3rd Qtr'!C26, '4th Qtr'!C26)</f>
        <v>8846.6</v>
      </c>
      <c r="D26" s="13">
        <f>SUM(Jan!D26, Feb!D26, Mar!D26)</f>
        <v>0</v>
      </c>
      <c r="E26" s="13">
        <f t="shared" si="6"/>
        <v>8846.6</v>
      </c>
      <c r="F26" s="14" t="str">
        <f t="shared" si="7"/>
        <v/>
      </c>
      <c r="G26" s="15">
        <f>SUM('1st Qtr'!G26, '2nd Qtr'!G26, '3rd Qtr'!G26, '4th Qtr'!G26)</f>
        <v>0</v>
      </c>
      <c r="H26" s="15">
        <f>SUM(Jan!H26, Feb!H26, Mar!H26)</f>
        <v>0</v>
      </c>
      <c r="I26" s="16" t="str">
        <f t="shared" si="8"/>
        <v/>
      </c>
    </row>
    <row r="27" spans="1:9" ht="15.6">
      <c r="A27" s="17" t="str">
        <v xml:space="preserve"> Lakewood - Bank of America</v>
      </c>
      <c r="B27" s="10" t="str">
        <v>CO</v>
      </c>
      <c r="C27" s="18">
        <f>SUM('1st Qtr'!C27, '2nd Qtr'!C27, '3rd Qtr'!C27, '4th Qtr'!C27)</f>
        <v>5010.8999999999996</v>
      </c>
      <c r="D27" s="18">
        <f>SUM(Jan!D27, Feb!D27, Mar!D27)</f>
        <v>0</v>
      </c>
      <c r="E27" s="18">
        <f t="shared" si="6"/>
        <v>5010.8999999999996</v>
      </c>
      <c r="F27" s="19" t="str">
        <f t="shared" si="7"/>
        <v/>
      </c>
      <c r="G27" s="20">
        <f>SUM('1st Qtr'!G27, '2nd Qtr'!G27, '3rd Qtr'!G27, '4th Qtr'!G27)</f>
        <v>0</v>
      </c>
      <c r="H27" s="20">
        <f>SUM(Jan!H27, Feb!H27, Mar!H27)</f>
        <v>0</v>
      </c>
      <c r="I27" s="19" t="str">
        <f t="shared" si="8"/>
        <v/>
      </c>
    </row>
    <row r="28" spans="1:9" ht="15.6">
      <c r="A28" s="12" t="str">
        <v xml:space="preserve"> Longmont - Bank of America</v>
      </c>
      <c r="B28" s="9" t="str">
        <v>CO</v>
      </c>
      <c r="C28" s="24">
        <f>SUM('1st Qtr'!C28, '2nd Qtr'!C28, '3rd Qtr'!C28, '4th Qtr'!C28)</f>
        <v>3320.7999999999997</v>
      </c>
      <c r="D28" s="13">
        <f>SUM(Jan!D28, Feb!D28, Mar!D28)</f>
        <v>0</v>
      </c>
      <c r="E28" s="13">
        <f t="shared" si="6"/>
        <v>3320.7999999999997</v>
      </c>
      <c r="F28" s="14" t="str">
        <f t="shared" si="7"/>
        <v/>
      </c>
      <c r="G28" s="15">
        <f>SUM('1st Qtr'!G28, '2nd Qtr'!G28, '3rd Qtr'!G28, '4th Qtr'!G28)</f>
        <v>0</v>
      </c>
      <c r="H28" s="15">
        <f>SUM(Jan!H28, Feb!H28, Mar!H28)</f>
        <v>0</v>
      </c>
      <c r="I28" s="16" t="str">
        <f t="shared" si="8"/>
        <v/>
      </c>
    </row>
    <row r="29" spans="1:9" ht="15.6">
      <c r="A29" s="17" t="str">
        <v xml:space="preserve"> Thornton - Bank of America</v>
      </c>
      <c r="B29" s="10" t="str">
        <v>CO</v>
      </c>
      <c r="C29" s="18">
        <f>SUM('1st Qtr'!C29, '2nd Qtr'!C29, '3rd Qtr'!C29, '4th Qtr'!C29)</f>
        <v>5489.3</v>
      </c>
      <c r="D29" s="18">
        <f>SUM(Jan!D29, Feb!D29, Mar!D29)</f>
        <v>0</v>
      </c>
      <c r="E29" s="18">
        <f t="shared" si="6"/>
        <v>5489.3</v>
      </c>
      <c r="F29" s="19" t="str">
        <f t="shared" si="7"/>
        <v/>
      </c>
      <c r="G29" s="20">
        <f>SUM('1st Qtr'!G29, '2nd Qtr'!G29, '3rd Qtr'!G29, '4th Qtr'!G29)</f>
        <v>0</v>
      </c>
      <c r="H29" s="20">
        <f>SUM(Jan!H29, Feb!H29, Mar!H29)</f>
        <v>0</v>
      </c>
      <c r="I29" s="19" t="str">
        <f t="shared" si="8"/>
        <v/>
      </c>
    </row>
    <row r="30" spans="1:9" ht="15.6">
      <c r="A30" s="12" t="str">
        <v xml:space="preserve"> Calumet City - Bank of America</v>
      </c>
      <c r="B30" s="9" t="str">
        <v>IL</v>
      </c>
      <c r="C30" s="24">
        <f>SUM('1st Qtr'!C30, '2nd Qtr'!C30, '3rd Qtr'!C30, '4th Qtr'!C30)</f>
        <v>9067.2000000000007</v>
      </c>
      <c r="D30" s="13">
        <f>SUM(Jan!D30, Feb!D30, Mar!D30)</f>
        <v>0</v>
      </c>
      <c r="E30" s="13">
        <f t="shared" si="6"/>
        <v>9067.2000000000007</v>
      </c>
      <c r="F30" s="14" t="str">
        <f t="shared" si="7"/>
        <v/>
      </c>
      <c r="G30" s="15">
        <f>SUM('1st Qtr'!G30, '2nd Qtr'!G30, '3rd Qtr'!G30, '4th Qtr'!G30)</f>
        <v>0</v>
      </c>
      <c r="H30" s="15">
        <f>SUM(Jan!H30, Feb!H30, Mar!H30)</f>
        <v>0</v>
      </c>
      <c r="I30" s="16" t="str">
        <f t="shared" si="8"/>
        <v/>
      </c>
    </row>
    <row r="31" spans="1:9" ht="15.6">
      <c r="A31" s="17" t="str">
        <v xml:space="preserve"> Downers Grove - Bank of America</v>
      </c>
      <c r="B31" s="10" t="str">
        <v>IL</v>
      </c>
      <c r="C31" s="18">
        <f>SUM('1st Qtr'!C31, '2nd Qtr'!C31, '3rd Qtr'!C31, '4th Qtr'!C31)</f>
        <v>9903.7999999999993</v>
      </c>
      <c r="D31" s="18">
        <f>SUM(Jan!D31, Feb!D31, Mar!D31)</f>
        <v>0</v>
      </c>
      <c r="E31" s="18">
        <f t="shared" si="6"/>
        <v>9903.7999999999993</v>
      </c>
      <c r="F31" s="19" t="str">
        <f t="shared" si="7"/>
        <v/>
      </c>
      <c r="G31" s="20">
        <f>SUM('1st Qtr'!G31, '2nd Qtr'!G31, '3rd Qtr'!G31, '4th Qtr'!G31)</f>
        <v>0</v>
      </c>
      <c r="H31" s="20">
        <f>SUM(Jan!H31, Feb!H31, Mar!H31)</f>
        <v>0</v>
      </c>
      <c r="I31" s="19" t="str">
        <f t="shared" si="8"/>
        <v/>
      </c>
    </row>
    <row r="32" spans="1:9" ht="15.6">
      <c r="A32" s="12" t="str">
        <v xml:space="preserve"> Bloomington - Bank of America</v>
      </c>
      <c r="B32" s="9" t="str">
        <v>MN</v>
      </c>
      <c r="C32" s="24">
        <f>SUM('1st Qtr'!C32, '2nd Qtr'!C32, '3rd Qtr'!C32, '4th Qtr'!C32)</f>
        <v>6462.2000000000007</v>
      </c>
      <c r="D32" s="13">
        <f>SUM(Jan!D32, Feb!D32, Mar!D32)</f>
        <v>0</v>
      </c>
      <c r="E32" s="13">
        <f t="shared" si="6"/>
        <v>6462.2000000000007</v>
      </c>
      <c r="F32" s="14" t="str">
        <f t="shared" si="7"/>
        <v/>
      </c>
      <c r="G32" s="15">
        <f>SUM('1st Qtr'!G32, '2nd Qtr'!G32, '3rd Qtr'!G32, '4th Qtr'!G32)</f>
        <v>0</v>
      </c>
      <c r="H32" s="15">
        <f>SUM(Jan!H32, Feb!H32, Mar!H32)</f>
        <v>0</v>
      </c>
      <c r="I32" s="16" t="str">
        <f t="shared" si="8"/>
        <v/>
      </c>
    </row>
    <row r="33" spans="1:9" ht="15.6">
      <c r="A33" s="17" t="str">
        <v xml:space="preserve"> Clayton - Bank of America</v>
      </c>
      <c r="B33" s="10" t="str">
        <v>MO</v>
      </c>
      <c r="C33" s="18">
        <f>SUM('1st Qtr'!C33, '2nd Qtr'!C33, '3rd Qtr'!C33, '4th Qtr'!C33)</f>
        <v>8599.2999999999993</v>
      </c>
      <c r="D33" s="18">
        <f>SUM(Jan!D33, Feb!D33, Mar!D33)</f>
        <v>0</v>
      </c>
      <c r="E33" s="18">
        <f t="shared" si="6"/>
        <v>8599.2999999999993</v>
      </c>
      <c r="F33" s="19" t="str">
        <f t="shared" si="7"/>
        <v/>
      </c>
      <c r="G33" s="20">
        <f>SUM('1st Qtr'!G33, '2nd Qtr'!G33, '3rd Qtr'!G33, '4th Qtr'!G33)</f>
        <v>0</v>
      </c>
      <c r="H33" s="20">
        <f>SUM(Jan!H33, Feb!H33, Mar!H33)</f>
        <v>0</v>
      </c>
      <c r="I33" s="19" t="str">
        <f t="shared" si="8"/>
        <v/>
      </c>
    </row>
    <row r="34" spans="1:9" ht="15.6">
      <c r="A34" s="12" t="str">
        <v xml:space="preserve"> Manchester - Bank of America</v>
      </c>
      <c r="B34" s="9" t="str">
        <v>MO</v>
      </c>
      <c r="C34" s="24">
        <f>SUM('1st Qtr'!C34, '2nd Qtr'!C34, '3rd Qtr'!C34, '4th Qtr'!C34)</f>
        <v>6665.7</v>
      </c>
      <c r="D34" s="13">
        <f>SUM(Jan!D34, Feb!D34, Mar!D34)</f>
        <v>0</v>
      </c>
      <c r="E34" s="13">
        <f t="shared" si="6"/>
        <v>6665.7</v>
      </c>
      <c r="F34" s="14" t="str">
        <f t="shared" si="7"/>
        <v/>
      </c>
      <c r="G34" s="15">
        <f>SUM('1st Qtr'!G34, '2nd Qtr'!G34, '3rd Qtr'!G34, '4th Qtr'!G34)</f>
        <v>0</v>
      </c>
      <c r="H34" s="15">
        <f>SUM(Jan!H34, Feb!H34, Mar!H34)</f>
        <v>0</v>
      </c>
      <c r="I34" s="16" t="str">
        <f t="shared" si="8"/>
        <v/>
      </c>
    </row>
    <row r="35" spans="1:9" ht="15.6">
      <c r="A35" s="17" t="str">
        <v xml:space="preserve"> Las Vegas - BA - Eastern Ave</v>
      </c>
      <c r="B35" s="10" t="str">
        <v>NV</v>
      </c>
      <c r="C35" s="18">
        <f>SUM('1st Qtr'!C35, '2nd Qtr'!C35, '3rd Qtr'!C35, '4th Qtr'!C35)</f>
        <v>231.09999999999997</v>
      </c>
      <c r="D35" s="18">
        <f>SUM(Jan!D35, Feb!D35, Mar!D35)</f>
        <v>0</v>
      </c>
      <c r="E35" s="18">
        <f t="shared" si="6"/>
        <v>231.09999999999997</v>
      </c>
      <c r="F35" s="19" t="str">
        <f t="shared" si="7"/>
        <v/>
      </c>
      <c r="G35" s="20">
        <f>SUM('1st Qtr'!G35, '2nd Qtr'!G35, '3rd Qtr'!G35, '4th Qtr'!G35)</f>
        <v>0</v>
      </c>
      <c r="H35" s="20">
        <f>SUM(Jan!H35, Feb!H35, Mar!H35)</f>
        <v>0</v>
      </c>
      <c r="I35" s="19" t="str">
        <f t="shared" si="8"/>
        <v/>
      </c>
    </row>
    <row r="36" spans="1:9" ht="15.6">
      <c r="A36" s="12" t="str">
        <v xml:space="preserve"> Las Vegas - BA - Town Ctr Dr</v>
      </c>
      <c r="B36" s="9" t="str">
        <v>NV</v>
      </c>
      <c r="C36" s="24">
        <f>SUM('1st Qtr'!C36, '2nd Qtr'!C36, '3rd Qtr'!C36, '4th Qtr'!C36)</f>
        <v>0</v>
      </c>
      <c r="D36" s="13">
        <f>SUM(Jan!D36, Feb!D36, Mar!D36)</f>
        <v>0</v>
      </c>
      <c r="E36" s="13">
        <f t="shared" si="6"/>
        <v>0</v>
      </c>
      <c r="F36" s="14" t="str">
        <f t="shared" si="7"/>
        <v/>
      </c>
      <c r="G36" s="15">
        <f>SUM('1st Qtr'!G36, '2nd Qtr'!G36, '3rd Qtr'!G36, '4th Qtr'!G36)</f>
        <v>0</v>
      </c>
      <c r="H36" s="15">
        <f>SUM(Jan!H36, Feb!H36, Mar!H36)</f>
        <v>0</v>
      </c>
      <c r="I36" s="16" t="str">
        <f t="shared" si="8"/>
        <v/>
      </c>
    </row>
    <row r="37" spans="1:9" ht="15.6">
      <c r="A37" s="17" t="str">
        <v xml:space="preserve"> Riverton - Bank of America</v>
      </c>
      <c r="B37" s="10" t="str">
        <v>UT</v>
      </c>
      <c r="C37" s="18">
        <f>SUM('1st Qtr'!C37, '2nd Qtr'!C37, '3rd Qtr'!C37, '4th Qtr'!C37)</f>
        <v>10073.599999999999</v>
      </c>
      <c r="D37" s="18">
        <f>SUM(Jan!D37, Feb!D37, Mar!D37)</f>
        <v>0</v>
      </c>
      <c r="E37" s="18">
        <f t="shared" si="6"/>
        <v>10073.599999999999</v>
      </c>
      <c r="F37" s="19" t="str">
        <f t="shared" si="7"/>
        <v/>
      </c>
      <c r="G37" s="20">
        <f>SUM('1st Qtr'!G37, '2nd Qtr'!G37, '3rd Qtr'!G37, '4th Qtr'!G37)</f>
        <v>0</v>
      </c>
      <c r="H37" s="20">
        <f>SUM(Jan!H37, Feb!H37, Mar!H37)</f>
        <v>0</v>
      </c>
      <c r="I37" s="19" t="str">
        <f t="shared" si="8"/>
        <v/>
      </c>
    </row>
    <row r="38" spans="1:9" ht="15.6">
      <c r="A38" s="12" t="str">
        <v xml:space="preserve"> Salt Lake City - Bank of America</v>
      </c>
      <c r="B38" s="9" t="str">
        <v>UT</v>
      </c>
      <c r="C38" s="24">
        <f>SUM('1st Qtr'!C38, '2nd Qtr'!C38, '3rd Qtr'!C38, '4th Qtr'!C38)</f>
        <v>2618.6</v>
      </c>
      <c r="D38" s="13">
        <f>SUM(Jan!D38, Feb!D38, Mar!D38)</f>
        <v>0</v>
      </c>
      <c r="E38" s="13">
        <f t="shared" si="6"/>
        <v>2618.6</v>
      </c>
      <c r="F38" s="14" t="str">
        <f t="shared" si="7"/>
        <v/>
      </c>
      <c r="G38" s="15">
        <f>SUM('1st Qtr'!G38, '2nd Qtr'!G38, '3rd Qtr'!G38, '4th Qtr'!G38)</f>
        <v>0</v>
      </c>
      <c r="H38" s="15">
        <f>SUM(Jan!H38, Feb!H38, Mar!H38)</f>
        <v>0</v>
      </c>
      <c r="I38" s="16" t="str">
        <f t="shared" si="8"/>
        <v/>
      </c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9">
      <c r="A342" s="21"/>
      <c r="B342" s="21"/>
      <c r="C342" s="21"/>
      <c r="D342" s="21"/>
      <c r="E342" s="21"/>
      <c r="F342" s="22"/>
      <c r="G342" s="21"/>
      <c r="H342" s="21"/>
      <c r="I342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100 I4:I100">
    <cfRule type="cellIs" dxfId="58" priority="1" stopIfTrue="1" operator="lessThanOrEqual">
      <formula>-0.1</formula>
    </cfRule>
    <cfRule type="expression" dxfId="5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42"/>
  <sheetViews>
    <sheetView workbookViewId="0">
      <pane xSplit="2" ySplit="3" topLeftCell="C4" activePane="bottomRight" state="frozen"/>
      <selection pane="bottomRight" activeCell="H5" sqref="H5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4" t="str" cm="1">
        <f t="array" ref="A1">portfolio</f>
        <v>Cushman &amp; Wakefield</v>
      </c>
      <c r="B1" s="74"/>
      <c r="C1" s="74"/>
      <c r="D1" s="75" t="s">
        <v>10</v>
      </c>
      <c r="E1" s="75"/>
      <c r="F1" s="75"/>
      <c r="G1" s="73" t="s">
        <v>11</v>
      </c>
      <c r="H1" s="73"/>
      <c r="I1" s="73"/>
    </row>
    <row r="2" spans="1:9" ht="19.5" customHeight="1">
      <c r="A2" s="76" t="s">
        <v>2</v>
      </c>
      <c r="B2" s="76"/>
      <c r="C2" s="5">
        <f>SUM(C4:C100)</f>
        <v>109546.9</v>
      </c>
      <c r="D2" s="5">
        <f>SUM(D4:D100)</f>
        <v>0</v>
      </c>
      <c r="E2" s="5">
        <f>C2-D2</f>
        <v>109546.9</v>
      </c>
      <c r="F2" s="6">
        <f>IFERROR(E2/D2, 0)</f>
        <v>0</v>
      </c>
      <c r="G2" s="5">
        <f>SUM(G4:G100)</f>
        <v>0</v>
      </c>
      <c r="H2" s="7">
        <f>C2-G2</f>
        <v>109546.9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38">Sites[Site]</f>
        <v xml:space="preserve"> Adelanto - Bank of America</v>
      </c>
      <c r="B4" s="9" t="str" cm="1">
        <f t="array" ref="B4:B38">Sites[State]</f>
        <v>CA</v>
      </c>
      <c r="C4" s="24">
        <f>SUM(Jan!C4, Feb!C4, Mar!C4)</f>
        <v>0</v>
      </c>
      <c r="D4" s="13">
        <f>SUM(Jan!D4, Feb!D4, Mar!D4)</f>
        <v>0</v>
      </c>
      <c r="E4" s="13">
        <f>IF(AND(ISNUMBER(C4),ISNUMBER(D4)), C4-D4, "")</f>
        <v>0</v>
      </c>
      <c r="F4" s="14" t="str">
        <f>IFERROR(E4/D4, "")</f>
        <v/>
      </c>
      <c r="G4" s="15">
        <f>SUM(Jan!G4, Feb!G4, Mar!G4)</f>
        <v>0</v>
      </c>
      <c r="H4" s="15">
        <f>SUM(Jan!H4, Feb!H4, Mar!H4)</f>
        <v>0</v>
      </c>
      <c r="I4" s="16" t="str">
        <f>IFERROR(H4/G4, "")</f>
        <v/>
      </c>
    </row>
    <row r="5" spans="1:9" ht="15.6">
      <c r="A5" s="17" t="str">
        <v xml:space="preserve"> Apple Valley - Bank of America</v>
      </c>
      <c r="B5" s="10" t="str">
        <v>CA</v>
      </c>
      <c r="C5" s="11">
        <f>SUM(Jan!C5, Feb!C5, Mar!C5)</f>
        <v>0</v>
      </c>
      <c r="D5" s="18">
        <f>SUM(Jan!D5, Feb!D5, Mar!D5)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>
        <f>SUM(Jan!G5, Feb!G5, Mar!G5)</f>
        <v>0</v>
      </c>
      <c r="H5" s="20">
        <f>SUM(Jan!H5, Feb!H5, Mar!H5)</f>
        <v>0</v>
      </c>
      <c r="I5" s="19" t="str">
        <f>IFERROR(H5/G5, "")</f>
        <v/>
      </c>
    </row>
    <row r="6" spans="1:9" ht="15.6">
      <c r="A6" s="12" t="str">
        <v xml:space="preserve"> Arvin - Bank of America</v>
      </c>
      <c r="B6" s="9" t="str">
        <v>CA</v>
      </c>
      <c r="C6" s="24">
        <f>SUM(Jan!C6, Feb!C6, Mar!C6)</f>
        <v>242.4</v>
      </c>
      <c r="D6" s="13">
        <f>SUM(Jan!D6, Feb!D6, Mar!D6)</f>
        <v>0</v>
      </c>
      <c r="E6" s="13">
        <f t="shared" si="0"/>
        <v>242.4</v>
      </c>
      <c r="F6" s="14" t="str">
        <f t="shared" ref="F6:F15" si="1">IFERROR(E6/D6, "")</f>
        <v/>
      </c>
      <c r="G6" s="15">
        <f>SUM(Jan!G6, Feb!G6, Mar!G6)</f>
        <v>0</v>
      </c>
      <c r="H6" s="15">
        <f>SUM(Jan!H6, Feb!H6, Mar!H6)</f>
        <v>0</v>
      </c>
      <c r="I6" s="16" t="str">
        <f t="shared" ref="I6:I15" si="2">IFERROR(H6/G6, "")</f>
        <v/>
      </c>
    </row>
    <row r="7" spans="1:9" ht="15.6">
      <c r="A7" s="17" t="str">
        <v xml:space="preserve"> Bell - Bank of America</v>
      </c>
      <c r="B7" s="10" t="str">
        <v>CA</v>
      </c>
      <c r="C7" s="11">
        <f>SUM(Jan!C7, Feb!C7, Mar!C7)</f>
        <v>5494</v>
      </c>
      <c r="D7" s="18">
        <f>SUM(Jan!D7, Feb!D7, Mar!D7)</f>
        <v>0</v>
      </c>
      <c r="E7" s="18">
        <f t="shared" si="0"/>
        <v>5494</v>
      </c>
      <c r="F7" s="19" t="str">
        <f t="shared" si="1"/>
        <v/>
      </c>
      <c r="G7" s="20">
        <f>SUM(Jan!G7, Feb!G7, Mar!G7)</f>
        <v>0</v>
      </c>
      <c r="H7" s="20">
        <f>SUM(Jan!H7, Feb!H7, Mar!H7)</f>
        <v>0</v>
      </c>
      <c r="I7" s="19" t="str">
        <f t="shared" si="2"/>
        <v/>
      </c>
    </row>
    <row r="8" spans="1:9" ht="15.6">
      <c r="A8" s="12" t="str">
        <v xml:space="preserve"> Chula Vista - Bank of America</v>
      </c>
      <c r="B8" s="9" t="str">
        <v>CA</v>
      </c>
      <c r="C8" s="24">
        <f>SUM(Jan!C8, Feb!C8, Mar!C8)</f>
        <v>2635.3</v>
      </c>
      <c r="D8" s="13">
        <f>SUM(Jan!D8, Feb!D8, Mar!D8)</f>
        <v>0</v>
      </c>
      <c r="E8" s="13">
        <f t="shared" si="0"/>
        <v>2635.3</v>
      </c>
      <c r="F8" s="14" t="str">
        <f t="shared" si="1"/>
        <v/>
      </c>
      <c r="G8" s="15">
        <f>SUM(Jan!G8, Feb!G8, Mar!G8)</f>
        <v>0</v>
      </c>
      <c r="H8" s="15">
        <f>SUM(Jan!H8, Feb!H8, Mar!H8)</f>
        <v>0</v>
      </c>
      <c r="I8" s="16" t="str">
        <f t="shared" si="2"/>
        <v/>
      </c>
    </row>
    <row r="9" spans="1:9" ht="15.6">
      <c r="A9" s="17" t="str">
        <v xml:space="preserve"> Cupertino - Bank of America</v>
      </c>
      <c r="B9" s="10" t="str">
        <v>CA</v>
      </c>
      <c r="C9" s="11">
        <f>SUM(Jan!C9, Feb!C9, Mar!C9)</f>
        <v>2148.1</v>
      </c>
      <c r="D9" s="18">
        <f>SUM(Jan!D9, Feb!D9, Mar!D9)</f>
        <v>0</v>
      </c>
      <c r="E9" s="18">
        <f t="shared" si="0"/>
        <v>2148.1</v>
      </c>
      <c r="F9" s="19" t="str">
        <f t="shared" si="1"/>
        <v/>
      </c>
      <c r="G9" s="20">
        <f>SUM(Jan!G9, Feb!G9, Mar!G9)</f>
        <v>0</v>
      </c>
      <c r="H9" s="20">
        <f>SUM(Jan!H9, Feb!H9, Mar!H9)</f>
        <v>0</v>
      </c>
      <c r="I9" s="19" t="str">
        <f t="shared" si="2"/>
        <v/>
      </c>
    </row>
    <row r="10" spans="1:9" ht="15.6">
      <c r="A10" s="12" t="str">
        <v xml:space="preserve"> Diamond Bar - Bank of America</v>
      </c>
      <c r="B10" s="9" t="str">
        <v>CA</v>
      </c>
      <c r="C10" s="24">
        <f>SUM(Jan!C10, Feb!C10, Mar!C10)</f>
        <v>6675.8</v>
      </c>
      <c r="D10" s="13">
        <f>SUM(Jan!D10, Feb!D10, Mar!D10)</f>
        <v>0</v>
      </c>
      <c r="E10" s="13">
        <f t="shared" si="0"/>
        <v>6675.8</v>
      </c>
      <c r="F10" s="14" t="str">
        <f t="shared" si="1"/>
        <v/>
      </c>
      <c r="G10" s="15">
        <f>SUM(Jan!G10, Feb!G10, Mar!G10)</f>
        <v>0</v>
      </c>
      <c r="H10" s="15">
        <f>SUM(Jan!H10, Feb!H10, Mar!H10)</f>
        <v>0</v>
      </c>
      <c r="I10" s="16" t="str">
        <f t="shared" si="2"/>
        <v/>
      </c>
    </row>
    <row r="11" spans="1:9" ht="15.6">
      <c r="A11" s="17" t="str">
        <v xml:space="preserve"> El Centro - Bank of America</v>
      </c>
      <c r="B11" s="10" t="str">
        <v>CA</v>
      </c>
      <c r="C11" s="11">
        <f>SUM(Jan!C11, Feb!C11, Mar!C11)</f>
        <v>6302.5</v>
      </c>
      <c r="D11" s="18">
        <f>SUM(Jan!D11, Feb!D11, Mar!D11)</f>
        <v>0</v>
      </c>
      <c r="E11" s="18">
        <f t="shared" si="0"/>
        <v>6302.5</v>
      </c>
      <c r="F11" s="19" t="str">
        <f t="shared" si="1"/>
        <v/>
      </c>
      <c r="G11" s="20">
        <f>SUM(Jan!G11, Feb!G11, Mar!G11)</f>
        <v>0</v>
      </c>
      <c r="H11" s="20">
        <f>SUM(Jan!H11, Feb!H11, Mar!H11)</f>
        <v>0</v>
      </c>
      <c r="I11" s="19" t="str">
        <f t="shared" si="2"/>
        <v/>
      </c>
    </row>
    <row r="12" spans="1:9" ht="15.6">
      <c r="A12" s="12" t="str">
        <v xml:space="preserve"> Moreno Valley - Bank of America</v>
      </c>
      <c r="B12" s="9" t="str">
        <v>CA</v>
      </c>
      <c r="C12" s="24">
        <f>SUM(Jan!C12, Feb!C12, Mar!C12)</f>
        <v>9931.2000000000007</v>
      </c>
      <c r="D12" s="13">
        <f>SUM(Jan!D12, Feb!D12, Mar!D12)</f>
        <v>0</v>
      </c>
      <c r="E12" s="13">
        <f t="shared" si="0"/>
        <v>9931.2000000000007</v>
      </c>
      <c r="F12" s="14" t="str">
        <f t="shared" si="1"/>
        <v/>
      </c>
      <c r="G12" s="15">
        <f>SUM(Jan!G12, Feb!G12, Mar!G12)</f>
        <v>0</v>
      </c>
      <c r="H12" s="15">
        <f>SUM(Jan!H12, Feb!H12, Mar!H12)</f>
        <v>0</v>
      </c>
      <c r="I12" s="16" t="str">
        <f t="shared" si="2"/>
        <v/>
      </c>
    </row>
    <row r="13" spans="1:9" ht="15.6">
      <c r="A13" s="17" t="str">
        <v xml:space="preserve"> Redlands - Bank of America</v>
      </c>
      <c r="B13" s="10" t="str">
        <v>CA</v>
      </c>
      <c r="C13" s="11">
        <f>SUM(Jan!C13, Feb!C13, Mar!C13)</f>
        <v>0</v>
      </c>
      <c r="D13" s="18">
        <f>SUM(Jan!D13, Feb!D13, Mar!D13)</f>
        <v>0</v>
      </c>
      <c r="E13" s="18">
        <f t="shared" si="0"/>
        <v>0</v>
      </c>
      <c r="F13" s="19" t="str">
        <f t="shared" si="1"/>
        <v/>
      </c>
      <c r="G13" s="20">
        <f>SUM(Jan!G13, Feb!G13, Mar!G13)</f>
        <v>0</v>
      </c>
      <c r="H13" s="20">
        <f>SUM(Jan!H13, Feb!H13, Mar!H13)</f>
        <v>0</v>
      </c>
      <c r="I13" s="19" t="str">
        <f t="shared" si="2"/>
        <v/>
      </c>
    </row>
    <row r="14" spans="1:9" ht="15.6">
      <c r="A14" s="12" t="str">
        <v xml:space="preserve"> Roseville - Bank of America</v>
      </c>
      <c r="B14" s="9" t="str">
        <v>CA</v>
      </c>
      <c r="C14" s="24">
        <f>SUM(Jan!C14, Feb!C14, Mar!C14)</f>
        <v>13690.4</v>
      </c>
      <c r="D14" s="13">
        <f>SUM(Jan!D14, Feb!D14, Mar!D14)</f>
        <v>0</v>
      </c>
      <c r="E14" s="13">
        <f t="shared" si="0"/>
        <v>13690.4</v>
      </c>
      <c r="F14" s="14" t="str">
        <f t="shared" si="1"/>
        <v/>
      </c>
      <c r="G14" s="15">
        <f>SUM(Jan!G14, Feb!G14, Mar!G14)</f>
        <v>0</v>
      </c>
      <c r="H14" s="15">
        <f>SUM(Jan!H14, Feb!H14, Mar!H14)</f>
        <v>0</v>
      </c>
      <c r="I14" s="16" t="str">
        <f t="shared" si="2"/>
        <v/>
      </c>
    </row>
    <row r="15" spans="1:9" ht="15.6">
      <c r="A15" s="17" t="str">
        <v xml:space="preserve"> San Bernardino - Bank of America</v>
      </c>
      <c r="B15" s="10" t="str">
        <v>CA</v>
      </c>
      <c r="C15" s="11">
        <f>SUM(Jan!C15, Feb!C15, Mar!C15)</f>
        <v>164.10000000000002</v>
      </c>
      <c r="D15" s="18">
        <f>SUM(Jan!D15, Feb!D15, Mar!D15)</f>
        <v>0</v>
      </c>
      <c r="E15" s="18">
        <f t="shared" si="0"/>
        <v>164.10000000000002</v>
      </c>
      <c r="F15" s="19" t="str">
        <f t="shared" si="1"/>
        <v/>
      </c>
      <c r="G15" s="20">
        <f>SUM(Jan!G15, Feb!G15, Mar!G15)</f>
        <v>0</v>
      </c>
      <c r="H15" s="20">
        <f>SUM(Jan!H15, Feb!H15, Mar!H15)</f>
        <v>0</v>
      </c>
      <c r="I15" s="19" t="str">
        <f t="shared" si="2"/>
        <v/>
      </c>
    </row>
    <row r="16" spans="1:9" ht="15.6">
      <c r="A16" s="12" t="str">
        <v xml:space="preserve"> San Diego - Bank of America</v>
      </c>
      <c r="B16" s="9" t="str">
        <v>CA</v>
      </c>
      <c r="C16" s="24">
        <f>SUM(Jan!C16, Feb!C16, Mar!C16)</f>
        <v>519.6</v>
      </c>
      <c r="D16" s="13">
        <f>SUM(Jan!D16, Feb!D16, Mar!D16)</f>
        <v>0</v>
      </c>
      <c r="E16" s="13">
        <f t="shared" ref="E16:E17" si="3">IF(AND(ISNUMBER(C16),ISNUMBER(D16)), C16-D16, "")</f>
        <v>519.6</v>
      </c>
      <c r="F16" s="14" t="str">
        <f t="shared" ref="F16:F17" si="4">IFERROR(E16/D16, "")</f>
        <v/>
      </c>
      <c r="G16" s="15">
        <f>SUM(Jan!G16, Feb!G16, Mar!G16)</f>
        <v>0</v>
      </c>
      <c r="H16" s="15">
        <f>SUM(Jan!H16, Feb!H16, Mar!H16)</f>
        <v>0</v>
      </c>
      <c r="I16" s="16" t="str">
        <f t="shared" ref="I16:I17" si="5">IFERROR(H16/G16, "")</f>
        <v/>
      </c>
    </row>
    <row r="17" spans="1:9" ht="15.6">
      <c r="A17" s="17" t="str">
        <v xml:space="preserve"> Stockton - Bank of America</v>
      </c>
      <c r="B17" s="10" t="str">
        <v>CA</v>
      </c>
      <c r="C17" s="11">
        <f>SUM(Jan!C17, Feb!C17, Mar!C17)</f>
        <v>3168.1</v>
      </c>
      <c r="D17" s="18">
        <f>SUM(Jan!D17, Feb!D17, Mar!D17)</f>
        <v>0</v>
      </c>
      <c r="E17" s="18">
        <f t="shared" si="3"/>
        <v>3168.1</v>
      </c>
      <c r="F17" s="19" t="str">
        <f t="shared" si="4"/>
        <v/>
      </c>
      <c r="G17" s="20">
        <f>SUM(Jan!G17, Feb!G17, Mar!G17)</f>
        <v>0</v>
      </c>
      <c r="H17" s="20">
        <f>SUM(Jan!H17, Feb!H17, Mar!H17)</f>
        <v>0</v>
      </c>
      <c r="I17" s="19" t="str">
        <f t="shared" si="5"/>
        <v/>
      </c>
    </row>
    <row r="18" spans="1:9" ht="12.75" customHeight="1">
      <c r="A18" s="12" t="str">
        <v xml:space="preserve"> Victorville - Bank of America</v>
      </c>
      <c r="B18" s="9" t="str">
        <v>CA</v>
      </c>
      <c r="C18" s="24">
        <f>SUM(Jan!C18, Feb!C18, Mar!C18)</f>
        <v>0</v>
      </c>
      <c r="D18" s="13">
        <f>SUM(Jan!D18, Feb!D18, Mar!D18)</f>
        <v>0</v>
      </c>
      <c r="E18" s="13">
        <f t="shared" ref="E18:E38" si="6">IF(AND(ISNUMBER(C18),ISNUMBER(D18)), C18-D18, "")</f>
        <v>0</v>
      </c>
      <c r="F18" s="14" t="str">
        <f t="shared" ref="F18:F38" si="7">IFERROR(E18/D18, "")</f>
        <v/>
      </c>
      <c r="G18" s="15">
        <f>SUM(Jan!G18, Feb!G18, Mar!G18)</f>
        <v>0</v>
      </c>
      <c r="H18" s="15">
        <f>SUM(Jan!H18, Feb!H18, Mar!H18)</f>
        <v>0</v>
      </c>
      <c r="I18" s="16" t="str">
        <f t="shared" ref="I18:I38" si="8">IFERROR(H18/G18, "")</f>
        <v/>
      </c>
    </row>
    <row r="19" spans="1:9" ht="15.6">
      <c r="A19" s="17" t="str">
        <v xml:space="preserve"> Aurora - BA - Colfax Ave</v>
      </c>
      <c r="B19" s="10" t="str">
        <v>CO</v>
      </c>
      <c r="C19" s="11">
        <f>SUM(Jan!C19, Feb!C19, Mar!C19)</f>
        <v>2330.3999999999996</v>
      </c>
      <c r="D19" s="18">
        <f>SUM(Jan!D19, Feb!D19, Mar!D19)</f>
        <v>0</v>
      </c>
      <c r="E19" s="18">
        <f t="shared" si="6"/>
        <v>2330.3999999999996</v>
      </c>
      <c r="F19" s="19" t="str">
        <f t="shared" si="7"/>
        <v/>
      </c>
      <c r="G19" s="20">
        <f>SUM(Jan!G19, Feb!G19, Mar!G19)</f>
        <v>0</v>
      </c>
      <c r="H19" s="20">
        <f>SUM(Jan!H19, Feb!H19, Mar!H19)</f>
        <v>0</v>
      </c>
      <c r="I19" s="19" t="str">
        <f t="shared" si="8"/>
        <v/>
      </c>
    </row>
    <row r="20" spans="1:9" ht="15.6">
      <c r="A20" s="12" t="str">
        <v xml:space="preserve"> Aurora - BA - Parker Rd</v>
      </c>
      <c r="B20" s="9" t="str">
        <v>CO</v>
      </c>
      <c r="C20" s="24">
        <f>SUM(Jan!C20, Feb!C20, Mar!C20)</f>
        <v>6937.7</v>
      </c>
      <c r="D20" s="13">
        <f>SUM(Jan!D20, Feb!D20, Mar!D20)</f>
        <v>0</v>
      </c>
      <c r="E20" s="13">
        <f t="shared" si="6"/>
        <v>6937.7</v>
      </c>
      <c r="F20" s="14" t="str">
        <f t="shared" si="7"/>
        <v/>
      </c>
      <c r="G20" s="15">
        <f>SUM(Jan!G20, Feb!G20, Mar!G20)</f>
        <v>0</v>
      </c>
      <c r="H20" s="15">
        <f>SUM(Jan!H20, Feb!H20, Mar!H20)</f>
        <v>0</v>
      </c>
      <c r="I20" s="16" t="str">
        <f t="shared" si="8"/>
        <v/>
      </c>
    </row>
    <row r="21" spans="1:9" ht="15.6">
      <c r="A21" s="17" t="str">
        <v xml:space="preserve"> Broomfield - Bank of America</v>
      </c>
      <c r="B21" s="10" t="str">
        <v>CO</v>
      </c>
      <c r="C21" s="11">
        <f>SUM(Jan!C21, Feb!C21, Mar!C21)</f>
        <v>2685.2</v>
      </c>
      <c r="D21" s="18">
        <f>SUM(Jan!D21, Feb!D21, Mar!D21)</f>
        <v>0</v>
      </c>
      <c r="E21" s="18">
        <f t="shared" si="6"/>
        <v>2685.2</v>
      </c>
      <c r="F21" s="19" t="str">
        <f t="shared" si="7"/>
        <v/>
      </c>
      <c r="G21" s="20">
        <f>SUM(Jan!G21, Feb!G21, Mar!G21)</f>
        <v>0</v>
      </c>
      <c r="H21" s="20">
        <f>SUM(Jan!H21, Feb!H21, Mar!H21)</f>
        <v>0</v>
      </c>
      <c r="I21" s="19" t="str">
        <f t="shared" si="8"/>
        <v/>
      </c>
    </row>
    <row r="22" spans="1:9" ht="15.6">
      <c r="A22" s="12" t="str">
        <v xml:space="preserve"> Colorado Springs - Bank of America</v>
      </c>
      <c r="B22" s="9" t="str">
        <v>CO</v>
      </c>
      <c r="C22" s="24">
        <f>SUM(Jan!C22, Feb!C22, Mar!C22)</f>
        <v>5772.9</v>
      </c>
      <c r="D22" s="13">
        <f>SUM(Jan!D22, Feb!D22, Mar!D22)</f>
        <v>0</v>
      </c>
      <c r="E22" s="13">
        <f t="shared" si="6"/>
        <v>5772.9</v>
      </c>
      <c r="F22" s="14" t="str">
        <f t="shared" si="7"/>
        <v/>
      </c>
      <c r="G22" s="15">
        <f>SUM(Jan!G22, Feb!G22, Mar!G22)</f>
        <v>0</v>
      </c>
      <c r="H22" s="15">
        <f>SUM(Jan!H22, Feb!H22, Mar!H22)</f>
        <v>0</v>
      </c>
      <c r="I22" s="16" t="str">
        <f t="shared" si="8"/>
        <v/>
      </c>
    </row>
    <row r="23" spans="1:9" ht="15.6">
      <c r="A23" s="17" t="str">
        <v xml:space="preserve"> Denver - BA - 49th Ave</v>
      </c>
      <c r="B23" s="10" t="str">
        <v>CO</v>
      </c>
      <c r="C23" s="11">
        <f>SUM(Jan!C23, Feb!C23, Mar!C23)</f>
        <v>2811.7</v>
      </c>
      <c r="D23" s="18">
        <f>SUM(Jan!D23, Feb!D23, Mar!D23)</f>
        <v>0</v>
      </c>
      <c r="E23" s="18">
        <f t="shared" si="6"/>
        <v>2811.7</v>
      </c>
      <c r="F23" s="19" t="str">
        <f t="shared" si="7"/>
        <v/>
      </c>
      <c r="G23" s="20">
        <f>SUM(Jan!G23, Feb!G23, Mar!G23)</f>
        <v>0</v>
      </c>
      <c r="H23" s="20">
        <f>SUM(Jan!H23, Feb!H23, Mar!H23)</f>
        <v>0</v>
      </c>
      <c r="I23" s="19" t="str">
        <f t="shared" si="8"/>
        <v/>
      </c>
    </row>
    <row r="24" spans="1:9" ht="15.6">
      <c r="A24" s="12" t="str">
        <v xml:space="preserve"> Denver - BA Wadsworth Blvd</v>
      </c>
      <c r="B24" s="9" t="str">
        <v>CO</v>
      </c>
      <c r="C24" s="24">
        <f>SUM(Jan!C24, Feb!C24, Mar!C24)</f>
        <v>3998.8</v>
      </c>
      <c r="D24" s="13">
        <f>SUM(Jan!D24, Feb!D24, Mar!D24)</f>
        <v>0</v>
      </c>
      <c r="E24" s="13">
        <f t="shared" si="6"/>
        <v>3998.8</v>
      </c>
      <c r="F24" s="14" t="str">
        <f t="shared" si="7"/>
        <v/>
      </c>
      <c r="G24" s="15">
        <f>SUM(Jan!G24, Feb!G24, Mar!G24)</f>
        <v>0</v>
      </c>
      <c r="H24" s="15">
        <f>SUM(Jan!H24, Feb!H24, Mar!H24)</f>
        <v>0</v>
      </c>
      <c r="I24" s="16" t="str">
        <f t="shared" si="8"/>
        <v/>
      </c>
    </row>
    <row r="25" spans="1:9" ht="15.6">
      <c r="A25" s="17" t="str">
        <v xml:space="preserve"> Fort Collins - Bank of America</v>
      </c>
      <c r="B25" s="10" t="str">
        <v>CO</v>
      </c>
      <c r="C25" s="11">
        <f>SUM(Jan!C25, Feb!C25, Mar!C25)</f>
        <v>2483.9</v>
      </c>
      <c r="D25" s="18">
        <f>SUM(Jan!D25, Feb!D25, Mar!D25)</f>
        <v>0</v>
      </c>
      <c r="E25" s="18">
        <f t="shared" si="6"/>
        <v>2483.9</v>
      </c>
      <c r="F25" s="19" t="str">
        <f t="shared" si="7"/>
        <v/>
      </c>
      <c r="G25" s="20">
        <f>SUM(Jan!G25, Feb!G25, Mar!G25)</f>
        <v>0</v>
      </c>
      <c r="H25" s="20">
        <f>SUM(Jan!H25, Feb!H25, Mar!H25)</f>
        <v>0</v>
      </c>
      <c r="I25" s="19" t="str">
        <f t="shared" si="8"/>
        <v/>
      </c>
    </row>
    <row r="26" spans="1:9" ht="15.6">
      <c r="A26" s="12" t="str">
        <v xml:space="preserve"> Lafayette - Bank of America</v>
      </c>
      <c r="B26" s="9" t="str">
        <v>CO</v>
      </c>
      <c r="C26" s="24">
        <f>SUM(Jan!C26, Feb!C26, Mar!C26)</f>
        <v>3988.5</v>
      </c>
      <c r="D26" s="13">
        <f>SUM(Jan!D26, Feb!D26, Mar!D26)</f>
        <v>0</v>
      </c>
      <c r="E26" s="13">
        <f t="shared" si="6"/>
        <v>3988.5</v>
      </c>
      <c r="F26" s="14" t="str">
        <f t="shared" si="7"/>
        <v/>
      </c>
      <c r="G26" s="15">
        <f>SUM(Jan!G26, Feb!G26, Mar!G26)</f>
        <v>0</v>
      </c>
      <c r="H26" s="15">
        <f>SUM(Jan!H26, Feb!H26, Mar!H26)</f>
        <v>0</v>
      </c>
      <c r="I26" s="16" t="str">
        <f t="shared" si="8"/>
        <v/>
      </c>
    </row>
    <row r="27" spans="1:9" ht="15.6">
      <c r="A27" s="17" t="str">
        <v xml:space="preserve"> Lakewood - Bank of America</v>
      </c>
      <c r="B27" s="10" t="str">
        <v>CO</v>
      </c>
      <c r="C27" s="11">
        <f>SUM(Jan!C27, Feb!C27, Mar!C27)</f>
        <v>2180.9</v>
      </c>
      <c r="D27" s="18">
        <f>SUM(Jan!D27, Feb!D27, Mar!D27)</f>
        <v>0</v>
      </c>
      <c r="E27" s="18">
        <f t="shared" si="6"/>
        <v>2180.9</v>
      </c>
      <c r="F27" s="19" t="str">
        <f t="shared" si="7"/>
        <v/>
      </c>
      <c r="G27" s="20">
        <f>SUM(Jan!G27, Feb!G27, Mar!G27)</f>
        <v>0</v>
      </c>
      <c r="H27" s="20">
        <f>SUM(Jan!H27, Feb!H27, Mar!H27)</f>
        <v>0</v>
      </c>
      <c r="I27" s="19" t="str">
        <f t="shared" si="8"/>
        <v/>
      </c>
    </row>
    <row r="28" spans="1:9" ht="15.6">
      <c r="A28" s="12" t="str">
        <v xml:space="preserve"> Longmont - Bank of America</v>
      </c>
      <c r="B28" s="9" t="str">
        <v>CO</v>
      </c>
      <c r="C28" s="24">
        <f>SUM(Jan!C28, Feb!C28, Mar!C28)</f>
        <v>817.1</v>
      </c>
      <c r="D28" s="13">
        <f>SUM(Jan!D28, Feb!D28, Mar!D28)</f>
        <v>0</v>
      </c>
      <c r="E28" s="13">
        <f t="shared" si="6"/>
        <v>817.1</v>
      </c>
      <c r="F28" s="14" t="str">
        <f t="shared" si="7"/>
        <v/>
      </c>
      <c r="G28" s="15">
        <f>SUM(Jan!G28, Feb!G28, Mar!G28)</f>
        <v>0</v>
      </c>
      <c r="H28" s="15">
        <f>SUM(Jan!H28, Feb!H28, Mar!H28)</f>
        <v>0</v>
      </c>
      <c r="I28" s="16" t="str">
        <f t="shared" si="8"/>
        <v/>
      </c>
    </row>
    <row r="29" spans="1:9" ht="15.6">
      <c r="A29" s="17" t="str">
        <v xml:space="preserve"> Thornton - Bank of America</v>
      </c>
      <c r="B29" s="10" t="str">
        <v>CO</v>
      </c>
      <c r="C29" s="11">
        <f>SUM(Jan!C29, Feb!C29, Mar!C29)</f>
        <v>2589.5</v>
      </c>
      <c r="D29" s="18">
        <f>SUM(Jan!D29, Feb!D29, Mar!D29)</f>
        <v>0</v>
      </c>
      <c r="E29" s="18">
        <f t="shared" si="6"/>
        <v>2589.5</v>
      </c>
      <c r="F29" s="19" t="str">
        <f t="shared" si="7"/>
        <v/>
      </c>
      <c r="G29" s="20">
        <f>SUM(Jan!G29, Feb!G29, Mar!G29)</f>
        <v>0</v>
      </c>
      <c r="H29" s="20">
        <f>SUM(Jan!H29, Feb!H29, Mar!H29)</f>
        <v>0</v>
      </c>
      <c r="I29" s="19" t="str">
        <f t="shared" si="8"/>
        <v/>
      </c>
    </row>
    <row r="30" spans="1:9" ht="15.6">
      <c r="A30" s="12" t="str">
        <v xml:space="preserve"> Calumet City - Bank of America</v>
      </c>
      <c r="B30" s="9" t="str">
        <v>IL</v>
      </c>
      <c r="C30" s="24">
        <f>SUM(Jan!C30, Feb!C30, Mar!C30)</f>
        <v>4081.5</v>
      </c>
      <c r="D30" s="13">
        <f>SUM(Jan!D30, Feb!D30, Mar!D30)</f>
        <v>0</v>
      </c>
      <c r="E30" s="13">
        <f t="shared" si="6"/>
        <v>4081.5</v>
      </c>
      <c r="F30" s="14" t="str">
        <f t="shared" si="7"/>
        <v/>
      </c>
      <c r="G30" s="15">
        <f>SUM(Jan!G30, Feb!G30, Mar!G30)</f>
        <v>0</v>
      </c>
      <c r="H30" s="15">
        <f>SUM(Jan!H30, Feb!H30, Mar!H30)</f>
        <v>0</v>
      </c>
      <c r="I30" s="16" t="str">
        <f t="shared" si="8"/>
        <v/>
      </c>
    </row>
    <row r="31" spans="1:9" ht="15.6">
      <c r="A31" s="17" t="str">
        <v xml:space="preserve"> Downers Grove - Bank of America</v>
      </c>
      <c r="B31" s="10" t="str">
        <v>IL</v>
      </c>
      <c r="C31" s="11">
        <f>SUM(Jan!C31, Feb!C31, Mar!C31)</f>
        <v>4372.3</v>
      </c>
      <c r="D31" s="18">
        <f>SUM(Jan!D31, Feb!D31, Mar!D31)</f>
        <v>0</v>
      </c>
      <c r="E31" s="18">
        <f t="shared" si="6"/>
        <v>4372.3</v>
      </c>
      <c r="F31" s="19" t="str">
        <f t="shared" si="7"/>
        <v/>
      </c>
      <c r="G31" s="20">
        <f>SUM(Jan!G31, Feb!G31, Mar!G31)</f>
        <v>0</v>
      </c>
      <c r="H31" s="20">
        <f>SUM(Jan!H31, Feb!H31, Mar!H31)</f>
        <v>0</v>
      </c>
      <c r="I31" s="19" t="str">
        <f t="shared" si="8"/>
        <v/>
      </c>
    </row>
    <row r="32" spans="1:9" ht="15.6">
      <c r="A32" s="12" t="str">
        <v xml:space="preserve"> Bloomington - Bank of America</v>
      </c>
      <c r="B32" s="9" t="str">
        <v>MN</v>
      </c>
      <c r="C32" s="24">
        <f>SUM(Jan!C32, Feb!C32, Mar!C32)</f>
        <v>732.3</v>
      </c>
      <c r="D32" s="13">
        <f>SUM(Jan!D32, Feb!D32, Mar!D32)</f>
        <v>0</v>
      </c>
      <c r="E32" s="13">
        <f t="shared" si="6"/>
        <v>732.3</v>
      </c>
      <c r="F32" s="14" t="str">
        <f t="shared" si="7"/>
        <v/>
      </c>
      <c r="G32" s="15">
        <f>SUM(Jan!G32, Feb!G32, Mar!G32)</f>
        <v>0</v>
      </c>
      <c r="H32" s="15">
        <f>SUM(Jan!H32, Feb!H32, Mar!H32)</f>
        <v>0</v>
      </c>
      <c r="I32" s="16" t="str">
        <f t="shared" si="8"/>
        <v/>
      </c>
    </row>
    <row r="33" spans="1:9" ht="15.6">
      <c r="A33" s="17" t="str">
        <v xml:space="preserve"> Clayton - Bank of America</v>
      </c>
      <c r="B33" s="10" t="str">
        <v>MO</v>
      </c>
      <c r="C33" s="11">
        <f>SUM(Jan!C33, Feb!C33, Mar!C33)</f>
        <v>4230.2</v>
      </c>
      <c r="D33" s="18">
        <f>SUM(Jan!D33, Feb!D33, Mar!D33)</f>
        <v>0</v>
      </c>
      <c r="E33" s="18">
        <f t="shared" si="6"/>
        <v>4230.2</v>
      </c>
      <c r="F33" s="19" t="str">
        <f t="shared" si="7"/>
        <v/>
      </c>
      <c r="G33" s="20">
        <f>SUM(Jan!G33, Feb!G33, Mar!G33)</f>
        <v>0</v>
      </c>
      <c r="H33" s="20">
        <f>SUM(Jan!H33, Feb!H33, Mar!H33)</f>
        <v>0</v>
      </c>
      <c r="I33" s="19" t="str">
        <f t="shared" si="8"/>
        <v/>
      </c>
    </row>
    <row r="34" spans="1:9" ht="15.6">
      <c r="A34" s="12" t="str">
        <v xml:space="preserve"> Manchester - Bank of America</v>
      </c>
      <c r="B34" s="9" t="str">
        <v>MO</v>
      </c>
      <c r="C34" s="24">
        <f>SUM(Jan!C34, Feb!C34, Mar!C34)</f>
        <v>3265.5</v>
      </c>
      <c r="D34" s="13">
        <f>SUM(Jan!D34, Feb!D34, Mar!D34)</f>
        <v>0</v>
      </c>
      <c r="E34" s="13">
        <f t="shared" si="6"/>
        <v>3265.5</v>
      </c>
      <c r="F34" s="14" t="str">
        <f t="shared" si="7"/>
        <v/>
      </c>
      <c r="G34" s="15">
        <f>SUM(Jan!G34, Feb!G34, Mar!G34)</f>
        <v>0</v>
      </c>
      <c r="H34" s="15">
        <f>SUM(Jan!H34, Feb!H34, Mar!H34)</f>
        <v>0</v>
      </c>
      <c r="I34" s="16" t="str">
        <f t="shared" si="8"/>
        <v/>
      </c>
    </row>
    <row r="35" spans="1:9" ht="15.6">
      <c r="A35" s="17" t="str">
        <v xml:space="preserve"> Las Vegas - BA - Eastern Ave</v>
      </c>
      <c r="B35" s="10" t="str">
        <v>NV</v>
      </c>
      <c r="C35" s="11">
        <f>SUM(Jan!C35, Feb!C35, Mar!C35)</f>
        <v>88.2</v>
      </c>
      <c r="D35" s="18">
        <f>SUM(Jan!D35, Feb!D35, Mar!D35)</f>
        <v>0</v>
      </c>
      <c r="E35" s="18">
        <f t="shared" si="6"/>
        <v>88.2</v>
      </c>
      <c r="F35" s="19" t="str">
        <f t="shared" si="7"/>
        <v/>
      </c>
      <c r="G35" s="20">
        <f>SUM(Jan!G35, Feb!G35, Mar!G35)</f>
        <v>0</v>
      </c>
      <c r="H35" s="20">
        <f>SUM(Jan!H35, Feb!H35, Mar!H35)</f>
        <v>0</v>
      </c>
      <c r="I35" s="19" t="str">
        <f t="shared" si="8"/>
        <v/>
      </c>
    </row>
    <row r="36" spans="1:9" ht="15.6">
      <c r="A36" s="12" t="str">
        <v xml:space="preserve"> Las Vegas - BA - Town Ctr Dr</v>
      </c>
      <c r="B36" s="9" t="str">
        <v>NV</v>
      </c>
      <c r="C36" s="24">
        <f>SUM(Jan!C36, Feb!C36, Mar!C36)</f>
        <v>0</v>
      </c>
      <c r="D36" s="13">
        <f>SUM(Jan!D36, Feb!D36, Mar!D36)</f>
        <v>0</v>
      </c>
      <c r="E36" s="13">
        <f t="shared" si="6"/>
        <v>0</v>
      </c>
      <c r="F36" s="14" t="str">
        <f t="shared" si="7"/>
        <v/>
      </c>
      <c r="G36" s="15">
        <f>SUM(Jan!G36, Feb!G36, Mar!G36)</f>
        <v>0</v>
      </c>
      <c r="H36" s="15">
        <f>SUM(Jan!H36, Feb!H36, Mar!H36)</f>
        <v>0</v>
      </c>
      <c r="I36" s="16" t="str">
        <f t="shared" si="8"/>
        <v/>
      </c>
    </row>
    <row r="37" spans="1:9" ht="15.6">
      <c r="A37" s="17" t="str">
        <v xml:space="preserve"> Riverton - Bank of America</v>
      </c>
      <c r="B37" s="10" t="str">
        <v>UT</v>
      </c>
      <c r="C37" s="11">
        <f>SUM(Jan!C37, Feb!C37, Mar!C37)</f>
        <v>4602.2</v>
      </c>
      <c r="D37" s="18">
        <f>SUM(Jan!D37, Feb!D37, Mar!D37)</f>
        <v>0</v>
      </c>
      <c r="E37" s="18">
        <f t="shared" si="6"/>
        <v>4602.2</v>
      </c>
      <c r="F37" s="19" t="str">
        <f t="shared" si="7"/>
        <v/>
      </c>
      <c r="G37" s="20">
        <f>SUM(Jan!G37, Feb!G37, Mar!G37)</f>
        <v>0</v>
      </c>
      <c r="H37" s="20">
        <f>SUM(Jan!H37, Feb!H37, Mar!H37)</f>
        <v>0</v>
      </c>
      <c r="I37" s="19" t="str">
        <f t="shared" si="8"/>
        <v/>
      </c>
    </row>
    <row r="38" spans="1:9" ht="15.6">
      <c r="A38" s="12" t="str">
        <v xml:space="preserve"> Salt Lake City - Bank of America</v>
      </c>
      <c r="B38" s="9" t="str">
        <v>UT</v>
      </c>
      <c r="C38" s="24">
        <f>SUM(Jan!C38, Feb!C38, Mar!C38)</f>
        <v>606.6</v>
      </c>
      <c r="D38" s="13">
        <f>SUM(Jan!D38, Feb!D38, Mar!D38)</f>
        <v>0</v>
      </c>
      <c r="E38" s="13">
        <f t="shared" si="6"/>
        <v>606.6</v>
      </c>
      <c r="F38" s="14" t="str">
        <f t="shared" si="7"/>
        <v/>
      </c>
      <c r="G38" s="15">
        <f>SUM(Jan!G38, Feb!G38, Mar!G38)</f>
        <v>0</v>
      </c>
      <c r="H38" s="15">
        <f>SUM(Jan!H38, Feb!H38, Mar!H38)</f>
        <v>0</v>
      </c>
      <c r="I38" s="16" t="str">
        <f t="shared" si="8"/>
        <v/>
      </c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9">
      <c r="A342" s="21"/>
      <c r="B342" s="21"/>
      <c r="C342" s="21"/>
      <c r="D342" s="21"/>
      <c r="E342" s="21"/>
      <c r="F342" s="22"/>
      <c r="G342" s="21"/>
      <c r="H342" s="21"/>
      <c r="I342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100 I4:I100">
    <cfRule type="cellIs" dxfId="56" priority="1" stopIfTrue="1" operator="lessThanOrEqual">
      <formula>-0.1</formula>
    </cfRule>
    <cfRule type="expression" dxfId="5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42"/>
  <sheetViews>
    <sheetView workbookViewId="0">
      <pane xSplit="2" ySplit="3" topLeftCell="C4" activePane="bottomRight" state="frozen"/>
      <selection pane="bottomRight" activeCell="F5" sqref="F5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4" t="str" cm="1">
        <f t="array" ref="A1">portfolio</f>
        <v>Cushman &amp; Wakefield</v>
      </c>
      <c r="B1" s="74"/>
      <c r="C1" s="74"/>
      <c r="D1" s="75" t="s">
        <v>12</v>
      </c>
      <c r="E1" s="75"/>
      <c r="F1" s="75"/>
      <c r="G1" s="73" t="s">
        <v>13</v>
      </c>
      <c r="H1" s="73"/>
      <c r="I1" s="73"/>
    </row>
    <row r="2" spans="1:9" ht="19.5" customHeight="1">
      <c r="A2" s="76" t="s">
        <v>2</v>
      </c>
      <c r="B2" s="76"/>
      <c r="C2" s="5">
        <f>SUM(C4:C100)</f>
        <v>130734.09999999999</v>
      </c>
      <c r="D2" s="5">
        <f>SUM(D4:D100)</f>
        <v>0</v>
      </c>
      <c r="E2" s="5">
        <f>C2-D2</f>
        <v>130734.09999999999</v>
      </c>
      <c r="F2" s="6">
        <f>IFERROR(E2/D2, 0)</f>
        <v>0</v>
      </c>
      <c r="G2" s="5">
        <f>SUM(G4:G100)</f>
        <v>0</v>
      </c>
      <c r="H2" s="7">
        <f>C2-G2</f>
        <v>130734.09999999999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38">Sites[Site]</f>
        <v xml:space="preserve"> Adelanto - Bank of America</v>
      </c>
      <c r="B4" s="9" t="str" cm="1">
        <f t="array" ref="B4:B38">Sites[State]</f>
        <v>CA</v>
      </c>
      <c r="C4" s="24">
        <f>SUM(Apr!C4, May!C4, Jun!C4)</f>
        <v>0</v>
      </c>
      <c r="D4" s="13">
        <f>SUM(Apr!D4, May!D4, Jun!D4)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SUM(Apr!H4, May!H4, Jun!H4)</f>
        <v>0</v>
      </c>
      <c r="I4" s="16" t="str">
        <f>IFERROR(H4/G4, "")</f>
        <v/>
      </c>
    </row>
    <row r="5" spans="1:9" ht="15.6">
      <c r="A5" s="17" t="str">
        <v xml:space="preserve"> Apple Valley - Bank of America</v>
      </c>
      <c r="B5" s="10" t="str">
        <v>CA</v>
      </c>
      <c r="C5" s="11">
        <f>SUM(Apr!C5, May!C5, Jun!C5)</f>
        <v>0</v>
      </c>
      <c r="D5" s="18">
        <f>SUM(Apr!D5, May!D5, Jun!D5)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/>
      <c r="H5" s="20">
        <f>SUM(Apr!H5, May!H5, Jun!H5)</f>
        <v>0</v>
      </c>
      <c r="I5" s="19" t="str">
        <f>IFERROR(H5/G5, "")</f>
        <v/>
      </c>
    </row>
    <row r="6" spans="1:9" ht="15.6">
      <c r="A6" s="12" t="str">
        <v xml:space="preserve"> Arvin - Bank of America</v>
      </c>
      <c r="B6" s="9" t="str">
        <v>CA</v>
      </c>
      <c r="C6" s="24">
        <f>SUM(Apr!C6, May!C6, Jun!C6)</f>
        <v>201.7</v>
      </c>
      <c r="D6" s="13">
        <f>SUM(Apr!D6, May!D6, Jun!D6)</f>
        <v>0</v>
      </c>
      <c r="E6" s="13">
        <f t="shared" si="0"/>
        <v>201.7</v>
      </c>
      <c r="F6" s="14" t="str">
        <f t="shared" ref="F6:F15" si="1">IFERROR(E6/D6, "")</f>
        <v/>
      </c>
      <c r="G6" s="15"/>
      <c r="H6" s="15">
        <f>SUM(Apr!H6, May!H6, Jun!H6)</f>
        <v>0</v>
      </c>
      <c r="I6" s="16" t="str">
        <f t="shared" ref="I6:I15" si="2">IFERROR(H6/G6, "")</f>
        <v/>
      </c>
    </row>
    <row r="7" spans="1:9" ht="15.6">
      <c r="A7" s="17" t="str">
        <v xml:space="preserve"> Bell - Bank of America</v>
      </c>
      <c r="B7" s="10" t="str">
        <v>CA</v>
      </c>
      <c r="C7" s="11">
        <f>SUM(Apr!C7, May!C7, Jun!C7)</f>
        <v>4752.6000000000004</v>
      </c>
      <c r="D7" s="18">
        <f>SUM(Apr!D7, May!D7, Jun!D7)</f>
        <v>0</v>
      </c>
      <c r="E7" s="18">
        <f t="shared" si="0"/>
        <v>4752.6000000000004</v>
      </c>
      <c r="F7" s="19" t="str">
        <f t="shared" si="1"/>
        <v/>
      </c>
      <c r="G7" s="20"/>
      <c r="H7" s="20">
        <f>SUM(Apr!H7, May!H7, Jun!H7)</f>
        <v>0</v>
      </c>
      <c r="I7" s="19" t="str">
        <f t="shared" si="2"/>
        <v/>
      </c>
    </row>
    <row r="8" spans="1:9" ht="15.6">
      <c r="A8" s="12" t="str">
        <v xml:space="preserve"> Chula Vista - Bank of America</v>
      </c>
      <c r="B8" s="9" t="str">
        <v>CA</v>
      </c>
      <c r="C8" s="24">
        <f>SUM(Apr!C8, May!C8, Jun!C8)</f>
        <v>2810.3</v>
      </c>
      <c r="D8" s="13">
        <f>SUM(Apr!D8, May!D8, Jun!D8)</f>
        <v>0</v>
      </c>
      <c r="E8" s="13">
        <f t="shared" si="0"/>
        <v>2810.3</v>
      </c>
      <c r="F8" s="14" t="str">
        <f t="shared" si="1"/>
        <v/>
      </c>
      <c r="G8" s="15"/>
      <c r="H8" s="15">
        <f>SUM(Apr!H8, May!H8, Jun!H8)</f>
        <v>0</v>
      </c>
      <c r="I8" s="16" t="str">
        <f t="shared" si="2"/>
        <v/>
      </c>
    </row>
    <row r="9" spans="1:9" ht="15.6">
      <c r="A9" s="17" t="str">
        <v xml:space="preserve"> Cupertino - Bank of America</v>
      </c>
      <c r="B9" s="10" t="str">
        <v>CA</v>
      </c>
      <c r="C9" s="11">
        <f>SUM(Apr!C9, May!C9, Jun!C9)</f>
        <v>4967.3</v>
      </c>
      <c r="D9" s="18">
        <f>SUM(Apr!D9, May!D9, Jun!D9)</f>
        <v>0</v>
      </c>
      <c r="E9" s="18">
        <f t="shared" si="0"/>
        <v>4967.3</v>
      </c>
      <c r="F9" s="19" t="str">
        <f t="shared" si="1"/>
        <v/>
      </c>
      <c r="G9" s="20"/>
      <c r="H9" s="20">
        <f>SUM(Apr!H9, May!H9, Jun!H9)</f>
        <v>0</v>
      </c>
      <c r="I9" s="19" t="str">
        <f t="shared" si="2"/>
        <v/>
      </c>
    </row>
    <row r="10" spans="1:9" ht="15.6">
      <c r="A10" s="12" t="str">
        <v xml:space="preserve"> Diamond Bar - Bank of America</v>
      </c>
      <c r="B10" s="9" t="str">
        <v>CA</v>
      </c>
      <c r="C10" s="24">
        <f>SUM(Apr!C10, May!C10, Jun!C10)</f>
        <v>5795.5</v>
      </c>
      <c r="D10" s="13">
        <f>SUM(Apr!D10, May!D10, Jun!D10)</f>
        <v>0</v>
      </c>
      <c r="E10" s="13">
        <f t="shared" si="0"/>
        <v>5795.5</v>
      </c>
      <c r="F10" s="14" t="str">
        <f t="shared" si="1"/>
        <v/>
      </c>
      <c r="G10" s="15"/>
      <c r="H10" s="15">
        <f>SUM(Apr!H10, May!H10, Jun!H10)</f>
        <v>0</v>
      </c>
      <c r="I10" s="16" t="str">
        <f t="shared" si="2"/>
        <v/>
      </c>
    </row>
    <row r="11" spans="1:9" ht="15.6">
      <c r="A11" s="17" t="str">
        <v xml:space="preserve"> El Centro - Bank of America</v>
      </c>
      <c r="B11" s="10" t="str">
        <v>CA</v>
      </c>
      <c r="C11" s="11">
        <f>SUM(Apr!C11, May!C11, Jun!C11)</f>
        <v>6429.3</v>
      </c>
      <c r="D11" s="18">
        <f>SUM(Apr!D11, May!D11, Jun!D11)</f>
        <v>0</v>
      </c>
      <c r="E11" s="18">
        <f t="shared" si="0"/>
        <v>6429.3</v>
      </c>
      <c r="F11" s="19" t="str">
        <f t="shared" si="1"/>
        <v/>
      </c>
      <c r="G11" s="20"/>
      <c r="H11" s="20">
        <f>SUM(Apr!H11, May!H11, Jun!H11)</f>
        <v>0</v>
      </c>
      <c r="I11" s="19" t="str">
        <f t="shared" si="2"/>
        <v/>
      </c>
    </row>
    <row r="12" spans="1:9" ht="15.6">
      <c r="A12" s="12" t="str">
        <v xml:space="preserve"> Moreno Valley - Bank of America</v>
      </c>
      <c r="B12" s="9" t="str">
        <v>CA</v>
      </c>
      <c r="C12" s="24">
        <f>SUM(Apr!C12, May!C12, Jun!C12)</f>
        <v>10197</v>
      </c>
      <c r="D12" s="13">
        <f>SUM(Apr!D12, May!D12, Jun!D12)</f>
        <v>0</v>
      </c>
      <c r="E12" s="13">
        <f t="shared" si="0"/>
        <v>10197</v>
      </c>
      <c r="F12" s="14" t="str">
        <f t="shared" si="1"/>
        <v/>
      </c>
      <c r="G12" s="15"/>
      <c r="H12" s="15">
        <f>SUM(Apr!H12, May!H12, Jun!H12)</f>
        <v>0</v>
      </c>
      <c r="I12" s="16" t="str">
        <f t="shared" si="2"/>
        <v/>
      </c>
    </row>
    <row r="13" spans="1:9" ht="15.6">
      <c r="A13" s="17" t="str">
        <v xml:space="preserve"> Redlands - Bank of America</v>
      </c>
      <c r="B13" s="10" t="str">
        <v>CA</v>
      </c>
      <c r="C13" s="11">
        <f>SUM(Apr!C13, May!C13, Jun!C13)</f>
        <v>0</v>
      </c>
      <c r="D13" s="18">
        <f>SUM(Apr!D13, May!D13, Jun!D13)</f>
        <v>0</v>
      </c>
      <c r="E13" s="18">
        <f t="shared" si="0"/>
        <v>0</v>
      </c>
      <c r="F13" s="19" t="str">
        <f t="shared" si="1"/>
        <v/>
      </c>
      <c r="G13" s="20"/>
      <c r="H13" s="20">
        <f>SUM(Apr!H13, May!H13, Jun!H13)</f>
        <v>0</v>
      </c>
      <c r="I13" s="19" t="str">
        <f t="shared" si="2"/>
        <v/>
      </c>
    </row>
    <row r="14" spans="1:9" ht="15.6">
      <c r="A14" s="12" t="str">
        <v xml:space="preserve"> Roseville - Bank of America</v>
      </c>
      <c r="B14" s="9" t="str">
        <v>CA</v>
      </c>
      <c r="C14" s="24">
        <f>SUM(Apr!C14, May!C14, Jun!C14)</f>
        <v>15388.599999999999</v>
      </c>
      <c r="D14" s="13">
        <f>SUM(Apr!D14, May!D14, Jun!D14)</f>
        <v>0</v>
      </c>
      <c r="E14" s="13">
        <f t="shared" si="0"/>
        <v>15388.599999999999</v>
      </c>
      <c r="F14" s="14" t="str">
        <f t="shared" si="1"/>
        <v/>
      </c>
      <c r="G14" s="15"/>
      <c r="H14" s="15">
        <f>SUM(Apr!H14, May!H14, Jun!H14)</f>
        <v>0</v>
      </c>
      <c r="I14" s="16" t="str">
        <f t="shared" si="2"/>
        <v/>
      </c>
    </row>
    <row r="15" spans="1:9" ht="15.6">
      <c r="A15" s="17" t="str">
        <v xml:space="preserve"> San Bernardino - Bank of America</v>
      </c>
      <c r="B15" s="10" t="str">
        <v>CA</v>
      </c>
      <c r="C15" s="11">
        <f>SUM(Apr!C15, May!C15, Jun!C15)</f>
        <v>220.4</v>
      </c>
      <c r="D15" s="18">
        <f>SUM(Apr!D15, May!D15, Jun!D15)</f>
        <v>0</v>
      </c>
      <c r="E15" s="18">
        <f t="shared" si="0"/>
        <v>220.4</v>
      </c>
      <c r="F15" s="19" t="str">
        <f t="shared" si="1"/>
        <v/>
      </c>
      <c r="G15" s="20"/>
      <c r="H15" s="20">
        <f>SUM(Apr!H15, May!H15, Jun!H15)</f>
        <v>0</v>
      </c>
      <c r="I15" s="19" t="str">
        <f t="shared" si="2"/>
        <v/>
      </c>
    </row>
    <row r="16" spans="1:9" ht="15.6">
      <c r="A16" s="12" t="str">
        <v xml:space="preserve"> San Diego - Bank of America</v>
      </c>
      <c r="B16" s="9" t="str">
        <v>CA</v>
      </c>
      <c r="C16" s="24">
        <f>SUM(Apr!C16, May!C16, Jun!C16)</f>
        <v>126.8</v>
      </c>
      <c r="D16" s="13">
        <f>SUM(Apr!D16, May!D16, Jun!D16)</f>
        <v>0</v>
      </c>
      <c r="E16" s="13">
        <f t="shared" ref="E16:E19" si="3">IF(AND(ISNUMBER(C16),ISNUMBER(D16)), C16-D16, "")</f>
        <v>126.8</v>
      </c>
      <c r="F16" s="14" t="str">
        <f t="shared" ref="F16:F19" si="4">IFERROR(E16/D16, "")</f>
        <v/>
      </c>
      <c r="G16" s="15"/>
      <c r="H16" s="15">
        <f>SUM(Apr!H16, May!H16, Jun!H16)</f>
        <v>0</v>
      </c>
      <c r="I16" s="16" t="str">
        <f t="shared" ref="I16:I19" si="5">IFERROR(H16/G16, "")</f>
        <v/>
      </c>
    </row>
    <row r="17" spans="1:9" ht="15.6">
      <c r="A17" s="17" t="str">
        <v xml:space="preserve"> Stockton - Bank of America</v>
      </c>
      <c r="B17" s="10" t="str">
        <v>CA</v>
      </c>
      <c r="C17" s="11">
        <f>SUM(Apr!C17, May!C17, Jun!C17)</f>
        <v>4515.2</v>
      </c>
      <c r="D17" s="18">
        <f>SUM(Apr!D17, May!D17, Jun!D17)</f>
        <v>0</v>
      </c>
      <c r="E17" s="18">
        <f t="shared" si="3"/>
        <v>4515.2</v>
      </c>
      <c r="F17" s="19" t="str">
        <f t="shared" si="4"/>
        <v/>
      </c>
      <c r="G17" s="20"/>
      <c r="H17" s="20">
        <f>SUM(Apr!H17, May!H17, Jun!H17)</f>
        <v>0</v>
      </c>
      <c r="I17" s="19" t="str">
        <f t="shared" si="5"/>
        <v/>
      </c>
    </row>
    <row r="18" spans="1:9" ht="12.75" customHeight="1">
      <c r="A18" s="12" t="str">
        <v xml:space="preserve"> Victorville - Bank of America</v>
      </c>
      <c r="B18" s="9" t="str">
        <v>CA</v>
      </c>
      <c r="C18" s="24">
        <f>SUM(Apr!C18, May!C18, Jun!C18)</f>
        <v>0</v>
      </c>
      <c r="D18" s="13">
        <f>SUM(Apr!D18, May!D18, Jun!D18)</f>
        <v>0</v>
      </c>
      <c r="E18" s="13">
        <f t="shared" si="3"/>
        <v>0</v>
      </c>
      <c r="F18" s="14" t="str">
        <f t="shared" si="4"/>
        <v/>
      </c>
      <c r="G18" s="15"/>
      <c r="H18" s="15">
        <f>SUM(Apr!H18, May!H18, Jun!H18)</f>
        <v>0</v>
      </c>
      <c r="I18" s="16" t="str">
        <f t="shared" si="5"/>
        <v/>
      </c>
    </row>
    <row r="19" spans="1:9" ht="15.6">
      <c r="A19" s="17" t="str">
        <v xml:space="preserve"> Aurora - BA - Colfax Ave</v>
      </c>
      <c r="B19" s="10" t="str">
        <v>CO</v>
      </c>
      <c r="C19" s="11">
        <f>SUM(Apr!C19, May!C19, Jun!C19)</f>
        <v>2623.5</v>
      </c>
      <c r="D19" s="18">
        <f>SUM(Apr!D19, May!D19, Jun!D19)</f>
        <v>0</v>
      </c>
      <c r="E19" s="18">
        <f t="shared" si="3"/>
        <v>2623.5</v>
      </c>
      <c r="F19" s="19" t="str">
        <f t="shared" si="4"/>
        <v/>
      </c>
      <c r="G19" s="20"/>
      <c r="H19" s="20">
        <f>SUM(Apr!H19, May!H19, Jun!H19)</f>
        <v>0</v>
      </c>
      <c r="I19" s="19" t="str">
        <f t="shared" si="5"/>
        <v/>
      </c>
    </row>
    <row r="20" spans="1:9" ht="15.6">
      <c r="A20" s="12" t="str">
        <v xml:space="preserve"> Aurora - BA - Parker Rd</v>
      </c>
      <c r="B20" s="9" t="str">
        <v>CO</v>
      </c>
      <c r="C20" s="24">
        <f>SUM(Apr!C20, May!C20, Jun!C20)</f>
        <v>7467</v>
      </c>
      <c r="D20" s="13">
        <f>SUM(Apr!D20, May!D20, Jun!D20)</f>
        <v>0</v>
      </c>
      <c r="E20" s="13">
        <f t="shared" ref="E20:E38" si="6">IF(AND(ISNUMBER(C20),ISNUMBER(D20)), C20-D20, "")</f>
        <v>7467</v>
      </c>
      <c r="F20" s="14" t="str">
        <f t="shared" ref="F20:F38" si="7">IFERROR(E20/D20, "")</f>
        <v/>
      </c>
      <c r="G20" s="15"/>
      <c r="H20" s="15">
        <f>SUM(Apr!H20, May!H20, Jun!H20)</f>
        <v>0</v>
      </c>
      <c r="I20" s="16" t="str">
        <f t="shared" ref="I20:I38" si="8">IFERROR(H20/G20, "")</f>
        <v/>
      </c>
    </row>
    <row r="21" spans="1:9" ht="15.6">
      <c r="A21" s="17" t="str">
        <v xml:space="preserve"> Broomfield - Bank of America</v>
      </c>
      <c r="B21" s="10" t="str">
        <v>CO</v>
      </c>
      <c r="C21" s="11">
        <f>SUM(Apr!C21, May!C21, Jun!C21)</f>
        <v>3495</v>
      </c>
      <c r="D21" s="18">
        <f>SUM(Apr!D21, May!D21, Jun!D21)</f>
        <v>0</v>
      </c>
      <c r="E21" s="18">
        <f t="shared" si="6"/>
        <v>3495</v>
      </c>
      <c r="F21" s="19" t="str">
        <f t="shared" si="7"/>
        <v/>
      </c>
      <c r="G21" s="20"/>
      <c r="H21" s="20">
        <f>SUM(Apr!H21, May!H21, Jun!H21)</f>
        <v>0</v>
      </c>
      <c r="I21" s="19" t="str">
        <f t="shared" si="8"/>
        <v/>
      </c>
    </row>
    <row r="22" spans="1:9" ht="15.6">
      <c r="A22" s="12" t="str">
        <v xml:space="preserve"> Colorado Springs - Bank of America</v>
      </c>
      <c r="B22" s="9" t="str">
        <v>CO</v>
      </c>
      <c r="C22" s="24">
        <f>SUM(Apr!C22, May!C22, Jun!C22)</f>
        <v>5723.9</v>
      </c>
      <c r="D22" s="13">
        <f>SUM(Apr!D22, May!D22, Jun!D22)</f>
        <v>0</v>
      </c>
      <c r="E22" s="13">
        <f t="shared" si="6"/>
        <v>5723.9</v>
      </c>
      <c r="F22" s="14" t="str">
        <f t="shared" si="7"/>
        <v/>
      </c>
      <c r="G22" s="15"/>
      <c r="H22" s="15">
        <f>SUM(Apr!H22, May!H22, Jun!H22)</f>
        <v>0</v>
      </c>
      <c r="I22" s="16" t="str">
        <f t="shared" si="8"/>
        <v/>
      </c>
    </row>
    <row r="23" spans="1:9" ht="15.6">
      <c r="A23" s="17" t="str">
        <v xml:space="preserve"> Denver - BA - 49th Ave</v>
      </c>
      <c r="B23" s="10" t="str">
        <v>CO</v>
      </c>
      <c r="C23" s="11">
        <f>SUM(Apr!C23, May!C23, Jun!C23)</f>
        <v>2560.6000000000004</v>
      </c>
      <c r="D23" s="18">
        <f>SUM(Apr!D23, May!D23, Jun!D23)</f>
        <v>0</v>
      </c>
      <c r="E23" s="18">
        <f t="shared" si="6"/>
        <v>2560.6000000000004</v>
      </c>
      <c r="F23" s="19" t="str">
        <f t="shared" si="7"/>
        <v/>
      </c>
      <c r="G23" s="20"/>
      <c r="H23" s="20">
        <f>SUM(Apr!H23, May!H23, Jun!H23)</f>
        <v>0</v>
      </c>
      <c r="I23" s="19" t="str">
        <f t="shared" si="8"/>
        <v/>
      </c>
    </row>
    <row r="24" spans="1:9" ht="15.6">
      <c r="A24" s="12" t="str">
        <v xml:space="preserve"> Denver - BA Wadsworth Blvd</v>
      </c>
      <c r="B24" s="9" t="str">
        <v>CO</v>
      </c>
      <c r="C24" s="24">
        <f>SUM(Apr!C24, May!C24, Jun!C24)</f>
        <v>5261.6</v>
      </c>
      <c r="D24" s="13">
        <f>SUM(Apr!D24, May!D24, Jun!D24)</f>
        <v>0</v>
      </c>
      <c r="E24" s="13">
        <f t="shared" si="6"/>
        <v>5261.6</v>
      </c>
      <c r="F24" s="14" t="str">
        <f t="shared" si="7"/>
        <v/>
      </c>
      <c r="G24" s="15"/>
      <c r="H24" s="15">
        <f>SUM(Apr!H24, May!H24, Jun!H24)</f>
        <v>0</v>
      </c>
      <c r="I24" s="16" t="str">
        <f t="shared" si="8"/>
        <v/>
      </c>
    </row>
    <row r="25" spans="1:9" ht="15.6">
      <c r="A25" s="17" t="str">
        <v xml:space="preserve"> Fort Collins - Bank of America</v>
      </c>
      <c r="B25" s="10" t="str">
        <v>CO</v>
      </c>
      <c r="C25" s="11">
        <f>SUM(Apr!C25, May!C25, Jun!C25)</f>
        <v>3463.5</v>
      </c>
      <c r="D25" s="18">
        <f>SUM(Apr!D25, May!D25, Jun!D25)</f>
        <v>0</v>
      </c>
      <c r="E25" s="18">
        <f t="shared" si="6"/>
        <v>3463.5</v>
      </c>
      <c r="F25" s="19" t="str">
        <f t="shared" si="7"/>
        <v/>
      </c>
      <c r="G25" s="20"/>
      <c r="H25" s="20">
        <f>SUM(Apr!H25, May!H25, Jun!H25)</f>
        <v>0</v>
      </c>
      <c r="I25" s="19" t="str">
        <f t="shared" si="8"/>
        <v/>
      </c>
    </row>
    <row r="26" spans="1:9" ht="15.6">
      <c r="A26" s="12" t="str">
        <v xml:space="preserve"> Lafayette - Bank of America</v>
      </c>
      <c r="B26" s="9" t="str">
        <v>CO</v>
      </c>
      <c r="C26" s="24">
        <f>SUM(Apr!C26, May!C26, Jun!C26)</f>
        <v>4858.1000000000004</v>
      </c>
      <c r="D26" s="13">
        <f>SUM(Apr!D26, May!D26, Jun!D26)</f>
        <v>0</v>
      </c>
      <c r="E26" s="13">
        <f t="shared" si="6"/>
        <v>4858.1000000000004</v>
      </c>
      <c r="F26" s="14" t="str">
        <f t="shared" si="7"/>
        <v/>
      </c>
      <c r="G26" s="15"/>
      <c r="H26" s="15">
        <f>SUM(Apr!H26, May!H26, Jun!H26)</f>
        <v>0</v>
      </c>
      <c r="I26" s="16" t="str">
        <f t="shared" si="8"/>
        <v/>
      </c>
    </row>
    <row r="27" spans="1:9" ht="15.6">
      <c r="A27" s="17" t="str">
        <v xml:space="preserve"> Lakewood - Bank of America</v>
      </c>
      <c r="B27" s="10" t="str">
        <v>CO</v>
      </c>
      <c r="C27" s="11">
        <f>SUM(Apr!C27, May!C27, Jun!C27)</f>
        <v>2830</v>
      </c>
      <c r="D27" s="18">
        <f>SUM(Apr!D27, May!D27, Jun!D27)</f>
        <v>0</v>
      </c>
      <c r="E27" s="18">
        <f t="shared" si="6"/>
        <v>2830</v>
      </c>
      <c r="F27" s="19" t="str">
        <f t="shared" si="7"/>
        <v/>
      </c>
      <c r="G27" s="20"/>
      <c r="H27" s="20">
        <f>SUM(Apr!H27, May!H27, Jun!H27)</f>
        <v>0</v>
      </c>
      <c r="I27" s="19" t="str">
        <f t="shared" si="8"/>
        <v/>
      </c>
    </row>
    <row r="28" spans="1:9" ht="15.6">
      <c r="A28" s="12" t="str">
        <v xml:space="preserve"> Longmont - Bank of America</v>
      </c>
      <c r="B28" s="9" t="str">
        <v>CO</v>
      </c>
      <c r="C28" s="24">
        <f>SUM(Apr!C28, May!C28, Jun!C28)</f>
        <v>2503.6999999999998</v>
      </c>
      <c r="D28" s="13">
        <f>SUM(Apr!D28, May!D28, Jun!D28)</f>
        <v>0</v>
      </c>
      <c r="E28" s="13">
        <f t="shared" si="6"/>
        <v>2503.6999999999998</v>
      </c>
      <c r="F28" s="14" t="str">
        <f t="shared" si="7"/>
        <v/>
      </c>
      <c r="G28" s="15"/>
      <c r="H28" s="15">
        <f>SUM(Apr!H28, May!H28, Jun!H28)</f>
        <v>0</v>
      </c>
      <c r="I28" s="16" t="str">
        <f t="shared" si="8"/>
        <v/>
      </c>
    </row>
    <row r="29" spans="1:9" ht="15.6">
      <c r="A29" s="17" t="str">
        <v xml:space="preserve"> Thornton - Bank of America</v>
      </c>
      <c r="B29" s="10" t="str">
        <v>CO</v>
      </c>
      <c r="C29" s="11">
        <f>SUM(Apr!C29, May!C29, Jun!C29)</f>
        <v>2899.8</v>
      </c>
      <c r="D29" s="18">
        <f>SUM(Apr!D29, May!D29, Jun!D29)</f>
        <v>0</v>
      </c>
      <c r="E29" s="18">
        <f t="shared" si="6"/>
        <v>2899.8</v>
      </c>
      <c r="F29" s="19" t="str">
        <f t="shared" si="7"/>
        <v/>
      </c>
      <c r="G29" s="20"/>
      <c r="H29" s="20">
        <f>SUM(Apr!H29, May!H29, Jun!H29)</f>
        <v>0</v>
      </c>
      <c r="I29" s="19" t="str">
        <f t="shared" si="8"/>
        <v/>
      </c>
    </row>
    <row r="30" spans="1:9" ht="15.6">
      <c r="A30" s="12" t="str">
        <v xml:space="preserve"> Calumet City - Bank of America</v>
      </c>
      <c r="B30" s="9" t="str">
        <v>IL</v>
      </c>
      <c r="C30" s="24">
        <f>SUM(Apr!C30, May!C30, Jun!C30)</f>
        <v>4985.7000000000007</v>
      </c>
      <c r="D30" s="13">
        <f>SUM(Apr!D30, May!D30, Jun!D30)</f>
        <v>0</v>
      </c>
      <c r="E30" s="13">
        <f t="shared" si="6"/>
        <v>4985.7000000000007</v>
      </c>
      <c r="F30" s="14" t="str">
        <f t="shared" si="7"/>
        <v/>
      </c>
      <c r="G30" s="15"/>
      <c r="H30" s="15">
        <f>SUM(Apr!H30, May!H30, Jun!H30)</f>
        <v>0</v>
      </c>
      <c r="I30" s="16" t="str">
        <f t="shared" si="8"/>
        <v/>
      </c>
    </row>
    <row r="31" spans="1:9" ht="15.6">
      <c r="A31" s="17" t="str">
        <v xml:space="preserve"> Downers Grove - Bank of America</v>
      </c>
      <c r="B31" s="10" t="str">
        <v>IL</v>
      </c>
      <c r="C31" s="11">
        <f>SUM(Apr!C31, May!C31, Jun!C31)</f>
        <v>5531.5</v>
      </c>
      <c r="D31" s="18">
        <f>SUM(Apr!D31, May!D31, Jun!D31)</f>
        <v>0</v>
      </c>
      <c r="E31" s="18">
        <f t="shared" si="6"/>
        <v>5531.5</v>
      </c>
      <c r="F31" s="19" t="str">
        <f t="shared" si="7"/>
        <v/>
      </c>
      <c r="G31" s="20"/>
      <c r="H31" s="20">
        <f>SUM(Apr!H31, May!H31, Jun!H31)</f>
        <v>0</v>
      </c>
      <c r="I31" s="19" t="str">
        <f t="shared" si="8"/>
        <v/>
      </c>
    </row>
    <row r="32" spans="1:9" ht="15.6">
      <c r="A32" s="12" t="str">
        <v xml:space="preserve"> Bloomington - Bank of America</v>
      </c>
      <c r="B32" s="9" t="str">
        <v>MN</v>
      </c>
      <c r="C32" s="24">
        <f>SUM(Apr!C32, May!C32, Jun!C32)</f>
        <v>5729.9000000000005</v>
      </c>
      <c r="D32" s="13">
        <f>SUM(Apr!D32, May!D32, Jun!D32)</f>
        <v>0</v>
      </c>
      <c r="E32" s="13">
        <f t="shared" si="6"/>
        <v>5729.9000000000005</v>
      </c>
      <c r="F32" s="14" t="str">
        <f t="shared" si="7"/>
        <v/>
      </c>
      <c r="G32" s="15"/>
      <c r="H32" s="15">
        <f>SUM(Apr!H32, May!H32, Jun!H32)</f>
        <v>0</v>
      </c>
      <c r="I32" s="16" t="str">
        <f t="shared" si="8"/>
        <v/>
      </c>
    </row>
    <row r="33" spans="1:9" ht="15.6">
      <c r="A33" s="17" t="str">
        <v xml:space="preserve"> Clayton - Bank of America</v>
      </c>
      <c r="B33" s="10" t="str">
        <v>MO</v>
      </c>
      <c r="C33" s="11">
        <f>SUM(Apr!C33, May!C33, Jun!C33)</f>
        <v>4369.1000000000004</v>
      </c>
      <c r="D33" s="18">
        <f>SUM(Apr!D33, May!D33, Jun!D33)</f>
        <v>0</v>
      </c>
      <c r="E33" s="18">
        <f t="shared" si="6"/>
        <v>4369.1000000000004</v>
      </c>
      <c r="F33" s="19" t="str">
        <f t="shared" si="7"/>
        <v/>
      </c>
      <c r="G33" s="20"/>
      <c r="H33" s="20">
        <f>SUM(Apr!H33, May!H33, Jun!H33)</f>
        <v>0</v>
      </c>
      <c r="I33" s="19" t="str">
        <f t="shared" si="8"/>
        <v/>
      </c>
    </row>
    <row r="34" spans="1:9" ht="15.6">
      <c r="A34" s="12" t="str">
        <v xml:space="preserve"> Manchester - Bank of America</v>
      </c>
      <c r="B34" s="9" t="str">
        <v>MO</v>
      </c>
      <c r="C34" s="24">
        <f>SUM(Apr!C34, May!C34, Jun!C34)</f>
        <v>3400.2</v>
      </c>
      <c r="D34" s="13">
        <f>SUM(Apr!D34, May!D34, Jun!D34)</f>
        <v>0</v>
      </c>
      <c r="E34" s="13">
        <f t="shared" si="6"/>
        <v>3400.2</v>
      </c>
      <c r="F34" s="14" t="str">
        <f t="shared" si="7"/>
        <v/>
      </c>
      <c r="G34" s="15"/>
      <c r="H34" s="15">
        <f>SUM(Apr!H34, May!H34, Jun!H34)</f>
        <v>0</v>
      </c>
      <c r="I34" s="16" t="str">
        <f t="shared" si="8"/>
        <v/>
      </c>
    </row>
    <row r="35" spans="1:9" ht="15.6">
      <c r="A35" s="17" t="str">
        <v xml:space="preserve"> Las Vegas - BA - Eastern Ave</v>
      </c>
      <c r="B35" s="10" t="str">
        <v>NV</v>
      </c>
      <c r="C35" s="11">
        <f>SUM(Apr!C35, May!C35, Jun!C35)</f>
        <v>142.89999999999998</v>
      </c>
      <c r="D35" s="18">
        <f>SUM(Apr!D35, May!D35, Jun!D35)</f>
        <v>0</v>
      </c>
      <c r="E35" s="18">
        <f t="shared" si="6"/>
        <v>142.89999999999998</v>
      </c>
      <c r="F35" s="19" t="str">
        <f t="shared" si="7"/>
        <v/>
      </c>
      <c r="G35" s="20"/>
      <c r="H35" s="20">
        <f>SUM(Apr!H35, May!H35, Jun!H35)</f>
        <v>0</v>
      </c>
      <c r="I35" s="19" t="str">
        <f t="shared" si="8"/>
        <v/>
      </c>
    </row>
    <row r="36" spans="1:9" ht="15.6">
      <c r="A36" s="12" t="str">
        <v xml:space="preserve"> Las Vegas - BA - Town Ctr Dr</v>
      </c>
      <c r="B36" s="9" t="str">
        <v>NV</v>
      </c>
      <c r="C36" s="24">
        <f>SUM(Apr!C36, May!C36, Jun!C36)</f>
        <v>0</v>
      </c>
      <c r="D36" s="13">
        <f>SUM(Apr!D36, May!D36, Jun!D36)</f>
        <v>0</v>
      </c>
      <c r="E36" s="13">
        <f t="shared" si="6"/>
        <v>0</v>
      </c>
      <c r="F36" s="14" t="str">
        <f t="shared" si="7"/>
        <v/>
      </c>
      <c r="G36" s="15"/>
      <c r="H36" s="15">
        <f>SUM(Apr!H36, May!H36, Jun!H36)</f>
        <v>0</v>
      </c>
      <c r="I36" s="16" t="str">
        <f t="shared" si="8"/>
        <v/>
      </c>
    </row>
    <row r="37" spans="1:9" ht="15.6">
      <c r="A37" s="17" t="str">
        <v xml:space="preserve"> Riverton - Bank of America</v>
      </c>
      <c r="B37" s="10" t="str">
        <v>UT</v>
      </c>
      <c r="C37" s="11">
        <f>SUM(Apr!C37, May!C37, Jun!C37)</f>
        <v>5471.4</v>
      </c>
      <c r="D37" s="18">
        <f>SUM(Apr!D37, May!D37, Jun!D37)</f>
        <v>0</v>
      </c>
      <c r="E37" s="18">
        <f t="shared" si="6"/>
        <v>5471.4</v>
      </c>
      <c r="F37" s="19" t="str">
        <f t="shared" si="7"/>
        <v/>
      </c>
      <c r="G37" s="20"/>
      <c r="H37" s="20">
        <f>SUM(Apr!H37, May!H37, Jun!H37)</f>
        <v>0</v>
      </c>
      <c r="I37" s="19" t="str">
        <f t="shared" si="8"/>
        <v/>
      </c>
    </row>
    <row r="38" spans="1:9" ht="15.6">
      <c r="A38" s="12" t="str">
        <v xml:space="preserve"> Salt Lake City - Bank of America</v>
      </c>
      <c r="B38" s="9" t="str">
        <v>UT</v>
      </c>
      <c r="C38" s="24">
        <f>SUM(Apr!C38, May!C38, Jun!C38)</f>
        <v>2012</v>
      </c>
      <c r="D38" s="13">
        <f>SUM(Apr!D38, May!D38, Jun!D38)</f>
        <v>0</v>
      </c>
      <c r="E38" s="13">
        <f t="shared" si="6"/>
        <v>2012</v>
      </c>
      <c r="F38" s="14" t="str">
        <f t="shared" si="7"/>
        <v/>
      </c>
      <c r="G38" s="15"/>
      <c r="H38" s="15">
        <f>SUM(Apr!H38, May!H38, Jun!H38)</f>
        <v>0</v>
      </c>
      <c r="I38" s="16" t="str">
        <f t="shared" si="8"/>
        <v/>
      </c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9">
      <c r="A342" s="21"/>
      <c r="B342" s="21"/>
      <c r="C342" s="21"/>
      <c r="D342" s="21"/>
      <c r="E342" s="21"/>
      <c r="F342" s="22"/>
      <c r="G342" s="21"/>
      <c r="H342" s="21"/>
      <c r="I342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100 I4:I100">
    <cfRule type="cellIs" dxfId="54" priority="1" stopIfTrue="1" operator="lessThanOrEqual">
      <formula>-0.1</formula>
    </cfRule>
    <cfRule type="expression" dxfId="5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42"/>
  <sheetViews>
    <sheetView workbookViewId="0">
      <pane xSplit="2" ySplit="3" topLeftCell="C14" activePane="bottomRight" state="frozen"/>
      <selection pane="bottomRight" activeCell="A14" sqref="A14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4" t="str" cm="1">
        <f t="array" ref="A1">portfolio</f>
        <v>Cushman &amp; Wakefield</v>
      </c>
      <c r="B1" s="74"/>
      <c r="C1" s="74"/>
      <c r="D1" s="75" t="s">
        <v>14</v>
      </c>
      <c r="E1" s="75"/>
      <c r="F1" s="75"/>
      <c r="G1" s="73" t="s">
        <v>15</v>
      </c>
      <c r="H1" s="73"/>
      <c r="I1" s="73"/>
    </row>
    <row r="2" spans="1:9" ht="19.5" customHeight="1">
      <c r="A2" s="76" t="s">
        <v>2</v>
      </c>
      <c r="B2" s="76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38">Sites[Site]</f>
        <v xml:space="preserve"> Adelanto - Bank of America</v>
      </c>
      <c r="B4" s="9" t="str" cm="1">
        <f t="array" ref="B4:B38">Sites[State]</f>
        <v>CA</v>
      </c>
      <c r="C4" s="24">
        <f>SUM(Jul!C4, Aug!C4, Sep!C4)</f>
        <v>0</v>
      </c>
      <c r="D4" s="13">
        <f>SUM(Jul!D4, Aug!D4, Sep!D4)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SUM(Jul!H4, Aug!H4, Sep!H4)</f>
        <v>0</v>
      </c>
      <c r="I4" s="16" t="str">
        <f>IFERROR(H4/G4, "")</f>
        <v/>
      </c>
    </row>
    <row r="5" spans="1:9" ht="15.6">
      <c r="A5" s="17" t="str">
        <v xml:space="preserve"> Apple Valley - Bank of America</v>
      </c>
      <c r="B5" s="10" t="str">
        <v>CA</v>
      </c>
      <c r="C5" s="11">
        <f>SUM(Jul!C5, Aug!C5, Sep!C5)</f>
        <v>0</v>
      </c>
      <c r="D5" s="18">
        <f>SUM(Jul!D5, Aug!D5, Sep!D5)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/>
      <c r="H5" s="20">
        <f>SUM(Jul!H5, Aug!H5, Sep!H5)</f>
        <v>0</v>
      </c>
      <c r="I5" s="19" t="str">
        <f>IFERROR(H5/G5, "")</f>
        <v/>
      </c>
    </row>
    <row r="6" spans="1:9" ht="15.6">
      <c r="A6" s="12" t="str">
        <v xml:space="preserve"> Arvin - Bank of America</v>
      </c>
      <c r="B6" s="9" t="str">
        <v>CA</v>
      </c>
      <c r="C6" s="24">
        <f>SUM(Jul!C6, Aug!C6, Sep!C6)</f>
        <v>0</v>
      </c>
      <c r="D6" s="13">
        <f>SUM(Jul!D6, Aug!D6, Sep!D6)</f>
        <v>0</v>
      </c>
      <c r="E6" s="13">
        <f t="shared" si="0"/>
        <v>0</v>
      </c>
      <c r="F6" s="14" t="str">
        <f t="shared" ref="F6:F15" si="1">IFERROR(E6/D6, "")</f>
        <v/>
      </c>
      <c r="G6" s="15"/>
      <c r="H6" s="15">
        <f>SUM(Jul!H6, Aug!H6, Sep!H6)</f>
        <v>0</v>
      </c>
      <c r="I6" s="16" t="str">
        <f t="shared" ref="I6:I15" si="2">IFERROR(H6/G6, "")</f>
        <v/>
      </c>
    </row>
    <row r="7" spans="1:9" ht="15.6">
      <c r="A7" s="17" t="str">
        <v xml:space="preserve"> Bell - Bank of America</v>
      </c>
      <c r="B7" s="10" t="str">
        <v>CA</v>
      </c>
      <c r="C7" s="11">
        <f>SUM(Jul!C7, Aug!C7, Sep!C7)</f>
        <v>0</v>
      </c>
      <c r="D7" s="18">
        <f>SUM(Jul!D7, Aug!D7, Sep!D7)</f>
        <v>0</v>
      </c>
      <c r="E7" s="18">
        <f t="shared" si="0"/>
        <v>0</v>
      </c>
      <c r="F7" s="19" t="str">
        <f t="shared" si="1"/>
        <v/>
      </c>
      <c r="G7" s="20"/>
      <c r="H7" s="20">
        <f>SUM(Jul!H7, Aug!H7, Sep!H7)</f>
        <v>0</v>
      </c>
      <c r="I7" s="19" t="str">
        <f t="shared" si="2"/>
        <v/>
      </c>
    </row>
    <row r="8" spans="1:9" ht="15.6">
      <c r="A8" s="12" t="str">
        <v xml:space="preserve"> Chula Vista - Bank of America</v>
      </c>
      <c r="B8" s="9" t="str">
        <v>CA</v>
      </c>
      <c r="C8" s="24">
        <f>SUM(Jul!C8, Aug!C8, Sep!C8)</f>
        <v>0</v>
      </c>
      <c r="D8" s="13">
        <f>SUM(Jul!D8, Aug!D8, Sep!D8)</f>
        <v>0</v>
      </c>
      <c r="E8" s="13">
        <f t="shared" si="0"/>
        <v>0</v>
      </c>
      <c r="F8" s="14" t="str">
        <f t="shared" si="1"/>
        <v/>
      </c>
      <c r="G8" s="15"/>
      <c r="H8" s="15">
        <f>SUM(Jul!H8, Aug!H8, Sep!H8)</f>
        <v>0</v>
      </c>
      <c r="I8" s="16" t="str">
        <f t="shared" si="2"/>
        <v/>
      </c>
    </row>
    <row r="9" spans="1:9" ht="15.6">
      <c r="A9" s="17" t="str">
        <v xml:space="preserve"> Cupertino - Bank of America</v>
      </c>
      <c r="B9" s="10" t="str">
        <v>CA</v>
      </c>
      <c r="C9" s="11">
        <f>SUM(Jul!C9, Aug!C9, Sep!C9)</f>
        <v>0</v>
      </c>
      <c r="D9" s="18">
        <f>SUM(Jul!D9, Aug!D9, Sep!D9)</f>
        <v>0</v>
      </c>
      <c r="E9" s="18">
        <f t="shared" si="0"/>
        <v>0</v>
      </c>
      <c r="F9" s="19" t="str">
        <f t="shared" si="1"/>
        <v/>
      </c>
      <c r="G9" s="20"/>
      <c r="H9" s="20">
        <f>SUM(Jul!H9, Aug!H9, Sep!H9)</f>
        <v>0</v>
      </c>
      <c r="I9" s="19" t="str">
        <f t="shared" si="2"/>
        <v/>
      </c>
    </row>
    <row r="10" spans="1:9" ht="15.6">
      <c r="A10" s="12" t="str">
        <v xml:space="preserve"> Diamond Bar - Bank of America</v>
      </c>
      <c r="B10" s="9" t="str">
        <v>CA</v>
      </c>
      <c r="C10" s="24">
        <f>SUM(Jul!C10, Aug!C10, Sep!C10)</f>
        <v>0</v>
      </c>
      <c r="D10" s="13">
        <f>SUM(Jul!D10, Aug!D10, Sep!D10)</f>
        <v>0</v>
      </c>
      <c r="E10" s="13">
        <f t="shared" si="0"/>
        <v>0</v>
      </c>
      <c r="F10" s="14" t="str">
        <f t="shared" si="1"/>
        <v/>
      </c>
      <c r="G10" s="15"/>
      <c r="H10" s="15">
        <f>SUM(Jul!H10, Aug!H10, Sep!H10)</f>
        <v>0</v>
      </c>
      <c r="I10" s="16" t="str">
        <f t="shared" si="2"/>
        <v/>
      </c>
    </row>
    <row r="11" spans="1:9" ht="15.6">
      <c r="A11" s="17" t="str">
        <v xml:space="preserve"> El Centro - Bank of America</v>
      </c>
      <c r="B11" s="10" t="str">
        <v>CA</v>
      </c>
      <c r="C11" s="11">
        <f>SUM(Jul!C11, Aug!C11, Sep!C11)</f>
        <v>0</v>
      </c>
      <c r="D11" s="18">
        <f>SUM(Jul!D11, Aug!D11, Sep!D11)</f>
        <v>0</v>
      </c>
      <c r="E11" s="18">
        <f t="shared" si="0"/>
        <v>0</v>
      </c>
      <c r="F11" s="19" t="str">
        <f t="shared" si="1"/>
        <v/>
      </c>
      <c r="G11" s="20"/>
      <c r="H11" s="20">
        <f>SUM(Jul!H11, Aug!H11, Sep!H11)</f>
        <v>0</v>
      </c>
      <c r="I11" s="19" t="str">
        <f t="shared" si="2"/>
        <v/>
      </c>
    </row>
    <row r="12" spans="1:9" ht="15.6">
      <c r="A12" s="12" t="str">
        <v xml:space="preserve"> Moreno Valley - Bank of America</v>
      </c>
      <c r="B12" s="9" t="str">
        <v>CA</v>
      </c>
      <c r="C12" s="24">
        <f>SUM(Jul!C12, Aug!C12, Sep!C12)</f>
        <v>0</v>
      </c>
      <c r="D12" s="13">
        <f>SUM(Jul!D12, Aug!D12, Sep!D12)</f>
        <v>0</v>
      </c>
      <c r="E12" s="13">
        <f t="shared" si="0"/>
        <v>0</v>
      </c>
      <c r="F12" s="14" t="str">
        <f t="shared" si="1"/>
        <v/>
      </c>
      <c r="G12" s="15"/>
      <c r="H12" s="15">
        <f>SUM(Jul!H12, Aug!H12, Sep!H12)</f>
        <v>0</v>
      </c>
      <c r="I12" s="16" t="str">
        <f t="shared" si="2"/>
        <v/>
      </c>
    </row>
    <row r="13" spans="1:9" ht="15.6">
      <c r="A13" s="17" t="str">
        <v xml:space="preserve"> Redlands - Bank of America</v>
      </c>
      <c r="B13" s="10" t="str">
        <v>CA</v>
      </c>
      <c r="C13" s="11">
        <f>SUM(Jul!C13, Aug!C13, Sep!C13)</f>
        <v>0</v>
      </c>
      <c r="D13" s="18">
        <f>SUM(Jul!D13, Aug!D13, Sep!D13)</f>
        <v>0</v>
      </c>
      <c r="E13" s="18">
        <f t="shared" si="0"/>
        <v>0</v>
      </c>
      <c r="F13" s="19" t="str">
        <f t="shared" si="1"/>
        <v/>
      </c>
      <c r="G13" s="20"/>
      <c r="H13" s="20">
        <f>SUM(Jul!H13, Aug!H13, Sep!H13)</f>
        <v>0</v>
      </c>
      <c r="I13" s="19" t="str">
        <f t="shared" si="2"/>
        <v/>
      </c>
    </row>
    <row r="14" spans="1:9" ht="15.6">
      <c r="A14" s="12" t="str">
        <v xml:space="preserve"> Roseville - Bank of America</v>
      </c>
      <c r="B14" s="9" t="str">
        <v>CA</v>
      </c>
      <c r="C14" s="24">
        <f>SUM(Jul!C14, Aug!C14, Sep!C14)</f>
        <v>0</v>
      </c>
      <c r="D14" s="13">
        <f>SUM(Jul!D14, Aug!D14, Sep!D14)</f>
        <v>0</v>
      </c>
      <c r="E14" s="13">
        <f t="shared" si="0"/>
        <v>0</v>
      </c>
      <c r="F14" s="14" t="str">
        <f t="shared" si="1"/>
        <v/>
      </c>
      <c r="G14" s="15"/>
      <c r="H14" s="15">
        <f>SUM(Jul!H14, Aug!H14, Sep!H14)</f>
        <v>0</v>
      </c>
      <c r="I14" s="16" t="str">
        <f t="shared" si="2"/>
        <v/>
      </c>
    </row>
    <row r="15" spans="1:9" ht="15.6">
      <c r="A15" s="17" t="str">
        <v xml:space="preserve"> San Bernardino - Bank of America</v>
      </c>
      <c r="B15" s="10" t="str">
        <v>CA</v>
      </c>
      <c r="C15" s="11">
        <f>SUM(Jul!C15, Aug!C15, Sep!C15)</f>
        <v>0</v>
      </c>
      <c r="D15" s="18">
        <f>SUM(Jul!D15, Aug!D15, Sep!D15)</f>
        <v>0</v>
      </c>
      <c r="E15" s="18">
        <f t="shared" si="0"/>
        <v>0</v>
      </c>
      <c r="F15" s="19" t="str">
        <f t="shared" si="1"/>
        <v/>
      </c>
      <c r="G15" s="20"/>
      <c r="H15" s="20">
        <f>SUM(Jul!H15, Aug!H15, Sep!H15)</f>
        <v>0</v>
      </c>
      <c r="I15" s="19" t="str">
        <f t="shared" si="2"/>
        <v/>
      </c>
    </row>
    <row r="16" spans="1:9" ht="15.6">
      <c r="A16" s="12" t="str">
        <v xml:space="preserve"> San Diego - Bank of America</v>
      </c>
      <c r="B16" s="9" t="str">
        <v>CA</v>
      </c>
      <c r="C16" s="24">
        <f>SUM(Jul!C16, Aug!C16, Sep!C16)</f>
        <v>0</v>
      </c>
      <c r="D16" s="13">
        <f>SUM(Jul!D16, Aug!D16, Sep!D16)</f>
        <v>0</v>
      </c>
      <c r="E16" s="13">
        <f t="shared" ref="E16:E19" si="3">IF(AND(ISNUMBER(C16),ISNUMBER(D16)), C16-D16, "")</f>
        <v>0</v>
      </c>
      <c r="F16" s="14" t="str">
        <f t="shared" ref="F16:F19" si="4">IFERROR(E16/D16, "")</f>
        <v/>
      </c>
      <c r="G16" s="15"/>
      <c r="H16" s="15">
        <f>SUM(Jul!H16, Aug!H16, Sep!H16)</f>
        <v>0</v>
      </c>
      <c r="I16" s="16" t="str">
        <f t="shared" ref="I16:I19" si="5">IFERROR(H16/G16, "")</f>
        <v/>
      </c>
    </row>
    <row r="17" spans="1:9" ht="15.6">
      <c r="A17" s="17" t="str">
        <v xml:space="preserve"> Stockton - Bank of America</v>
      </c>
      <c r="B17" s="10" t="str">
        <v>CA</v>
      </c>
      <c r="C17" s="11">
        <f>SUM(Jul!C17, Aug!C17, Sep!C17)</f>
        <v>0</v>
      </c>
      <c r="D17" s="18">
        <f>SUM(Jul!D17, Aug!D17, Sep!D17)</f>
        <v>0</v>
      </c>
      <c r="E17" s="18">
        <f t="shared" si="3"/>
        <v>0</v>
      </c>
      <c r="F17" s="19" t="str">
        <f t="shared" si="4"/>
        <v/>
      </c>
      <c r="G17" s="20"/>
      <c r="H17" s="20">
        <f>SUM(Jul!H17, Aug!H17, Sep!H17)</f>
        <v>0</v>
      </c>
      <c r="I17" s="19" t="str">
        <f t="shared" si="5"/>
        <v/>
      </c>
    </row>
    <row r="18" spans="1:9" ht="12.75" customHeight="1">
      <c r="A18" s="12" t="str">
        <v xml:space="preserve"> Victorville - Bank of America</v>
      </c>
      <c r="B18" s="9" t="str">
        <v>CA</v>
      </c>
      <c r="C18" s="24">
        <f>SUM(Jul!C18, Aug!C18, Sep!C18)</f>
        <v>0</v>
      </c>
      <c r="D18" s="13">
        <f>SUM(Jul!D18, Aug!D18, Sep!D18)</f>
        <v>0</v>
      </c>
      <c r="E18" s="13">
        <f t="shared" si="3"/>
        <v>0</v>
      </c>
      <c r="F18" s="14" t="str">
        <f t="shared" si="4"/>
        <v/>
      </c>
      <c r="G18" s="15"/>
      <c r="H18" s="15">
        <f>SUM(Jul!H18, Aug!H18, Sep!H18)</f>
        <v>0</v>
      </c>
      <c r="I18" s="16" t="str">
        <f t="shared" si="5"/>
        <v/>
      </c>
    </row>
    <row r="19" spans="1:9" ht="15.6">
      <c r="A19" s="17" t="str">
        <v xml:space="preserve"> Aurora - BA - Colfax Ave</v>
      </c>
      <c r="B19" s="10" t="str">
        <v>CO</v>
      </c>
      <c r="C19" s="11">
        <f>SUM(Jul!C19, Aug!C19, Sep!C19)</f>
        <v>0</v>
      </c>
      <c r="D19" s="18">
        <f>SUM(Jul!D19, Aug!D19, Sep!D19)</f>
        <v>0</v>
      </c>
      <c r="E19" s="18">
        <f t="shared" si="3"/>
        <v>0</v>
      </c>
      <c r="F19" s="19" t="str">
        <f t="shared" si="4"/>
        <v/>
      </c>
      <c r="G19" s="20"/>
      <c r="H19" s="20">
        <f>SUM(Jul!H19, Aug!H19, Sep!H19)</f>
        <v>0</v>
      </c>
      <c r="I19" s="19" t="str">
        <f t="shared" si="5"/>
        <v/>
      </c>
    </row>
    <row r="20" spans="1:9" ht="15.6">
      <c r="A20" s="12" t="str">
        <v xml:space="preserve"> Aurora - BA - Parker Rd</v>
      </c>
      <c r="B20" s="9" t="str">
        <v>CO</v>
      </c>
      <c r="C20" s="24">
        <f>SUM(Jul!C20, Aug!C20, Sep!C20)</f>
        <v>0</v>
      </c>
      <c r="D20" s="13">
        <f>SUM(Jul!D20, Aug!D20, Sep!D20)</f>
        <v>0</v>
      </c>
      <c r="E20" s="13">
        <f t="shared" ref="E20:E38" si="6">IF(AND(ISNUMBER(C20),ISNUMBER(D20)), C20-D20, "")</f>
        <v>0</v>
      </c>
      <c r="F20" s="14" t="str">
        <f t="shared" ref="F20:F38" si="7">IFERROR(E20/D20, "")</f>
        <v/>
      </c>
      <c r="G20" s="15"/>
      <c r="H20" s="15">
        <f>SUM(Jul!H20, Aug!H20, Sep!H20)</f>
        <v>0</v>
      </c>
      <c r="I20" s="16" t="str">
        <f t="shared" ref="I20:I38" si="8">IFERROR(H20/G20, "")</f>
        <v/>
      </c>
    </row>
    <row r="21" spans="1:9" ht="15.6">
      <c r="A21" s="17" t="str">
        <v xml:space="preserve"> Broomfield - Bank of America</v>
      </c>
      <c r="B21" s="10" t="str">
        <v>CO</v>
      </c>
      <c r="C21" s="11">
        <f>SUM(Jul!C21, Aug!C21, Sep!C21)</f>
        <v>0</v>
      </c>
      <c r="D21" s="18">
        <f>SUM(Jul!D21, Aug!D21, Sep!D21)</f>
        <v>0</v>
      </c>
      <c r="E21" s="18">
        <f t="shared" si="6"/>
        <v>0</v>
      </c>
      <c r="F21" s="19" t="str">
        <f t="shared" si="7"/>
        <v/>
      </c>
      <c r="G21" s="20"/>
      <c r="H21" s="20">
        <f>SUM(Jul!H21, Aug!H21, Sep!H21)</f>
        <v>0</v>
      </c>
      <c r="I21" s="19" t="str">
        <f t="shared" si="8"/>
        <v/>
      </c>
    </row>
    <row r="22" spans="1:9" ht="15.6">
      <c r="A22" s="12" t="str">
        <v xml:space="preserve"> Colorado Springs - Bank of America</v>
      </c>
      <c r="B22" s="9" t="str">
        <v>CO</v>
      </c>
      <c r="C22" s="24">
        <f>SUM(Jul!C22, Aug!C22, Sep!C22)</f>
        <v>0</v>
      </c>
      <c r="D22" s="13">
        <f>SUM(Jul!D22, Aug!D22, Sep!D22)</f>
        <v>0</v>
      </c>
      <c r="E22" s="13">
        <f t="shared" si="6"/>
        <v>0</v>
      </c>
      <c r="F22" s="14" t="str">
        <f t="shared" si="7"/>
        <v/>
      </c>
      <c r="G22" s="15"/>
      <c r="H22" s="15">
        <f>SUM(Jul!H22, Aug!H22, Sep!H22)</f>
        <v>0</v>
      </c>
      <c r="I22" s="16" t="str">
        <f t="shared" si="8"/>
        <v/>
      </c>
    </row>
    <row r="23" spans="1:9" ht="15.6">
      <c r="A23" s="17" t="str">
        <v xml:space="preserve"> Denver - BA - 49th Ave</v>
      </c>
      <c r="B23" s="10" t="str">
        <v>CO</v>
      </c>
      <c r="C23" s="11">
        <f>SUM(Jul!C23, Aug!C23, Sep!C23)</f>
        <v>0</v>
      </c>
      <c r="D23" s="18">
        <f>SUM(Jul!D23, Aug!D23, Sep!D23)</f>
        <v>0</v>
      </c>
      <c r="E23" s="18">
        <f t="shared" si="6"/>
        <v>0</v>
      </c>
      <c r="F23" s="19" t="str">
        <f t="shared" si="7"/>
        <v/>
      </c>
      <c r="G23" s="20"/>
      <c r="H23" s="20">
        <f>SUM(Jul!H23, Aug!H23, Sep!H23)</f>
        <v>0</v>
      </c>
      <c r="I23" s="19" t="str">
        <f t="shared" si="8"/>
        <v/>
      </c>
    </row>
    <row r="24" spans="1:9" ht="15.6">
      <c r="A24" s="12" t="str">
        <v xml:space="preserve"> Denver - BA Wadsworth Blvd</v>
      </c>
      <c r="B24" s="9" t="str">
        <v>CO</v>
      </c>
      <c r="C24" s="24">
        <f>SUM(Jul!C24, Aug!C24, Sep!C24)</f>
        <v>0</v>
      </c>
      <c r="D24" s="13">
        <f>SUM(Jul!D24, Aug!D24, Sep!D24)</f>
        <v>0</v>
      </c>
      <c r="E24" s="13">
        <f t="shared" si="6"/>
        <v>0</v>
      </c>
      <c r="F24" s="14" t="str">
        <f t="shared" si="7"/>
        <v/>
      </c>
      <c r="G24" s="15"/>
      <c r="H24" s="15">
        <f>SUM(Jul!H24, Aug!H24, Sep!H24)</f>
        <v>0</v>
      </c>
      <c r="I24" s="16" t="str">
        <f t="shared" si="8"/>
        <v/>
      </c>
    </row>
    <row r="25" spans="1:9" ht="15.6">
      <c r="A25" s="17" t="str">
        <v xml:space="preserve"> Fort Collins - Bank of America</v>
      </c>
      <c r="B25" s="10" t="str">
        <v>CO</v>
      </c>
      <c r="C25" s="11">
        <f>SUM(Jul!C25, Aug!C25, Sep!C25)</f>
        <v>0</v>
      </c>
      <c r="D25" s="18">
        <f>SUM(Jul!D25, Aug!D25, Sep!D25)</f>
        <v>0</v>
      </c>
      <c r="E25" s="18">
        <f t="shared" si="6"/>
        <v>0</v>
      </c>
      <c r="F25" s="19" t="str">
        <f t="shared" si="7"/>
        <v/>
      </c>
      <c r="G25" s="20"/>
      <c r="H25" s="20">
        <f>SUM(Jul!H25, Aug!H25, Sep!H25)</f>
        <v>0</v>
      </c>
      <c r="I25" s="19" t="str">
        <f t="shared" si="8"/>
        <v/>
      </c>
    </row>
    <row r="26" spans="1:9" ht="15.6">
      <c r="A26" s="12" t="str">
        <v xml:space="preserve"> Lafayette - Bank of America</v>
      </c>
      <c r="B26" s="9" t="str">
        <v>CO</v>
      </c>
      <c r="C26" s="24">
        <f>SUM(Jul!C26, Aug!C26, Sep!C26)</f>
        <v>0</v>
      </c>
      <c r="D26" s="13">
        <f>SUM(Jul!D26, Aug!D26, Sep!D26)</f>
        <v>0</v>
      </c>
      <c r="E26" s="13">
        <f t="shared" si="6"/>
        <v>0</v>
      </c>
      <c r="F26" s="14" t="str">
        <f t="shared" si="7"/>
        <v/>
      </c>
      <c r="G26" s="15"/>
      <c r="H26" s="15">
        <f>SUM(Jul!H26, Aug!H26, Sep!H26)</f>
        <v>0</v>
      </c>
      <c r="I26" s="16" t="str">
        <f t="shared" si="8"/>
        <v/>
      </c>
    </row>
    <row r="27" spans="1:9" ht="15.6">
      <c r="A27" s="17" t="str">
        <v xml:space="preserve"> Lakewood - Bank of America</v>
      </c>
      <c r="B27" s="10" t="str">
        <v>CO</v>
      </c>
      <c r="C27" s="11">
        <f>SUM(Jul!C27, Aug!C27, Sep!C27)</f>
        <v>0</v>
      </c>
      <c r="D27" s="18">
        <f>SUM(Jul!D27, Aug!D27, Sep!D27)</f>
        <v>0</v>
      </c>
      <c r="E27" s="18">
        <f t="shared" si="6"/>
        <v>0</v>
      </c>
      <c r="F27" s="19" t="str">
        <f t="shared" si="7"/>
        <v/>
      </c>
      <c r="G27" s="20"/>
      <c r="H27" s="20">
        <f>SUM(Jul!H27, Aug!H27, Sep!H27)</f>
        <v>0</v>
      </c>
      <c r="I27" s="19" t="str">
        <f t="shared" si="8"/>
        <v/>
      </c>
    </row>
    <row r="28" spans="1:9" ht="15.6">
      <c r="A28" s="12" t="str">
        <v xml:space="preserve"> Longmont - Bank of America</v>
      </c>
      <c r="B28" s="9" t="str">
        <v>CO</v>
      </c>
      <c r="C28" s="24">
        <f>SUM(Jul!C28, Aug!C28, Sep!C28)</f>
        <v>0</v>
      </c>
      <c r="D28" s="13">
        <f>SUM(Jul!D28, Aug!D28, Sep!D28)</f>
        <v>0</v>
      </c>
      <c r="E28" s="13">
        <f t="shared" si="6"/>
        <v>0</v>
      </c>
      <c r="F28" s="14" t="str">
        <f t="shared" si="7"/>
        <v/>
      </c>
      <c r="G28" s="15"/>
      <c r="H28" s="15">
        <f>SUM(Jul!H28, Aug!H28, Sep!H28)</f>
        <v>0</v>
      </c>
      <c r="I28" s="16" t="str">
        <f t="shared" si="8"/>
        <v/>
      </c>
    </row>
    <row r="29" spans="1:9" ht="15.6">
      <c r="A29" s="17" t="str">
        <v xml:space="preserve"> Thornton - Bank of America</v>
      </c>
      <c r="B29" s="10" t="str">
        <v>CO</v>
      </c>
      <c r="C29" s="11">
        <f>SUM(Jul!C29, Aug!C29, Sep!C29)</f>
        <v>0</v>
      </c>
      <c r="D29" s="18">
        <f>SUM(Jul!D29, Aug!D29, Sep!D29)</f>
        <v>0</v>
      </c>
      <c r="E29" s="18">
        <f t="shared" si="6"/>
        <v>0</v>
      </c>
      <c r="F29" s="19" t="str">
        <f t="shared" si="7"/>
        <v/>
      </c>
      <c r="G29" s="20"/>
      <c r="H29" s="20">
        <f>SUM(Jul!H29, Aug!H29, Sep!H29)</f>
        <v>0</v>
      </c>
      <c r="I29" s="19" t="str">
        <f t="shared" si="8"/>
        <v/>
      </c>
    </row>
    <row r="30" spans="1:9" ht="15.6">
      <c r="A30" s="12" t="str">
        <v xml:space="preserve"> Calumet City - Bank of America</v>
      </c>
      <c r="B30" s="9" t="str">
        <v>IL</v>
      </c>
      <c r="C30" s="24">
        <f>SUM(Jul!C30, Aug!C30, Sep!C30)</f>
        <v>0</v>
      </c>
      <c r="D30" s="13">
        <f>SUM(Jul!D30, Aug!D30, Sep!D30)</f>
        <v>0</v>
      </c>
      <c r="E30" s="13">
        <f t="shared" si="6"/>
        <v>0</v>
      </c>
      <c r="F30" s="14" t="str">
        <f t="shared" si="7"/>
        <v/>
      </c>
      <c r="G30" s="15"/>
      <c r="H30" s="15">
        <f>SUM(Jul!H30, Aug!H30, Sep!H30)</f>
        <v>0</v>
      </c>
      <c r="I30" s="16" t="str">
        <f t="shared" si="8"/>
        <v/>
      </c>
    </row>
    <row r="31" spans="1:9" ht="15.6">
      <c r="A31" s="17" t="str">
        <v xml:space="preserve"> Downers Grove - Bank of America</v>
      </c>
      <c r="B31" s="10" t="str">
        <v>IL</v>
      </c>
      <c r="C31" s="11">
        <f>SUM(Jul!C31, Aug!C31, Sep!C31)</f>
        <v>0</v>
      </c>
      <c r="D31" s="18">
        <f>SUM(Jul!D31, Aug!D31, Sep!D31)</f>
        <v>0</v>
      </c>
      <c r="E31" s="18">
        <f t="shared" si="6"/>
        <v>0</v>
      </c>
      <c r="F31" s="19" t="str">
        <f t="shared" si="7"/>
        <v/>
      </c>
      <c r="G31" s="20"/>
      <c r="H31" s="20">
        <f>SUM(Jul!H31, Aug!H31, Sep!H31)</f>
        <v>0</v>
      </c>
      <c r="I31" s="19" t="str">
        <f t="shared" si="8"/>
        <v/>
      </c>
    </row>
    <row r="32" spans="1:9" ht="15.6">
      <c r="A32" s="12" t="str">
        <v xml:space="preserve"> Bloomington - Bank of America</v>
      </c>
      <c r="B32" s="9" t="str">
        <v>MN</v>
      </c>
      <c r="C32" s="24">
        <f>SUM(Jul!C32, Aug!C32, Sep!C32)</f>
        <v>0</v>
      </c>
      <c r="D32" s="13">
        <f>SUM(Jul!D32, Aug!D32, Sep!D32)</f>
        <v>0</v>
      </c>
      <c r="E32" s="13">
        <f t="shared" si="6"/>
        <v>0</v>
      </c>
      <c r="F32" s="14" t="str">
        <f t="shared" si="7"/>
        <v/>
      </c>
      <c r="G32" s="15"/>
      <c r="H32" s="15">
        <f>SUM(Jul!H32, Aug!H32, Sep!H32)</f>
        <v>0</v>
      </c>
      <c r="I32" s="16" t="str">
        <f t="shared" si="8"/>
        <v/>
      </c>
    </row>
    <row r="33" spans="1:9" ht="15.6">
      <c r="A33" s="17" t="str">
        <v xml:space="preserve"> Clayton - Bank of America</v>
      </c>
      <c r="B33" s="10" t="str">
        <v>MO</v>
      </c>
      <c r="C33" s="11">
        <f>SUM(Jul!C33, Aug!C33, Sep!C33)</f>
        <v>0</v>
      </c>
      <c r="D33" s="18">
        <f>SUM(Jul!D33, Aug!D33, Sep!D33)</f>
        <v>0</v>
      </c>
      <c r="E33" s="18">
        <f t="shared" si="6"/>
        <v>0</v>
      </c>
      <c r="F33" s="19" t="str">
        <f t="shared" si="7"/>
        <v/>
      </c>
      <c r="G33" s="20"/>
      <c r="H33" s="20">
        <f>SUM(Jul!H33, Aug!H33, Sep!H33)</f>
        <v>0</v>
      </c>
      <c r="I33" s="19" t="str">
        <f t="shared" si="8"/>
        <v/>
      </c>
    </row>
    <row r="34" spans="1:9" ht="15.6">
      <c r="A34" s="12" t="str">
        <v xml:space="preserve"> Manchester - Bank of America</v>
      </c>
      <c r="B34" s="9" t="str">
        <v>MO</v>
      </c>
      <c r="C34" s="24">
        <f>SUM(Jul!C34, Aug!C34, Sep!C34)</f>
        <v>0</v>
      </c>
      <c r="D34" s="13">
        <f>SUM(Jul!D34, Aug!D34, Sep!D34)</f>
        <v>0</v>
      </c>
      <c r="E34" s="13">
        <f t="shared" si="6"/>
        <v>0</v>
      </c>
      <c r="F34" s="14" t="str">
        <f t="shared" si="7"/>
        <v/>
      </c>
      <c r="G34" s="15"/>
      <c r="H34" s="15">
        <f>SUM(Jul!H34, Aug!H34, Sep!H34)</f>
        <v>0</v>
      </c>
      <c r="I34" s="16" t="str">
        <f t="shared" si="8"/>
        <v/>
      </c>
    </row>
    <row r="35" spans="1:9" ht="15.6">
      <c r="A35" s="17" t="str">
        <v xml:space="preserve"> Las Vegas - BA - Eastern Ave</v>
      </c>
      <c r="B35" s="10" t="str">
        <v>NV</v>
      </c>
      <c r="C35" s="11">
        <f>SUM(Jul!C35, Aug!C35, Sep!C35)</f>
        <v>0</v>
      </c>
      <c r="D35" s="18">
        <f>SUM(Jul!D35, Aug!D35, Sep!D35)</f>
        <v>0</v>
      </c>
      <c r="E35" s="18">
        <f t="shared" si="6"/>
        <v>0</v>
      </c>
      <c r="F35" s="19" t="str">
        <f t="shared" si="7"/>
        <v/>
      </c>
      <c r="G35" s="20"/>
      <c r="H35" s="20">
        <f>SUM(Jul!H35, Aug!H35, Sep!H35)</f>
        <v>0</v>
      </c>
      <c r="I35" s="19" t="str">
        <f t="shared" si="8"/>
        <v/>
      </c>
    </row>
    <row r="36" spans="1:9" ht="15.6">
      <c r="A36" s="12" t="str">
        <v xml:space="preserve"> Las Vegas - BA - Town Ctr Dr</v>
      </c>
      <c r="B36" s="9" t="str">
        <v>NV</v>
      </c>
      <c r="C36" s="24">
        <f>SUM(Jul!C36, Aug!C36, Sep!C36)</f>
        <v>0</v>
      </c>
      <c r="D36" s="13">
        <f>SUM(Jul!D36, Aug!D36, Sep!D36)</f>
        <v>0</v>
      </c>
      <c r="E36" s="13">
        <f t="shared" si="6"/>
        <v>0</v>
      </c>
      <c r="F36" s="14" t="str">
        <f t="shared" si="7"/>
        <v/>
      </c>
      <c r="G36" s="15"/>
      <c r="H36" s="15">
        <f>SUM(Jul!H36, Aug!H36, Sep!H36)</f>
        <v>0</v>
      </c>
      <c r="I36" s="16" t="str">
        <f t="shared" si="8"/>
        <v/>
      </c>
    </row>
    <row r="37" spans="1:9" ht="15.6">
      <c r="A37" s="17" t="str">
        <v xml:space="preserve"> Riverton - Bank of America</v>
      </c>
      <c r="B37" s="10" t="str">
        <v>UT</v>
      </c>
      <c r="C37" s="11">
        <f>SUM(Jul!C37, Aug!C37, Sep!C37)</f>
        <v>0</v>
      </c>
      <c r="D37" s="18">
        <f>SUM(Jul!D37, Aug!D37, Sep!D37)</f>
        <v>0</v>
      </c>
      <c r="E37" s="18">
        <f t="shared" si="6"/>
        <v>0</v>
      </c>
      <c r="F37" s="19" t="str">
        <f t="shared" si="7"/>
        <v/>
      </c>
      <c r="G37" s="20"/>
      <c r="H37" s="20">
        <f>SUM(Jul!H37, Aug!H37, Sep!H37)</f>
        <v>0</v>
      </c>
      <c r="I37" s="19" t="str">
        <f t="shared" si="8"/>
        <v/>
      </c>
    </row>
    <row r="38" spans="1:9" ht="15.6">
      <c r="A38" s="12" t="str">
        <v xml:space="preserve"> Salt Lake City - Bank of America</v>
      </c>
      <c r="B38" s="9" t="str">
        <v>UT</v>
      </c>
      <c r="C38" s="24">
        <f>SUM(Jul!C38, Aug!C38, Sep!C38)</f>
        <v>0</v>
      </c>
      <c r="D38" s="13">
        <f>SUM(Jul!D38, Aug!D38, Sep!D38)</f>
        <v>0</v>
      </c>
      <c r="E38" s="13">
        <f t="shared" si="6"/>
        <v>0</v>
      </c>
      <c r="F38" s="14" t="str">
        <f t="shared" si="7"/>
        <v/>
      </c>
      <c r="G38" s="15"/>
      <c r="H38" s="15">
        <f>SUM(Jul!H38, Aug!H38, Sep!H38)</f>
        <v>0</v>
      </c>
      <c r="I38" s="16" t="str">
        <f t="shared" si="8"/>
        <v/>
      </c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9">
      <c r="A342" s="21"/>
      <c r="B342" s="21"/>
      <c r="C342" s="21"/>
      <c r="D342" s="21"/>
      <c r="E342" s="21"/>
      <c r="F342" s="22"/>
      <c r="G342" s="21"/>
      <c r="H342" s="21"/>
      <c r="I342" s="22"/>
    </row>
  </sheetData>
  <mergeCells count="4">
    <mergeCell ref="G1:I1"/>
    <mergeCell ref="A1:C1"/>
    <mergeCell ref="D1:F1"/>
    <mergeCell ref="A2:B2"/>
  </mergeCells>
  <conditionalFormatting sqref="F2 I2 F4:F100 I4:I100">
    <cfRule type="cellIs" dxfId="52" priority="1" stopIfTrue="1" operator="lessThanOrEqual">
      <formula>-0.1</formula>
    </cfRule>
    <cfRule type="expression" dxfId="5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42"/>
  <sheetViews>
    <sheetView workbookViewId="0">
      <pane xSplit="2" ySplit="3" topLeftCell="M22" activePane="bottomRight" state="frozen"/>
      <selection pane="bottomRight" activeCell="M22" sqref="M22"/>
      <selection pane="bottomLeft"/>
      <selection pane="topRight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74" t="str" cm="1">
        <f t="array" ref="A1">portfolio</f>
        <v>Cushman &amp; Wakefield</v>
      </c>
      <c r="B1" s="74"/>
      <c r="C1" s="74"/>
      <c r="D1" s="75" t="s">
        <v>16</v>
      </c>
      <c r="E1" s="75"/>
      <c r="F1" s="75"/>
      <c r="G1" s="73" t="s">
        <v>17</v>
      </c>
      <c r="H1" s="73"/>
      <c r="I1" s="73"/>
    </row>
    <row r="2" spans="1:9" ht="19.5" customHeight="1">
      <c r="A2" s="76" t="s">
        <v>2</v>
      </c>
      <c r="B2" s="76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6">
      <c r="A4" s="12" t="str" cm="1">
        <f t="array" ref="A4:A38">Sites[Site]</f>
        <v xml:space="preserve"> Adelanto - Bank of America</v>
      </c>
      <c r="B4" s="9" t="str" cm="1">
        <f t="array" ref="B4:B38">Sites[State]</f>
        <v>CA</v>
      </c>
      <c r="C4" s="24">
        <f>SUM(Oct!C4, Nov!C4, Dec!C4)</f>
        <v>0</v>
      </c>
      <c r="D4" s="13">
        <f>SUM(Oct!D4, Nov!D4, Dec!D4)</f>
        <v>0</v>
      </c>
      <c r="E4" s="13">
        <f>IF(AND(ISNUMBER(C4),ISNUMBER(D4)), C4-D4, "")</f>
        <v>0</v>
      </c>
      <c r="F4" s="14" t="str">
        <f>IFERROR(E4/D4, "")</f>
        <v/>
      </c>
      <c r="G4" s="15"/>
      <c r="H4" s="15">
        <f>SUM(Oct!H4, Nov!H4, Dec!H4)</f>
        <v>0</v>
      </c>
      <c r="I4" s="16" t="str">
        <f>IFERROR(H4/G4, "")</f>
        <v/>
      </c>
    </row>
    <row r="5" spans="1:9" ht="15.6">
      <c r="A5" s="17" t="str">
        <v xml:space="preserve"> Apple Valley - Bank of America</v>
      </c>
      <c r="B5" s="10" t="str">
        <v>CA</v>
      </c>
      <c r="C5" s="11">
        <f>SUM(Oct!C5, Nov!C5, Dec!C5)</f>
        <v>0</v>
      </c>
      <c r="D5" s="18">
        <f>SUM(Oct!D5, Nov!D5, Dec!D5)</f>
        <v>0</v>
      </c>
      <c r="E5" s="18">
        <f t="shared" ref="E5:E15" si="0">IF(AND(ISNUMBER(C5),ISNUMBER(D5)), C5-D5, "")</f>
        <v>0</v>
      </c>
      <c r="F5" s="19" t="str">
        <f>IFERROR(E5/D5, "")</f>
        <v/>
      </c>
      <c r="G5" s="20"/>
      <c r="H5" s="20">
        <f>SUM(Oct!H5, Nov!H5, Dec!H5)</f>
        <v>0</v>
      </c>
      <c r="I5" s="19" t="str">
        <f>IFERROR(H5/G5, "")</f>
        <v/>
      </c>
    </row>
    <row r="6" spans="1:9" ht="15.6">
      <c r="A6" s="12" t="str">
        <v xml:space="preserve"> Arvin - Bank of America</v>
      </c>
      <c r="B6" s="9" t="str">
        <v>CA</v>
      </c>
      <c r="C6" s="24">
        <f>SUM(Oct!C6, Nov!C6, Dec!C6)</f>
        <v>0</v>
      </c>
      <c r="D6" s="13">
        <f>SUM(Oct!D6, Nov!D6, Dec!D6)</f>
        <v>0</v>
      </c>
      <c r="E6" s="13">
        <f t="shared" si="0"/>
        <v>0</v>
      </c>
      <c r="F6" s="14" t="str">
        <f t="shared" ref="F6:F15" si="1">IFERROR(E6/D6, "")</f>
        <v/>
      </c>
      <c r="G6" s="15"/>
      <c r="H6" s="15">
        <f>SUM(Oct!H6, Nov!H6, Dec!H6)</f>
        <v>0</v>
      </c>
      <c r="I6" s="16" t="str">
        <f t="shared" ref="I6:I15" si="2">IFERROR(H6/G6, "")</f>
        <v/>
      </c>
    </row>
    <row r="7" spans="1:9" ht="15.6">
      <c r="A7" s="17" t="str">
        <v xml:space="preserve"> Bell - Bank of America</v>
      </c>
      <c r="B7" s="10" t="str">
        <v>CA</v>
      </c>
      <c r="C7" s="11">
        <f>SUM(Oct!C7, Nov!C7, Dec!C7)</f>
        <v>0</v>
      </c>
      <c r="D7" s="18">
        <f>SUM(Oct!D7, Nov!D7, Dec!D7)</f>
        <v>0</v>
      </c>
      <c r="E7" s="18">
        <f t="shared" si="0"/>
        <v>0</v>
      </c>
      <c r="F7" s="19" t="str">
        <f t="shared" si="1"/>
        <v/>
      </c>
      <c r="G7" s="20"/>
      <c r="H7" s="20">
        <f>SUM(Oct!H7, Nov!H7, Dec!H7)</f>
        <v>0</v>
      </c>
      <c r="I7" s="19" t="str">
        <f t="shared" si="2"/>
        <v/>
      </c>
    </row>
    <row r="8" spans="1:9" ht="15.6">
      <c r="A8" s="12" t="str">
        <v xml:space="preserve"> Chula Vista - Bank of America</v>
      </c>
      <c r="B8" s="9" t="str">
        <v>CA</v>
      </c>
      <c r="C8" s="24">
        <f>SUM(Oct!C8, Nov!C8, Dec!C8)</f>
        <v>0</v>
      </c>
      <c r="D8" s="13">
        <f>SUM(Oct!D8, Nov!D8, Dec!D8)</f>
        <v>0</v>
      </c>
      <c r="E8" s="13">
        <f t="shared" si="0"/>
        <v>0</v>
      </c>
      <c r="F8" s="14" t="str">
        <f t="shared" si="1"/>
        <v/>
      </c>
      <c r="G8" s="15"/>
      <c r="H8" s="15">
        <f>SUM(Oct!H8, Nov!H8, Dec!H8)</f>
        <v>0</v>
      </c>
      <c r="I8" s="16" t="str">
        <f t="shared" si="2"/>
        <v/>
      </c>
    </row>
    <row r="9" spans="1:9" ht="15.6">
      <c r="A9" s="17" t="str">
        <v xml:space="preserve"> Cupertino - Bank of America</v>
      </c>
      <c r="B9" s="10" t="str">
        <v>CA</v>
      </c>
      <c r="C9" s="11">
        <f>SUM(Oct!C9, Nov!C9, Dec!C9)</f>
        <v>0</v>
      </c>
      <c r="D9" s="18">
        <f>SUM(Oct!D9, Nov!D9, Dec!D9)</f>
        <v>0</v>
      </c>
      <c r="E9" s="18">
        <f t="shared" si="0"/>
        <v>0</v>
      </c>
      <c r="F9" s="19" t="str">
        <f t="shared" si="1"/>
        <v/>
      </c>
      <c r="G9" s="20"/>
      <c r="H9" s="20">
        <f>SUM(Oct!H9, Nov!H9, Dec!H9)</f>
        <v>0</v>
      </c>
      <c r="I9" s="19" t="str">
        <f t="shared" si="2"/>
        <v/>
      </c>
    </row>
    <row r="10" spans="1:9" ht="15.6">
      <c r="A10" s="12" t="str">
        <v xml:space="preserve"> Diamond Bar - Bank of America</v>
      </c>
      <c r="B10" s="9" t="str">
        <v>CA</v>
      </c>
      <c r="C10" s="24">
        <f>SUM(Oct!C10, Nov!C10, Dec!C10)</f>
        <v>0</v>
      </c>
      <c r="D10" s="13">
        <f>SUM(Oct!D10, Nov!D10, Dec!D10)</f>
        <v>0</v>
      </c>
      <c r="E10" s="13">
        <f t="shared" si="0"/>
        <v>0</v>
      </c>
      <c r="F10" s="14" t="str">
        <f t="shared" si="1"/>
        <v/>
      </c>
      <c r="G10" s="15"/>
      <c r="H10" s="15">
        <f>SUM(Oct!H10, Nov!H10, Dec!H10)</f>
        <v>0</v>
      </c>
      <c r="I10" s="16" t="str">
        <f t="shared" si="2"/>
        <v/>
      </c>
    </row>
    <row r="11" spans="1:9" ht="15.6">
      <c r="A11" s="17" t="str">
        <v xml:space="preserve"> El Centro - Bank of America</v>
      </c>
      <c r="B11" s="10" t="str">
        <v>CA</v>
      </c>
      <c r="C11" s="11">
        <f>SUM(Oct!C11, Nov!C11, Dec!C11)</f>
        <v>0</v>
      </c>
      <c r="D11" s="18">
        <f>SUM(Oct!D11, Nov!D11, Dec!D11)</f>
        <v>0</v>
      </c>
      <c r="E11" s="18">
        <f t="shared" si="0"/>
        <v>0</v>
      </c>
      <c r="F11" s="19" t="str">
        <f t="shared" si="1"/>
        <v/>
      </c>
      <c r="G11" s="20"/>
      <c r="H11" s="20">
        <f>SUM(Oct!H11, Nov!H11, Dec!H11)</f>
        <v>0</v>
      </c>
      <c r="I11" s="19" t="str">
        <f t="shared" si="2"/>
        <v/>
      </c>
    </row>
    <row r="12" spans="1:9" ht="15.6">
      <c r="A12" s="12" t="str">
        <v xml:space="preserve"> Moreno Valley - Bank of America</v>
      </c>
      <c r="B12" s="9" t="str">
        <v>CA</v>
      </c>
      <c r="C12" s="24">
        <f>SUM(Oct!C12, Nov!C12, Dec!C12)</f>
        <v>0</v>
      </c>
      <c r="D12" s="13">
        <f>SUM(Oct!D12, Nov!D12, Dec!D12)</f>
        <v>0</v>
      </c>
      <c r="E12" s="13">
        <f t="shared" si="0"/>
        <v>0</v>
      </c>
      <c r="F12" s="14" t="str">
        <f t="shared" si="1"/>
        <v/>
      </c>
      <c r="G12" s="15"/>
      <c r="H12" s="15">
        <f>SUM(Oct!H12, Nov!H12, Dec!H12)</f>
        <v>0</v>
      </c>
      <c r="I12" s="16" t="str">
        <f t="shared" si="2"/>
        <v/>
      </c>
    </row>
    <row r="13" spans="1:9" ht="15.6">
      <c r="A13" s="17" t="str">
        <v xml:space="preserve"> Redlands - Bank of America</v>
      </c>
      <c r="B13" s="10" t="str">
        <v>CA</v>
      </c>
      <c r="C13" s="11">
        <f>SUM(Oct!C13, Nov!C13, Dec!C13)</f>
        <v>0</v>
      </c>
      <c r="D13" s="18">
        <f>SUM(Oct!D13, Nov!D13, Dec!D13)</f>
        <v>0</v>
      </c>
      <c r="E13" s="18">
        <f t="shared" si="0"/>
        <v>0</v>
      </c>
      <c r="F13" s="19" t="str">
        <f t="shared" si="1"/>
        <v/>
      </c>
      <c r="G13" s="20"/>
      <c r="H13" s="20">
        <f>SUM(Oct!H13, Nov!H13, Dec!H13)</f>
        <v>0</v>
      </c>
      <c r="I13" s="19" t="str">
        <f t="shared" si="2"/>
        <v/>
      </c>
    </row>
    <row r="14" spans="1:9" ht="15.6">
      <c r="A14" s="12" t="str">
        <v xml:space="preserve"> Roseville - Bank of America</v>
      </c>
      <c r="B14" s="9" t="str">
        <v>CA</v>
      </c>
      <c r="C14" s="24">
        <f>SUM(Oct!C14, Nov!C14, Dec!C14)</f>
        <v>0</v>
      </c>
      <c r="D14" s="13">
        <f>SUM(Oct!D14, Nov!D14, Dec!D14)</f>
        <v>0</v>
      </c>
      <c r="E14" s="13">
        <f t="shared" si="0"/>
        <v>0</v>
      </c>
      <c r="F14" s="14" t="str">
        <f t="shared" si="1"/>
        <v/>
      </c>
      <c r="G14" s="15"/>
      <c r="H14" s="15">
        <f>SUM(Oct!H14, Nov!H14, Dec!H14)</f>
        <v>0</v>
      </c>
      <c r="I14" s="16" t="str">
        <f t="shared" si="2"/>
        <v/>
      </c>
    </row>
    <row r="15" spans="1:9" ht="15.6">
      <c r="A15" s="17" t="str">
        <v xml:space="preserve"> San Bernardino - Bank of America</v>
      </c>
      <c r="B15" s="10" t="str">
        <v>CA</v>
      </c>
      <c r="C15" s="11">
        <f>SUM(Oct!C15, Nov!C15, Dec!C15)</f>
        <v>0</v>
      </c>
      <c r="D15" s="18">
        <f>SUM(Oct!D15, Nov!D15, Dec!D15)</f>
        <v>0</v>
      </c>
      <c r="E15" s="18">
        <f t="shared" si="0"/>
        <v>0</v>
      </c>
      <c r="F15" s="19" t="str">
        <f t="shared" si="1"/>
        <v/>
      </c>
      <c r="G15" s="20"/>
      <c r="H15" s="20">
        <f>SUM(Oct!H15, Nov!H15, Dec!H15)</f>
        <v>0</v>
      </c>
      <c r="I15" s="19" t="str">
        <f t="shared" si="2"/>
        <v/>
      </c>
    </row>
    <row r="16" spans="1:9" ht="15.6">
      <c r="A16" s="12" t="str">
        <v xml:space="preserve"> San Diego - Bank of America</v>
      </c>
      <c r="B16" s="9" t="str">
        <v>CA</v>
      </c>
      <c r="C16" s="24">
        <f>SUM(Oct!C16, Nov!C16, Dec!C16)</f>
        <v>0</v>
      </c>
      <c r="D16" s="13">
        <f>SUM(Oct!D16, Nov!D16, Dec!D16)</f>
        <v>0</v>
      </c>
      <c r="E16" s="13">
        <f t="shared" ref="E16:E17" si="3">IF(AND(ISNUMBER(C16),ISNUMBER(D16)), C16-D16, "")</f>
        <v>0</v>
      </c>
      <c r="F16" s="14" t="str">
        <f t="shared" ref="F16:F17" si="4">IFERROR(E16/D16, "")</f>
        <v/>
      </c>
      <c r="G16" s="15"/>
      <c r="H16" s="15">
        <f>SUM(Oct!H16, Nov!H16, Dec!H16)</f>
        <v>0</v>
      </c>
      <c r="I16" s="16" t="str">
        <f t="shared" ref="I16:I17" si="5">IFERROR(H16/G16, "")</f>
        <v/>
      </c>
    </row>
    <row r="17" spans="1:9" ht="15.6">
      <c r="A17" s="17" t="str">
        <v xml:space="preserve"> Stockton - Bank of America</v>
      </c>
      <c r="B17" s="10" t="str">
        <v>CA</v>
      </c>
      <c r="C17" s="11">
        <f>SUM(Oct!C17, Nov!C17, Dec!C17)</f>
        <v>0</v>
      </c>
      <c r="D17" s="18">
        <f>SUM(Oct!D17, Nov!D17, Dec!D17)</f>
        <v>0</v>
      </c>
      <c r="E17" s="18">
        <f t="shared" si="3"/>
        <v>0</v>
      </c>
      <c r="F17" s="19" t="str">
        <f t="shared" si="4"/>
        <v/>
      </c>
      <c r="G17" s="20"/>
      <c r="H17" s="20">
        <f>SUM(Oct!H17, Nov!H17, Dec!H17)</f>
        <v>0</v>
      </c>
      <c r="I17" s="19" t="str">
        <f t="shared" si="5"/>
        <v/>
      </c>
    </row>
    <row r="18" spans="1:9" ht="12.75" customHeight="1">
      <c r="A18" s="12" t="str">
        <v xml:space="preserve"> Victorville - Bank of America</v>
      </c>
      <c r="B18" s="9" t="str">
        <v>CA</v>
      </c>
      <c r="C18" s="24">
        <f>SUM(Oct!C18, Nov!C18, Dec!C18)</f>
        <v>0</v>
      </c>
      <c r="D18" s="13">
        <f>SUM(Oct!D18, Nov!D18, Dec!D18)</f>
        <v>0</v>
      </c>
      <c r="E18" s="13">
        <f t="shared" ref="E18:E38" si="6">IF(AND(ISNUMBER(C18),ISNUMBER(D18)), C18-D18, "")</f>
        <v>0</v>
      </c>
      <c r="F18" s="14" t="str">
        <f t="shared" ref="F18:F38" si="7">IFERROR(E18/D18, "")</f>
        <v/>
      </c>
      <c r="G18" s="15"/>
      <c r="H18" s="15">
        <f>SUM(Oct!H18, Nov!H18, Dec!H18)</f>
        <v>0</v>
      </c>
      <c r="I18" s="16" t="str">
        <f t="shared" ref="I18:I38" si="8">IFERROR(H18/G18, "")</f>
        <v/>
      </c>
    </row>
    <row r="19" spans="1:9" ht="15.6">
      <c r="A19" s="17" t="str">
        <v xml:space="preserve"> Aurora - BA - Colfax Ave</v>
      </c>
      <c r="B19" s="10" t="str">
        <v>CO</v>
      </c>
      <c r="C19" s="11">
        <f>SUM(Oct!C19, Nov!C19, Dec!C19)</f>
        <v>0</v>
      </c>
      <c r="D19" s="18">
        <f>SUM(Oct!D19, Nov!D19, Dec!D19)</f>
        <v>0</v>
      </c>
      <c r="E19" s="18">
        <f t="shared" si="6"/>
        <v>0</v>
      </c>
      <c r="F19" s="19" t="str">
        <f t="shared" si="7"/>
        <v/>
      </c>
      <c r="G19" s="20"/>
      <c r="H19" s="20">
        <f>SUM(Oct!H19, Nov!H19, Dec!H19)</f>
        <v>0</v>
      </c>
      <c r="I19" s="19" t="str">
        <f t="shared" si="8"/>
        <v/>
      </c>
    </row>
    <row r="20" spans="1:9" ht="15.6">
      <c r="A20" s="12" t="str">
        <v xml:space="preserve"> Aurora - BA - Parker Rd</v>
      </c>
      <c r="B20" s="9" t="str">
        <v>CO</v>
      </c>
      <c r="C20" s="24">
        <f>SUM(Oct!C20, Nov!C20, Dec!C20)</f>
        <v>0</v>
      </c>
      <c r="D20" s="13">
        <f>SUM(Oct!D20, Nov!D20, Dec!D20)</f>
        <v>0</v>
      </c>
      <c r="E20" s="13">
        <f t="shared" si="6"/>
        <v>0</v>
      </c>
      <c r="F20" s="14" t="str">
        <f t="shared" si="7"/>
        <v/>
      </c>
      <c r="G20" s="15"/>
      <c r="H20" s="15">
        <f>SUM(Oct!H20, Nov!H20, Dec!H20)</f>
        <v>0</v>
      </c>
      <c r="I20" s="16" t="str">
        <f t="shared" si="8"/>
        <v/>
      </c>
    </row>
    <row r="21" spans="1:9" ht="15.6">
      <c r="A21" s="17" t="str">
        <v xml:space="preserve"> Broomfield - Bank of America</v>
      </c>
      <c r="B21" s="10" t="str">
        <v>CO</v>
      </c>
      <c r="C21" s="11">
        <f>SUM(Oct!C21, Nov!C21, Dec!C21)</f>
        <v>0</v>
      </c>
      <c r="D21" s="18">
        <f>SUM(Oct!D21, Nov!D21, Dec!D21)</f>
        <v>0</v>
      </c>
      <c r="E21" s="18">
        <f t="shared" si="6"/>
        <v>0</v>
      </c>
      <c r="F21" s="19" t="str">
        <f t="shared" si="7"/>
        <v/>
      </c>
      <c r="G21" s="20"/>
      <c r="H21" s="20">
        <f>SUM(Oct!H21, Nov!H21, Dec!H21)</f>
        <v>0</v>
      </c>
      <c r="I21" s="19" t="str">
        <f t="shared" si="8"/>
        <v/>
      </c>
    </row>
    <row r="22" spans="1:9" ht="15.6">
      <c r="A22" s="12" t="str">
        <v xml:space="preserve"> Colorado Springs - Bank of America</v>
      </c>
      <c r="B22" s="9" t="str">
        <v>CO</v>
      </c>
      <c r="C22" s="24">
        <f>SUM(Oct!C22, Nov!C22, Dec!C22)</f>
        <v>0</v>
      </c>
      <c r="D22" s="13">
        <f>SUM(Oct!D22, Nov!D22, Dec!D22)</f>
        <v>0</v>
      </c>
      <c r="E22" s="13">
        <f t="shared" si="6"/>
        <v>0</v>
      </c>
      <c r="F22" s="14" t="str">
        <f t="shared" si="7"/>
        <v/>
      </c>
      <c r="G22" s="15"/>
      <c r="H22" s="15">
        <f>SUM(Oct!H22, Nov!H22, Dec!H22)</f>
        <v>0</v>
      </c>
      <c r="I22" s="16" t="str">
        <f t="shared" si="8"/>
        <v/>
      </c>
    </row>
    <row r="23" spans="1:9" ht="15.6">
      <c r="A23" s="17" t="str">
        <v xml:space="preserve"> Denver - BA - 49th Ave</v>
      </c>
      <c r="B23" s="10" t="str">
        <v>CO</v>
      </c>
      <c r="C23" s="11">
        <f>SUM(Oct!C23, Nov!C23, Dec!C23)</f>
        <v>0</v>
      </c>
      <c r="D23" s="18">
        <f>SUM(Oct!D23, Nov!D23, Dec!D23)</f>
        <v>0</v>
      </c>
      <c r="E23" s="18">
        <f t="shared" si="6"/>
        <v>0</v>
      </c>
      <c r="F23" s="19" t="str">
        <f t="shared" si="7"/>
        <v/>
      </c>
      <c r="G23" s="20"/>
      <c r="H23" s="20">
        <f>SUM(Oct!H23, Nov!H23, Dec!H23)</f>
        <v>0</v>
      </c>
      <c r="I23" s="19" t="str">
        <f t="shared" si="8"/>
        <v/>
      </c>
    </row>
    <row r="24" spans="1:9" ht="15.6">
      <c r="A24" s="12" t="str">
        <v xml:space="preserve"> Denver - BA Wadsworth Blvd</v>
      </c>
      <c r="B24" s="9" t="str">
        <v>CO</v>
      </c>
      <c r="C24" s="24">
        <f>SUM(Oct!C24, Nov!C24, Dec!C24)</f>
        <v>0</v>
      </c>
      <c r="D24" s="13">
        <f>SUM(Oct!D24, Nov!D24, Dec!D24)</f>
        <v>0</v>
      </c>
      <c r="E24" s="13">
        <f t="shared" si="6"/>
        <v>0</v>
      </c>
      <c r="F24" s="14" t="str">
        <f t="shared" si="7"/>
        <v/>
      </c>
      <c r="G24" s="15"/>
      <c r="H24" s="15">
        <f>SUM(Oct!H24, Nov!H24, Dec!H24)</f>
        <v>0</v>
      </c>
      <c r="I24" s="16" t="str">
        <f t="shared" si="8"/>
        <v/>
      </c>
    </row>
    <row r="25" spans="1:9" ht="15.6">
      <c r="A25" s="17" t="str">
        <v xml:space="preserve"> Fort Collins - Bank of America</v>
      </c>
      <c r="B25" s="10" t="str">
        <v>CO</v>
      </c>
      <c r="C25" s="11">
        <f>SUM(Oct!C25, Nov!C25, Dec!C25)</f>
        <v>0</v>
      </c>
      <c r="D25" s="18">
        <f>SUM(Oct!D25, Nov!D25, Dec!D25)</f>
        <v>0</v>
      </c>
      <c r="E25" s="18">
        <f t="shared" si="6"/>
        <v>0</v>
      </c>
      <c r="F25" s="19" t="str">
        <f t="shared" si="7"/>
        <v/>
      </c>
      <c r="G25" s="20"/>
      <c r="H25" s="20">
        <f>SUM(Oct!H25, Nov!H25, Dec!H25)</f>
        <v>0</v>
      </c>
      <c r="I25" s="19" t="str">
        <f t="shared" si="8"/>
        <v/>
      </c>
    </row>
    <row r="26" spans="1:9" ht="15.6">
      <c r="A26" s="12" t="str">
        <v xml:space="preserve"> Lafayette - Bank of America</v>
      </c>
      <c r="B26" s="9" t="str">
        <v>CO</v>
      </c>
      <c r="C26" s="24">
        <f>SUM(Oct!C26, Nov!C26, Dec!C26)</f>
        <v>0</v>
      </c>
      <c r="D26" s="13">
        <f>SUM(Oct!D26, Nov!D26, Dec!D26)</f>
        <v>0</v>
      </c>
      <c r="E26" s="13">
        <f t="shared" si="6"/>
        <v>0</v>
      </c>
      <c r="F26" s="14" t="str">
        <f t="shared" si="7"/>
        <v/>
      </c>
      <c r="G26" s="15"/>
      <c r="H26" s="15">
        <f>SUM(Oct!H26, Nov!H26, Dec!H26)</f>
        <v>0</v>
      </c>
      <c r="I26" s="16" t="str">
        <f t="shared" si="8"/>
        <v/>
      </c>
    </row>
    <row r="27" spans="1:9" ht="15.6">
      <c r="A27" s="17" t="str">
        <v xml:space="preserve"> Lakewood - Bank of America</v>
      </c>
      <c r="B27" s="10" t="str">
        <v>CO</v>
      </c>
      <c r="C27" s="11">
        <f>SUM(Oct!C27, Nov!C27, Dec!C27)</f>
        <v>0</v>
      </c>
      <c r="D27" s="18">
        <f>SUM(Oct!D27, Nov!D27, Dec!D27)</f>
        <v>0</v>
      </c>
      <c r="E27" s="18">
        <f t="shared" si="6"/>
        <v>0</v>
      </c>
      <c r="F27" s="19" t="str">
        <f t="shared" si="7"/>
        <v/>
      </c>
      <c r="G27" s="20"/>
      <c r="H27" s="20">
        <f>SUM(Oct!H27, Nov!H27, Dec!H27)</f>
        <v>0</v>
      </c>
      <c r="I27" s="19" t="str">
        <f t="shared" si="8"/>
        <v/>
      </c>
    </row>
    <row r="28" spans="1:9" ht="15.6">
      <c r="A28" s="12" t="str">
        <v xml:space="preserve"> Longmont - Bank of America</v>
      </c>
      <c r="B28" s="9" t="str">
        <v>CO</v>
      </c>
      <c r="C28" s="24">
        <f>SUM(Oct!C28, Nov!C28, Dec!C28)</f>
        <v>0</v>
      </c>
      <c r="D28" s="13">
        <f>SUM(Oct!D28, Nov!D28, Dec!D28)</f>
        <v>0</v>
      </c>
      <c r="E28" s="13">
        <f t="shared" si="6"/>
        <v>0</v>
      </c>
      <c r="F28" s="14" t="str">
        <f t="shared" si="7"/>
        <v/>
      </c>
      <c r="G28" s="15"/>
      <c r="H28" s="15">
        <f>SUM(Oct!H28, Nov!H28, Dec!H28)</f>
        <v>0</v>
      </c>
      <c r="I28" s="16" t="str">
        <f t="shared" si="8"/>
        <v/>
      </c>
    </row>
    <row r="29" spans="1:9" ht="15.6">
      <c r="A29" s="17" t="str">
        <v xml:space="preserve"> Thornton - Bank of America</v>
      </c>
      <c r="B29" s="10" t="str">
        <v>CO</v>
      </c>
      <c r="C29" s="11">
        <f>SUM(Oct!C29, Nov!C29, Dec!C29)</f>
        <v>0</v>
      </c>
      <c r="D29" s="18">
        <f>SUM(Oct!D29, Nov!D29, Dec!D29)</f>
        <v>0</v>
      </c>
      <c r="E29" s="18">
        <f t="shared" si="6"/>
        <v>0</v>
      </c>
      <c r="F29" s="19" t="str">
        <f t="shared" si="7"/>
        <v/>
      </c>
      <c r="G29" s="20"/>
      <c r="H29" s="20">
        <f>SUM(Oct!H29, Nov!H29, Dec!H29)</f>
        <v>0</v>
      </c>
      <c r="I29" s="19" t="str">
        <f t="shared" si="8"/>
        <v/>
      </c>
    </row>
    <row r="30" spans="1:9" ht="15.6">
      <c r="A30" s="12" t="str">
        <v xml:space="preserve"> Calumet City - Bank of America</v>
      </c>
      <c r="B30" s="9" t="str">
        <v>IL</v>
      </c>
      <c r="C30" s="24">
        <f>SUM(Oct!C30, Nov!C30, Dec!C30)</f>
        <v>0</v>
      </c>
      <c r="D30" s="13">
        <f>SUM(Oct!D30, Nov!D30, Dec!D30)</f>
        <v>0</v>
      </c>
      <c r="E30" s="13">
        <f t="shared" si="6"/>
        <v>0</v>
      </c>
      <c r="F30" s="14" t="str">
        <f t="shared" si="7"/>
        <v/>
      </c>
      <c r="G30" s="15"/>
      <c r="H30" s="15">
        <f>SUM(Oct!H30, Nov!H30, Dec!H30)</f>
        <v>0</v>
      </c>
      <c r="I30" s="16" t="str">
        <f t="shared" si="8"/>
        <v/>
      </c>
    </row>
    <row r="31" spans="1:9" ht="15.6">
      <c r="A31" s="17" t="str">
        <v xml:space="preserve"> Downers Grove - Bank of America</v>
      </c>
      <c r="B31" s="10" t="str">
        <v>IL</v>
      </c>
      <c r="C31" s="11">
        <f>SUM(Oct!C31, Nov!C31, Dec!C31)</f>
        <v>0</v>
      </c>
      <c r="D31" s="18">
        <f>SUM(Oct!D31, Nov!D31, Dec!D31)</f>
        <v>0</v>
      </c>
      <c r="E31" s="18">
        <f t="shared" si="6"/>
        <v>0</v>
      </c>
      <c r="F31" s="19" t="str">
        <f t="shared" si="7"/>
        <v/>
      </c>
      <c r="G31" s="20"/>
      <c r="H31" s="20">
        <f>SUM(Oct!H31, Nov!H31, Dec!H31)</f>
        <v>0</v>
      </c>
      <c r="I31" s="19" t="str">
        <f t="shared" si="8"/>
        <v/>
      </c>
    </row>
    <row r="32" spans="1:9" ht="15.6">
      <c r="A32" s="12" t="str">
        <v xml:space="preserve"> Bloomington - Bank of America</v>
      </c>
      <c r="B32" s="9" t="str">
        <v>MN</v>
      </c>
      <c r="C32" s="24">
        <f>SUM(Oct!C32, Nov!C32, Dec!C32)</f>
        <v>0</v>
      </c>
      <c r="D32" s="13">
        <f>SUM(Oct!D32, Nov!D32, Dec!D32)</f>
        <v>0</v>
      </c>
      <c r="E32" s="13">
        <f t="shared" si="6"/>
        <v>0</v>
      </c>
      <c r="F32" s="14" t="str">
        <f t="shared" si="7"/>
        <v/>
      </c>
      <c r="G32" s="15"/>
      <c r="H32" s="15">
        <f>SUM(Oct!H32, Nov!H32, Dec!H32)</f>
        <v>0</v>
      </c>
      <c r="I32" s="16" t="str">
        <f t="shared" si="8"/>
        <v/>
      </c>
    </row>
    <row r="33" spans="1:9" ht="15.6">
      <c r="A33" s="17" t="str">
        <v xml:space="preserve"> Clayton - Bank of America</v>
      </c>
      <c r="B33" s="10" t="str">
        <v>MO</v>
      </c>
      <c r="C33" s="11">
        <f>SUM(Oct!C33, Nov!C33, Dec!C33)</f>
        <v>0</v>
      </c>
      <c r="D33" s="18">
        <f>SUM(Oct!D33, Nov!D33, Dec!D33)</f>
        <v>0</v>
      </c>
      <c r="E33" s="18">
        <f t="shared" si="6"/>
        <v>0</v>
      </c>
      <c r="F33" s="19" t="str">
        <f t="shared" si="7"/>
        <v/>
      </c>
      <c r="G33" s="20"/>
      <c r="H33" s="20">
        <f>SUM(Oct!H33, Nov!H33, Dec!H33)</f>
        <v>0</v>
      </c>
      <c r="I33" s="19" t="str">
        <f t="shared" si="8"/>
        <v/>
      </c>
    </row>
    <row r="34" spans="1:9" ht="15.6">
      <c r="A34" s="12" t="str">
        <v xml:space="preserve"> Manchester - Bank of America</v>
      </c>
      <c r="B34" s="9" t="str">
        <v>MO</v>
      </c>
      <c r="C34" s="24">
        <f>SUM(Oct!C34, Nov!C34, Dec!C34)</f>
        <v>0</v>
      </c>
      <c r="D34" s="13">
        <f>SUM(Oct!D34, Nov!D34, Dec!D34)</f>
        <v>0</v>
      </c>
      <c r="E34" s="13">
        <f t="shared" si="6"/>
        <v>0</v>
      </c>
      <c r="F34" s="14" t="str">
        <f t="shared" si="7"/>
        <v/>
      </c>
      <c r="G34" s="15"/>
      <c r="H34" s="15">
        <f>SUM(Oct!H34, Nov!H34, Dec!H34)</f>
        <v>0</v>
      </c>
      <c r="I34" s="16" t="str">
        <f t="shared" si="8"/>
        <v/>
      </c>
    </row>
    <row r="35" spans="1:9" ht="15.6">
      <c r="A35" s="17" t="str">
        <v xml:space="preserve"> Las Vegas - BA - Eastern Ave</v>
      </c>
      <c r="B35" s="10" t="str">
        <v>NV</v>
      </c>
      <c r="C35" s="11">
        <f>SUM(Oct!C35, Nov!C35, Dec!C35)</f>
        <v>0</v>
      </c>
      <c r="D35" s="18">
        <f>SUM(Oct!D35, Nov!D35, Dec!D35)</f>
        <v>0</v>
      </c>
      <c r="E35" s="18">
        <f t="shared" si="6"/>
        <v>0</v>
      </c>
      <c r="F35" s="19" t="str">
        <f t="shared" si="7"/>
        <v/>
      </c>
      <c r="G35" s="20"/>
      <c r="H35" s="20">
        <f>SUM(Oct!H35, Nov!H35, Dec!H35)</f>
        <v>0</v>
      </c>
      <c r="I35" s="19" t="str">
        <f t="shared" si="8"/>
        <v/>
      </c>
    </row>
    <row r="36" spans="1:9" ht="15.6">
      <c r="A36" s="12" t="str">
        <v xml:space="preserve"> Las Vegas - BA - Town Ctr Dr</v>
      </c>
      <c r="B36" s="9" t="str">
        <v>NV</v>
      </c>
      <c r="C36" s="24">
        <f>SUM(Oct!C36, Nov!C36, Dec!C36)</f>
        <v>0</v>
      </c>
      <c r="D36" s="13">
        <f>SUM(Oct!D36, Nov!D36, Dec!D36)</f>
        <v>0</v>
      </c>
      <c r="E36" s="13">
        <f t="shared" si="6"/>
        <v>0</v>
      </c>
      <c r="F36" s="14" t="str">
        <f t="shared" si="7"/>
        <v/>
      </c>
      <c r="G36" s="15"/>
      <c r="H36" s="15">
        <f>SUM(Oct!H36, Nov!H36, Dec!H36)</f>
        <v>0</v>
      </c>
      <c r="I36" s="16" t="str">
        <f t="shared" si="8"/>
        <v/>
      </c>
    </row>
    <row r="37" spans="1:9" ht="15.6">
      <c r="A37" s="17" t="str">
        <v xml:space="preserve"> Riverton - Bank of America</v>
      </c>
      <c r="B37" s="10" t="str">
        <v>UT</v>
      </c>
      <c r="C37" s="11">
        <f>SUM(Oct!C37, Nov!C37, Dec!C37)</f>
        <v>0</v>
      </c>
      <c r="D37" s="18">
        <f>SUM(Oct!D37, Nov!D37, Dec!D37)</f>
        <v>0</v>
      </c>
      <c r="E37" s="18">
        <f t="shared" si="6"/>
        <v>0</v>
      </c>
      <c r="F37" s="19" t="str">
        <f t="shared" si="7"/>
        <v/>
      </c>
      <c r="G37" s="20"/>
      <c r="H37" s="20">
        <f>SUM(Oct!H37, Nov!H37, Dec!H37)</f>
        <v>0</v>
      </c>
      <c r="I37" s="19" t="str">
        <f t="shared" si="8"/>
        <v/>
      </c>
    </row>
    <row r="38" spans="1:9" ht="15.6">
      <c r="A38" s="12" t="str">
        <v xml:space="preserve"> Salt Lake City - Bank of America</v>
      </c>
      <c r="B38" s="9" t="str">
        <v>UT</v>
      </c>
      <c r="C38" s="24">
        <f>SUM(Oct!C38, Nov!C38, Dec!C38)</f>
        <v>0</v>
      </c>
      <c r="D38" s="13">
        <f>SUM(Oct!D38, Nov!D38, Dec!D38)</f>
        <v>0</v>
      </c>
      <c r="E38" s="13">
        <f t="shared" si="6"/>
        <v>0</v>
      </c>
      <c r="F38" s="14" t="str">
        <f t="shared" si="7"/>
        <v/>
      </c>
      <c r="G38" s="15"/>
      <c r="H38" s="15">
        <f>SUM(Oct!H38, Nov!H38, Dec!H38)</f>
        <v>0</v>
      </c>
      <c r="I38" s="16" t="str">
        <f t="shared" si="8"/>
        <v/>
      </c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9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9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9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9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9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9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9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9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9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9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9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9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9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9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9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9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9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9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9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9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9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9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9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9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9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9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9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9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9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9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9">
      <c r="A342" s="21"/>
      <c r="B342" s="21"/>
      <c r="C342" s="21"/>
      <c r="D342" s="21"/>
      <c r="E342" s="21"/>
      <c r="F342" s="22"/>
      <c r="G342" s="21"/>
      <c r="H342" s="21"/>
      <c r="I342" s="22"/>
    </row>
  </sheetData>
  <mergeCells count="4">
    <mergeCell ref="G1:I1"/>
    <mergeCell ref="A1:C1"/>
    <mergeCell ref="D1:F1"/>
    <mergeCell ref="A2:B2"/>
  </mergeCells>
  <conditionalFormatting sqref="F2 I2 F4:F100 I4:I100">
    <cfRule type="cellIs" dxfId="50" priority="1" stopIfTrue="1" operator="lessThanOrEqual">
      <formula>-0.1</formula>
    </cfRule>
    <cfRule type="expression" dxfId="4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M341"/>
  <sheetViews>
    <sheetView zoomScale="50" zoomScaleNormal="50" workbookViewId="0">
      <pane xSplit="2" ySplit="3" topLeftCell="C4" activePane="bottomRight" state="frozen"/>
      <selection pane="bottomRight" activeCell="N28" sqref="N28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4" t="str" cm="1">
        <f t="array" ref="A1">portfolio</f>
        <v>Cushman &amp; Wakefield</v>
      </c>
      <c r="B1" s="74"/>
      <c r="C1" s="74"/>
      <c r="D1" s="75" t="s">
        <v>18</v>
      </c>
      <c r="E1" s="75"/>
      <c r="F1" s="75"/>
      <c r="G1" s="73" t="s">
        <v>19</v>
      </c>
      <c r="H1" s="73"/>
      <c r="I1" s="73"/>
      <c r="J1" s="4"/>
      <c r="K1" s="4"/>
    </row>
    <row r="2" spans="1:11" ht="19.5" customHeight="1">
      <c r="A2" s="76" t="s">
        <v>2</v>
      </c>
      <c r="B2" s="76"/>
      <c r="C2" s="5">
        <f>SUM(C4:C99)</f>
        <v>25654.299999999996</v>
      </c>
      <c r="D2" s="5">
        <f>SUM(D4:D99)</f>
        <v>0</v>
      </c>
      <c r="E2" s="5">
        <f>C2-D2</f>
        <v>25654.299999999996</v>
      </c>
      <c r="F2" s="6">
        <f>IFERROR(E2/D2, 0)</f>
        <v>0</v>
      </c>
      <c r="G2" s="5">
        <f>SUM(G4:G99)</f>
        <v>0</v>
      </c>
      <c r="H2" s="7">
        <f>C2-G2</f>
        <v>25654.299999999996</v>
      </c>
      <c r="I2" s="6">
        <f>IFERROR(H2/G2, 0)</f>
        <v>0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7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40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>
        <v>0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63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 xml:space="preserve"> Apple Valley - Bank of America</v>
      </c>
      <c r="B5" s="31" t="str">
        <v>CA</v>
      </c>
      <c r="C5" s="11">
        <v>0</v>
      </c>
      <c r="D5" s="18" t="s">
        <v>22</v>
      </c>
      <c r="E5" s="18" t="str">
        <f t="shared" ref="E5:E15" si="0">IF(AND(ISNUMBER(C5),ISNUMBER(D5)), C5-D5, "")</f>
        <v/>
      </c>
      <c r="F5" s="19" t="str">
        <f>IFERROR(E5/D5, "")</f>
        <v/>
      </c>
      <c r="G5" s="64" t="s">
        <v>22</v>
      </c>
      <c r="H5" s="20" t="str">
        <f t="shared" ref="H5:H6" si="1">IF(AND(ISNUMBER(C5),ISNUMBER(G5)), C5-G5, "")</f>
        <v/>
      </c>
      <c r="I5" s="19" t="str">
        <f t="shared" ref="I5:I6" si="2">IFERROR(H5/G5, "")</f>
        <v/>
      </c>
      <c r="J5" s="42"/>
      <c r="K5" s="42"/>
    </row>
    <row r="6" spans="1:11" ht="57.6">
      <c r="A6" s="28" t="str">
        <v xml:space="preserve"> Arvin - Bank of America</v>
      </c>
      <c r="B6" s="29" t="str">
        <v>CA</v>
      </c>
      <c r="C6" s="24">
        <v>81.5</v>
      </c>
      <c r="D6" s="13" t="s">
        <v>22</v>
      </c>
      <c r="E6" s="13" t="str">
        <f t="shared" si="0"/>
        <v/>
      </c>
      <c r="F6" s="14" t="str">
        <f t="shared" ref="F6:F15" si="3">IFERROR(E6/D6, "")</f>
        <v/>
      </c>
      <c r="G6" s="63" t="s">
        <v>22</v>
      </c>
      <c r="H6" s="15" t="str">
        <f t="shared" si="1"/>
        <v/>
      </c>
      <c r="I6" s="16" t="str">
        <f t="shared" si="2"/>
        <v/>
      </c>
      <c r="J6" s="41" t="s">
        <v>23</v>
      </c>
      <c r="K6" s="65" t="s">
        <v>24</v>
      </c>
    </row>
    <row r="7" spans="1:11" ht="15.6">
      <c r="A7" s="30" t="str">
        <v xml:space="preserve"> Bell - Bank of America</v>
      </c>
      <c r="B7" s="31" t="str">
        <v>CA</v>
      </c>
      <c r="C7" s="11">
        <v>1491.7</v>
      </c>
      <c r="D7" s="18" t="s">
        <v>22</v>
      </c>
      <c r="E7" s="18" t="str">
        <f t="shared" si="0"/>
        <v/>
      </c>
      <c r="F7" s="19" t="str">
        <f t="shared" si="3"/>
        <v/>
      </c>
      <c r="G7" s="64" t="s">
        <v>22</v>
      </c>
      <c r="H7" s="20" t="str">
        <f t="shared" ref="H7:H15" si="4">IF(AND(ISNUMBER(C7),ISNUMBER(G7)), C7-G7, "")</f>
        <v/>
      </c>
      <c r="I7" s="19" t="str">
        <f t="shared" ref="I7:I15" si="5">IFERROR(H7/G7, "")</f>
        <v/>
      </c>
      <c r="J7" s="42"/>
      <c r="K7" s="43"/>
    </row>
    <row r="8" spans="1:11" ht="43.15">
      <c r="A8" s="28" t="str">
        <v xml:space="preserve"> Chula Vista - Bank of America</v>
      </c>
      <c r="B8" s="29" t="str">
        <v>CA</v>
      </c>
      <c r="C8" s="24">
        <v>458.5</v>
      </c>
      <c r="D8" s="13" t="s">
        <v>22</v>
      </c>
      <c r="E8" s="13" t="str">
        <f t="shared" si="0"/>
        <v/>
      </c>
      <c r="F8" s="14" t="str">
        <f t="shared" si="3"/>
        <v/>
      </c>
      <c r="G8" s="63" t="s">
        <v>22</v>
      </c>
      <c r="H8" s="15" t="str">
        <f t="shared" si="4"/>
        <v/>
      </c>
      <c r="I8" s="16" t="str">
        <f t="shared" si="5"/>
        <v/>
      </c>
      <c r="J8" s="41" t="s">
        <v>25</v>
      </c>
      <c r="K8" s="65" t="s">
        <v>26</v>
      </c>
    </row>
    <row r="9" spans="1:11" ht="15.6">
      <c r="A9" s="30" t="str">
        <v xml:space="preserve"> Cupertino - Bank of America</v>
      </c>
      <c r="B9" s="31" t="str">
        <v>CA</v>
      </c>
      <c r="C9" s="11">
        <v>0</v>
      </c>
      <c r="D9" s="18" t="s">
        <v>22</v>
      </c>
      <c r="E9" s="18" t="str">
        <f t="shared" si="0"/>
        <v/>
      </c>
      <c r="F9" s="19" t="str">
        <f t="shared" si="3"/>
        <v/>
      </c>
      <c r="G9" s="64" t="s">
        <v>22</v>
      </c>
      <c r="H9" s="20" t="str">
        <f t="shared" si="4"/>
        <v/>
      </c>
      <c r="I9" s="19" t="str">
        <f t="shared" si="5"/>
        <v/>
      </c>
      <c r="J9" s="60" t="s">
        <v>27</v>
      </c>
      <c r="K9" s="66" t="s">
        <v>28</v>
      </c>
    </row>
    <row r="10" spans="1:11" ht="72">
      <c r="A10" s="28" t="str">
        <v xml:space="preserve"> Diamond Bar - Bank of America</v>
      </c>
      <c r="B10" s="29" t="str">
        <v>CA</v>
      </c>
      <c r="C10" s="24">
        <v>1557.8</v>
      </c>
      <c r="D10" s="13" t="s">
        <v>22</v>
      </c>
      <c r="E10" s="13" t="str">
        <f t="shared" si="0"/>
        <v/>
      </c>
      <c r="F10" s="14" t="str">
        <f t="shared" si="3"/>
        <v/>
      </c>
      <c r="G10" s="63" t="s">
        <v>22</v>
      </c>
      <c r="H10" s="15" t="str">
        <f t="shared" si="4"/>
        <v/>
      </c>
      <c r="I10" s="16" t="str">
        <f t="shared" si="5"/>
        <v/>
      </c>
      <c r="J10" s="62" t="s">
        <v>29</v>
      </c>
      <c r="K10" s="65" t="s">
        <v>30</v>
      </c>
    </row>
    <row r="11" spans="1:11" ht="15.6">
      <c r="A11" s="30" t="str">
        <v xml:space="preserve"> El Centro - Bank of America</v>
      </c>
      <c r="B11" s="31" t="str">
        <v>CA</v>
      </c>
      <c r="C11" s="11">
        <v>1875.6</v>
      </c>
      <c r="D11" s="18" t="s">
        <v>22</v>
      </c>
      <c r="E11" s="18" t="str">
        <f t="shared" si="0"/>
        <v/>
      </c>
      <c r="F11" s="19" t="str">
        <f t="shared" si="3"/>
        <v/>
      </c>
      <c r="G11" s="64" t="s">
        <v>22</v>
      </c>
      <c r="H11" s="20" t="str">
        <f t="shared" si="4"/>
        <v/>
      </c>
      <c r="I11" s="19" t="str">
        <f t="shared" si="5"/>
        <v/>
      </c>
      <c r="J11" s="42"/>
      <c r="K11" s="43"/>
    </row>
    <row r="12" spans="1:11" ht="28.9">
      <c r="A12" s="28" t="str">
        <v xml:space="preserve"> Moreno Valley - Bank of America</v>
      </c>
      <c r="B12" s="29" t="str">
        <v>CA</v>
      </c>
      <c r="C12" s="24">
        <v>3150</v>
      </c>
      <c r="D12" s="13" t="s">
        <v>22</v>
      </c>
      <c r="E12" s="13" t="str">
        <f t="shared" si="0"/>
        <v/>
      </c>
      <c r="F12" s="14" t="str">
        <f t="shared" si="3"/>
        <v/>
      </c>
      <c r="G12" s="63" t="s">
        <v>22</v>
      </c>
      <c r="H12" s="15" t="str">
        <f t="shared" si="4"/>
        <v/>
      </c>
      <c r="I12" s="16" t="str">
        <f t="shared" si="5"/>
        <v/>
      </c>
      <c r="J12" s="41" t="s">
        <v>31</v>
      </c>
      <c r="K12" s="65" t="s">
        <v>32</v>
      </c>
    </row>
    <row r="13" spans="1:11" ht="15.6">
      <c r="A13" s="30" t="str">
        <v xml:space="preserve"> Redlands - Bank of America</v>
      </c>
      <c r="B13" s="31" t="str">
        <v>CA</v>
      </c>
      <c r="C13" s="11">
        <v>0</v>
      </c>
      <c r="D13" s="18" t="s">
        <v>22</v>
      </c>
      <c r="E13" s="18" t="str">
        <f t="shared" si="0"/>
        <v/>
      </c>
      <c r="F13" s="19" t="str">
        <f t="shared" si="3"/>
        <v/>
      </c>
      <c r="G13" s="64" t="s">
        <v>22</v>
      </c>
      <c r="H13" s="20" t="str">
        <f t="shared" si="4"/>
        <v/>
      </c>
      <c r="I13" s="19" t="str">
        <f t="shared" si="5"/>
        <v/>
      </c>
      <c r="J13" s="42"/>
      <c r="K13" s="43"/>
    </row>
    <row r="14" spans="1:11" ht="15.6">
      <c r="A14" s="28" t="str">
        <v xml:space="preserve"> Roseville - Bank of America</v>
      </c>
      <c r="B14" s="29" t="str">
        <v>CA</v>
      </c>
      <c r="C14" s="24">
        <v>4319</v>
      </c>
      <c r="D14" s="13" t="s">
        <v>22</v>
      </c>
      <c r="E14" s="13" t="str">
        <f t="shared" si="0"/>
        <v/>
      </c>
      <c r="F14" s="14" t="str">
        <f t="shared" si="3"/>
        <v/>
      </c>
      <c r="G14" s="63" t="s">
        <v>22</v>
      </c>
      <c r="H14" s="15" t="str">
        <f t="shared" si="4"/>
        <v/>
      </c>
      <c r="I14" s="16" t="str">
        <f t="shared" si="5"/>
        <v/>
      </c>
      <c r="J14" s="41"/>
      <c r="K14" s="41"/>
    </row>
    <row r="15" spans="1:11" ht="28.9">
      <c r="A15" s="30" t="str">
        <v xml:space="preserve"> San Bernardino - Bank of America</v>
      </c>
      <c r="B15" s="31" t="str">
        <v>CA</v>
      </c>
      <c r="C15" s="11">
        <v>29.9</v>
      </c>
      <c r="D15" s="18" t="s">
        <v>22</v>
      </c>
      <c r="E15" s="18" t="str">
        <f t="shared" si="0"/>
        <v/>
      </c>
      <c r="F15" s="19" t="str">
        <f t="shared" si="3"/>
        <v/>
      </c>
      <c r="G15" s="64" t="s">
        <v>22</v>
      </c>
      <c r="H15" s="20" t="str">
        <f t="shared" si="4"/>
        <v/>
      </c>
      <c r="I15" s="19" t="str">
        <f t="shared" si="5"/>
        <v/>
      </c>
      <c r="J15" s="60" t="s">
        <v>33</v>
      </c>
      <c r="K15" s="66" t="s">
        <v>34</v>
      </c>
    </row>
    <row r="16" spans="1:11" ht="15.6">
      <c r="A16" s="28" t="str">
        <v xml:space="preserve"> San Diego - Bank of America</v>
      </c>
      <c r="B16" s="29" t="str">
        <v>CA</v>
      </c>
      <c r="C16" s="24">
        <v>42.2</v>
      </c>
      <c r="D16" s="13" t="s">
        <v>22</v>
      </c>
      <c r="E16" s="13" t="str">
        <f t="shared" ref="E16:E17" si="6">IF(AND(ISNUMBER(C16),ISNUMBER(D16)), C16-D16, "")</f>
        <v/>
      </c>
      <c r="F16" s="14" t="str">
        <f t="shared" ref="F16:F17" si="7">IFERROR(E16/D16, "")</f>
        <v/>
      </c>
      <c r="G16" s="63" t="s">
        <v>22</v>
      </c>
      <c r="H16" s="15" t="str">
        <f t="shared" ref="H16:H17" si="8">IF(AND(ISNUMBER(C16),ISNUMBER(G16)), C16-G16, "")</f>
        <v/>
      </c>
      <c r="I16" s="16" t="str">
        <f t="shared" ref="I16:I17" si="9">IFERROR(H16/G16, "")</f>
        <v/>
      </c>
      <c r="J16" s="41"/>
      <c r="K16" s="41"/>
    </row>
    <row r="17" spans="1:13" ht="15.6">
      <c r="A17" s="30" t="str">
        <v xml:space="preserve"> Stockton - Bank of America</v>
      </c>
      <c r="B17" s="31" t="str">
        <v>CA</v>
      </c>
      <c r="C17" s="11">
        <v>935.3</v>
      </c>
      <c r="D17" s="18" t="s">
        <v>22</v>
      </c>
      <c r="E17" s="18" t="str">
        <f t="shared" si="6"/>
        <v/>
      </c>
      <c r="F17" s="19" t="str">
        <f t="shared" si="7"/>
        <v/>
      </c>
      <c r="G17" s="64" t="s">
        <v>22</v>
      </c>
      <c r="H17" s="20" t="str">
        <f t="shared" si="8"/>
        <v/>
      </c>
      <c r="I17" s="19" t="str">
        <f t="shared" si="9"/>
        <v/>
      </c>
      <c r="J17" s="42"/>
      <c r="K17" s="43"/>
    </row>
    <row r="18" spans="1:13" ht="15.6">
      <c r="A18" s="28" t="str">
        <v xml:space="preserve"> Victorville - Bank of America</v>
      </c>
      <c r="B18" s="29" t="str">
        <v>CA</v>
      </c>
      <c r="C18" s="24">
        <v>0</v>
      </c>
      <c r="D18" s="13" t="s">
        <v>22</v>
      </c>
      <c r="E18" s="13" t="str">
        <f t="shared" ref="E18:E38" si="10">IF(AND(ISNUMBER(C18),ISNUMBER(D18)), C18-D18, "")</f>
        <v/>
      </c>
      <c r="F18" s="14" t="str">
        <f t="shared" ref="F18:F38" si="11">IFERROR(E18/D18, "")</f>
        <v/>
      </c>
      <c r="G18" s="63" t="s">
        <v>22</v>
      </c>
      <c r="H18" s="15" t="str">
        <f t="shared" ref="H18:H38" si="12">IF(AND(ISNUMBER(C18),ISNUMBER(G18)), C18-G18, "")</f>
        <v/>
      </c>
      <c r="I18" s="16" t="str">
        <f t="shared" ref="I18:I38" si="13">IFERROR(H18/G18, "")</f>
        <v/>
      </c>
      <c r="J18" s="41"/>
      <c r="K18" s="41"/>
    </row>
    <row r="19" spans="1:13" ht="15.6">
      <c r="A19" s="30" t="str">
        <v xml:space="preserve"> Aurora - BA - Colfax Ave</v>
      </c>
      <c r="B19" s="31" t="str">
        <v>CO</v>
      </c>
      <c r="C19" s="11">
        <v>484.6</v>
      </c>
      <c r="D19" s="18" t="s">
        <v>22</v>
      </c>
      <c r="E19" s="18" t="str">
        <f t="shared" si="10"/>
        <v/>
      </c>
      <c r="F19" s="19" t="str">
        <f t="shared" si="11"/>
        <v/>
      </c>
      <c r="G19" s="64" t="s">
        <v>22</v>
      </c>
      <c r="H19" s="20" t="str">
        <f t="shared" si="12"/>
        <v/>
      </c>
      <c r="I19" s="19" t="str">
        <f t="shared" si="13"/>
        <v/>
      </c>
      <c r="J19" s="42"/>
      <c r="K19" s="43"/>
    </row>
    <row r="20" spans="1:13" ht="15.6">
      <c r="A20" s="28" t="str">
        <v xml:space="preserve"> Aurora - BA - Parker Rd</v>
      </c>
      <c r="B20" s="29" t="str">
        <v>CO</v>
      </c>
      <c r="C20" s="24">
        <v>1419.2</v>
      </c>
      <c r="D20" s="13" t="s">
        <v>22</v>
      </c>
      <c r="E20" s="13" t="str">
        <f t="shared" si="10"/>
        <v/>
      </c>
      <c r="F20" s="14" t="str">
        <f t="shared" si="11"/>
        <v/>
      </c>
      <c r="G20" s="63" t="s">
        <v>22</v>
      </c>
      <c r="H20" s="15" t="str">
        <f t="shared" si="12"/>
        <v/>
      </c>
      <c r="I20" s="16" t="str">
        <f t="shared" si="13"/>
        <v/>
      </c>
      <c r="J20" s="41"/>
      <c r="K20" s="41"/>
    </row>
    <row r="21" spans="1:13" ht="28.9">
      <c r="A21" s="30" t="str">
        <v xml:space="preserve"> Broomfield - Bank of America</v>
      </c>
      <c r="B21" s="31" t="str">
        <v>CO</v>
      </c>
      <c r="C21" s="11">
        <v>491.3</v>
      </c>
      <c r="D21" s="18" t="s">
        <v>22</v>
      </c>
      <c r="E21" s="18" t="str">
        <f t="shared" si="10"/>
        <v/>
      </c>
      <c r="F21" s="19" t="str">
        <f t="shared" si="11"/>
        <v/>
      </c>
      <c r="G21" s="64" t="s">
        <v>22</v>
      </c>
      <c r="H21" s="20" t="str">
        <f t="shared" si="12"/>
        <v/>
      </c>
      <c r="I21" s="19" t="str">
        <f t="shared" si="13"/>
        <v/>
      </c>
      <c r="J21" s="42" t="s">
        <v>35</v>
      </c>
      <c r="K21" s="66" t="s">
        <v>36</v>
      </c>
    </row>
    <row r="22" spans="1:13" ht="15.6">
      <c r="A22" s="28" t="str">
        <v xml:space="preserve"> Colorado Springs - Bank of America</v>
      </c>
      <c r="B22" s="29" t="str">
        <v>CO</v>
      </c>
      <c r="C22" s="24">
        <v>1148.4000000000001</v>
      </c>
      <c r="D22" s="13" t="s">
        <v>22</v>
      </c>
      <c r="E22" s="13" t="str">
        <f t="shared" si="10"/>
        <v/>
      </c>
      <c r="F22" s="14" t="str">
        <f t="shared" si="11"/>
        <v/>
      </c>
      <c r="G22" s="63" t="s">
        <v>22</v>
      </c>
      <c r="H22" s="15" t="str">
        <f t="shared" si="12"/>
        <v/>
      </c>
      <c r="I22" s="16" t="str">
        <f t="shared" si="13"/>
        <v/>
      </c>
      <c r="J22" s="41"/>
      <c r="K22" s="41"/>
    </row>
    <row r="23" spans="1:13" ht="15.6">
      <c r="A23" s="30" t="str">
        <v xml:space="preserve"> Denver - BA - 49th Ave</v>
      </c>
      <c r="B23" s="31" t="str">
        <v>CO</v>
      </c>
      <c r="C23" s="11">
        <v>966.8</v>
      </c>
      <c r="D23" s="18" t="s">
        <v>22</v>
      </c>
      <c r="E23" s="18" t="str">
        <f t="shared" si="10"/>
        <v/>
      </c>
      <c r="F23" s="19" t="str">
        <f t="shared" si="11"/>
        <v/>
      </c>
      <c r="G23" s="64" t="s">
        <v>22</v>
      </c>
      <c r="H23" s="20" t="str">
        <f t="shared" si="12"/>
        <v/>
      </c>
      <c r="I23" s="19" t="str">
        <f t="shared" si="13"/>
        <v/>
      </c>
      <c r="J23" s="42"/>
      <c r="K23" s="43"/>
    </row>
    <row r="24" spans="1:13" ht="15.6">
      <c r="A24" s="28" t="str">
        <v xml:space="preserve"> Denver - BA Wadsworth Blvd</v>
      </c>
      <c r="B24" s="29" t="str">
        <v>CO</v>
      </c>
      <c r="C24" s="24">
        <v>358.8</v>
      </c>
      <c r="D24" s="13" t="s">
        <v>22</v>
      </c>
      <c r="E24" s="13" t="str">
        <f t="shared" si="10"/>
        <v/>
      </c>
      <c r="F24" s="14" t="str">
        <f t="shared" si="11"/>
        <v/>
      </c>
      <c r="G24" s="63" t="s">
        <v>22</v>
      </c>
      <c r="H24" s="15" t="str">
        <f t="shared" si="12"/>
        <v/>
      </c>
      <c r="I24" s="16" t="str">
        <f t="shared" si="13"/>
        <v/>
      </c>
      <c r="J24" s="41"/>
      <c r="K24" s="41"/>
    </row>
    <row r="25" spans="1:13" ht="43.15">
      <c r="A25" s="30" t="str">
        <v xml:space="preserve"> Fort Collins - Bank of America</v>
      </c>
      <c r="B25" s="31" t="str">
        <v>CO</v>
      </c>
      <c r="C25" s="11">
        <v>219.5</v>
      </c>
      <c r="D25" s="18" t="s">
        <v>22</v>
      </c>
      <c r="E25" s="18" t="str">
        <f t="shared" si="10"/>
        <v/>
      </c>
      <c r="F25" s="19" t="str">
        <f t="shared" si="11"/>
        <v/>
      </c>
      <c r="G25" s="64" t="s">
        <v>22</v>
      </c>
      <c r="H25" s="20" t="str">
        <f t="shared" si="12"/>
        <v/>
      </c>
      <c r="I25" s="19" t="str">
        <f t="shared" si="13"/>
        <v/>
      </c>
      <c r="J25" s="60" t="s">
        <v>37</v>
      </c>
      <c r="K25" s="66" t="s">
        <v>38</v>
      </c>
      <c r="L25" s="69" t="s">
        <v>39</v>
      </c>
      <c r="M25" s="69" t="s">
        <v>40</v>
      </c>
    </row>
    <row r="26" spans="1:13" ht="72">
      <c r="A26" s="28" t="str">
        <v xml:space="preserve"> Lafayette - Bank of America</v>
      </c>
      <c r="B26" s="29" t="str">
        <v>CO</v>
      </c>
      <c r="C26" s="24">
        <v>514.20000000000005</v>
      </c>
      <c r="D26" s="13" t="s">
        <v>22</v>
      </c>
      <c r="E26" s="13" t="str">
        <f t="shared" si="10"/>
        <v/>
      </c>
      <c r="F26" s="14" t="str">
        <f t="shared" si="11"/>
        <v/>
      </c>
      <c r="G26" s="63" t="s">
        <v>22</v>
      </c>
      <c r="H26" s="15" t="str">
        <f t="shared" si="12"/>
        <v/>
      </c>
      <c r="I26" s="16" t="str">
        <f t="shared" si="13"/>
        <v/>
      </c>
      <c r="J26" s="62" t="s">
        <v>41</v>
      </c>
      <c r="K26" s="67" t="s">
        <v>42</v>
      </c>
      <c r="L26" s="69" t="s">
        <v>43</v>
      </c>
    </row>
    <row r="27" spans="1:13" ht="15.6">
      <c r="A27" s="30" t="str">
        <v xml:space="preserve"> Lakewood - Bank of America</v>
      </c>
      <c r="B27" s="31" t="str">
        <v>CO</v>
      </c>
      <c r="C27" s="11">
        <v>346.1</v>
      </c>
      <c r="D27" s="18" t="s">
        <v>22</v>
      </c>
      <c r="E27" s="18" t="str">
        <f t="shared" si="10"/>
        <v/>
      </c>
      <c r="F27" s="19" t="str">
        <f t="shared" si="11"/>
        <v/>
      </c>
      <c r="G27" s="64" t="s">
        <v>22</v>
      </c>
      <c r="H27" s="20" t="str">
        <f t="shared" si="12"/>
        <v/>
      </c>
      <c r="I27" s="19" t="str">
        <f t="shared" si="13"/>
        <v/>
      </c>
      <c r="J27" s="42"/>
      <c r="K27" s="43"/>
    </row>
    <row r="28" spans="1:13" ht="28.9">
      <c r="A28" s="28" t="str">
        <v xml:space="preserve"> Longmont - Bank of America</v>
      </c>
      <c r="B28" s="29" t="str">
        <v>CO</v>
      </c>
      <c r="C28" s="24">
        <v>281.10000000000002</v>
      </c>
      <c r="D28" s="13" t="s">
        <v>22</v>
      </c>
      <c r="E28" s="13" t="str">
        <f t="shared" si="10"/>
        <v/>
      </c>
      <c r="F28" s="14" t="str">
        <f t="shared" si="11"/>
        <v/>
      </c>
      <c r="G28" s="63" t="s">
        <v>22</v>
      </c>
      <c r="H28" s="15" t="str">
        <f t="shared" si="12"/>
        <v/>
      </c>
      <c r="I28" s="16" t="str">
        <f t="shared" si="13"/>
        <v/>
      </c>
      <c r="J28" s="62" t="s">
        <v>44</v>
      </c>
      <c r="K28" s="65" t="s">
        <v>45</v>
      </c>
    </row>
    <row r="29" spans="1:13" ht="15.6">
      <c r="A29" s="30" t="str">
        <v xml:space="preserve"> Thornton - Bank of America</v>
      </c>
      <c r="B29" s="31" t="str">
        <v>CO</v>
      </c>
      <c r="C29" s="11">
        <v>481</v>
      </c>
      <c r="D29" s="18" t="s">
        <v>22</v>
      </c>
      <c r="E29" s="18" t="str">
        <f t="shared" si="10"/>
        <v/>
      </c>
      <c r="F29" s="19" t="str">
        <f t="shared" si="11"/>
        <v/>
      </c>
      <c r="G29" s="64" t="s">
        <v>22</v>
      </c>
      <c r="H29" s="20" t="str">
        <f t="shared" si="12"/>
        <v/>
      </c>
      <c r="I29" s="19" t="str">
        <f t="shared" si="13"/>
        <v/>
      </c>
      <c r="J29" s="42"/>
      <c r="K29" s="43"/>
    </row>
    <row r="30" spans="1:13" ht="15.6">
      <c r="A30" s="28" t="str">
        <v xml:space="preserve"> Calumet City - Bank of America</v>
      </c>
      <c r="B30" s="29" t="str">
        <v>IL</v>
      </c>
      <c r="C30" s="24">
        <v>1023.4</v>
      </c>
      <c r="D30" s="13" t="s">
        <v>22</v>
      </c>
      <c r="E30" s="13" t="str">
        <f t="shared" si="10"/>
        <v/>
      </c>
      <c r="F30" s="14" t="str">
        <f t="shared" si="11"/>
        <v/>
      </c>
      <c r="G30" s="63" t="s">
        <v>22</v>
      </c>
      <c r="H30" s="15" t="str">
        <f t="shared" si="12"/>
        <v/>
      </c>
      <c r="I30" s="16" t="str">
        <f t="shared" si="13"/>
        <v/>
      </c>
      <c r="J30" s="41"/>
      <c r="K30" s="41"/>
    </row>
    <row r="31" spans="1:13" ht="15.6">
      <c r="A31" s="30" t="str">
        <v xml:space="preserve"> Downers Grove - Bank of America</v>
      </c>
      <c r="B31" s="31" t="str">
        <v>IL</v>
      </c>
      <c r="C31" s="11">
        <v>997.5</v>
      </c>
      <c r="D31" s="18" t="s">
        <v>22</v>
      </c>
      <c r="E31" s="18" t="str">
        <f t="shared" si="10"/>
        <v/>
      </c>
      <c r="F31" s="19" t="str">
        <f t="shared" si="11"/>
        <v/>
      </c>
      <c r="G31" s="64" t="s">
        <v>22</v>
      </c>
      <c r="H31" s="20" t="str">
        <f t="shared" si="12"/>
        <v/>
      </c>
      <c r="I31" s="19" t="str">
        <f t="shared" si="13"/>
        <v/>
      </c>
      <c r="J31" s="42"/>
      <c r="K31" s="43"/>
    </row>
    <row r="32" spans="1:13" ht="28.9">
      <c r="A32" s="28" t="str">
        <v xml:space="preserve"> Bloomington - Bank of America</v>
      </c>
      <c r="B32" s="29" t="str">
        <v>MN</v>
      </c>
      <c r="C32" s="24">
        <v>156.4</v>
      </c>
      <c r="D32" s="13" t="s">
        <v>22</v>
      </c>
      <c r="E32" s="13" t="str">
        <f t="shared" si="10"/>
        <v/>
      </c>
      <c r="F32" s="14" t="str">
        <f t="shared" si="11"/>
        <v/>
      </c>
      <c r="G32" s="63" t="s">
        <v>22</v>
      </c>
      <c r="H32" s="15" t="str">
        <f t="shared" si="12"/>
        <v/>
      </c>
      <c r="I32" s="16" t="str">
        <f t="shared" si="13"/>
        <v/>
      </c>
      <c r="J32" s="41" t="s">
        <v>46</v>
      </c>
      <c r="K32" s="67" t="s">
        <v>47</v>
      </c>
    </row>
    <row r="33" spans="1:11" ht="15.6">
      <c r="A33" s="30" t="str">
        <v xml:space="preserve"> Clayton - Bank of America</v>
      </c>
      <c r="B33" s="31" t="str">
        <v>MO</v>
      </c>
      <c r="C33" s="11">
        <v>804</v>
      </c>
      <c r="D33" s="18" t="s">
        <v>22</v>
      </c>
      <c r="E33" s="18" t="str">
        <f t="shared" si="10"/>
        <v/>
      </c>
      <c r="F33" s="19" t="str">
        <f t="shared" si="11"/>
        <v/>
      </c>
      <c r="G33" s="64" t="s">
        <v>22</v>
      </c>
      <c r="H33" s="20" t="str">
        <f t="shared" si="12"/>
        <v/>
      </c>
      <c r="I33" s="19" t="str">
        <f t="shared" si="13"/>
        <v/>
      </c>
      <c r="J33" s="42"/>
      <c r="K33" s="43"/>
    </row>
    <row r="34" spans="1:11" ht="15.6">
      <c r="A34" s="28" t="str">
        <v xml:space="preserve"> Manchester - Bank of America</v>
      </c>
      <c r="B34" s="29" t="str">
        <v>MO</v>
      </c>
      <c r="C34" s="24">
        <v>686.6</v>
      </c>
      <c r="D34" s="13" t="s">
        <v>22</v>
      </c>
      <c r="E34" s="13" t="str">
        <f t="shared" si="10"/>
        <v/>
      </c>
      <c r="F34" s="14" t="str">
        <f t="shared" si="11"/>
        <v/>
      </c>
      <c r="G34" s="63" t="s">
        <v>22</v>
      </c>
      <c r="H34" s="15" t="str">
        <f t="shared" si="12"/>
        <v/>
      </c>
      <c r="I34" s="16" t="str">
        <f t="shared" si="13"/>
        <v/>
      </c>
      <c r="J34" s="41"/>
      <c r="K34" s="41"/>
    </row>
    <row r="35" spans="1:11" ht="15.6">
      <c r="A35" s="30" t="str">
        <v xml:space="preserve"> Las Vegas - BA - Eastern Ave</v>
      </c>
      <c r="B35" s="31" t="str">
        <v>NV</v>
      </c>
      <c r="C35" s="11">
        <v>56.2</v>
      </c>
      <c r="D35" s="18" t="s">
        <v>22</v>
      </c>
      <c r="E35" s="18" t="str">
        <f t="shared" si="10"/>
        <v/>
      </c>
      <c r="F35" s="19" t="str">
        <f t="shared" si="11"/>
        <v/>
      </c>
      <c r="G35" s="64" t="s">
        <v>22</v>
      </c>
      <c r="H35" s="20" t="str">
        <f t="shared" si="12"/>
        <v/>
      </c>
      <c r="I35" s="19" t="str">
        <f t="shared" si="13"/>
        <v/>
      </c>
      <c r="J35" s="42"/>
      <c r="K35" s="43"/>
    </row>
    <row r="36" spans="1:11" ht="15.6">
      <c r="A36" s="28" t="str">
        <v xml:space="preserve"> Las Vegas - BA - Town Ctr Dr</v>
      </c>
      <c r="B36" s="29" t="str">
        <v>NV</v>
      </c>
      <c r="C36" s="24">
        <v>0</v>
      </c>
      <c r="D36" s="13" t="s">
        <v>22</v>
      </c>
      <c r="E36" s="13" t="str">
        <f t="shared" si="10"/>
        <v/>
      </c>
      <c r="F36" s="14" t="str">
        <f t="shared" si="11"/>
        <v/>
      </c>
      <c r="G36" s="63" t="s">
        <v>22</v>
      </c>
      <c r="H36" s="15" t="str">
        <f t="shared" si="12"/>
        <v/>
      </c>
      <c r="I36" s="16" t="str">
        <f t="shared" si="13"/>
        <v/>
      </c>
      <c r="J36" s="41"/>
      <c r="K36" s="41"/>
    </row>
    <row r="37" spans="1:11" ht="15.6">
      <c r="A37" s="30" t="str">
        <v xml:space="preserve"> Riverton - Bank of America</v>
      </c>
      <c r="B37" s="31" t="str">
        <v>UT</v>
      </c>
      <c r="C37" s="11">
        <v>1155.5999999999999</v>
      </c>
      <c r="D37" s="18" t="s">
        <v>22</v>
      </c>
      <c r="E37" s="18" t="str">
        <f t="shared" si="10"/>
        <v/>
      </c>
      <c r="F37" s="19" t="str">
        <f t="shared" si="11"/>
        <v/>
      </c>
      <c r="G37" s="64" t="s">
        <v>22</v>
      </c>
      <c r="H37" s="20" t="str">
        <f t="shared" si="12"/>
        <v/>
      </c>
      <c r="I37" s="19" t="str">
        <f t="shared" si="13"/>
        <v/>
      </c>
      <c r="J37" s="42"/>
      <c r="K37" s="43"/>
    </row>
    <row r="38" spans="1:11" ht="15.6">
      <c r="A38" s="28" t="str">
        <v xml:space="preserve"> Salt Lake City - Bank of America</v>
      </c>
      <c r="B38" s="29" t="str">
        <v>UT</v>
      </c>
      <c r="C38" s="24">
        <v>122.1</v>
      </c>
      <c r="D38" s="13" t="s">
        <v>22</v>
      </c>
      <c r="E38" s="13" t="str">
        <f t="shared" si="10"/>
        <v/>
      </c>
      <c r="F38" s="14" t="str">
        <f t="shared" si="11"/>
        <v/>
      </c>
      <c r="G38" s="63" t="s">
        <v>22</v>
      </c>
      <c r="H38" s="15" t="str">
        <f t="shared" si="12"/>
        <v/>
      </c>
      <c r="I38" s="16" t="str">
        <f t="shared" si="13"/>
        <v/>
      </c>
      <c r="J38" s="41"/>
      <c r="K38" s="4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</sheetData>
  <mergeCells count="4">
    <mergeCell ref="D1:F1"/>
    <mergeCell ref="A1:C1"/>
    <mergeCell ref="G1:I1"/>
    <mergeCell ref="A2:B2"/>
  </mergeCells>
  <conditionalFormatting sqref="F2 I2 I4:I99">
    <cfRule type="cellIs" dxfId="48" priority="4" stopIfTrue="1" operator="lessThanOrEqual">
      <formula>-0.1</formula>
    </cfRule>
    <cfRule type="expression" dxfId="47" priority="5">
      <formula>AND(ISNUMBER(F2), F2&gt;=0.1)</formula>
    </cfRule>
  </conditionalFormatting>
  <conditionalFormatting sqref="F4:F99">
    <cfRule type="cellIs" dxfId="46" priority="1" stopIfTrue="1" operator="lessThanOrEqual">
      <formula>-0.1</formula>
    </cfRule>
    <cfRule type="expression" dxfId="45" priority="2">
      <formula>AND(ISNUMBER(F4), F4&gt;=0.1)</formula>
    </cfRule>
  </conditionalFormatting>
  <hyperlinks>
    <hyperlink ref="K6" r:id="rId1" display="https://us3.assetplanner.com/service_request?ID=095278" xr:uid="{16015E95-773C-45B8-A3BA-22E5B8BEBF54}"/>
    <hyperlink ref="K8" r:id="rId2" display="https://us3.assetplanner.com/service_request?ID=095189" xr:uid="{F2E20D3E-FE71-4D82-BE98-7F208057BCAD}"/>
    <hyperlink ref="K9" r:id="rId3" display="https://us3.assetplanner.com/service_request?ID=095095" xr:uid="{DAC43DC7-7208-4265-BA9A-2FE4972F5B05}"/>
    <hyperlink ref="K10" r:id="rId4" display="https://us3.assetplanner.com/service_request?ID=091352" xr:uid="{FDF4861F-E699-44DC-9C82-9984820529D1}"/>
    <hyperlink ref="K12" r:id="rId5" display="https://us3.assetplanner.com/service_request?ID=095528" xr:uid="{9C6FF7CB-7D9F-4A41-AF47-B3A0EB7F6698}"/>
    <hyperlink ref="K15" r:id="rId6" display="https://us3.assetplanner.com/service_request?ID=095900" xr:uid="{62DA6AC4-78E2-4680-93A8-491D9CF5F9BB}"/>
    <hyperlink ref="K21" r:id="rId7" display="https://us3.assetplanner.com/service_request?ID=095596" xr:uid="{840873D0-7229-4B36-9E90-428BDD16796F}"/>
    <hyperlink ref="K25" r:id="rId8" display="https://us3.assetplanner.com/service_request?ID=095597" xr:uid="{2A467A71-2AEB-43D7-A1C4-B6985A23AEBB}"/>
    <hyperlink ref="L25" r:id="rId9" display="https://us3.assetplanner.com/service_request?ID=089922" xr:uid="{0875C23C-F57F-45BF-97E0-147013430A07}"/>
    <hyperlink ref="M25" r:id="rId10" display="https://us3.assetplanner.com/service_request?ID=095037" xr:uid="{88191342-4214-4B1C-A023-67165B4CA53E}"/>
    <hyperlink ref="K26" r:id="rId11" display="https://us3.assetplanner.com/service_request?ID=092849" xr:uid="{4469FE7F-99A5-46E2-AA0A-6047CB93CA57}"/>
    <hyperlink ref="L26" r:id="rId12" display="https://us3.assetplanner.com/service_request?ID=095290" xr:uid="{805A3888-0197-4DFE-B860-1CBC3A8356D9}"/>
    <hyperlink ref="K28" r:id="rId13" display="https://us3.assetplanner.com/service_request?ID=096191" xr:uid="{3AE697B4-62B5-4A96-9033-1938AEEBF39B}"/>
    <hyperlink ref="K32" r:id="rId14" display="https://us3.assetplanner.com/service_request?ID=094909" xr:uid="{8780DD24-7D20-459F-8128-94C7DB871597}"/>
  </hyperlinks>
  <pageMargins left="0.4" right="0.7" top="0.25" bottom="0.25" header="0.3" footer="0.3"/>
  <pageSetup fitToHeight="99" orientation="landscape" r:id="rId1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342"/>
  <sheetViews>
    <sheetView zoomScale="60" zoomScaleNormal="60" workbookViewId="0">
      <pane xSplit="2" ySplit="3" topLeftCell="C24" activePane="bottomRight" state="frozen"/>
      <selection pane="bottomRight" activeCell="C16" sqref="C16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74" t="str" cm="1">
        <f t="array" ref="A1">portfolio</f>
        <v>Cushman &amp; Wakefield</v>
      </c>
      <c r="B1" s="74"/>
      <c r="C1" s="74"/>
      <c r="D1" s="75" t="s">
        <v>48</v>
      </c>
      <c r="E1" s="75"/>
      <c r="F1" s="75"/>
      <c r="G1" s="73" t="s">
        <v>49</v>
      </c>
      <c r="H1" s="73"/>
      <c r="I1" s="73"/>
      <c r="J1" s="4"/>
      <c r="K1" s="4"/>
    </row>
    <row r="2" spans="1:12" ht="19.5" customHeight="1">
      <c r="A2" s="76" t="s">
        <v>2</v>
      </c>
      <c r="B2" s="76"/>
      <c r="C2" s="5">
        <f>SUM(C4:C100)</f>
        <v>31847.3</v>
      </c>
      <c r="D2" s="5">
        <f>SUM(D4:D100)</f>
        <v>0</v>
      </c>
      <c r="E2" s="5">
        <f>C2-D2</f>
        <v>31847.3</v>
      </c>
      <c r="F2" s="6">
        <f>IFERROR(E2/D2, 0)</f>
        <v>0</v>
      </c>
      <c r="G2" s="5">
        <f>SUM(G4:G100)</f>
        <v>0</v>
      </c>
      <c r="H2" s="7">
        <f>C2-G2</f>
        <v>31847.3</v>
      </c>
      <c r="I2" s="6">
        <f>IFERROR(H2/G2, 0)</f>
        <v>0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>
        <v>0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63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2" ht="15.6">
      <c r="A5" s="30" t="str">
        <v xml:space="preserve"> Apple Valley - Bank of America</v>
      </c>
      <c r="B5" s="31" t="str">
        <v>CA</v>
      </c>
      <c r="C5" s="11">
        <v>0</v>
      </c>
      <c r="D5" s="18" t="s">
        <v>22</v>
      </c>
      <c r="E5" s="18" t="str">
        <f t="shared" ref="E5:E15" si="0">IF(AND(ISNUMBER(C5),ISNUMBER(D5)), C5-D5, "")</f>
        <v/>
      </c>
      <c r="F5" s="19" t="str">
        <f>IFERROR(E5/D5, "")</f>
        <v/>
      </c>
      <c r="G5" s="64" t="s">
        <v>22</v>
      </c>
      <c r="H5" s="20" t="str">
        <f t="shared" ref="H5:H15" si="1">IF(AND(ISNUMBER(C5),ISNUMBER(G5)), C5-G5, "")</f>
        <v/>
      </c>
      <c r="I5" s="19" t="str">
        <f t="shared" ref="I5:I15" si="2">IFERROR(H5/G5, "")</f>
        <v/>
      </c>
      <c r="J5" s="42"/>
      <c r="K5" s="42"/>
    </row>
    <row r="6" spans="1:12" ht="15.6">
      <c r="A6" s="28" t="str">
        <v xml:space="preserve"> Arvin - Bank of America</v>
      </c>
      <c r="B6" s="29" t="str">
        <v>CA</v>
      </c>
      <c r="C6" s="24">
        <v>73</v>
      </c>
      <c r="D6" s="13" t="s">
        <v>22</v>
      </c>
      <c r="E6" s="13" t="str">
        <f>IF(AND(ISNUMBER(C6),ISNUMBER(D6)), C6-D6, "")</f>
        <v/>
      </c>
      <c r="F6" s="14" t="str">
        <f t="shared" ref="F6:F15" si="3">IFERROR(E6/D6, "")</f>
        <v/>
      </c>
      <c r="G6" s="63" t="s">
        <v>22</v>
      </c>
      <c r="H6" s="15" t="str">
        <f t="shared" si="1"/>
        <v/>
      </c>
      <c r="I6" s="16" t="str">
        <f t="shared" si="2"/>
        <v/>
      </c>
      <c r="J6" s="41"/>
      <c r="K6" s="41"/>
    </row>
    <row r="7" spans="1:12" ht="15.6">
      <c r="A7" s="30" t="str">
        <v xml:space="preserve"> Bell - Bank of America</v>
      </c>
      <c r="B7" s="31" t="str">
        <v>CA</v>
      </c>
      <c r="C7" s="11">
        <v>1743</v>
      </c>
      <c r="D7" s="18" t="s">
        <v>22</v>
      </c>
      <c r="E7" s="18" t="str">
        <f t="shared" si="0"/>
        <v/>
      </c>
      <c r="F7" s="19" t="str">
        <f t="shared" si="3"/>
        <v/>
      </c>
      <c r="G7" s="64" t="s">
        <v>22</v>
      </c>
      <c r="H7" s="20" t="str">
        <f t="shared" si="1"/>
        <v/>
      </c>
      <c r="I7" s="19" t="str">
        <f t="shared" si="2"/>
        <v/>
      </c>
      <c r="J7" s="42"/>
      <c r="K7" s="43"/>
    </row>
    <row r="8" spans="1:12" ht="15.6">
      <c r="A8" s="28" t="str">
        <v xml:space="preserve"> Chula Vista - Bank of America</v>
      </c>
      <c r="B8" s="29" t="str">
        <v>CA</v>
      </c>
      <c r="C8" s="24">
        <v>968</v>
      </c>
      <c r="D8" s="13" t="s">
        <v>22</v>
      </c>
      <c r="E8" s="13" t="str">
        <f t="shared" si="0"/>
        <v/>
      </c>
      <c r="F8" s="14" t="str">
        <f t="shared" si="3"/>
        <v/>
      </c>
      <c r="G8" s="63" t="s">
        <v>22</v>
      </c>
      <c r="H8" s="15" t="str">
        <f t="shared" si="1"/>
        <v/>
      </c>
      <c r="I8" s="16" t="str">
        <f t="shared" si="2"/>
        <v/>
      </c>
      <c r="J8" s="41"/>
      <c r="K8" s="41"/>
    </row>
    <row r="9" spans="1:12" ht="62.25" customHeight="1">
      <c r="A9" s="30" t="str">
        <v xml:space="preserve"> Cupertino - Bank of America</v>
      </c>
      <c r="B9" s="31" t="str">
        <v>CA</v>
      </c>
      <c r="C9" s="11">
        <v>293</v>
      </c>
      <c r="D9" s="18" t="s">
        <v>22</v>
      </c>
      <c r="E9" s="18" t="str">
        <f t="shared" si="0"/>
        <v/>
      </c>
      <c r="F9" s="19" t="str">
        <f t="shared" si="3"/>
        <v/>
      </c>
      <c r="G9" s="64" t="s">
        <v>22</v>
      </c>
      <c r="H9" s="20" t="str">
        <f t="shared" si="1"/>
        <v/>
      </c>
      <c r="I9" s="19" t="str">
        <f t="shared" si="2"/>
        <v/>
      </c>
      <c r="J9" s="60" t="s">
        <v>50</v>
      </c>
      <c r="K9" s="66" t="s">
        <v>51</v>
      </c>
      <c r="L9" s="69" t="s">
        <v>52</v>
      </c>
    </row>
    <row r="10" spans="1:12" ht="76.5" customHeight="1">
      <c r="A10" s="28" t="str">
        <v xml:space="preserve"> Diamond Bar - Bank of America</v>
      </c>
      <c r="B10" s="29" t="str">
        <v>CA</v>
      </c>
      <c r="C10" s="24">
        <v>2229</v>
      </c>
      <c r="D10" s="13" t="s">
        <v>22</v>
      </c>
      <c r="E10" s="13" t="str">
        <f t="shared" si="0"/>
        <v/>
      </c>
      <c r="F10" s="14" t="str">
        <f t="shared" si="3"/>
        <v/>
      </c>
      <c r="G10" s="63" t="s">
        <v>22</v>
      </c>
      <c r="H10" s="15" t="str">
        <f t="shared" si="1"/>
        <v/>
      </c>
      <c r="I10" s="16" t="str">
        <f t="shared" si="2"/>
        <v/>
      </c>
      <c r="J10" s="62" t="s">
        <v>29</v>
      </c>
      <c r="K10" s="65" t="s">
        <v>30</v>
      </c>
    </row>
    <row r="11" spans="1:12" ht="28.9">
      <c r="A11" s="30" t="str">
        <v xml:space="preserve"> El Centro - Bank of America</v>
      </c>
      <c r="B11" s="31" t="str">
        <v>CA</v>
      </c>
      <c r="C11" s="11">
        <v>1684</v>
      </c>
      <c r="D11" s="18" t="s">
        <v>22</v>
      </c>
      <c r="E11" s="18" t="str">
        <f t="shared" si="0"/>
        <v/>
      </c>
      <c r="F11" s="19" t="str">
        <f t="shared" si="3"/>
        <v/>
      </c>
      <c r="G11" s="64" t="s">
        <v>22</v>
      </c>
      <c r="H11" s="20" t="str">
        <f t="shared" si="1"/>
        <v/>
      </c>
      <c r="I11" s="19" t="str">
        <f t="shared" si="2"/>
        <v/>
      </c>
      <c r="J11" s="42" t="s">
        <v>53</v>
      </c>
      <c r="K11" s="66" t="s">
        <v>54</v>
      </c>
    </row>
    <row r="12" spans="1:12" ht="28.9">
      <c r="A12" s="28" t="str">
        <v xml:space="preserve"> Moreno Valley - Bank of America</v>
      </c>
      <c r="B12" s="29" t="str">
        <v>CA</v>
      </c>
      <c r="C12" s="24">
        <v>3058</v>
      </c>
      <c r="D12" s="13" t="s">
        <v>22</v>
      </c>
      <c r="E12" s="13" t="str">
        <f t="shared" si="0"/>
        <v/>
      </c>
      <c r="F12" s="14" t="str">
        <f t="shared" si="3"/>
        <v/>
      </c>
      <c r="G12" s="63" t="s">
        <v>22</v>
      </c>
      <c r="H12" s="15" t="str">
        <f t="shared" si="1"/>
        <v/>
      </c>
      <c r="I12" s="16" t="str">
        <f t="shared" si="2"/>
        <v/>
      </c>
      <c r="J12" s="41" t="s">
        <v>31</v>
      </c>
      <c r="K12" s="65" t="s">
        <v>32</v>
      </c>
    </row>
    <row r="13" spans="1:12" ht="15.6">
      <c r="A13" s="30" t="str">
        <v xml:space="preserve"> Redlands - Bank of America</v>
      </c>
      <c r="B13" s="31" t="str">
        <v>CA</v>
      </c>
      <c r="C13" s="11">
        <v>0</v>
      </c>
      <c r="D13" s="18" t="s">
        <v>22</v>
      </c>
      <c r="E13" s="18" t="str">
        <f t="shared" si="0"/>
        <v/>
      </c>
      <c r="F13" s="19" t="str">
        <f t="shared" si="3"/>
        <v/>
      </c>
      <c r="G13" s="64" t="s">
        <v>22</v>
      </c>
      <c r="H13" s="20" t="str">
        <f t="shared" si="1"/>
        <v/>
      </c>
      <c r="I13" s="19" t="str">
        <f t="shared" si="2"/>
        <v/>
      </c>
      <c r="J13" s="42"/>
      <c r="K13" s="43"/>
    </row>
    <row r="14" spans="1:12" ht="15.6">
      <c r="A14" s="28" t="str">
        <v xml:space="preserve"> Roseville - Bank of America</v>
      </c>
      <c r="B14" s="29" t="str">
        <v>CA</v>
      </c>
      <c r="C14" s="24">
        <v>3965.3</v>
      </c>
      <c r="D14" s="13" t="s">
        <v>22</v>
      </c>
      <c r="E14" s="13" t="str">
        <f t="shared" si="0"/>
        <v/>
      </c>
      <c r="F14" s="14" t="str">
        <f t="shared" si="3"/>
        <v/>
      </c>
      <c r="G14" s="63" t="s">
        <v>22</v>
      </c>
      <c r="H14" s="15" t="str">
        <f t="shared" si="1"/>
        <v/>
      </c>
      <c r="I14" s="16" t="str">
        <f t="shared" si="2"/>
        <v/>
      </c>
      <c r="J14" s="41"/>
      <c r="K14" s="41"/>
    </row>
    <row r="15" spans="1:12" ht="69" customHeight="1">
      <c r="A15" s="30" t="str">
        <v xml:space="preserve"> San Bernardino - Bank of America</v>
      </c>
      <c r="B15" s="31" t="str">
        <v>CA</v>
      </c>
      <c r="C15" s="11">
        <v>43</v>
      </c>
      <c r="D15" s="18" t="s">
        <v>22</v>
      </c>
      <c r="E15" s="18" t="str">
        <f t="shared" si="0"/>
        <v/>
      </c>
      <c r="F15" s="19" t="str">
        <f t="shared" si="3"/>
        <v/>
      </c>
      <c r="G15" s="64" t="s">
        <v>22</v>
      </c>
      <c r="H15" s="20" t="str">
        <f t="shared" si="1"/>
        <v/>
      </c>
      <c r="I15" s="19" t="str">
        <f t="shared" si="2"/>
        <v/>
      </c>
      <c r="J15" s="60" t="s">
        <v>55</v>
      </c>
      <c r="K15" s="66" t="s">
        <v>34</v>
      </c>
    </row>
    <row r="16" spans="1:12" ht="15.6">
      <c r="A16" s="28" t="str">
        <v xml:space="preserve"> San Diego - Bank of America</v>
      </c>
      <c r="B16" s="29" t="str">
        <v>CA</v>
      </c>
      <c r="C16" s="24">
        <v>33</v>
      </c>
      <c r="D16" s="13" t="s">
        <v>22</v>
      </c>
      <c r="E16" s="13" t="str">
        <f t="shared" ref="E16:E17" si="4">IF(AND(ISNUMBER(C16),ISNUMBER(D16)), C16-D16, "")</f>
        <v/>
      </c>
      <c r="F16" s="14" t="str">
        <f t="shared" ref="F16:F17" si="5">IFERROR(E16/D16, "")</f>
        <v/>
      </c>
      <c r="G16" s="63" t="s">
        <v>22</v>
      </c>
      <c r="H16" s="15" t="str">
        <f t="shared" ref="H16:H17" si="6">IF(AND(ISNUMBER(C16),ISNUMBER(G16)), C16-G16, "")</f>
        <v/>
      </c>
      <c r="I16" s="16" t="str">
        <f t="shared" ref="I16:I17" si="7">IFERROR(H16/G16, "")</f>
        <v/>
      </c>
      <c r="J16" s="41"/>
      <c r="K16" s="41"/>
    </row>
    <row r="17" spans="1:11" ht="28.9">
      <c r="A17" s="30" t="str">
        <v xml:space="preserve"> Stockton - Bank of America</v>
      </c>
      <c r="B17" s="31" t="str">
        <v>CA</v>
      </c>
      <c r="C17" s="11">
        <v>758</v>
      </c>
      <c r="D17" s="18" t="s">
        <v>22</v>
      </c>
      <c r="E17" s="18" t="str">
        <f t="shared" si="4"/>
        <v/>
      </c>
      <c r="F17" s="19" t="str">
        <f t="shared" si="5"/>
        <v/>
      </c>
      <c r="G17" s="64" t="s">
        <v>22</v>
      </c>
      <c r="H17" s="20" t="str">
        <f t="shared" si="6"/>
        <v/>
      </c>
      <c r="I17" s="19" t="str">
        <f t="shared" si="7"/>
        <v/>
      </c>
      <c r="J17" s="42" t="s">
        <v>56</v>
      </c>
      <c r="K17" s="66" t="s">
        <v>57</v>
      </c>
    </row>
    <row r="18" spans="1:11" ht="12.75" customHeight="1">
      <c r="A18" s="28" t="str">
        <v xml:space="preserve"> Victorville - Bank of America</v>
      </c>
      <c r="B18" s="29" t="str">
        <v>CA</v>
      </c>
      <c r="C18" s="24">
        <v>0</v>
      </c>
      <c r="D18" s="13" t="s">
        <v>22</v>
      </c>
      <c r="E18" s="13" t="str">
        <f t="shared" ref="E18:E38" si="8">IF(AND(ISNUMBER(C18),ISNUMBER(D18)), C18-D18, "")</f>
        <v/>
      </c>
      <c r="F18" s="14" t="str">
        <f t="shared" ref="F18:F38" si="9">IFERROR(E18/D18, "")</f>
        <v/>
      </c>
      <c r="G18" s="63" t="s">
        <v>22</v>
      </c>
      <c r="H18" s="15" t="str">
        <f t="shared" ref="H18:H38" si="10">IF(AND(ISNUMBER(C18),ISNUMBER(G18)), C18-G18, "")</f>
        <v/>
      </c>
      <c r="I18" s="16" t="str">
        <f t="shared" ref="I18:I38" si="11">IFERROR(H18/G18, "")</f>
        <v/>
      </c>
      <c r="J18" s="41"/>
      <c r="K18" s="41"/>
    </row>
    <row r="19" spans="1:11" ht="15.6">
      <c r="A19" s="30" t="str">
        <v xml:space="preserve"> Aurora - BA - Colfax Ave</v>
      </c>
      <c r="B19" s="31" t="str">
        <v>CO</v>
      </c>
      <c r="C19" s="11">
        <v>699</v>
      </c>
      <c r="D19" s="18" t="s">
        <v>22</v>
      </c>
      <c r="E19" s="18" t="str">
        <f t="shared" si="8"/>
        <v/>
      </c>
      <c r="F19" s="19" t="str">
        <f t="shared" si="9"/>
        <v/>
      </c>
      <c r="G19" s="64" t="s">
        <v>22</v>
      </c>
      <c r="H19" s="20" t="str">
        <f t="shared" si="10"/>
        <v/>
      </c>
      <c r="I19" s="19" t="str">
        <f t="shared" si="11"/>
        <v/>
      </c>
      <c r="J19" s="42"/>
      <c r="K19" s="43"/>
    </row>
    <row r="20" spans="1:11" ht="15.6">
      <c r="A20" s="28" t="str">
        <v xml:space="preserve"> Aurora - BA - Parker Rd</v>
      </c>
      <c r="B20" s="29" t="str">
        <v>CO</v>
      </c>
      <c r="C20" s="24">
        <v>2054</v>
      </c>
      <c r="D20" s="13" t="s">
        <v>22</v>
      </c>
      <c r="E20" s="13" t="str">
        <f t="shared" si="8"/>
        <v/>
      </c>
      <c r="F20" s="14" t="str">
        <f t="shared" si="9"/>
        <v/>
      </c>
      <c r="G20" s="63" t="s">
        <v>22</v>
      </c>
      <c r="H20" s="15" t="str">
        <f t="shared" si="10"/>
        <v/>
      </c>
      <c r="I20" s="16" t="str">
        <f t="shared" si="11"/>
        <v/>
      </c>
      <c r="J20" s="41"/>
      <c r="K20" s="41"/>
    </row>
    <row r="21" spans="1:11" ht="28.9">
      <c r="A21" s="30" t="str">
        <v xml:space="preserve"> Broomfield - Bank of America</v>
      </c>
      <c r="B21" s="31" t="str">
        <v>CO</v>
      </c>
      <c r="C21" s="11">
        <v>760</v>
      </c>
      <c r="D21" s="18" t="s">
        <v>22</v>
      </c>
      <c r="E21" s="18" t="str">
        <f t="shared" si="8"/>
        <v/>
      </c>
      <c r="F21" s="19" t="str">
        <f t="shared" si="9"/>
        <v/>
      </c>
      <c r="G21" s="64" t="s">
        <v>22</v>
      </c>
      <c r="H21" s="20" t="str">
        <f t="shared" si="10"/>
        <v/>
      </c>
      <c r="I21" s="19" t="str">
        <f t="shared" si="11"/>
        <v/>
      </c>
      <c r="J21" s="42" t="s">
        <v>58</v>
      </c>
      <c r="K21" s="66" t="s">
        <v>36</v>
      </c>
    </row>
    <row r="22" spans="1:11" ht="15.6">
      <c r="A22" s="28" t="str">
        <v xml:space="preserve"> Colorado Springs - Bank of America</v>
      </c>
      <c r="B22" s="29" t="str">
        <v>CO</v>
      </c>
      <c r="C22" s="24">
        <v>1767</v>
      </c>
      <c r="D22" s="13" t="s">
        <v>22</v>
      </c>
      <c r="E22" s="13" t="str">
        <f t="shared" si="8"/>
        <v/>
      </c>
      <c r="F22" s="14" t="str">
        <f t="shared" si="9"/>
        <v/>
      </c>
      <c r="G22" s="63" t="s">
        <v>22</v>
      </c>
      <c r="H22" s="15" t="str">
        <f t="shared" si="10"/>
        <v/>
      </c>
      <c r="I22" s="16" t="str">
        <f t="shared" si="11"/>
        <v/>
      </c>
      <c r="J22" s="41"/>
      <c r="K22" s="41"/>
    </row>
    <row r="23" spans="1:11" ht="15.6">
      <c r="A23" s="30" t="str">
        <v xml:space="preserve"> Denver - BA - 49th Ave</v>
      </c>
      <c r="B23" s="31" t="str">
        <v>CO</v>
      </c>
      <c r="C23" s="11">
        <v>653</v>
      </c>
      <c r="D23" s="18" t="s">
        <v>22</v>
      </c>
      <c r="E23" s="18" t="str">
        <f t="shared" si="8"/>
        <v/>
      </c>
      <c r="F23" s="19" t="str">
        <f t="shared" si="9"/>
        <v/>
      </c>
      <c r="G23" s="64" t="s">
        <v>22</v>
      </c>
      <c r="H23" s="20" t="str">
        <f t="shared" si="10"/>
        <v/>
      </c>
      <c r="I23" s="19" t="str">
        <f t="shared" si="11"/>
        <v/>
      </c>
      <c r="J23" s="42"/>
      <c r="K23" s="43"/>
    </row>
    <row r="24" spans="1:11" ht="15.6">
      <c r="A24" s="28" t="str">
        <v xml:space="preserve"> Denver - BA Wadsworth Blvd</v>
      </c>
      <c r="B24" s="29" t="str">
        <v>CO</v>
      </c>
      <c r="C24" s="24">
        <v>1289</v>
      </c>
      <c r="D24" s="13" t="s">
        <v>22</v>
      </c>
      <c r="E24" s="13" t="str">
        <f t="shared" si="8"/>
        <v/>
      </c>
      <c r="F24" s="14" t="str">
        <f t="shared" si="9"/>
        <v/>
      </c>
      <c r="G24" s="63" t="s">
        <v>22</v>
      </c>
      <c r="H24" s="15" t="str">
        <f t="shared" si="10"/>
        <v/>
      </c>
      <c r="I24" s="16" t="str">
        <f t="shared" si="11"/>
        <v/>
      </c>
      <c r="J24" s="41"/>
      <c r="K24" s="41"/>
    </row>
    <row r="25" spans="1:11" ht="15.6">
      <c r="A25" s="30" t="str">
        <v xml:space="preserve"> Fort Collins - Bank of America</v>
      </c>
      <c r="B25" s="31" t="str">
        <v>CO</v>
      </c>
      <c r="C25" s="11">
        <v>794</v>
      </c>
      <c r="D25" s="18" t="s">
        <v>22</v>
      </c>
      <c r="E25" s="18" t="str">
        <f t="shared" si="8"/>
        <v/>
      </c>
      <c r="F25" s="19" t="str">
        <f t="shared" si="9"/>
        <v/>
      </c>
      <c r="G25" s="64" t="s">
        <v>22</v>
      </c>
      <c r="H25" s="20" t="str">
        <f t="shared" si="10"/>
        <v/>
      </c>
      <c r="I25" s="19" t="str">
        <f t="shared" si="11"/>
        <v/>
      </c>
      <c r="J25" s="42"/>
      <c r="K25" s="43"/>
    </row>
    <row r="26" spans="1:11" ht="15.6">
      <c r="A26" s="28" t="str">
        <v xml:space="preserve"> Lafayette - Bank of America</v>
      </c>
      <c r="B26" s="29" t="str">
        <v>CO</v>
      </c>
      <c r="C26" s="24">
        <v>1223</v>
      </c>
      <c r="D26" s="13" t="s">
        <v>22</v>
      </c>
      <c r="E26" s="13" t="str">
        <f t="shared" si="8"/>
        <v/>
      </c>
      <c r="F26" s="14" t="str">
        <f t="shared" si="9"/>
        <v/>
      </c>
      <c r="G26" s="63" t="s">
        <v>22</v>
      </c>
      <c r="H26" s="15" t="str">
        <f t="shared" si="10"/>
        <v/>
      </c>
      <c r="I26" s="16" t="str">
        <f t="shared" si="11"/>
        <v/>
      </c>
      <c r="J26" s="41"/>
      <c r="K26" s="41"/>
    </row>
    <row r="27" spans="1:11" ht="15.6">
      <c r="A27" s="30" t="str">
        <v xml:space="preserve"> Lakewood - Bank of America</v>
      </c>
      <c r="B27" s="31" t="str">
        <v>CO</v>
      </c>
      <c r="C27" s="11">
        <v>611</v>
      </c>
      <c r="D27" s="18" t="s">
        <v>22</v>
      </c>
      <c r="E27" s="18" t="str">
        <f t="shared" si="8"/>
        <v/>
      </c>
      <c r="F27" s="19" t="str">
        <f t="shared" si="9"/>
        <v/>
      </c>
      <c r="G27" s="64" t="s">
        <v>22</v>
      </c>
      <c r="H27" s="20" t="str">
        <f t="shared" si="10"/>
        <v/>
      </c>
      <c r="I27" s="19" t="str">
        <f t="shared" si="11"/>
        <v/>
      </c>
      <c r="J27" s="42"/>
      <c r="K27" s="43"/>
    </row>
    <row r="28" spans="1:11" ht="28.9">
      <c r="A28" s="28" t="str">
        <v xml:space="preserve"> Longmont - Bank of America</v>
      </c>
      <c r="B28" s="29" t="str">
        <v>CO</v>
      </c>
      <c r="C28" s="24">
        <v>536</v>
      </c>
      <c r="D28" s="13" t="s">
        <v>22</v>
      </c>
      <c r="E28" s="13" t="str">
        <f t="shared" si="8"/>
        <v/>
      </c>
      <c r="F28" s="14" t="str">
        <f t="shared" si="9"/>
        <v/>
      </c>
      <c r="G28" s="63" t="s">
        <v>22</v>
      </c>
      <c r="H28" s="15" t="str">
        <f t="shared" si="10"/>
        <v/>
      </c>
      <c r="I28" s="16" t="str">
        <f t="shared" si="11"/>
        <v/>
      </c>
      <c r="J28" s="62" t="s">
        <v>59</v>
      </c>
      <c r="K28" s="65" t="s">
        <v>45</v>
      </c>
    </row>
    <row r="29" spans="1:11" ht="15.6">
      <c r="A29" s="30" t="str">
        <v xml:space="preserve"> Thornton - Bank of America</v>
      </c>
      <c r="B29" s="31" t="str">
        <v>CO</v>
      </c>
      <c r="C29" s="11">
        <v>774</v>
      </c>
      <c r="D29" s="18" t="s">
        <v>22</v>
      </c>
      <c r="E29" s="18" t="str">
        <f t="shared" si="8"/>
        <v/>
      </c>
      <c r="F29" s="19" t="str">
        <f t="shared" si="9"/>
        <v/>
      </c>
      <c r="G29" s="64" t="s">
        <v>22</v>
      </c>
      <c r="H29" s="20" t="str">
        <f t="shared" si="10"/>
        <v/>
      </c>
      <c r="I29" s="19" t="str">
        <f t="shared" si="11"/>
        <v/>
      </c>
      <c r="J29" s="42"/>
      <c r="K29" s="43"/>
    </row>
    <row r="30" spans="1:11" ht="15.6">
      <c r="A30" s="28" t="str">
        <v xml:space="preserve"> Calumet City - Bank of America</v>
      </c>
      <c r="B30" s="29" t="str">
        <v>IL</v>
      </c>
      <c r="C30" s="24">
        <v>1028</v>
      </c>
      <c r="D30" s="13" t="s">
        <v>22</v>
      </c>
      <c r="E30" s="13" t="str">
        <f t="shared" si="8"/>
        <v/>
      </c>
      <c r="F30" s="14" t="str">
        <f t="shared" si="9"/>
        <v/>
      </c>
      <c r="G30" s="63" t="s">
        <v>22</v>
      </c>
      <c r="H30" s="15" t="str">
        <f t="shared" si="10"/>
        <v/>
      </c>
      <c r="I30" s="16" t="str">
        <f t="shared" si="11"/>
        <v/>
      </c>
      <c r="J30" s="41"/>
      <c r="K30" s="41"/>
    </row>
    <row r="31" spans="1:11" ht="15.6">
      <c r="A31" s="30" t="str">
        <v xml:space="preserve"> Downers Grove - Bank of America</v>
      </c>
      <c r="B31" s="31" t="str">
        <v>IL</v>
      </c>
      <c r="C31" s="11">
        <v>1081</v>
      </c>
      <c r="D31" s="18" t="s">
        <v>22</v>
      </c>
      <c r="E31" s="18" t="str">
        <f t="shared" si="8"/>
        <v/>
      </c>
      <c r="F31" s="19" t="str">
        <f t="shared" si="9"/>
        <v/>
      </c>
      <c r="G31" s="64" t="s">
        <v>22</v>
      </c>
      <c r="H31" s="20" t="str">
        <f t="shared" si="10"/>
        <v/>
      </c>
      <c r="I31" s="19" t="str">
        <f t="shared" si="11"/>
        <v/>
      </c>
      <c r="J31" s="42"/>
      <c r="K31" s="43"/>
    </row>
    <row r="32" spans="1:11" ht="28.9">
      <c r="A32" s="28" t="str">
        <v xml:space="preserve"> Bloomington - Bank of America</v>
      </c>
      <c r="B32" s="29" t="str">
        <v>MN</v>
      </c>
      <c r="C32" s="24">
        <v>130</v>
      </c>
      <c r="D32" s="13" t="s">
        <v>22</v>
      </c>
      <c r="E32" s="13" t="str">
        <f t="shared" si="8"/>
        <v/>
      </c>
      <c r="F32" s="14" t="str">
        <f t="shared" si="9"/>
        <v/>
      </c>
      <c r="G32" s="63" t="s">
        <v>22</v>
      </c>
      <c r="H32" s="15" t="str">
        <f t="shared" si="10"/>
        <v/>
      </c>
      <c r="I32" s="16" t="str">
        <f t="shared" si="11"/>
        <v/>
      </c>
      <c r="J32" s="41" t="s">
        <v>46</v>
      </c>
      <c r="K32" s="67" t="s">
        <v>47</v>
      </c>
    </row>
    <row r="33" spans="1:11" ht="15.6">
      <c r="A33" s="30" t="str">
        <v xml:space="preserve"> Clayton - Bank of America</v>
      </c>
      <c r="B33" s="31" t="str">
        <v>MO</v>
      </c>
      <c r="C33" s="11">
        <v>1206</v>
      </c>
      <c r="D33" s="18" t="s">
        <v>22</v>
      </c>
      <c r="E33" s="18" t="str">
        <f t="shared" si="8"/>
        <v/>
      </c>
      <c r="F33" s="19" t="str">
        <f t="shared" si="9"/>
        <v/>
      </c>
      <c r="G33" s="64" t="s">
        <v>22</v>
      </c>
      <c r="H33" s="20" t="str">
        <f t="shared" si="10"/>
        <v/>
      </c>
      <c r="I33" s="19" t="str">
        <f t="shared" si="11"/>
        <v/>
      </c>
      <c r="J33" s="42"/>
      <c r="K33" s="43"/>
    </row>
    <row r="34" spans="1:11" ht="28.9">
      <c r="A34" s="28" t="str">
        <v xml:space="preserve"> Manchester - Bank of America</v>
      </c>
      <c r="B34" s="29" t="str">
        <v>MO</v>
      </c>
      <c r="C34" s="24">
        <v>894</v>
      </c>
      <c r="D34" s="13" t="s">
        <v>22</v>
      </c>
      <c r="E34" s="13" t="str">
        <f t="shared" si="8"/>
        <v/>
      </c>
      <c r="F34" s="14" t="str">
        <f t="shared" si="9"/>
        <v/>
      </c>
      <c r="G34" s="63" t="s">
        <v>22</v>
      </c>
      <c r="H34" s="15" t="str">
        <f t="shared" si="10"/>
        <v/>
      </c>
      <c r="I34" s="16" t="str">
        <f t="shared" si="11"/>
        <v/>
      </c>
      <c r="J34" s="41" t="s">
        <v>60</v>
      </c>
      <c r="K34" s="65" t="s">
        <v>61</v>
      </c>
    </row>
    <row r="35" spans="1:11" ht="15.6">
      <c r="A35" s="30" t="str">
        <v xml:space="preserve"> Las Vegas - BA - Eastern Ave</v>
      </c>
      <c r="B35" s="31" t="str">
        <v>NV</v>
      </c>
      <c r="C35" s="11">
        <v>12</v>
      </c>
      <c r="D35" s="18" t="s">
        <v>22</v>
      </c>
      <c r="E35" s="18" t="str">
        <f t="shared" si="8"/>
        <v/>
      </c>
      <c r="F35" s="19" t="str">
        <f t="shared" si="9"/>
        <v/>
      </c>
      <c r="G35" s="64" t="s">
        <v>22</v>
      </c>
      <c r="H35" s="20" t="str">
        <f t="shared" si="10"/>
        <v/>
      </c>
      <c r="I35" s="19" t="str">
        <f t="shared" si="11"/>
        <v/>
      </c>
      <c r="J35" s="60" t="s">
        <v>62</v>
      </c>
      <c r="K35" s="66" t="s">
        <v>63</v>
      </c>
    </row>
    <row r="36" spans="1:11" ht="15.6">
      <c r="A36" s="28" t="str">
        <v xml:space="preserve"> Las Vegas - BA - Town Ctr Dr</v>
      </c>
      <c r="B36" s="29" t="str">
        <v>NV</v>
      </c>
      <c r="C36" s="24">
        <v>0</v>
      </c>
      <c r="D36" s="13" t="s">
        <v>22</v>
      </c>
      <c r="E36" s="13" t="str">
        <f t="shared" si="8"/>
        <v/>
      </c>
      <c r="F36" s="14" t="str">
        <f t="shared" si="9"/>
        <v/>
      </c>
      <c r="G36" s="63" t="s">
        <v>22</v>
      </c>
      <c r="H36" s="15" t="str">
        <f t="shared" si="10"/>
        <v/>
      </c>
      <c r="I36" s="16" t="str">
        <f t="shared" si="11"/>
        <v/>
      </c>
      <c r="J36" s="41"/>
      <c r="K36" s="41"/>
    </row>
    <row r="37" spans="1:11" ht="15.6">
      <c r="A37" s="30" t="str">
        <v xml:space="preserve"> Riverton - Bank of America</v>
      </c>
      <c r="B37" s="31" t="str">
        <v>UT</v>
      </c>
      <c r="C37" s="11">
        <v>1326</v>
      </c>
      <c r="D37" s="18" t="s">
        <v>22</v>
      </c>
      <c r="E37" s="18" t="str">
        <f t="shared" si="8"/>
        <v/>
      </c>
      <c r="F37" s="19" t="str">
        <f t="shared" si="9"/>
        <v/>
      </c>
      <c r="G37" s="64" t="s">
        <v>22</v>
      </c>
      <c r="H37" s="20" t="str">
        <f t="shared" si="10"/>
        <v/>
      </c>
      <c r="I37" s="19" t="str">
        <f t="shared" si="11"/>
        <v/>
      </c>
      <c r="J37" s="42"/>
      <c r="K37" s="43"/>
    </row>
    <row r="38" spans="1:11" ht="15.6">
      <c r="A38" s="28" t="str">
        <v xml:space="preserve"> Salt Lake City - Bank of America</v>
      </c>
      <c r="B38" s="29" t="str">
        <v>UT</v>
      </c>
      <c r="C38" s="24">
        <v>163</v>
      </c>
      <c r="D38" s="13" t="s">
        <v>22</v>
      </c>
      <c r="E38" s="13" t="str">
        <f t="shared" si="8"/>
        <v/>
      </c>
      <c r="F38" s="14" t="str">
        <f t="shared" si="9"/>
        <v/>
      </c>
      <c r="G38" s="63" t="s">
        <v>22</v>
      </c>
      <c r="H38" s="15" t="str">
        <f t="shared" si="10"/>
        <v/>
      </c>
      <c r="I38" s="16" t="str">
        <f t="shared" si="11"/>
        <v/>
      </c>
      <c r="J38" s="41"/>
      <c r="K38" s="4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 F4:F100 I4:I100">
    <cfRule type="cellIs" dxfId="44" priority="1" stopIfTrue="1" operator="lessThanOrEqual">
      <formula>-0.1</formula>
    </cfRule>
    <cfRule type="expression" dxfId="43" priority="2">
      <formula>AND(ISNUMBER(F2), F2&gt;=0.1)</formula>
    </cfRule>
  </conditionalFormatting>
  <hyperlinks>
    <hyperlink ref="K9" r:id="rId1" display="https://us3.assetplanner.com/service_request?ID=095095" xr:uid="{BA4AB31A-3493-40B8-BA1D-BB8655B744BD}"/>
    <hyperlink ref="L9" r:id="rId2" display="https://us3.assetplanner.com/service_request?ID=097621" xr:uid="{3D3797E5-219C-465B-B9A1-C69351295701}"/>
    <hyperlink ref="K10" r:id="rId3" display="https://us3.assetplanner.com/service_request?ID=091352" xr:uid="{E074BA51-C5EF-472C-A982-4FDC9822FB83}"/>
    <hyperlink ref="K11" r:id="rId4" display="https://us3.assetplanner.com/service_request?ID=096470" xr:uid="{1AC814A0-7CB7-451B-BC3B-32AD36B69E23}"/>
    <hyperlink ref="K12" r:id="rId5" display="https://us3.assetplanner.com/service_request?ID=095528" xr:uid="{AB847A0F-EE2B-4327-B768-5944CB331B03}"/>
    <hyperlink ref="K15" r:id="rId6" display="https://us3.assetplanner.com/service_request?ID=095900" xr:uid="{FE429B59-277E-46A5-AF7D-A913C889FF12}"/>
    <hyperlink ref="K17" r:id="rId7" display="https://us3.assetplanner.com/service_request?ID=095166" xr:uid="{4B3BD400-7730-4648-B135-FBC8AA6AAC7F}"/>
    <hyperlink ref="K21" r:id="rId8" display="https://us3.assetplanner.com/service_request?ID=095596" xr:uid="{1F4E2329-3FCD-4568-8E4A-3F1387BDFA14}"/>
    <hyperlink ref="K28" r:id="rId9" display="https://us3.assetplanner.com/service_request?ID=096191" xr:uid="{7CAB32BB-CDB3-4F17-9CBB-B30172C5645A}"/>
    <hyperlink ref="K32" r:id="rId10" display="https://us3.assetplanner.com/service_request?ID=094909" xr:uid="{61A83CDA-2323-4CFC-9C19-20789D3A60ED}"/>
    <hyperlink ref="K34" r:id="rId11" display="https://us3.assetplanner.com/service_request?ID=097762" xr:uid="{0D497464-3E33-422E-AF29-4BE2371E23AF}"/>
    <hyperlink ref="K35" r:id="rId12" display="https://us3.assetplanner.com/service_request?ID=096627" xr:uid="{46AFE591-9FBB-47F7-AD0A-B147FBF39FEE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42"/>
  <sheetViews>
    <sheetView zoomScale="80" zoomScaleNormal="80" workbookViewId="0">
      <pane xSplit="2" ySplit="3" topLeftCell="E27" activePane="bottomRight" state="frozen"/>
      <selection pane="bottomRight" activeCell="K34" sqref="K34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4" t="str" cm="1">
        <f t="array" ref="A1">portfolio</f>
        <v>Cushman &amp; Wakefield</v>
      </c>
      <c r="B1" s="74"/>
      <c r="C1" s="74"/>
      <c r="D1" s="75" t="s">
        <v>64</v>
      </c>
      <c r="E1" s="75"/>
      <c r="F1" s="75"/>
      <c r="G1" s="73" t="s">
        <v>65</v>
      </c>
      <c r="H1" s="73"/>
      <c r="I1" s="73"/>
      <c r="J1" s="4"/>
      <c r="K1" s="4"/>
    </row>
    <row r="2" spans="1:11" ht="19.5" customHeight="1">
      <c r="A2" s="76" t="s">
        <v>2</v>
      </c>
      <c r="B2" s="76"/>
      <c r="C2" s="5">
        <f>SUM(C4:C100)</f>
        <v>52045.30000000001</v>
      </c>
      <c r="D2" s="5">
        <f>SUM(D4:D100)</f>
        <v>0</v>
      </c>
      <c r="E2" s="5">
        <f>C2-D2</f>
        <v>52045.30000000001</v>
      </c>
      <c r="F2" s="6">
        <f>IFERROR(E2/D2, 0)</f>
        <v>0</v>
      </c>
      <c r="G2" s="5">
        <f>SUM(G4:G100)</f>
        <v>0</v>
      </c>
      <c r="H2" s="7">
        <f>C2-G2</f>
        <v>52045.30000000001</v>
      </c>
      <c r="I2" s="6">
        <f>IFERROR(H2/G2, 0)</f>
        <v>0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>
        <v>0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63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 xml:space="preserve"> Apple Valley - Bank of America</v>
      </c>
      <c r="B5" s="31" t="str">
        <v>CA</v>
      </c>
      <c r="C5" s="11">
        <v>0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64" t="s">
        <v>22</v>
      </c>
      <c r="H5" s="20" t="str">
        <f t="shared" ref="H5:H9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6">
      <c r="A6" s="28" t="str">
        <v xml:space="preserve"> Arvin - Bank of America</v>
      </c>
      <c r="B6" s="29" t="str">
        <v>CA</v>
      </c>
      <c r="C6" s="24">
        <v>87.9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63" t="s">
        <v>22</v>
      </c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 xml:space="preserve"> Bell - Bank of America</v>
      </c>
      <c r="B7" s="31" t="str">
        <v>CA</v>
      </c>
      <c r="C7" s="11">
        <v>2259.3000000000002</v>
      </c>
      <c r="D7" s="18" t="s">
        <v>22</v>
      </c>
      <c r="E7" s="18" t="str">
        <f t="shared" si="0"/>
        <v/>
      </c>
      <c r="F7" s="19" t="str">
        <f t="shared" si="3"/>
        <v/>
      </c>
      <c r="G7" s="64" t="s">
        <v>22</v>
      </c>
      <c r="H7" s="20" t="str">
        <f t="shared" si="1"/>
        <v/>
      </c>
      <c r="I7" s="19" t="str">
        <f t="shared" si="2"/>
        <v/>
      </c>
      <c r="J7" s="42"/>
      <c r="K7" s="43"/>
    </row>
    <row r="8" spans="1:11" ht="15.6">
      <c r="A8" s="28" t="str">
        <v xml:space="preserve"> Chula Vista - Bank of America</v>
      </c>
      <c r="B8" s="29" t="str">
        <v>CA</v>
      </c>
      <c r="C8" s="24">
        <v>1208.8</v>
      </c>
      <c r="D8" s="13" t="s">
        <v>22</v>
      </c>
      <c r="E8" s="13" t="str">
        <f t="shared" si="0"/>
        <v/>
      </c>
      <c r="F8" s="14" t="str">
        <f t="shared" si="3"/>
        <v/>
      </c>
      <c r="G8" s="63" t="s">
        <v>22</v>
      </c>
      <c r="H8" s="15" t="str">
        <f t="shared" si="1"/>
        <v/>
      </c>
      <c r="I8" s="16" t="str">
        <f t="shared" si="2"/>
        <v/>
      </c>
      <c r="J8" s="41"/>
      <c r="K8" s="41"/>
    </row>
    <row r="9" spans="1:11" ht="15.6">
      <c r="A9" s="30" t="str">
        <v xml:space="preserve"> Cupertino - Bank of America</v>
      </c>
      <c r="B9" s="31" t="str">
        <v>CA</v>
      </c>
      <c r="C9" s="11">
        <v>1855.1</v>
      </c>
      <c r="D9" s="18" t="s">
        <v>22</v>
      </c>
      <c r="E9" s="18" t="str">
        <f t="shared" si="0"/>
        <v/>
      </c>
      <c r="F9" s="19" t="str">
        <f t="shared" si="3"/>
        <v/>
      </c>
      <c r="G9" s="64" t="s">
        <v>22</v>
      </c>
      <c r="H9" s="20" t="str">
        <f t="shared" si="1"/>
        <v/>
      </c>
      <c r="I9" s="19" t="str">
        <f t="shared" si="2"/>
        <v/>
      </c>
      <c r="J9" s="42"/>
      <c r="K9" s="43"/>
    </row>
    <row r="10" spans="1:11" ht="72">
      <c r="A10" s="28" t="str">
        <v xml:space="preserve"> Diamond Bar - Bank of America</v>
      </c>
      <c r="B10" s="29" t="str">
        <v>CA</v>
      </c>
      <c r="C10" s="24">
        <v>2889</v>
      </c>
      <c r="D10" s="13" t="s">
        <v>22</v>
      </c>
      <c r="E10" s="13" t="str">
        <f t="shared" si="0"/>
        <v/>
      </c>
      <c r="F10" s="14" t="str">
        <f t="shared" si="3"/>
        <v/>
      </c>
      <c r="G10" s="63" t="s">
        <v>22</v>
      </c>
      <c r="H10" s="15" t="str">
        <f t="shared" ref="H10:H36" si="4">IF(AND(ISNUMBER(C10),ISNUMBER(G10)), C10-G10, "")</f>
        <v/>
      </c>
      <c r="I10" s="16" t="str">
        <f t="shared" si="2"/>
        <v/>
      </c>
      <c r="J10" s="41" t="s">
        <v>66</v>
      </c>
      <c r="K10" s="65" t="s">
        <v>30</v>
      </c>
    </row>
    <row r="11" spans="1:11" ht="15.6">
      <c r="A11" s="30" t="str">
        <v xml:space="preserve"> El Centro - Bank of America</v>
      </c>
      <c r="B11" s="31" t="str">
        <v>CA</v>
      </c>
      <c r="C11" s="11">
        <v>2742.9</v>
      </c>
      <c r="D11" s="18" t="s">
        <v>22</v>
      </c>
      <c r="E11" s="18" t="str">
        <f t="shared" si="0"/>
        <v/>
      </c>
      <c r="F11" s="19" t="str">
        <f t="shared" si="3"/>
        <v/>
      </c>
      <c r="G11" s="64" t="s">
        <v>22</v>
      </c>
      <c r="H11" s="20" t="str">
        <f t="shared" si="4"/>
        <v/>
      </c>
      <c r="I11" s="19" t="str">
        <f t="shared" si="2"/>
        <v/>
      </c>
      <c r="J11" s="42"/>
      <c r="K11" s="43"/>
    </row>
    <row r="12" spans="1:11" ht="178.5" customHeight="1">
      <c r="A12" s="28" t="str">
        <v xml:space="preserve"> Moreno Valley - Bank of America</v>
      </c>
      <c r="B12" s="29" t="str">
        <v>CA</v>
      </c>
      <c r="C12" s="24">
        <v>3723.2</v>
      </c>
      <c r="D12" s="13" t="s">
        <v>22</v>
      </c>
      <c r="E12" s="13" t="str">
        <f t="shared" si="0"/>
        <v/>
      </c>
      <c r="F12" s="14" t="str">
        <f t="shared" si="3"/>
        <v/>
      </c>
      <c r="G12" s="63" t="s">
        <v>22</v>
      </c>
      <c r="H12" s="15" t="str">
        <f t="shared" si="4"/>
        <v/>
      </c>
      <c r="I12" s="16" t="str">
        <f t="shared" si="2"/>
        <v/>
      </c>
      <c r="J12" s="41" t="s">
        <v>67</v>
      </c>
      <c r="K12" s="65" t="s">
        <v>32</v>
      </c>
    </row>
    <row r="13" spans="1:11" ht="15.6">
      <c r="A13" s="30" t="str">
        <v xml:space="preserve"> Redlands - Bank of America</v>
      </c>
      <c r="B13" s="31" t="str">
        <v>CA</v>
      </c>
      <c r="C13" s="11">
        <v>0</v>
      </c>
      <c r="D13" s="18" t="s">
        <v>22</v>
      </c>
      <c r="E13" s="18" t="str">
        <f t="shared" si="0"/>
        <v/>
      </c>
      <c r="F13" s="19" t="str">
        <f t="shared" si="3"/>
        <v/>
      </c>
      <c r="G13" s="64" t="s">
        <v>22</v>
      </c>
      <c r="H13" s="20" t="str">
        <f t="shared" si="4"/>
        <v/>
      </c>
      <c r="I13" s="19" t="str">
        <f t="shared" si="2"/>
        <v/>
      </c>
      <c r="J13" s="42"/>
      <c r="K13" s="43"/>
    </row>
    <row r="14" spans="1:11" ht="15.6">
      <c r="A14" s="28" t="str">
        <v xml:space="preserve"> Roseville - Bank of America</v>
      </c>
      <c r="B14" s="29" t="str">
        <v>CA</v>
      </c>
      <c r="C14" s="24">
        <v>5406.1</v>
      </c>
      <c r="D14" s="13" t="s">
        <v>22</v>
      </c>
      <c r="E14" s="13" t="str">
        <f t="shared" si="0"/>
        <v/>
      </c>
      <c r="F14" s="14" t="str">
        <f t="shared" si="3"/>
        <v/>
      </c>
      <c r="G14" s="63" t="s">
        <v>22</v>
      </c>
      <c r="H14" s="15" t="str">
        <f t="shared" si="4"/>
        <v/>
      </c>
      <c r="I14" s="16" t="str">
        <f t="shared" si="2"/>
        <v/>
      </c>
      <c r="J14" s="41"/>
      <c r="K14" s="41"/>
    </row>
    <row r="15" spans="1:11" ht="15.6">
      <c r="A15" s="30" t="str">
        <v xml:space="preserve"> San Bernardino - Bank of America</v>
      </c>
      <c r="B15" s="31" t="str">
        <v>CA</v>
      </c>
      <c r="C15" s="11">
        <v>91.2</v>
      </c>
      <c r="D15" s="18" t="s">
        <v>22</v>
      </c>
      <c r="E15" s="18" t="str">
        <f t="shared" si="0"/>
        <v/>
      </c>
      <c r="F15" s="19" t="str">
        <f t="shared" si="3"/>
        <v/>
      </c>
      <c r="G15" s="64" t="s">
        <v>22</v>
      </c>
      <c r="H15" s="20" t="str">
        <f t="shared" si="4"/>
        <v/>
      </c>
      <c r="I15" s="19" t="str">
        <f t="shared" si="2"/>
        <v/>
      </c>
      <c r="J15" s="42"/>
      <c r="K15" s="43"/>
    </row>
    <row r="16" spans="1:11" ht="15.6">
      <c r="A16" s="28" t="str">
        <v xml:space="preserve"> San Diego - Bank of America</v>
      </c>
      <c r="B16" s="29" t="str">
        <v>CA</v>
      </c>
      <c r="C16" s="24">
        <v>444.4</v>
      </c>
      <c r="D16" s="13" t="s">
        <v>22</v>
      </c>
      <c r="E16" s="13" t="str">
        <f t="shared" si="0"/>
        <v/>
      </c>
      <c r="F16" s="14" t="str">
        <f t="shared" si="3"/>
        <v/>
      </c>
      <c r="G16" s="63" t="s">
        <v>22</v>
      </c>
      <c r="H16" s="15" t="str">
        <f t="shared" si="4"/>
        <v/>
      </c>
      <c r="I16" s="16" t="str">
        <f t="shared" si="2"/>
        <v/>
      </c>
      <c r="J16" s="41"/>
      <c r="K16" s="41"/>
    </row>
    <row r="17" spans="1:11" ht="15.6">
      <c r="A17" s="30" t="str">
        <v xml:space="preserve"> Stockton - Bank of America</v>
      </c>
      <c r="B17" s="31" t="str">
        <v>CA</v>
      </c>
      <c r="C17" s="11">
        <v>1474.8</v>
      </c>
      <c r="D17" s="18" t="s">
        <v>22</v>
      </c>
      <c r="E17" s="18" t="str">
        <f t="shared" si="0"/>
        <v/>
      </c>
      <c r="F17" s="19" t="str">
        <f t="shared" si="3"/>
        <v/>
      </c>
      <c r="G17" s="64" t="s">
        <v>22</v>
      </c>
      <c r="H17" s="20" t="str">
        <f t="shared" si="4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 xml:space="preserve"> Victorville - Bank of America</v>
      </c>
      <c r="B18" s="29" t="str">
        <v>CA</v>
      </c>
      <c r="C18" s="24">
        <v>0</v>
      </c>
      <c r="D18" s="13" t="s">
        <v>22</v>
      </c>
      <c r="E18" s="13" t="str">
        <f t="shared" ref="E18:E38" si="5">IF(AND(ISNUMBER(C18),ISNUMBER(D18)), C18-D18, "")</f>
        <v/>
      </c>
      <c r="F18" s="14" t="str">
        <f t="shared" ref="F18:F38" si="6">IFERROR(E18/D18, "")</f>
        <v/>
      </c>
      <c r="G18" s="63" t="s">
        <v>22</v>
      </c>
      <c r="H18" s="15" t="str">
        <f t="shared" si="4"/>
        <v/>
      </c>
      <c r="I18" s="16" t="str">
        <f t="shared" ref="I18:I38" si="7">IFERROR(H18/G18, "")</f>
        <v/>
      </c>
      <c r="J18" s="41"/>
      <c r="K18" s="41"/>
    </row>
    <row r="19" spans="1:11" ht="15.6">
      <c r="A19" s="30" t="str">
        <v xml:space="preserve"> Aurora - BA - Colfax Ave</v>
      </c>
      <c r="B19" s="31" t="str">
        <v>CO</v>
      </c>
      <c r="C19" s="11">
        <v>1146.8</v>
      </c>
      <c r="D19" s="18" t="s">
        <v>22</v>
      </c>
      <c r="E19" s="18" t="str">
        <f t="shared" si="5"/>
        <v/>
      </c>
      <c r="F19" s="19" t="str">
        <f t="shared" si="6"/>
        <v/>
      </c>
      <c r="G19" s="64" t="s">
        <v>22</v>
      </c>
      <c r="H19" s="20" t="str">
        <f t="shared" si="4"/>
        <v/>
      </c>
      <c r="I19" s="19" t="str">
        <f t="shared" si="7"/>
        <v/>
      </c>
      <c r="J19" s="42"/>
      <c r="K19" s="43"/>
    </row>
    <row r="20" spans="1:11" ht="15.6">
      <c r="A20" s="28" t="str">
        <v xml:space="preserve"> Aurora - BA - Parker Rd</v>
      </c>
      <c r="B20" s="29" t="str">
        <v>CO</v>
      </c>
      <c r="C20" s="24">
        <v>3464.5</v>
      </c>
      <c r="D20" s="13" t="s">
        <v>22</v>
      </c>
      <c r="E20" s="13" t="str">
        <f t="shared" si="5"/>
        <v/>
      </c>
      <c r="F20" s="14" t="str">
        <f t="shared" si="6"/>
        <v/>
      </c>
      <c r="G20" s="63" t="s">
        <v>22</v>
      </c>
      <c r="H20" s="15" t="str">
        <f t="shared" si="4"/>
        <v/>
      </c>
      <c r="I20" s="16" t="str">
        <f t="shared" si="7"/>
        <v/>
      </c>
      <c r="J20" s="41"/>
      <c r="K20" s="41"/>
    </row>
    <row r="21" spans="1:11" ht="28.9">
      <c r="A21" s="30" t="str">
        <v xml:space="preserve"> Broomfield - Bank of America</v>
      </c>
      <c r="B21" s="31" t="str">
        <v>CO</v>
      </c>
      <c r="C21" s="11">
        <v>1433.9</v>
      </c>
      <c r="D21" s="18" t="s">
        <v>22</v>
      </c>
      <c r="E21" s="18" t="str">
        <f t="shared" si="5"/>
        <v/>
      </c>
      <c r="F21" s="19" t="str">
        <f t="shared" si="6"/>
        <v/>
      </c>
      <c r="G21" s="64" t="s">
        <v>22</v>
      </c>
      <c r="H21" s="20" t="str">
        <f t="shared" si="4"/>
        <v/>
      </c>
      <c r="I21" s="19" t="str">
        <f t="shared" si="7"/>
        <v/>
      </c>
      <c r="J21" s="42" t="s">
        <v>68</v>
      </c>
      <c r="K21" s="68" t="s">
        <v>36</v>
      </c>
    </row>
    <row r="22" spans="1:11" ht="15.6">
      <c r="A22" s="28" t="str">
        <v xml:space="preserve"> Colorado Springs - Bank of America</v>
      </c>
      <c r="B22" s="29" t="str">
        <v>CO</v>
      </c>
      <c r="C22" s="24">
        <v>2857.5</v>
      </c>
      <c r="D22" s="13" t="s">
        <v>22</v>
      </c>
      <c r="E22" s="13" t="str">
        <f t="shared" si="5"/>
        <v/>
      </c>
      <c r="F22" s="14" t="str">
        <f t="shared" si="6"/>
        <v/>
      </c>
      <c r="G22" s="63" t="s">
        <v>22</v>
      </c>
      <c r="H22" s="15" t="str">
        <f t="shared" si="4"/>
        <v/>
      </c>
      <c r="I22" s="16" t="str">
        <f t="shared" si="7"/>
        <v/>
      </c>
      <c r="J22" s="41"/>
      <c r="K22" s="41"/>
    </row>
    <row r="23" spans="1:11" ht="15.6">
      <c r="A23" s="30" t="str">
        <v xml:space="preserve"> Denver - BA - 49th Ave</v>
      </c>
      <c r="B23" s="31" t="str">
        <v>CO</v>
      </c>
      <c r="C23" s="11">
        <v>1191.9000000000001</v>
      </c>
      <c r="D23" s="18" t="s">
        <v>22</v>
      </c>
      <c r="E23" s="18" t="str">
        <f t="shared" si="5"/>
        <v/>
      </c>
      <c r="F23" s="19" t="str">
        <f t="shared" si="6"/>
        <v/>
      </c>
      <c r="G23" s="64" t="s">
        <v>22</v>
      </c>
      <c r="H23" s="20" t="str">
        <f t="shared" si="4"/>
        <v/>
      </c>
      <c r="I23" s="19" t="str">
        <f t="shared" si="7"/>
        <v/>
      </c>
      <c r="J23" s="42"/>
      <c r="K23" s="43"/>
    </row>
    <row r="24" spans="1:11" ht="15.6">
      <c r="A24" s="28" t="str">
        <v xml:space="preserve"> Denver - BA Wadsworth Blvd</v>
      </c>
      <c r="B24" s="29" t="str">
        <v>CO</v>
      </c>
      <c r="C24" s="24">
        <v>2351</v>
      </c>
      <c r="D24" s="13" t="s">
        <v>22</v>
      </c>
      <c r="E24" s="13" t="str">
        <f t="shared" si="5"/>
        <v/>
      </c>
      <c r="F24" s="14" t="str">
        <f t="shared" si="6"/>
        <v/>
      </c>
      <c r="G24" s="63" t="s">
        <v>22</v>
      </c>
      <c r="H24" s="15" t="str">
        <f t="shared" si="4"/>
        <v/>
      </c>
      <c r="I24" s="16" t="str">
        <f t="shared" si="7"/>
        <v/>
      </c>
      <c r="J24" s="41"/>
      <c r="K24" s="41"/>
    </row>
    <row r="25" spans="1:11" ht="15.6">
      <c r="A25" s="30" t="str">
        <v xml:space="preserve"> Fort Collins - Bank of America</v>
      </c>
      <c r="B25" s="31" t="str">
        <v>CO</v>
      </c>
      <c r="C25" s="11">
        <v>1470.4</v>
      </c>
      <c r="D25" s="18" t="s">
        <v>22</v>
      </c>
      <c r="E25" s="18" t="str">
        <f t="shared" si="5"/>
        <v/>
      </c>
      <c r="F25" s="19" t="str">
        <f t="shared" si="6"/>
        <v/>
      </c>
      <c r="G25" s="64" t="s">
        <v>22</v>
      </c>
      <c r="H25" s="20" t="str">
        <f t="shared" si="4"/>
        <v/>
      </c>
      <c r="I25" s="19" t="str">
        <f t="shared" si="7"/>
        <v/>
      </c>
      <c r="J25" s="42"/>
      <c r="K25" s="43"/>
    </row>
    <row r="26" spans="1:11" ht="15.6">
      <c r="A26" s="28" t="str">
        <v xml:space="preserve"> Lafayette - Bank of America</v>
      </c>
      <c r="B26" s="29" t="str">
        <v>CO</v>
      </c>
      <c r="C26" s="24">
        <v>2251.3000000000002</v>
      </c>
      <c r="D26" s="13" t="s">
        <v>22</v>
      </c>
      <c r="E26" s="13" t="str">
        <f t="shared" si="5"/>
        <v/>
      </c>
      <c r="F26" s="14" t="str">
        <f t="shared" si="6"/>
        <v/>
      </c>
      <c r="G26" s="63" t="s">
        <v>22</v>
      </c>
      <c r="H26" s="15" t="str">
        <f t="shared" si="4"/>
        <v/>
      </c>
      <c r="I26" s="16" t="str">
        <f t="shared" si="7"/>
        <v/>
      </c>
      <c r="J26" s="41"/>
      <c r="K26" s="41"/>
    </row>
    <row r="27" spans="1:11" ht="15.6">
      <c r="A27" s="30" t="str">
        <v xml:space="preserve"> Lakewood - Bank of America</v>
      </c>
      <c r="B27" s="31" t="str">
        <v>CO</v>
      </c>
      <c r="C27" s="11">
        <v>1223.8</v>
      </c>
      <c r="D27" s="18" t="s">
        <v>22</v>
      </c>
      <c r="E27" s="18" t="str">
        <f t="shared" si="5"/>
        <v/>
      </c>
      <c r="F27" s="19" t="str">
        <f t="shared" si="6"/>
        <v/>
      </c>
      <c r="G27" s="64" t="s">
        <v>22</v>
      </c>
      <c r="H27" s="20" t="str">
        <f t="shared" si="4"/>
        <v/>
      </c>
      <c r="I27" s="19" t="str">
        <f t="shared" si="7"/>
        <v/>
      </c>
      <c r="J27" s="42"/>
      <c r="K27" s="43"/>
    </row>
    <row r="28" spans="1:11" ht="15.6">
      <c r="A28" s="28" t="str">
        <v xml:space="preserve"> Longmont - Bank of America</v>
      </c>
      <c r="B28" s="29" t="str">
        <v>CO</v>
      </c>
      <c r="C28" s="24"/>
      <c r="D28" s="13" t="s">
        <v>22</v>
      </c>
      <c r="E28" s="13" t="str">
        <f t="shared" si="5"/>
        <v/>
      </c>
      <c r="F28" s="14" t="str">
        <f t="shared" si="6"/>
        <v/>
      </c>
      <c r="G28" s="63" t="s">
        <v>22</v>
      </c>
      <c r="H28" s="15" t="str">
        <f t="shared" si="4"/>
        <v/>
      </c>
      <c r="I28" s="16" t="str">
        <f t="shared" si="7"/>
        <v/>
      </c>
      <c r="J28" s="41"/>
      <c r="K28" s="41"/>
    </row>
    <row r="29" spans="1:11" ht="15.6">
      <c r="A29" s="30" t="str">
        <v xml:space="preserve"> Thornton - Bank of America</v>
      </c>
      <c r="B29" s="31" t="str">
        <v>CO</v>
      </c>
      <c r="C29" s="11">
        <v>1334.5</v>
      </c>
      <c r="D29" s="18" t="s">
        <v>22</v>
      </c>
      <c r="E29" s="18" t="str">
        <f t="shared" si="5"/>
        <v/>
      </c>
      <c r="F29" s="19" t="str">
        <f t="shared" si="6"/>
        <v/>
      </c>
      <c r="G29" s="64" t="s">
        <v>22</v>
      </c>
      <c r="H29" s="20" t="str">
        <f t="shared" si="4"/>
        <v/>
      </c>
      <c r="I29" s="19" t="str">
        <f t="shared" si="7"/>
        <v/>
      </c>
      <c r="J29" s="42"/>
      <c r="K29" s="43"/>
    </row>
    <row r="30" spans="1:11" ht="15.6">
      <c r="A30" s="28" t="str">
        <v xml:space="preserve"> Calumet City - Bank of America</v>
      </c>
      <c r="B30" s="29" t="str">
        <v>IL</v>
      </c>
      <c r="C30" s="24">
        <v>2030.1</v>
      </c>
      <c r="D30" s="13" t="s">
        <v>22</v>
      </c>
      <c r="E30" s="13" t="str">
        <f t="shared" si="5"/>
        <v/>
      </c>
      <c r="F30" s="14" t="str">
        <f t="shared" si="6"/>
        <v/>
      </c>
      <c r="G30" s="63" t="s">
        <v>22</v>
      </c>
      <c r="H30" s="15" t="str">
        <f t="shared" si="4"/>
        <v/>
      </c>
      <c r="I30" s="16" t="str">
        <f t="shared" si="7"/>
        <v/>
      </c>
      <c r="J30" s="41"/>
      <c r="K30" s="41"/>
    </row>
    <row r="31" spans="1:11" ht="15.6">
      <c r="A31" s="30" t="str">
        <v xml:space="preserve"> Downers Grove - Bank of America</v>
      </c>
      <c r="B31" s="31" t="str">
        <v>IL</v>
      </c>
      <c r="C31" s="11">
        <v>2293.8000000000002</v>
      </c>
      <c r="D31" s="18" t="s">
        <v>22</v>
      </c>
      <c r="E31" s="18" t="str">
        <f t="shared" si="5"/>
        <v/>
      </c>
      <c r="F31" s="19" t="str">
        <f t="shared" si="6"/>
        <v/>
      </c>
      <c r="G31" s="64" t="s">
        <v>22</v>
      </c>
      <c r="H31" s="20" t="str">
        <f t="shared" si="4"/>
        <v/>
      </c>
      <c r="I31" s="19" t="str">
        <f t="shared" si="7"/>
        <v/>
      </c>
      <c r="J31" s="42"/>
      <c r="K31" s="43"/>
    </row>
    <row r="32" spans="1:11" ht="15.6">
      <c r="A32" s="28" t="str">
        <v xml:space="preserve"> Bloomington - Bank of America</v>
      </c>
      <c r="B32" s="29" t="str">
        <v>MN</v>
      </c>
      <c r="C32" s="24">
        <v>445.9</v>
      </c>
      <c r="D32" s="13" t="s">
        <v>22</v>
      </c>
      <c r="E32" s="13" t="str">
        <f t="shared" si="5"/>
        <v/>
      </c>
      <c r="F32" s="14" t="str">
        <f t="shared" si="6"/>
        <v/>
      </c>
      <c r="G32" s="63" t="s">
        <v>22</v>
      </c>
      <c r="H32" s="15" t="str">
        <f t="shared" si="4"/>
        <v/>
      </c>
      <c r="I32" s="16" t="str">
        <f t="shared" si="7"/>
        <v/>
      </c>
      <c r="J32" s="41"/>
      <c r="K32" s="41"/>
    </row>
    <row r="33" spans="1:11" ht="15.6">
      <c r="A33" s="30" t="str">
        <v xml:space="preserve"> Clayton - Bank of America</v>
      </c>
      <c r="B33" s="31" t="str">
        <v>MO</v>
      </c>
      <c r="C33" s="11">
        <v>2220.1999999999998</v>
      </c>
      <c r="D33" s="18" t="s">
        <v>22</v>
      </c>
      <c r="E33" s="18" t="str">
        <f t="shared" si="5"/>
        <v/>
      </c>
      <c r="F33" s="19" t="str">
        <f t="shared" si="6"/>
        <v/>
      </c>
      <c r="G33" s="64" t="s">
        <v>22</v>
      </c>
      <c r="H33" s="20" t="str">
        <f t="shared" si="4"/>
        <v/>
      </c>
      <c r="I33" s="19" t="str">
        <f t="shared" si="7"/>
        <v/>
      </c>
      <c r="J33" s="42"/>
      <c r="K33" s="43"/>
    </row>
    <row r="34" spans="1:11" ht="28.9">
      <c r="A34" s="28" t="str">
        <v xml:space="preserve"> Manchester - Bank of America</v>
      </c>
      <c r="B34" s="29" t="str">
        <v>MO</v>
      </c>
      <c r="C34" s="24">
        <v>1684.9</v>
      </c>
      <c r="D34" s="13" t="s">
        <v>22</v>
      </c>
      <c r="E34" s="13" t="str">
        <f t="shared" si="5"/>
        <v/>
      </c>
      <c r="F34" s="14" t="str">
        <f t="shared" si="6"/>
        <v/>
      </c>
      <c r="G34" s="63" t="s">
        <v>22</v>
      </c>
      <c r="H34" s="15" t="str">
        <f t="shared" si="4"/>
        <v/>
      </c>
      <c r="I34" s="16" t="str">
        <f t="shared" si="7"/>
        <v/>
      </c>
      <c r="J34" s="41" t="s">
        <v>60</v>
      </c>
      <c r="K34" s="65" t="s">
        <v>69</v>
      </c>
    </row>
    <row r="35" spans="1:11" ht="28.9">
      <c r="A35" s="30" t="str">
        <v xml:space="preserve"> Las Vegas - BA - Eastern Ave</v>
      </c>
      <c r="B35" s="31" t="str">
        <v>NV</v>
      </c>
      <c r="C35" s="11">
        <v>20</v>
      </c>
      <c r="D35" s="18" t="s">
        <v>22</v>
      </c>
      <c r="E35" s="18" t="str">
        <f t="shared" si="5"/>
        <v/>
      </c>
      <c r="F35" s="19" t="str">
        <f t="shared" si="6"/>
        <v/>
      </c>
      <c r="G35" s="64" t="s">
        <v>22</v>
      </c>
      <c r="H35" s="20" t="str">
        <f t="shared" si="4"/>
        <v/>
      </c>
      <c r="I35" s="19" t="str">
        <f t="shared" si="7"/>
        <v/>
      </c>
      <c r="J35" s="42" t="s">
        <v>70</v>
      </c>
      <c r="K35" s="68" t="s">
        <v>71</v>
      </c>
    </row>
    <row r="36" spans="1:11" ht="15.6">
      <c r="A36" s="28" t="str">
        <v xml:space="preserve"> Las Vegas - BA - Town Ctr Dr</v>
      </c>
      <c r="B36" s="29" t="str">
        <v>NV</v>
      </c>
      <c r="C36" s="24">
        <v>0</v>
      </c>
      <c r="D36" s="13" t="s">
        <v>22</v>
      </c>
      <c r="E36" s="13" t="str">
        <f t="shared" si="5"/>
        <v/>
      </c>
      <c r="F36" s="14" t="str">
        <f t="shared" si="6"/>
        <v/>
      </c>
      <c r="G36" s="63" t="s">
        <v>22</v>
      </c>
      <c r="H36" s="15" t="str">
        <f t="shared" si="4"/>
        <v/>
      </c>
      <c r="I36" s="16" t="str">
        <f t="shared" si="7"/>
        <v/>
      </c>
      <c r="J36" s="41"/>
      <c r="K36" s="41"/>
    </row>
    <row r="37" spans="1:11" ht="15.6">
      <c r="A37" s="30" t="str">
        <v xml:space="preserve"> Riverton - Bank of America</v>
      </c>
      <c r="B37" s="31" t="str">
        <v>UT</v>
      </c>
      <c r="C37" s="11">
        <v>2120.6</v>
      </c>
      <c r="D37" s="18" t="s">
        <v>22</v>
      </c>
      <c r="E37" s="18" t="str">
        <f t="shared" si="5"/>
        <v/>
      </c>
      <c r="F37" s="19" t="str">
        <f t="shared" si="6"/>
        <v/>
      </c>
      <c r="G37" s="64" t="s">
        <v>22</v>
      </c>
      <c r="H37" s="20" t="str">
        <f t="shared" ref="H37:H38" si="8">IF(AND(ISNUMBER(C37),ISNUMBER(G37)), C37-G37, "")</f>
        <v/>
      </c>
      <c r="I37" s="19" t="str">
        <f t="shared" si="7"/>
        <v/>
      </c>
      <c r="J37" s="42"/>
      <c r="K37" s="43"/>
    </row>
    <row r="38" spans="1:11" ht="15.6">
      <c r="A38" s="28" t="str">
        <v xml:space="preserve"> Salt Lake City - Bank of America</v>
      </c>
      <c r="B38" s="29" t="str">
        <v>UT</v>
      </c>
      <c r="C38" s="24">
        <v>321.5</v>
      </c>
      <c r="D38" s="13" t="s">
        <v>22</v>
      </c>
      <c r="E38" s="13" t="str">
        <f t="shared" si="5"/>
        <v/>
      </c>
      <c r="F38" s="14" t="str">
        <f t="shared" si="6"/>
        <v/>
      </c>
      <c r="G38" s="63" t="s">
        <v>22</v>
      </c>
      <c r="H38" s="15" t="str">
        <f t="shared" si="8"/>
        <v/>
      </c>
      <c r="I38" s="16" t="str">
        <f t="shared" si="7"/>
        <v/>
      </c>
      <c r="J38" s="41"/>
      <c r="K38" s="4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42" priority="3" stopIfTrue="1" operator="lessThanOrEqual">
      <formula>-0.1</formula>
    </cfRule>
    <cfRule type="expression" dxfId="41" priority="4">
      <formula>AND(ISNUMBER(F2), F2&gt;=0.1)</formula>
    </cfRule>
  </conditionalFormatting>
  <conditionalFormatting sqref="F4:F100 I4:I100">
    <cfRule type="cellIs" dxfId="40" priority="1" stopIfTrue="1" operator="lessThanOrEqual">
      <formula>-0.1</formula>
    </cfRule>
    <cfRule type="expression" dxfId="39" priority="2">
      <formula>AND(ISNUMBER(F4), F4&gt;=0.1)</formula>
    </cfRule>
  </conditionalFormatting>
  <hyperlinks>
    <hyperlink ref="K10" r:id="rId1" display="https://us3.assetplanner.com/service_request?ID=091352" xr:uid="{D47C3624-8AF3-4F7D-BE3E-BF26CE01574F}"/>
    <hyperlink ref="K12" r:id="rId2" display="https://us3.assetplanner.com/service_request?ID=095528" xr:uid="{C31E3F4C-4164-4B01-8CF9-B3E2C8BD0D14}"/>
    <hyperlink ref="K21" r:id="rId3" display="https://us3.assetplanner.com/service_request?ID=095596" xr:uid="{0A96EBB2-5950-477B-A293-79DC6BC0F9B7}"/>
    <hyperlink ref="K35" r:id="rId4" display="https://us3.assetplanner.com/service_request?ID=096627" xr:uid="{F6C4FE6F-96C7-44B7-A20C-972B58B32E59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L340"/>
  <sheetViews>
    <sheetView zoomScale="60" zoomScaleNormal="60" workbookViewId="0">
      <pane xSplit="2" ySplit="3" topLeftCell="C4" activePane="bottomRight" state="frozen"/>
      <selection pane="bottomRight" activeCell="N10" sqref="N10"/>
      <selection pane="bottomLeft"/>
      <selection pane="topRight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74" t="str" cm="1">
        <f t="array" ref="A1">portfolio</f>
        <v>Cushman &amp; Wakefield</v>
      </c>
      <c r="B1" s="74"/>
      <c r="C1" s="74"/>
      <c r="D1" s="75" t="s">
        <v>72</v>
      </c>
      <c r="E1" s="75"/>
      <c r="F1" s="75"/>
      <c r="G1" s="73" t="s">
        <v>73</v>
      </c>
      <c r="H1" s="73"/>
      <c r="I1" s="73"/>
      <c r="J1" s="4"/>
      <c r="K1" s="4"/>
    </row>
    <row r="2" spans="1:12" ht="19.5" customHeight="1">
      <c r="A2" s="76" t="s">
        <v>2</v>
      </c>
      <c r="B2" s="76"/>
      <c r="C2" s="5">
        <f>SUM(C4:C98)</f>
        <v>64215.700000000012</v>
      </c>
      <c r="D2" s="5">
        <f>SUM(D4:D98)</f>
        <v>0</v>
      </c>
      <c r="E2" s="5">
        <f>C2-D2</f>
        <v>64215.700000000012</v>
      </c>
      <c r="F2" s="6">
        <f>IFERROR(E2/D2, 0)</f>
        <v>0</v>
      </c>
      <c r="G2" s="5">
        <f>SUM(G4:G98)</f>
        <v>0</v>
      </c>
      <c r="H2" s="7">
        <f>C2-G2</f>
        <v>64215.700000000012</v>
      </c>
      <c r="I2" s="6">
        <f>IFERROR(H2/G2, 0)</f>
        <v>0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>
        <v>0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70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  <c r="L4" s="59"/>
    </row>
    <row r="5" spans="1:12" ht="15.6">
      <c r="A5" s="30" t="str">
        <v xml:space="preserve"> Apple Valley - Bank of America</v>
      </c>
      <c r="B5" s="31" t="str">
        <v>CA</v>
      </c>
      <c r="C5" s="11">
        <v>0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71" t="s">
        <v>22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  <c r="L5" s="59"/>
    </row>
    <row r="6" spans="1:12" ht="15.6">
      <c r="A6" s="28" t="str">
        <v xml:space="preserve"> Arvin - Bank of America</v>
      </c>
      <c r="B6" s="29" t="str">
        <v>CA</v>
      </c>
      <c r="C6" s="24">
        <v>89.6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70" t="s">
        <v>22</v>
      </c>
      <c r="H6" s="15" t="str">
        <f t="shared" si="1"/>
        <v/>
      </c>
      <c r="I6" s="16" t="str">
        <f t="shared" si="2"/>
        <v/>
      </c>
      <c r="J6" s="41"/>
      <c r="K6" s="41"/>
      <c r="L6" s="59"/>
    </row>
    <row r="7" spans="1:12" ht="15.6">
      <c r="A7" s="30" t="str">
        <v xml:space="preserve"> Bell - Bank of America</v>
      </c>
      <c r="B7" s="31" t="str">
        <v>CA</v>
      </c>
      <c r="C7" s="11">
        <v>2536.1999999999998</v>
      </c>
      <c r="D7" s="18" t="s">
        <v>22</v>
      </c>
      <c r="E7" s="18" t="str">
        <f t="shared" si="0"/>
        <v/>
      </c>
      <c r="F7" s="19" t="str">
        <f t="shared" si="3"/>
        <v/>
      </c>
      <c r="G7" s="71" t="s">
        <v>22</v>
      </c>
      <c r="H7" s="20" t="str">
        <f t="shared" si="1"/>
        <v/>
      </c>
      <c r="I7" s="19" t="str">
        <f t="shared" si="2"/>
        <v/>
      </c>
      <c r="J7" s="42"/>
      <c r="K7" s="43"/>
      <c r="L7" s="59"/>
    </row>
    <row r="8" spans="1:12" ht="15.6">
      <c r="A8" s="28" t="str">
        <v xml:space="preserve"> Chula Vista - Bank of America</v>
      </c>
      <c r="B8" s="29" t="str">
        <v>CA</v>
      </c>
      <c r="C8" s="24">
        <v>1426.9</v>
      </c>
      <c r="D8" s="13" t="s">
        <v>22</v>
      </c>
      <c r="E8" s="13" t="str">
        <f t="shared" si="0"/>
        <v/>
      </c>
      <c r="F8" s="14" t="str">
        <f t="shared" si="3"/>
        <v/>
      </c>
      <c r="G8" s="70" t="s">
        <v>22</v>
      </c>
      <c r="H8" s="15" t="str">
        <f t="shared" si="1"/>
        <v/>
      </c>
      <c r="I8" s="16" t="str">
        <f t="shared" si="2"/>
        <v/>
      </c>
      <c r="J8" s="41"/>
      <c r="K8" s="41"/>
      <c r="L8" s="59"/>
    </row>
    <row r="9" spans="1:12" ht="15.6">
      <c r="A9" s="30" t="str">
        <v xml:space="preserve"> Cupertino - Bank of America</v>
      </c>
      <c r="B9" s="31" t="str">
        <v>CA</v>
      </c>
      <c r="C9" s="11">
        <v>2190.9</v>
      </c>
      <c r="D9" s="18" t="s">
        <v>22</v>
      </c>
      <c r="E9" s="18" t="str">
        <f t="shared" si="0"/>
        <v/>
      </c>
      <c r="F9" s="19" t="str">
        <f t="shared" si="3"/>
        <v/>
      </c>
      <c r="G9" s="71" t="s">
        <v>22</v>
      </c>
      <c r="H9" s="20" t="str">
        <f t="shared" si="1"/>
        <v/>
      </c>
      <c r="I9" s="19" t="str">
        <f t="shared" si="2"/>
        <v/>
      </c>
      <c r="J9" s="42"/>
      <c r="K9" s="43"/>
      <c r="L9" s="59"/>
    </row>
    <row r="10" spans="1:12" ht="201.6">
      <c r="A10" s="28" t="str">
        <v xml:space="preserve"> Diamond Bar - Bank of America</v>
      </c>
      <c r="B10" s="29" t="str">
        <v>CA</v>
      </c>
      <c r="C10" s="24">
        <v>2886.7</v>
      </c>
      <c r="D10" s="13" t="s">
        <v>22</v>
      </c>
      <c r="E10" s="13" t="str">
        <f t="shared" si="0"/>
        <v/>
      </c>
      <c r="F10" s="14" t="str">
        <f t="shared" si="3"/>
        <v/>
      </c>
      <c r="G10" s="63" t="s">
        <v>22</v>
      </c>
      <c r="H10" s="15" t="str">
        <f t="shared" si="1"/>
        <v/>
      </c>
      <c r="I10" s="16" t="str">
        <f t="shared" si="2"/>
        <v/>
      </c>
      <c r="J10" s="41" t="s">
        <v>74</v>
      </c>
      <c r="K10" s="65" t="s">
        <v>75</v>
      </c>
      <c r="L10" s="59"/>
    </row>
    <row r="11" spans="1:12" ht="15.6">
      <c r="A11" s="30" t="str">
        <v xml:space="preserve"> El Centro - Bank of America</v>
      </c>
      <c r="B11" s="31" t="str">
        <v>CA</v>
      </c>
      <c r="C11" s="11">
        <v>3171.8</v>
      </c>
      <c r="D11" s="18" t="s">
        <v>22</v>
      </c>
      <c r="E11" s="18" t="str">
        <f t="shared" si="0"/>
        <v/>
      </c>
      <c r="F11" s="19" t="str">
        <f t="shared" si="3"/>
        <v/>
      </c>
      <c r="G11" s="71" t="s">
        <v>22</v>
      </c>
      <c r="H11" s="20" t="str">
        <f t="shared" si="1"/>
        <v/>
      </c>
      <c r="I11" s="19" t="str">
        <f t="shared" si="2"/>
        <v/>
      </c>
      <c r="J11" s="42"/>
      <c r="K11" s="43"/>
      <c r="L11" s="59"/>
    </row>
    <row r="12" spans="1:12" ht="15.6">
      <c r="A12" s="28" t="str">
        <v xml:space="preserve"> Moreno Valley - Bank of America</v>
      </c>
      <c r="B12" s="29" t="str">
        <v>CA</v>
      </c>
      <c r="C12" s="24">
        <v>4841</v>
      </c>
      <c r="D12" s="13" t="s">
        <v>22</v>
      </c>
      <c r="E12" s="13" t="str">
        <f t="shared" si="0"/>
        <v/>
      </c>
      <c r="F12" s="14" t="str">
        <f t="shared" si="3"/>
        <v/>
      </c>
      <c r="G12" s="70" t="s">
        <v>22</v>
      </c>
      <c r="H12" s="15" t="str">
        <f t="shared" si="1"/>
        <v/>
      </c>
      <c r="I12" s="16" t="str">
        <f t="shared" si="2"/>
        <v/>
      </c>
      <c r="J12" s="41"/>
      <c r="K12" s="41"/>
      <c r="L12" s="59"/>
    </row>
    <row r="13" spans="1:12" ht="15.6">
      <c r="A13" s="30" t="str">
        <v xml:space="preserve"> Redlands - Bank of America</v>
      </c>
      <c r="B13" s="31" t="str">
        <v>CA</v>
      </c>
      <c r="C13" s="11"/>
      <c r="D13" s="18" t="s">
        <v>22</v>
      </c>
      <c r="E13" s="18" t="str">
        <f t="shared" si="0"/>
        <v/>
      </c>
      <c r="F13" s="19" t="str">
        <f t="shared" si="3"/>
        <v/>
      </c>
      <c r="G13" s="71" t="s">
        <v>22</v>
      </c>
      <c r="H13" s="20" t="str">
        <f t="shared" si="1"/>
        <v/>
      </c>
      <c r="I13" s="19" t="str">
        <f t="shared" si="2"/>
        <v/>
      </c>
      <c r="J13" s="42"/>
      <c r="K13" s="43"/>
      <c r="L13" s="59"/>
    </row>
    <row r="14" spans="1:12" ht="15.6">
      <c r="A14" s="28" t="str">
        <v xml:space="preserve"> Roseville - Bank of America</v>
      </c>
      <c r="B14" s="29" t="str">
        <v>CA</v>
      </c>
      <c r="C14" s="24">
        <v>6982.8</v>
      </c>
      <c r="D14" s="13" t="s">
        <v>22</v>
      </c>
      <c r="E14" s="13" t="str">
        <f t="shared" si="0"/>
        <v/>
      </c>
      <c r="F14" s="14" t="str">
        <f t="shared" si="3"/>
        <v/>
      </c>
      <c r="G14" s="70" t="s">
        <v>22</v>
      </c>
      <c r="H14" s="15" t="str">
        <f t="shared" si="1"/>
        <v/>
      </c>
      <c r="I14" s="16" t="str">
        <f t="shared" si="2"/>
        <v/>
      </c>
      <c r="J14" s="41"/>
      <c r="K14" s="41"/>
      <c r="L14" s="59"/>
    </row>
    <row r="15" spans="1:12" ht="15.6">
      <c r="A15" s="30" t="str">
        <v xml:space="preserve"> San Bernardino - Bank of America</v>
      </c>
      <c r="B15" s="31" t="str">
        <v>CA</v>
      </c>
      <c r="C15" s="11">
        <v>111.9</v>
      </c>
      <c r="D15" s="18" t="s">
        <v>22</v>
      </c>
      <c r="E15" s="18" t="str">
        <f t="shared" si="0"/>
        <v/>
      </c>
      <c r="F15" s="19" t="str">
        <f t="shared" si="3"/>
        <v/>
      </c>
      <c r="G15" s="71" t="s">
        <v>22</v>
      </c>
      <c r="H15" s="20" t="str">
        <f t="shared" si="1"/>
        <v/>
      </c>
      <c r="I15" s="19" t="str">
        <f t="shared" si="2"/>
        <v/>
      </c>
      <c r="J15" s="42"/>
      <c r="K15" s="43"/>
      <c r="L15" s="59"/>
    </row>
    <row r="16" spans="1:12" ht="15.6">
      <c r="A16" s="28" t="str">
        <v xml:space="preserve"> San Diego - Bank of America</v>
      </c>
      <c r="B16" s="29" t="str">
        <v>CA</v>
      </c>
      <c r="C16" s="24">
        <v>62.5</v>
      </c>
      <c r="D16" s="13" t="s">
        <v>22</v>
      </c>
      <c r="E16" s="13" t="str">
        <f t="shared" si="0"/>
        <v/>
      </c>
      <c r="F16" s="14" t="str">
        <f t="shared" si="3"/>
        <v/>
      </c>
      <c r="G16" s="70" t="s">
        <v>22</v>
      </c>
      <c r="H16" s="15" t="str">
        <f t="shared" si="1"/>
        <v/>
      </c>
      <c r="I16" s="16" t="str">
        <f t="shared" si="2"/>
        <v/>
      </c>
      <c r="J16" s="41"/>
      <c r="K16" s="41"/>
      <c r="L16" s="59"/>
    </row>
    <row r="17" spans="1:12" ht="15.6">
      <c r="A17" s="30" t="str">
        <v xml:space="preserve"> Stockton - Bank of America</v>
      </c>
      <c r="B17" s="31" t="str">
        <v>CA</v>
      </c>
      <c r="C17" s="11">
        <v>1974.5</v>
      </c>
      <c r="D17" s="18" t="s">
        <v>22</v>
      </c>
      <c r="E17" s="18" t="str">
        <f t="shared" si="0"/>
        <v/>
      </c>
      <c r="F17" s="19" t="str">
        <f t="shared" si="3"/>
        <v/>
      </c>
      <c r="G17" s="71" t="s">
        <v>22</v>
      </c>
      <c r="H17" s="20" t="str">
        <f t="shared" si="1"/>
        <v/>
      </c>
      <c r="I17" s="19" t="str">
        <f t="shared" si="2"/>
        <v/>
      </c>
      <c r="J17" s="42"/>
      <c r="K17" s="43"/>
      <c r="L17" s="59"/>
    </row>
    <row r="18" spans="1:12" ht="34.5" customHeight="1">
      <c r="A18" s="28" t="str">
        <v xml:space="preserve"> Victorville - Bank of America</v>
      </c>
      <c r="B18" s="29" t="str">
        <v>CA</v>
      </c>
      <c r="C18" s="24">
        <v>0</v>
      </c>
      <c r="D18" s="13" t="s">
        <v>22</v>
      </c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70" t="s">
        <v>22</v>
      </c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 t="s">
        <v>76</v>
      </c>
      <c r="K18" s="65" t="s">
        <v>77</v>
      </c>
      <c r="L18" s="59"/>
    </row>
    <row r="19" spans="1:12" ht="15.6">
      <c r="A19" s="30" t="str">
        <v xml:space="preserve"> Aurora - BA - Colfax Ave</v>
      </c>
      <c r="B19" s="31" t="str">
        <v>CO</v>
      </c>
      <c r="C19" s="11">
        <v>1222.2</v>
      </c>
      <c r="D19" s="18" t="s">
        <v>22</v>
      </c>
      <c r="E19" s="18" t="str">
        <f t="shared" si="4"/>
        <v/>
      </c>
      <c r="F19" s="19" t="str">
        <f t="shared" si="5"/>
        <v/>
      </c>
      <c r="G19" s="71" t="s">
        <v>22</v>
      </c>
      <c r="H19" s="20" t="str">
        <f t="shared" si="6"/>
        <v/>
      </c>
      <c r="I19" s="19" t="str">
        <f t="shared" si="7"/>
        <v/>
      </c>
      <c r="J19" s="42"/>
      <c r="K19" s="43"/>
      <c r="L19" s="59"/>
    </row>
    <row r="20" spans="1:12" ht="15.6">
      <c r="A20" s="28" t="str">
        <v xml:space="preserve"> Aurora - BA - Parker Rd</v>
      </c>
      <c r="B20" s="29" t="str">
        <v>CO</v>
      </c>
      <c r="C20" s="24">
        <v>3514.4</v>
      </c>
      <c r="D20" s="13" t="s">
        <v>22</v>
      </c>
      <c r="E20" s="13" t="str">
        <f t="shared" si="4"/>
        <v/>
      </c>
      <c r="F20" s="14" t="str">
        <f t="shared" si="5"/>
        <v/>
      </c>
      <c r="G20" s="70" t="s">
        <v>22</v>
      </c>
      <c r="H20" s="15" t="str">
        <f t="shared" si="6"/>
        <v/>
      </c>
      <c r="I20" s="16" t="str">
        <f t="shared" si="7"/>
        <v/>
      </c>
      <c r="J20" s="57"/>
      <c r="K20" s="41"/>
      <c r="L20" s="59"/>
    </row>
    <row r="21" spans="1:12" ht="28.9">
      <c r="A21" s="30" t="str">
        <v xml:space="preserve"> Broomfield - Bank of America</v>
      </c>
      <c r="B21" s="31" t="str">
        <v>CO</v>
      </c>
      <c r="C21" s="11">
        <v>1547.5</v>
      </c>
      <c r="D21" s="18" t="s">
        <v>22</v>
      </c>
      <c r="E21" s="18" t="str">
        <f t="shared" si="4"/>
        <v/>
      </c>
      <c r="F21" s="19" t="str">
        <f t="shared" si="5"/>
        <v/>
      </c>
      <c r="G21" s="71" t="s">
        <v>22</v>
      </c>
      <c r="H21" s="20" t="str">
        <f t="shared" si="6"/>
        <v/>
      </c>
      <c r="I21" s="19" t="str">
        <f t="shared" si="7"/>
        <v/>
      </c>
      <c r="J21" s="42" t="s">
        <v>68</v>
      </c>
      <c r="K21" s="68" t="s">
        <v>78</v>
      </c>
      <c r="L21" s="59"/>
    </row>
    <row r="22" spans="1:12" ht="15.6">
      <c r="A22" s="28" t="str">
        <v xml:space="preserve"> Colorado Springs - Bank of America</v>
      </c>
      <c r="B22" s="29" t="str">
        <v>CO</v>
      </c>
      <c r="C22" s="24">
        <v>2757.6</v>
      </c>
      <c r="D22" s="13" t="s">
        <v>22</v>
      </c>
      <c r="E22" s="13" t="str">
        <f t="shared" si="4"/>
        <v/>
      </c>
      <c r="F22" s="14" t="str">
        <f t="shared" si="5"/>
        <v/>
      </c>
      <c r="G22" s="70" t="s">
        <v>22</v>
      </c>
      <c r="H22" s="15" t="str">
        <f t="shared" si="6"/>
        <v/>
      </c>
      <c r="I22" s="16" t="str">
        <f t="shared" si="7"/>
        <v/>
      </c>
      <c r="J22" s="41"/>
      <c r="K22" s="41"/>
      <c r="L22" s="59"/>
    </row>
    <row r="23" spans="1:12" ht="15.6">
      <c r="A23" s="30" t="str">
        <v xml:space="preserve"> Denver - BA - 49th Ave</v>
      </c>
      <c r="B23" s="31" t="str">
        <v>CO</v>
      </c>
      <c r="C23" s="11">
        <v>1212.4000000000001</v>
      </c>
      <c r="D23" s="18" t="s">
        <v>22</v>
      </c>
      <c r="E23" s="18" t="str">
        <f t="shared" si="4"/>
        <v/>
      </c>
      <c r="F23" s="19" t="str">
        <f t="shared" si="5"/>
        <v/>
      </c>
      <c r="G23" s="71" t="s">
        <v>22</v>
      </c>
      <c r="H23" s="20" t="str">
        <f t="shared" si="6"/>
        <v/>
      </c>
      <c r="I23" s="19" t="str">
        <f t="shared" si="7"/>
        <v/>
      </c>
      <c r="J23" s="42"/>
      <c r="K23" s="43"/>
      <c r="L23" s="59"/>
    </row>
    <row r="24" spans="1:12" ht="15.6">
      <c r="A24" s="28" t="str">
        <v xml:space="preserve"> Denver - BA Wadsworth Blvd</v>
      </c>
      <c r="B24" s="29" t="str">
        <v>CO</v>
      </c>
      <c r="C24" s="24">
        <v>2345.5</v>
      </c>
      <c r="D24" s="13" t="s">
        <v>22</v>
      </c>
      <c r="E24" s="13" t="str">
        <f t="shared" si="4"/>
        <v/>
      </c>
      <c r="F24" s="14" t="str">
        <f t="shared" si="5"/>
        <v/>
      </c>
      <c r="G24" s="70" t="s">
        <v>22</v>
      </c>
      <c r="H24" s="15" t="str">
        <f t="shared" si="6"/>
        <v/>
      </c>
      <c r="I24" s="16" t="str">
        <f t="shared" si="7"/>
        <v/>
      </c>
      <c r="J24" s="41"/>
      <c r="K24" s="41"/>
      <c r="L24" s="59"/>
    </row>
    <row r="25" spans="1:12" ht="15.6">
      <c r="A25" s="30" t="str">
        <v xml:space="preserve"> Fort Collins - Bank of America</v>
      </c>
      <c r="B25" s="31" t="str">
        <v>CO</v>
      </c>
      <c r="C25" s="11">
        <v>1644.4</v>
      </c>
      <c r="D25" s="18" t="s">
        <v>22</v>
      </c>
      <c r="E25" s="18" t="str">
        <f t="shared" si="4"/>
        <v/>
      </c>
      <c r="F25" s="19" t="str">
        <f t="shared" si="5"/>
        <v/>
      </c>
      <c r="G25" s="71" t="s">
        <v>22</v>
      </c>
      <c r="H25" s="20" t="str">
        <f t="shared" si="6"/>
        <v/>
      </c>
      <c r="I25" s="19" t="str">
        <f t="shared" si="7"/>
        <v/>
      </c>
      <c r="J25" s="42"/>
      <c r="K25" s="43"/>
      <c r="L25" s="59"/>
    </row>
    <row r="26" spans="1:12" ht="15.6">
      <c r="A26" s="28" t="str">
        <v xml:space="preserve"> Lafayette - Bank of America</v>
      </c>
      <c r="B26" s="29" t="str">
        <v>CO</v>
      </c>
      <c r="C26" s="24">
        <v>2243</v>
      </c>
      <c r="D26" s="13" t="s">
        <v>22</v>
      </c>
      <c r="E26" s="13" t="str">
        <f t="shared" si="4"/>
        <v/>
      </c>
      <c r="F26" s="14" t="str">
        <f t="shared" si="5"/>
        <v/>
      </c>
      <c r="G26" s="70" t="s">
        <v>22</v>
      </c>
      <c r="H26" s="15" t="str">
        <f t="shared" si="6"/>
        <v/>
      </c>
      <c r="I26" s="16" t="str">
        <f t="shared" si="7"/>
        <v/>
      </c>
      <c r="J26" s="41"/>
      <c r="K26" s="41"/>
      <c r="L26" s="59"/>
    </row>
    <row r="27" spans="1:12" ht="15.6">
      <c r="A27" s="30" t="str">
        <v xml:space="preserve"> Lakewood - Bank of America</v>
      </c>
      <c r="B27" s="31" t="str">
        <v>CO</v>
      </c>
      <c r="C27" s="11">
        <v>1280.4000000000001</v>
      </c>
      <c r="D27" s="18" t="s">
        <v>22</v>
      </c>
      <c r="E27" s="18" t="str">
        <f t="shared" si="4"/>
        <v/>
      </c>
      <c r="F27" s="19" t="str">
        <f t="shared" si="5"/>
        <v/>
      </c>
      <c r="G27" s="71" t="s">
        <v>22</v>
      </c>
      <c r="H27" s="20" t="str">
        <f t="shared" si="6"/>
        <v/>
      </c>
      <c r="I27" s="19" t="str">
        <f t="shared" si="7"/>
        <v/>
      </c>
      <c r="J27" s="42"/>
      <c r="K27" s="43"/>
      <c r="L27" s="59"/>
    </row>
    <row r="28" spans="1:12" ht="15.6">
      <c r="A28" s="28" t="str">
        <v xml:space="preserve"> Longmont - Bank of America</v>
      </c>
      <c r="B28" s="29" t="str">
        <v>CO</v>
      </c>
      <c r="C28" s="24">
        <v>1194.3</v>
      </c>
      <c r="D28" s="13" t="s">
        <v>22</v>
      </c>
      <c r="E28" s="13" t="str">
        <f t="shared" si="4"/>
        <v/>
      </c>
      <c r="F28" s="14" t="str">
        <f t="shared" si="5"/>
        <v/>
      </c>
      <c r="G28" s="70" t="s">
        <v>22</v>
      </c>
      <c r="H28" s="15" t="str">
        <f t="shared" si="6"/>
        <v/>
      </c>
      <c r="I28" s="16" t="str">
        <f t="shared" si="7"/>
        <v/>
      </c>
      <c r="J28" s="41"/>
      <c r="K28" s="41"/>
      <c r="L28" s="59"/>
    </row>
    <row r="29" spans="1:12" ht="15.6">
      <c r="A29" s="30" t="str">
        <v xml:space="preserve"> Thornton - Bank of America</v>
      </c>
      <c r="B29" s="31" t="str">
        <v>CO</v>
      </c>
      <c r="C29" s="11">
        <v>1347.7</v>
      </c>
      <c r="D29" s="18" t="s">
        <v>22</v>
      </c>
      <c r="E29" s="18" t="str">
        <f t="shared" si="4"/>
        <v/>
      </c>
      <c r="F29" s="19" t="str">
        <f t="shared" si="5"/>
        <v/>
      </c>
      <c r="G29" s="71" t="s">
        <v>22</v>
      </c>
      <c r="H29" s="20" t="str">
        <f t="shared" si="6"/>
        <v/>
      </c>
      <c r="I29" s="19" t="str">
        <f t="shared" si="7"/>
        <v/>
      </c>
      <c r="J29" s="42"/>
      <c r="K29" s="56"/>
      <c r="L29" s="59"/>
    </row>
    <row r="30" spans="1:12" ht="15.6">
      <c r="A30" s="28" t="str">
        <v xml:space="preserve"> Calumet City - Bank of America</v>
      </c>
      <c r="B30" s="29" t="str">
        <v>IL</v>
      </c>
      <c r="C30" s="24">
        <v>2184.3000000000002</v>
      </c>
      <c r="D30" s="13" t="s">
        <v>22</v>
      </c>
      <c r="E30" s="13" t="str">
        <f t="shared" si="4"/>
        <v/>
      </c>
      <c r="F30" s="14" t="str">
        <f t="shared" si="5"/>
        <v/>
      </c>
      <c r="G30" s="70" t="s">
        <v>22</v>
      </c>
      <c r="H30" s="15" t="str">
        <f t="shared" si="6"/>
        <v/>
      </c>
      <c r="I30" s="16" t="str">
        <f t="shared" si="7"/>
        <v/>
      </c>
      <c r="J30" s="41"/>
      <c r="K30" s="41"/>
      <c r="L30" s="59"/>
    </row>
    <row r="31" spans="1:12" ht="15.6">
      <c r="A31" s="30" t="str">
        <v xml:space="preserve"> Downers Grove - Bank of America</v>
      </c>
      <c r="B31" s="31" t="str">
        <v>IL</v>
      </c>
      <c r="C31" s="11">
        <v>2439.1</v>
      </c>
      <c r="D31" s="18" t="s">
        <v>22</v>
      </c>
      <c r="E31" s="18" t="str">
        <f t="shared" si="4"/>
        <v/>
      </c>
      <c r="F31" s="19" t="str">
        <f t="shared" si="5"/>
        <v/>
      </c>
      <c r="G31" s="71" t="s">
        <v>22</v>
      </c>
      <c r="H31" s="20" t="str">
        <f t="shared" si="6"/>
        <v/>
      </c>
      <c r="I31" s="19" t="str">
        <f t="shared" si="7"/>
        <v/>
      </c>
      <c r="J31" s="42"/>
      <c r="K31" s="43"/>
      <c r="L31" s="59"/>
    </row>
    <row r="32" spans="1:12" ht="28.9">
      <c r="A32" s="28" t="str">
        <v xml:space="preserve"> Bloomington - Bank of America</v>
      </c>
      <c r="B32" s="29" t="str">
        <v>MN</v>
      </c>
      <c r="C32" s="24">
        <v>5105.3</v>
      </c>
      <c r="D32" s="13" t="s">
        <v>22</v>
      </c>
      <c r="E32" s="13" t="str">
        <f t="shared" si="4"/>
        <v/>
      </c>
      <c r="F32" s="14" t="str">
        <f t="shared" si="5"/>
        <v/>
      </c>
      <c r="G32" s="70" t="s">
        <v>22</v>
      </c>
      <c r="H32" s="15" t="str">
        <f t="shared" si="6"/>
        <v/>
      </c>
      <c r="I32" s="16" t="str">
        <f t="shared" si="7"/>
        <v/>
      </c>
      <c r="J32" s="41" t="s">
        <v>79</v>
      </c>
      <c r="K32" s="65" t="s">
        <v>80</v>
      </c>
      <c r="L32" s="59"/>
    </row>
    <row r="33" spans="1:12" ht="15.6">
      <c r="A33" s="30" t="str">
        <v xml:space="preserve"> Clayton - Bank of America</v>
      </c>
      <c r="B33" s="31" t="str">
        <v>MO</v>
      </c>
      <c r="C33" s="11">
        <v>1970.4</v>
      </c>
      <c r="D33" s="18" t="s">
        <v>22</v>
      </c>
      <c r="E33" s="18" t="str">
        <f t="shared" si="4"/>
        <v/>
      </c>
      <c r="F33" s="19" t="str">
        <f t="shared" si="5"/>
        <v/>
      </c>
      <c r="G33" s="71" t="s">
        <v>22</v>
      </c>
      <c r="H33" s="20" t="str">
        <f t="shared" si="6"/>
        <v/>
      </c>
      <c r="I33" s="19" t="str">
        <f t="shared" si="7"/>
        <v/>
      </c>
      <c r="J33" s="42"/>
      <c r="K33" s="43"/>
      <c r="L33" s="59"/>
    </row>
    <row r="34" spans="1:12" ht="28.9">
      <c r="A34" s="28" t="str">
        <v xml:space="preserve"> Manchester - Bank of America</v>
      </c>
      <c r="B34" s="29" t="str">
        <v>MO</v>
      </c>
      <c r="C34" s="24">
        <v>1474</v>
      </c>
      <c r="D34" s="13" t="s">
        <v>22</v>
      </c>
      <c r="E34" s="13" t="str">
        <f t="shared" si="4"/>
        <v/>
      </c>
      <c r="F34" s="14" t="str">
        <f t="shared" si="5"/>
        <v/>
      </c>
      <c r="G34" s="70" t="s">
        <v>22</v>
      </c>
      <c r="H34" s="15" t="str">
        <f t="shared" si="6"/>
        <v/>
      </c>
      <c r="I34" s="16" t="str">
        <f t="shared" si="7"/>
        <v/>
      </c>
      <c r="J34" s="41" t="s">
        <v>60</v>
      </c>
      <c r="K34" s="65" t="s">
        <v>69</v>
      </c>
      <c r="L34" s="59"/>
    </row>
    <row r="35" spans="1:12" ht="15.6">
      <c r="A35" s="30" t="str">
        <v xml:space="preserve"> Las Vegas - BA - Eastern Ave</v>
      </c>
      <c r="B35" s="31" t="str">
        <v>NV</v>
      </c>
      <c r="C35" s="11">
        <v>70.8</v>
      </c>
      <c r="D35" s="18" t="s">
        <v>22</v>
      </c>
      <c r="E35" s="18" t="str">
        <f t="shared" si="4"/>
        <v/>
      </c>
      <c r="F35" s="19" t="str">
        <f t="shared" si="5"/>
        <v/>
      </c>
      <c r="G35" s="71" t="s">
        <v>22</v>
      </c>
      <c r="H35" s="20" t="str">
        <f t="shared" si="6"/>
        <v/>
      </c>
      <c r="I35" s="19" t="str">
        <f t="shared" si="7"/>
        <v/>
      </c>
      <c r="J35" s="42"/>
      <c r="K35" s="43"/>
      <c r="L35" s="59"/>
    </row>
    <row r="36" spans="1:12" ht="15.6">
      <c r="A36" s="28" t="str">
        <v xml:space="preserve"> Las Vegas - BA - Town Ctr Dr</v>
      </c>
      <c r="B36" s="29" t="str">
        <v>NV</v>
      </c>
      <c r="C36" s="24">
        <v>0</v>
      </c>
      <c r="D36" s="13" t="s">
        <v>22</v>
      </c>
      <c r="E36" s="13" t="str">
        <f t="shared" si="4"/>
        <v/>
      </c>
      <c r="F36" s="14" t="str">
        <f t="shared" si="5"/>
        <v/>
      </c>
      <c r="G36" s="70" t="s">
        <v>22</v>
      </c>
      <c r="H36" s="15" t="str">
        <f t="shared" si="6"/>
        <v/>
      </c>
      <c r="I36" s="16" t="str">
        <f t="shared" si="7"/>
        <v/>
      </c>
      <c r="J36" s="41"/>
      <c r="K36" s="41"/>
      <c r="L36" s="59"/>
    </row>
    <row r="37" spans="1:12" ht="15.6">
      <c r="A37" s="30" t="str">
        <v xml:space="preserve"> Riverton - Bank of America</v>
      </c>
      <c r="B37" s="31" t="str">
        <v>UT</v>
      </c>
      <c r="C37" s="11">
        <v>2575.5</v>
      </c>
      <c r="D37" s="18" t="s">
        <v>22</v>
      </c>
      <c r="E37" s="18" t="str">
        <f t="shared" si="4"/>
        <v/>
      </c>
      <c r="F37" s="19" t="str">
        <f t="shared" si="5"/>
        <v/>
      </c>
      <c r="G37" s="71" t="s">
        <v>22</v>
      </c>
      <c r="H37" s="20" t="str">
        <f t="shared" si="6"/>
        <v/>
      </c>
      <c r="I37" s="19" t="str">
        <f t="shared" si="7"/>
        <v/>
      </c>
      <c r="J37" s="42"/>
      <c r="K37" s="43"/>
      <c r="L37" s="59"/>
    </row>
    <row r="38" spans="1:12" ht="15.6">
      <c r="A38" s="28" t="str">
        <v xml:space="preserve"> Salt Lake City - Bank of America</v>
      </c>
      <c r="B38" s="29" t="str">
        <v>UT</v>
      </c>
      <c r="C38" s="24">
        <v>1812.1</v>
      </c>
      <c r="D38" s="13" t="s">
        <v>22</v>
      </c>
      <c r="E38" s="13" t="str">
        <f t="shared" si="4"/>
        <v/>
      </c>
      <c r="F38" s="14" t="str">
        <f t="shared" si="5"/>
        <v/>
      </c>
      <c r="G38" s="70" t="s">
        <v>22</v>
      </c>
      <c r="H38" s="15" t="str">
        <f t="shared" si="6"/>
        <v/>
      </c>
      <c r="I38" s="16" t="str">
        <f t="shared" si="7"/>
        <v/>
      </c>
      <c r="J38" s="41"/>
      <c r="K38" s="41"/>
      <c r="L38" s="59"/>
    </row>
    <row r="39" spans="1:12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2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2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2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2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2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2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2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2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2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C340" s="21"/>
      <c r="D340" s="21"/>
      <c r="E340" s="21"/>
      <c r="F340" s="22"/>
      <c r="G340" s="21"/>
      <c r="H340" s="21"/>
      <c r="I340" s="22"/>
      <c r="J340" s="21"/>
      <c r="K340" s="21"/>
    </row>
  </sheetData>
  <mergeCells count="4">
    <mergeCell ref="G1:I1"/>
    <mergeCell ref="A1:C1"/>
    <mergeCell ref="D1:F1"/>
    <mergeCell ref="A2:B2"/>
  </mergeCells>
  <conditionalFormatting sqref="F2 I2">
    <cfRule type="cellIs" dxfId="38" priority="7" stopIfTrue="1" operator="lessThanOrEqual">
      <formula>-0.1</formula>
    </cfRule>
    <cfRule type="expression" dxfId="37" priority="8">
      <formula>AND(ISNUMBER(F2), F2&gt;=0.1)</formula>
    </cfRule>
  </conditionalFormatting>
  <conditionalFormatting sqref="F4:F98 I4:I98">
    <cfRule type="cellIs" dxfId="36" priority="5" stopIfTrue="1" operator="lessThanOrEqual">
      <formula>-0.1</formula>
    </cfRule>
    <cfRule type="expression" dxfId="35" priority="6">
      <formula>AND(ISNUMBER(F4), F4&gt;=0.1)</formula>
    </cfRule>
  </conditionalFormatting>
  <hyperlinks>
    <hyperlink ref="K10" r:id="rId1" display="https://us3.assetplanner.com/service_request?ID=091352" xr:uid="{992C8F11-58B4-4DC3-B55C-B482A816E7C6}"/>
    <hyperlink ref="K18" r:id="rId2" display="https://us3.assetplanner.com/service_request?ID=099807" xr:uid="{2B51AF56-BF68-4A09-B6B0-0AE630C61212}"/>
    <hyperlink ref="K21" r:id="rId3" display="https://us3.assetplanner.com/service_request?ID=095596" xr:uid="{2F7AF4C6-0C33-4417-A1E7-703C5BD05AC1}"/>
    <hyperlink ref="K32" r:id="rId4" display="https://us3.assetplanner.com/service_request?ID=101279" xr:uid="{092AE78B-3BA0-4301-8407-0748B8B28175}"/>
    <hyperlink ref="K34" r:id="rId5" display="https://us3.assetplanner.com/service_request?ID=097762" xr:uid="{684306AE-E876-445C-B532-3B4D0C27B7F9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M340"/>
  <sheetViews>
    <sheetView zoomScale="80" zoomScaleNormal="80" workbookViewId="0">
      <pane xSplit="2" ySplit="3" topLeftCell="C4" activePane="bottomRight" state="frozen"/>
      <selection pane="bottomRight" activeCell="G42" sqref="G42"/>
      <selection pane="bottomLeft" activeCell="P19" sqref="P19:P20"/>
      <selection pane="topRight" activeCell="P19" sqref="P19:P2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3" ht="19.5" customHeight="1">
      <c r="A1" s="74" t="str" cm="1">
        <f t="array" ref="A1">portfolio</f>
        <v>Cushman &amp; Wakefield</v>
      </c>
      <c r="B1" s="74"/>
      <c r="C1" s="74"/>
      <c r="D1" s="75" t="s">
        <v>81</v>
      </c>
      <c r="E1" s="75"/>
      <c r="F1" s="75"/>
      <c r="G1" s="73" t="s">
        <v>82</v>
      </c>
      <c r="H1" s="73"/>
      <c r="I1" s="73"/>
      <c r="J1" s="4"/>
      <c r="K1" s="4"/>
    </row>
    <row r="2" spans="1:13" ht="19.5" customHeight="1">
      <c r="A2" s="76" t="s">
        <v>2</v>
      </c>
      <c r="B2" s="76"/>
      <c r="C2" s="5">
        <f>SUM(C4:C98)</f>
        <v>66518.39999999998</v>
      </c>
      <c r="D2" s="5">
        <f>SUM(D4:D98)</f>
        <v>0</v>
      </c>
      <c r="E2" s="5">
        <f>C2-D2</f>
        <v>66518.39999999998</v>
      </c>
      <c r="F2" s="6">
        <f>IFERROR(E2/D2, 0)</f>
        <v>0</v>
      </c>
      <c r="G2" s="5">
        <f>SUM(G4:G98)</f>
        <v>0</v>
      </c>
      <c r="H2" s="7">
        <f>C2-G2</f>
        <v>66518.39999999998</v>
      </c>
      <c r="I2" s="6">
        <f>IFERROR(H2/G2, 0)</f>
        <v>0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3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>
        <v>0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70" t="s">
        <v>22</v>
      </c>
      <c r="H4" s="15" t="str">
        <f>IF(AND(ISNUMBER(C4),ISNUMBER(G4)), C4-G4, "")</f>
        <v/>
      </c>
      <c r="I4" s="16" t="str">
        <f>IFERROR(H4/G4, "")</f>
        <v/>
      </c>
      <c r="J4" s="41"/>
      <c r="K4" s="41"/>
      <c r="L4" s="59"/>
    </row>
    <row r="5" spans="1:13" ht="15.6">
      <c r="A5" s="30" t="str">
        <v xml:space="preserve"> Apple Valley - Bank of America</v>
      </c>
      <c r="B5" s="31" t="str">
        <v>CA</v>
      </c>
      <c r="C5" s="11">
        <v>0</v>
      </c>
      <c r="D5" s="18" t="s">
        <v>22</v>
      </c>
      <c r="E5" s="18" t="str">
        <f t="shared" ref="E5:E17" si="0">IF(AND(ISNUMBER(C5),ISNUMBER(D5)), C5-D5, "")</f>
        <v/>
      </c>
      <c r="F5" s="19" t="str">
        <f>IFERROR(E5/D5, "")</f>
        <v/>
      </c>
      <c r="G5" s="71" t="s">
        <v>22</v>
      </c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  <c r="L5" s="59"/>
    </row>
    <row r="6" spans="1:13" ht="15.6">
      <c r="A6" s="28" t="str">
        <v xml:space="preserve"> Arvin - Bank of America</v>
      </c>
      <c r="B6" s="29" t="str">
        <v>CA</v>
      </c>
      <c r="C6" s="24">
        <v>112.1</v>
      </c>
      <c r="D6" s="13" t="s">
        <v>22</v>
      </c>
      <c r="E6" s="13" t="str">
        <f t="shared" si="0"/>
        <v/>
      </c>
      <c r="F6" s="14" t="str">
        <f t="shared" ref="F6:F17" si="3">IFERROR(E6/D6, "")</f>
        <v/>
      </c>
      <c r="G6" s="70" t="s">
        <v>22</v>
      </c>
      <c r="H6" s="15" t="str">
        <f t="shared" si="1"/>
        <v/>
      </c>
      <c r="I6" s="16" t="str">
        <f t="shared" si="2"/>
        <v/>
      </c>
      <c r="J6" s="41"/>
      <c r="K6" s="41"/>
      <c r="L6" s="59"/>
    </row>
    <row r="7" spans="1:13" ht="60.75">
      <c r="A7" s="30" t="str">
        <v xml:space="preserve"> Bell - Bank of America</v>
      </c>
      <c r="B7" s="31" t="str">
        <v>CA</v>
      </c>
      <c r="C7" s="11">
        <v>2216.4</v>
      </c>
      <c r="D7" s="18" t="s">
        <v>22</v>
      </c>
      <c r="E7" s="18" t="str">
        <f t="shared" si="0"/>
        <v/>
      </c>
      <c r="F7" s="19" t="str">
        <f t="shared" si="3"/>
        <v/>
      </c>
      <c r="G7" s="71" t="s">
        <v>22</v>
      </c>
      <c r="H7" s="20" t="str">
        <f t="shared" si="1"/>
        <v/>
      </c>
      <c r="I7" s="19" t="str">
        <f t="shared" si="2"/>
        <v/>
      </c>
      <c r="J7" s="42" t="s">
        <v>83</v>
      </c>
      <c r="K7" s="66" t="s">
        <v>84</v>
      </c>
      <c r="L7" s="72" t="s">
        <v>85</v>
      </c>
      <c r="M7" s="69" t="s">
        <v>85</v>
      </c>
    </row>
    <row r="8" spans="1:13" ht="15.6">
      <c r="A8" s="28" t="str">
        <v xml:space="preserve"> Chula Vista - Bank of America</v>
      </c>
      <c r="B8" s="29" t="str">
        <v>CA</v>
      </c>
      <c r="C8" s="24">
        <v>1383.4</v>
      </c>
      <c r="D8" s="13" t="s">
        <v>22</v>
      </c>
      <c r="E8" s="13" t="str">
        <f t="shared" si="0"/>
        <v/>
      </c>
      <c r="F8" s="14" t="str">
        <f t="shared" si="3"/>
        <v/>
      </c>
      <c r="G8" s="70" t="s">
        <v>22</v>
      </c>
      <c r="H8" s="15" t="str">
        <f t="shared" si="1"/>
        <v/>
      </c>
      <c r="I8" s="16" t="str">
        <f t="shared" si="2"/>
        <v/>
      </c>
      <c r="J8" s="41"/>
      <c r="K8" s="41"/>
      <c r="L8" s="59"/>
    </row>
    <row r="9" spans="1:13" ht="15.6">
      <c r="A9" s="30" t="str">
        <v xml:space="preserve"> Cupertino - Bank of America</v>
      </c>
      <c r="B9" s="31" t="str">
        <v>CA</v>
      </c>
      <c r="C9" s="11">
        <v>2776.4</v>
      </c>
      <c r="D9" s="18" t="s">
        <v>22</v>
      </c>
      <c r="E9" s="18" t="str">
        <f t="shared" si="0"/>
        <v/>
      </c>
      <c r="F9" s="19" t="str">
        <f t="shared" si="3"/>
        <v/>
      </c>
      <c r="G9" s="71" t="s">
        <v>22</v>
      </c>
      <c r="H9" s="20" t="str">
        <f t="shared" si="1"/>
        <v/>
      </c>
      <c r="I9" s="19" t="str">
        <f t="shared" si="2"/>
        <v/>
      </c>
      <c r="J9" s="42"/>
      <c r="K9" s="43"/>
      <c r="L9" s="59"/>
    </row>
    <row r="10" spans="1:13" ht="76.5">
      <c r="A10" s="28" t="str">
        <v xml:space="preserve"> Diamond Bar - Bank of America</v>
      </c>
      <c r="B10" s="29" t="str">
        <v>CA</v>
      </c>
      <c r="C10" s="24">
        <v>2908.8</v>
      </c>
      <c r="D10" s="13" t="s">
        <v>22</v>
      </c>
      <c r="E10" s="13" t="str">
        <f t="shared" si="0"/>
        <v/>
      </c>
      <c r="F10" s="14" t="str">
        <f t="shared" si="3"/>
        <v/>
      </c>
      <c r="G10" s="70" t="s">
        <v>22</v>
      </c>
      <c r="H10" s="15" t="str">
        <f t="shared" si="1"/>
        <v/>
      </c>
      <c r="I10" s="16" t="str">
        <f t="shared" si="2"/>
        <v/>
      </c>
      <c r="J10" s="41" t="s">
        <v>86</v>
      </c>
      <c r="K10" s="65" t="s">
        <v>87</v>
      </c>
      <c r="L10" s="72" t="s">
        <v>88</v>
      </c>
    </row>
    <row r="11" spans="1:13" ht="15.6">
      <c r="A11" s="30" t="str">
        <v xml:space="preserve"> El Centro - Bank of America</v>
      </c>
      <c r="B11" s="31" t="str">
        <v>CA</v>
      </c>
      <c r="C11" s="11">
        <v>3257.5</v>
      </c>
      <c r="D11" s="18" t="s">
        <v>22</v>
      </c>
      <c r="E11" s="18" t="str">
        <f t="shared" si="0"/>
        <v/>
      </c>
      <c r="F11" s="19" t="str">
        <f t="shared" si="3"/>
        <v/>
      </c>
      <c r="G11" s="71" t="s">
        <v>22</v>
      </c>
      <c r="H11" s="20" t="str">
        <f t="shared" si="1"/>
        <v/>
      </c>
      <c r="I11" s="19" t="str">
        <f t="shared" si="2"/>
        <v/>
      </c>
      <c r="J11" s="42"/>
      <c r="K11" s="43"/>
      <c r="L11" s="59"/>
    </row>
    <row r="12" spans="1:13" ht="28.9">
      <c r="A12" s="28" t="str">
        <v xml:space="preserve"> Moreno Valley - Bank of America</v>
      </c>
      <c r="B12" s="29" t="str">
        <v>CA</v>
      </c>
      <c r="C12" s="24">
        <v>5356</v>
      </c>
      <c r="D12" s="13" t="s">
        <v>22</v>
      </c>
      <c r="E12" s="13" t="str">
        <f t="shared" si="0"/>
        <v/>
      </c>
      <c r="F12" s="14" t="str">
        <f t="shared" si="3"/>
        <v/>
      </c>
      <c r="G12" s="70" t="s">
        <v>22</v>
      </c>
      <c r="H12" s="15" t="str">
        <f t="shared" si="1"/>
        <v/>
      </c>
      <c r="I12" s="16" t="str">
        <f t="shared" si="2"/>
        <v/>
      </c>
      <c r="J12" s="41" t="s">
        <v>89</v>
      </c>
      <c r="K12" s="65" t="s">
        <v>90</v>
      </c>
      <c r="L12" s="59"/>
    </row>
    <row r="13" spans="1:13" ht="15.6">
      <c r="A13" s="30" t="str">
        <v xml:space="preserve"> Redlands - Bank of America</v>
      </c>
      <c r="B13" s="31" t="str">
        <v>CA</v>
      </c>
      <c r="C13" s="11">
        <v>0</v>
      </c>
      <c r="D13" s="18" t="s">
        <v>22</v>
      </c>
      <c r="E13" s="18" t="str">
        <f t="shared" si="0"/>
        <v/>
      </c>
      <c r="F13" s="19" t="str">
        <f t="shared" si="3"/>
        <v/>
      </c>
      <c r="G13" s="71" t="s">
        <v>22</v>
      </c>
      <c r="H13" s="20" t="str">
        <f t="shared" si="1"/>
        <v/>
      </c>
      <c r="I13" s="19" t="str">
        <f t="shared" si="2"/>
        <v/>
      </c>
      <c r="J13" s="42"/>
      <c r="K13" s="43"/>
      <c r="L13" s="59"/>
    </row>
    <row r="14" spans="1:13" ht="15.6">
      <c r="A14" s="28" t="str">
        <v xml:space="preserve"> Roseville - Bank of America</v>
      </c>
      <c r="B14" s="29" t="str">
        <v>CA</v>
      </c>
      <c r="C14" s="24">
        <v>8405.7999999999993</v>
      </c>
      <c r="D14" s="13" t="s">
        <v>22</v>
      </c>
      <c r="E14" s="13" t="str">
        <f t="shared" si="0"/>
        <v/>
      </c>
      <c r="F14" s="14" t="str">
        <f t="shared" si="3"/>
        <v/>
      </c>
      <c r="G14" s="70" t="s">
        <v>22</v>
      </c>
      <c r="H14" s="15" t="str">
        <f t="shared" si="1"/>
        <v/>
      </c>
      <c r="I14" s="16" t="str">
        <f t="shared" si="2"/>
        <v/>
      </c>
      <c r="J14" s="41"/>
      <c r="K14" s="41"/>
      <c r="L14" s="59"/>
    </row>
    <row r="15" spans="1:13" ht="28.9">
      <c r="A15" s="30" t="str">
        <v xml:space="preserve"> San Bernardino - Bank of America</v>
      </c>
      <c r="B15" s="31" t="str">
        <v>CA</v>
      </c>
      <c r="C15" s="11">
        <v>108.5</v>
      </c>
      <c r="D15" s="18" t="s">
        <v>22</v>
      </c>
      <c r="E15" s="18" t="str">
        <f t="shared" si="0"/>
        <v/>
      </c>
      <c r="F15" s="19" t="str">
        <f t="shared" si="3"/>
        <v/>
      </c>
      <c r="G15" s="71" t="s">
        <v>22</v>
      </c>
      <c r="H15" s="20" t="str">
        <f t="shared" si="1"/>
        <v/>
      </c>
      <c r="I15" s="19" t="str">
        <f t="shared" si="2"/>
        <v/>
      </c>
      <c r="J15" s="42" t="s">
        <v>91</v>
      </c>
      <c r="K15" s="66" t="s">
        <v>92</v>
      </c>
      <c r="L15" s="59"/>
    </row>
    <row r="16" spans="1:13" ht="15.6">
      <c r="A16" s="28" t="str">
        <v xml:space="preserve"> San Diego - Bank of America</v>
      </c>
      <c r="B16" s="29" t="str">
        <v>CA</v>
      </c>
      <c r="C16" s="24">
        <v>64.3</v>
      </c>
      <c r="D16" s="13" t="s">
        <v>22</v>
      </c>
      <c r="E16" s="13" t="str">
        <f t="shared" si="0"/>
        <v/>
      </c>
      <c r="F16" s="14" t="str">
        <f t="shared" si="3"/>
        <v/>
      </c>
      <c r="G16" s="70" t="s">
        <v>22</v>
      </c>
      <c r="H16" s="15" t="str">
        <f t="shared" si="1"/>
        <v/>
      </c>
      <c r="I16" s="16" t="str">
        <f t="shared" si="2"/>
        <v/>
      </c>
      <c r="J16" s="41"/>
      <c r="K16" s="41"/>
      <c r="L16" s="59"/>
    </row>
    <row r="17" spans="1:12" ht="15.6">
      <c r="A17" s="30" t="str">
        <v xml:space="preserve"> Stockton - Bank of America</v>
      </c>
      <c r="B17" s="31" t="str">
        <v>CA</v>
      </c>
      <c r="C17" s="11">
        <v>2540.6999999999998</v>
      </c>
      <c r="D17" s="18" t="s">
        <v>22</v>
      </c>
      <c r="E17" s="18" t="str">
        <f t="shared" si="0"/>
        <v/>
      </c>
      <c r="F17" s="19" t="str">
        <f t="shared" si="3"/>
        <v/>
      </c>
      <c r="G17" s="71" t="s">
        <v>22</v>
      </c>
      <c r="H17" s="20" t="str">
        <f t="shared" si="1"/>
        <v/>
      </c>
      <c r="I17" s="19" t="str">
        <f t="shared" si="2"/>
        <v/>
      </c>
      <c r="J17" s="42"/>
      <c r="K17" s="43"/>
      <c r="L17" s="59"/>
    </row>
    <row r="18" spans="1:12" ht="29.25" customHeight="1">
      <c r="A18" s="28" t="str">
        <v xml:space="preserve"> Victorville - Bank of America</v>
      </c>
      <c r="B18" s="29" t="str">
        <v>CA</v>
      </c>
      <c r="C18" s="24">
        <v>0</v>
      </c>
      <c r="D18" s="13" t="s">
        <v>22</v>
      </c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70" t="s">
        <v>22</v>
      </c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 t="s">
        <v>93</v>
      </c>
      <c r="K18" s="65" t="s">
        <v>77</v>
      </c>
      <c r="L18" s="59"/>
    </row>
    <row r="19" spans="1:12" ht="15.6">
      <c r="A19" s="30" t="str">
        <v xml:space="preserve"> Aurora - BA - Colfax Ave</v>
      </c>
      <c r="B19" s="31" t="str">
        <v>CO</v>
      </c>
      <c r="C19" s="11">
        <v>1401.3</v>
      </c>
      <c r="D19" s="18" t="s">
        <v>22</v>
      </c>
      <c r="E19" s="18" t="str">
        <f t="shared" si="4"/>
        <v/>
      </c>
      <c r="F19" s="19" t="str">
        <f t="shared" si="5"/>
        <v/>
      </c>
      <c r="G19" s="71" t="s">
        <v>22</v>
      </c>
      <c r="H19" s="20" t="str">
        <f t="shared" si="6"/>
        <v/>
      </c>
      <c r="I19" s="19" t="str">
        <f t="shared" si="7"/>
        <v/>
      </c>
      <c r="J19" s="42"/>
      <c r="K19" s="43"/>
      <c r="L19" s="59"/>
    </row>
    <row r="20" spans="1:12" ht="15.6">
      <c r="A20" s="28" t="str">
        <v xml:space="preserve"> Aurora - BA - Parker Rd</v>
      </c>
      <c r="B20" s="29" t="str">
        <v>CO</v>
      </c>
      <c r="C20" s="24">
        <v>3952.6</v>
      </c>
      <c r="D20" s="13" t="s">
        <v>22</v>
      </c>
      <c r="E20" s="13" t="str">
        <f t="shared" si="4"/>
        <v/>
      </c>
      <c r="F20" s="14" t="str">
        <f t="shared" si="5"/>
        <v/>
      </c>
      <c r="G20" s="70" t="s">
        <v>22</v>
      </c>
      <c r="H20" s="15" t="str">
        <f t="shared" si="6"/>
        <v/>
      </c>
      <c r="I20" s="16" t="str">
        <f t="shared" si="7"/>
        <v/>
      </c>
      <c r="J20" s="41"/>
      <c r="K20" s="41"/>
      <c r="L20" s="59"/>
    </row>
    <row r="21" spans="1:12" ht="43.15">
      <c r="A21" s="30" t="str">
        <v xml:space="preserve"> Broomfield - Bank of America</v>
      </c>
      <c r="B21" s="31" t="str">
        <v>CO</v>
      </c>
      <c r="C21" s="11">
        <v>1947.5</v>
      </c>
      <c r="D21" s="18" t="s">
        <v>22</v>
      </c>
      <c r="E21" s="18" t="str">
        <f t="shared" si="4"/>
        <v/>
      </c>
      <c r="F21" s="19" t="str">
        <f t="shared" si="5"/>
        <v/>
      </c>
      <c r="G21" s="71" t="s">
        <v>22</v>
      </c>
      <c r="H21" s="20" t="str">
        <f t="shared" si="6"/>
        <v/>
      </c>
      <c r="I21" s="19" t="str">
        <f t="shared" si="7"/>
        <v/>
      </c>
      <c r="J21" s="42" t="s">
        <v>94</v>
      </c>
      <c r="K21" s="66" t="s">
        <v>95</v>
      </c>
      <c r="L21" s="59"/>
    </row>
    <row r="22" spans="1:12" ht="15.6">
      <c r="A22" s="28" t="str">
        <v xml:space="preserve"> Colorado Springs - Bank of America</v>
      </c>
      <c r="B22" s="29" t="str">
        <v>CO</v>
      </c>
      <c r="C22" s="24">
        <v>2966.3</v>
      </c>
      <c r="D22" s="13" t="s">
        <v>22</v>
      </c>
      <c r="E22" s="13" t="str">
        <f t="shared" si="4"/>
        <v/>
      </c>
      <c r="F22" s="14" t="str">
        <f t="shared" si="5"/>
        <v/>
      </c>
      <c r="G22" s="70" t="s">
        <v>22</v>
      </c>
      <c r="H22" s="15" t="str">
        <f t="shared" si="6"/>
        <v/>
      </c>
      <c r="I22" s="16" t="str">
        <f t="shared" si="7"/>
        <v/>
      </c>
      <c r="J22" s="41"/>
      <c r="K22" s="41"/>
      <c r="L22" s="59"/>
    </row>
    <row r="23" spans="1:12" ht="15.6">
      <c r="A23" s="30" t="str">
        <v xml:space="preserve"> Denver - BA - 49th Ave</v>
      </c>
      <c r="B23" s="31" t="str">
        <v>CO</v>
      </c>
      <c r="C23" s="11">
        <v>1348.2</v>
      </c>
      <c r="D23" s="18" t="s">
        <v>22</v>
      </c>
      <c r="E23" s="18" t="str">
        <f t="shared" si="4"/>
        <v/>
      </c>
      <c r="F23" s="19" t="str">
        <f t="shared" si="5"/>
        <v/>
      </c>
      <c r="G23" s="71" t="s">
        <v>22</v>
      </c>
      <c r="H23" s="20" t="str">
        <f t="shared" si="6"/>
        <v/>
      </c>
      <c r="I23" s="19" t="str">
        <f t="shared" si="7"/>
        <v/>
      </c>
      <c r="J23" s="42"/>
      <c r="K23" s="43"/>
      <c r="L23" s="59"/>
    </row>
    <row r="24" spans="1:12" ht="15.6">
      <c r="A24" s="28" t="str">
        <v xml:space="preserve"> Denver - BA Wadsworth Blvd</v>
      </c>
      <c r="B24" s="29" t="str">
        <v>CO</v>
      </c>
      <c r="C24" s="24">
        <v>2916.1</v>
      </c>
      <c r="D24" s="13" t="s">
        <v>22</v>
      </c>
      <c r="E24" s="13" t="str">
        <f t="shared" si="4"/>
        <v/>
      </c>
      <c r="F24" s="14" t="str">
        <f t="shared" si="5"/>
        <v/>
      </c>
      <c r="G24" s="70" t="s">
        <v>22</v>
      </c>
      <c r="H24" s="15" t="str">
        <f t="shared" si="6"/>
        <v/>
      </c>
      <c r="I24" s="16" t="str">
        <f t="shared" si="7"/>
        <v/>
      </c>
      <c r="J24" s="41"/>
      <c r="K24" s="41"/>
      <c r="L24" s="59"/>
    </row>
    <row r="25" spans="1:12" ht="15.6">
      <c r="A25" s="30" t="str">
        <v xml:space="preserve"> Fort Collins - Bank of America</v>
      </c>
      <c r="B25" s="31" t="str">
        <v>CO</v>
      </c>
      <c r="C25" s="11">
        <v>1819.1</v>
      </c>
      <c r="D25" s="18" t="s">
        <v>22</v>
      </c>
      <c r="E25" s="18" t="str">
        <f t="shared" si="4"/>
        <v/>
      </c>
      <c r="F25" s="19" t="str">
        <f t="shared" si="5"/>
        <v/>
      </c>
      <c r="G25" s="71" t="s">
        <v>22</v>
      </c>
      <c r="H25" s="20" t="str">
        <f t="shared" si="6"/>
        <v/>
      </c>
      <c r="I25" s="19" t="str">
        <f t="shared" si="7"/>
        <v/>
      </c>
      <c r="J25" s="42"/>
      <c r="K25" s="43"/>
      <c r="L25" s="59"/>
    </row>
    <row r="26" spans="1:12" ht="15.6">
      <c r="A26" s="28" t="str">
        <v xml:space="preserve"> Lafayette - Bank of America</v>
      </c>
      <c r="B26" s="29" t="str">
        <v>CO</v>
      </c>
      <c r="C26" s="24">
        <v>2615.1</v>
      </c>
      <c r="D26" s="13" t="s">
        <v>22</v>
      </c>
      <c r="E26" s="13" t="str">
        <f t="shared" si="4"/>
        <v/>
      </c>
      <c r="F26" s="14" t="str">
        <f t="shared" si="5"/>
        <v/>
      </c>
      <c r="G26" s="70" t="s">
        <v>22</v>
      </c>
      <c r="H26" s="15" t="str">
        <f t="shared" si="6"/>
        <v/>
      </c>
      <c r="I26" s="16" t="str">
        <f t="shared" si="7"/>
        <v/>
      </c>
      <c r="J26" s="41"/>
      <c r="K26" s="41"/>
      <c r="L26" s="59"/>
    </row>
    <row r="27" spans="1:12" ht="15.6">
      <c r="A27" s="30" t="str">
        <v xml:space="preserve"> Lakewood - Bank of America</v>
      </c>
      <c r="B27" s="31" t="str">
        <v>CO</v>
      </c>
      <c r="C27" s="11">
        <v>1549.6</v>
      </c>
      <c r="D27" s="18" t="s">
        <v>22</v>
      </c>
      <c r="E27" s="18" t="str">
        <f t="shared" si="4"/>
        <v/>
      </c>
      <c r="F27" s="19" t="str">
        <f t="shared" si="5"/>
        <v/>
      </c>
      <c r="G27" s="71" t="s">
        <v>22</v>
      </c>
      <c r="H27" s="20" t="str">
        <f t="shared" si="6"/>
        <v/>
      </c>
      <c r="I27" s="19" t="str">
        <f t="shared" si="7"/>
        <v/>
      </c>
      <c r="J27" s="42"/>
      <c r="K27" s="43"/>
      <c r="L27" s="59"/>
    </row>
    <row r="28" spans="1:12" ht="15.6">
      <c r="A28" s="28" t="str">
        <v xml:space="preserve"> Longmont - Bank of America</v>
      </c>
      <c r="B28" s="29" t="str">
        <v>CO</v>
      </c>
      <c r="C28" s="24">
        <v>1309.4000000000001</v>
      </c>
      <c r="D28" s="13" t="s">
        <v>22</v>
      </c>
      <c r="E28" s="13" t="str">
        <f t="shared" si="4"/>
        <v/>
      </c>
      <c r="F28" s="14" t="str">
        <f t="shared" si="5"/>
        <v/>
      </c>
      <c r="G28" s="70" t="s">
        <v>22</v>
      </c>
      <c r="H28" s="15" t="str">
        <f t="shared" si="6"/>
        <v/>
      </c>
      <c r="I28" s="16" t="str">
        <f t="shared" si="7"/>
        <v/>
      </c>
      <c r="J28" s="41"/>
      <c r="K28" s="41"/>
      <c r="L28" s="59"/>
    </row>
    <row r="29" spans="1:12" ht="15.6">
      <c r="A29" s="30" t="str">
        <v xml:space="preserve"> Thornton - Bank of America</v>
      </c>
      <c r="B29" s="31" t="str">
        <v>CO</v>
      </c>
      <c r="C29" s="11">
        <v>1552.1</v>
      </c>
      <c r="D29" s="18" t="s">
        <v>22</v>
      </c>
      <c r="E29" s="18" t="str">
        <f t="shared" si="4"/>
        <v/>
      </c>
      <c r="F29" s="19" t="str">
        <f t="shared" si="5"/>
        <v/>
      </c>
      <c r="G29" s="71" t="s">
        <v>22</v>
      </c>
      <c r="H29" s="20" t="str">
        <f t="shared" si="6"/>
        <v/>
      </c>
      <c r="I29" s="19" t="str">
        <f t="shared" si="7"/>
        <v/>
      </c>
      <c r="J29" s="42"/>
      <c r="K29" s="56"/>
      <c r="L29" s="59"/>
    </row>
    <row r="30" spans="1:12" ht="15.6">
      <c r="A30" s="28" t="str">
        <v xml:space="preserve"> Calumet City - Bank of America</v>
      </c>
      <c r="B30" s="29" t="str">
        <v>IL</v>
      </c>
      <c r="C30" s="24">
        <v>2801.4</v>
      </c>
      <c r="D30" s="13" t="s">
        <v>22</v>
      </c>
      <c r="E30" s="13" t="str">
        <f t="shared" si="4"/>
        <v/>
      </c>
      <c r="F30" s="14" t="str">
        <f t="shared" si="5"/>
        <v/>
      </c>
      <c r="G30" s="70" t="s">
        <v>22</v>
      </c>
      <c r="H30" s="15" t="str">
        <f t="shared" si="6"/>
        <v/>
      </c>
      <c r="I30" s="16" t="str">
        <f t="shared" si="7"/>
        <v/>
      </c>
      <c r="J30" s="41"/>
      <c r="K30" s="41"/>
      <c r="L30" s="59"/>
    </row>
    <row r="31" spans="1:12" ht="28.9">
      <c r="A31" s="30" t="str">
        <v xml:space="preserve"> Downers Grove - Bank of America</v>
      </c>
      <c r="B31" s="31" t="str">
        <v>IL</v>
      </c>
      <c r="C31" s="11">
        <v>3092.4</v>
      </c>
      <c r="D31" s="18" t="s">
        <v>22</v>
      </c>
      <c r="E31" s="18" t="str">
        <f t="shared" si="4"/>
        <v/>
      </c>
      <c r="F31" s="19" t="str">
        <f t="shared" si="5"/>
        <v/>
      </c>
      <c r="G31" s="71" t="s">
        <v>22</v>
      </c>
      <c r="H31" s="20" t="str">
        <f t="shared" si="6"/>
        <v/>
      </c>
      <c r="I31" s="19" t="str">
        <f t="shared" si="7"/>
        <v/>
      </c>
      <c r="J31" s="42" t="s">
        <v>96</v>
      </c>
      <c r="K31" s="66" t="s">
        <v>97</v>
      </c>
      <c r="L31" s="59"/>
    </row>
    <row r="32" spans="1:12" ht="28.9">
      <c r="A32" s="28" t="str">
        <v xml:space="preserve"> Bloomington - Bank of America</v>
      </c>
      <c r="B32" s="29" t="str">
        <v>MN</v>
      </c>
      <c r="C32" s="24">
        <v>624.6</v>
      </c>
      <c r="D32" s="13" t="s">
        <v>22</v>
      </c>
      <c r="E32" s="13" t="str">
        <f t="shared" si="4"/>
        <v/>
      </c>
      <c r="F32" s="14" t="str">
        <f t="shared" si="5"/>
        <v/>
      </c>
      <c r="G32" s="70" t="s">
        <v>22</v>
      </c>
      <c r="H32" s="15" t="str">
        <f t="shared" si="6"/>
        <v/>
      </c>
      <c r="I32" s="16" t="str">
        <f t="shared" si="7"/>
        <v/>
      </c>
      <c r="J32" s="41" t="s">
        <v>98</v>
      </c>
      <c r="K32" s="65" t="s">
        <v>99</v>
      </c>
      <c r="L32" s="59"/>
    </row>
    <row r="33" spans="1:12" ht="15.6">
      <c r="A33" s="30" t="str">
        <v xml:space="preserve"> Clayton - Bank of America</v>
      </c>
      <c r="B33" s="31" t="str">
        <v>MO</v>
      </c>
      <c r="C33" s="11">
        <v>2398.6999999999998</v>
      </c>
      <c r="D33" s="18" t="s">
        <v>22</v>
      </c>
      <c r="E33" s="18" t="str">
        <f t="shared" si="4"/>
        <v/>
      </c>
      <c r="F33" s="19" t="str">
        <f t="shared" si="5"/>
        <v/>
      </c>
      <c r="G33" s="71" t="s">
        <v>22</v>
      </c>
      <c r="H33" s="20" t="str">
        <f t="shared" si="6"/>
        <v/>
      </c>
      <c r="I33" s="19" t="str">
        <f t="shared" si="7"/>
        <v/>
      </c>
      <c r="J33" s="42"/>
      <c r="K33" s="43"/>
      <c r="L33" s="59"/>
    </row>
    <row r="34" spans="1:12" ht="28.9">
      <c r="A34" s="28" t="str">
        <v xml:space="preserve"> Manchester - Bank of America</v>
      </c>
      <c r="B34" s="29" t="str">
        <v>MO</v>
      </c>
      <c r="C34" s="24">
        <v>1926.2</v>
      </c>
      <c r="D34" s="13" t="s">
        <v>22</v>
      </c>
      <c r="E34" s="13" t="str">
        <f t="shared" si="4"/>
        <v/>
      </c>
      <c r="F34" s="14" t="str">
        <f t="shared" si="5"/>
        <v/>
      </c>
      <c r="G34" s="70" t="s">
        <v>22</v>
      </c>
      <c r="H34" s="15" t="str">
        <f t="shared" si="6"/>
        <v/>
      </c>
      <c r="I34" s="16" t="str">
        <f t="shared" si="7"/>
        <v/>
      </c>
      <c r="J34" s="41" t="s">
        <v>60</v>
      </c>
      <c r="K34" s="65" t="s">
        <v>69</v>
      </c>
      <c r="L34" s="59"/>
    </row>
    <row r="35" spans="1:12" ht="15.6">
      <c r="A35" s="30" t="str">
        <v xml:space="preserve"> Las Vegas - BA - Eastern Ave</v>
      </c>
      <c r="B35" s="31" t="str">
        <v>NV</v>
      </c>
      <c r="C35" s="11">
        <v>72.099999999999994</v>
      </c>
      <c r="D35" s="18" t="s">
        <v>22</v>
      </c>
      <c r="E35" s="18" t="str">
        <f t="shared" si="4"/>
        <v/>
      </c>
      <c r="F35" s="19" t="str">
        <f t="shared" si="5"/>
        <v/>
      </c>
      <c r="G35" s="71" t="s">
        <v>22</v>
      </c>
      <c r="H35" s="20" t="str">
        <f t="shared" si="6"/>
        <v/>
      </c>
      <c r="I35" s="19" t="str">
        <f t="shared" si="7"/>
        <v/>
      </c>
      <c r="J35" s="42"/>
      <c r="K35" s="43"/>
      <c r="L35" s="59"/>
    </row>
    <row r="36" spans="1:12" ht="15.6">
      <c r="A36" s="28" t="str">
        <v xml:space="preserve"> Las Vegas - BA - Town Ctr Dr</v>
      </c>
      <c r="B36" s="29" t="str">
        <v>NV</v>
      </c>
      <c r="C36" s="24">
        <v>0</v>
      </c>
      <c r="D36" s="13" t="s">
        <v>22</v>
      </c>
      <c r="E36" s="13" t="str">
        <f t="shared" si="4"/>
        <v/>
      </c>
      <c r="F36" s="14" t="str">
        <f t="shared" si="5"/>
        <v/>
      </c>
      <c r="G36" s="70" t="s">
        <v>22</v>
      </c>
      <c r="H36" s="15" t="str">
        <f t="shared" si="6"/>
        <v/>
      </c>
      <c r="I36" s="16" t="str">
        <f t="shared" si="7"/>
        <v/>
      </c>
      <c r="J36" s="41"/>
      <c r="K36" s="41"/>
      <c r="L36" s="59"/>
    </row>
    <row r="37" spans="1:12" ht="15.6">
      <c r="A37" s="30" t="str">
        <v xml:space="preserve"> Riverton - Bank of America</v>
      </c>
      <c r="B37" s="31" t="str">
        <v>UT</v>
      </c>
      <c r="C37" s="11">
        <v>2895.9</v>
      </c>
      <c r="D37" s="18" t="s">
        <v>22</v>
      </c>
      <c r="E37" s="18" t="str">
        <f t="shared" si="4"/>
        <v/>
      </c>
      <c r="F37" s="19" t="str">
        <f t="shared" si="5"/>
        <v/>
      </c>
      <c r="G37" s="71" t="s">
        <v>22</v>
      </c>
      <c r="H37" s="20" t="str">
        <f t="shared" si="6"/>
        <v/>
      </c>
      <c r="I37" s="19" t="str">
        <f t="shared" si="7"/>
        <v/>
      </c>
      <c r="J37" s="42"/>
      <c r="K37" s="43"/>
      <c r="L37" s="59"/>
    </row>
    <row r="38" spans="1:12" ht="15.6">
      <c r="A38" s="28" t="str">
        <v xml:space="preserve"> Salt Lake City - Bank of America</v>
      </c>
      <c r="B38" s="29" t="str">
        <v>UT</v>
      </c>
      <c r="C38" s="24">
        <v>199.9</v>
      </c>
      <c r="D38" s="13" t="s">
        <v>22</v>
      </c>
      <c r="E38" s="13" t="str">
        <f t="shared" si="4"/>
        <v/>
      </c>
      <c r="F38" s="14" t="str">
        <f t="shared" si="5"/>
        <v/>
      </c>
      <c r="G38" s="70" t="s">
        <v>22</v>
      </c>
      <c r="H38" s="15" t="str">
        <f t="shared" si="6"/>
        <v/>
      </c>
      <c r="I38" s="16" t="str">
        <f t="shared" si="7"/>
        <v/>
      </c>
      <c r="J38" s="41"/>
      <c r="K38" s="41"/>
      <c r="L38" s="59"/>
    </row>
    <row r="39" spans="1:12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2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2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2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2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2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2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2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2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2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C340" s="21"/>
      <c r="D340" s="21"/>
      <c r="E340" s="21"/>
      <c r="F340" s="22"/>
      <c r="G340" s="21"/>
      <c r="H340" s="21"/>
      <c r="I340" s="22"/>
      <c r="J340" s="21"/>
      <c r="K340" s="21"/>
    </row>
  </sheetData>
  <mergeCells count="4">
    <mergeCell ref="G1:I1"/>
    <mergeCell ref="A1:C1"/>
    <mergeCell ref="D1:F1"/>
    <mergeCell ref="A2:B2"/>
  </mergeCells>
  <conditionalFormatting sqref="F2 I2 F4:F98 I4:I98">
    <cfRule type="cellIs" dxfId="34" priority="3" stopIfTrue="1" operator="lessThanOrEqual">
      <formula>-0.1</formula>
    </cfRule>
    <cfRule type="expression" dxfId="33" priority="4">
      <formula>AND(ISNUMBER(F2), F2&gt;=0.1)</formula>
    </cfRule>
  </conditionalFormatting>
  <hyperlinks>
    <hyperlink ref="K7" r:id="rId1" display="https://us3.assetplanner.com/service_request?ID=101589" xr:uid="{13153E83-BDFA-4B2F-B03A-5648C95A3A91}"/>
    <hyperlink ref="L7" r:id="rId2" display="https://us3.assetplanner.com/service_request?ID=101905" xr:uid="{38800BE8-A6DA-4288-BD6F-659BFFAFFA91}"/>
    <hyperlink ref="M7" r:id="rId3" display="https://us3.assetplanner.com/service_request?ID=101905" xr:uid="{495DE4B3-6B7A-40F8-8996-3BFE7D92575C}"/>
    <hyperlink ref="K10" r:id="rId4" display="https://us3.assetplanner.com/service_request?ID=102087" xr:uid="{35A57EE8-F3C4-49EE-8539-D0076FAD95BD}"/>
    <hyperlink ref="L10" r:id="rId5" display="https://us3.assetplanner.com/service_request?ID=091352" xr:uid="{846E81C4-A6ED-4A0E-AFF6-C9CBD9F5FAB8}"/>
    <hyperlink ref="K12" r:id="rId6" display="https://us3.assetplanner.com/service_request?ID=102088" xr:uid="{33A14EAD-00A8-40B1-854F-9600A0EC45A1}"/>
    <hyperlink ref="K15" r:id="rId7" display="https://us3.assetplanner.com/service_request?ID=101846" xr:uid="{8BD4E473-F652-46B8-A165-28E99E32A7F8}"/>
    <hyperlink ref="K18" r:id="rId8" display="https://us3.assetplanner.com/service_request?ID=099807" xr:uid="{54B9D1E7-23FB-468A-8DC9-CABD187F3EE6}"/>
    <hyperlink ref="K21" r:id="rId9" display="https://us3.assetplanner.com/service_request?ID=095596" xr:uid="{EC13A4E8-47C6-4E8E-8148-01E81CBF6375}"/>
    <hyperlink ref="K31" r:id="rId10" display="https://us3.assetplanner.com/service_request?ID=101326" xr:uid="{BE58C30C-EFAC-411A-896F-691E903FD478}"/>
    <hyperlink ref="K32" r:id="rId11" display="https://us3.assetplanner.com/service_request?ID=101279" xr:uid="{9E5411E7-C1C7-43A9-ABA5-E3A8588845B1}"/>
    <hyperlink ref="K34" r:id="rId12" display="https://us3.assetplanner.com/service_request?ID=097762" xr:uid="{B1FA8B3A-6E41-47FB-8C42-54AD16CA822F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L340"/>
  <sheetViews>
    <sheetView zoomScale="70" zoomScaleNormal="70" workbookViewId="0">
      <pane xSplit="2" ySplit="3" topLeftCell="K22" activePane="bottomRight" state="frozen"/>
      <selection pane="bottomRight" activeCell="K22" sqref="K22"/>
      <selection pane="bottomLeft" activeCell="P19" sqref="P19:P20"/>
      <selection pane="topRight" activeCell="P19" sqref="P19:P2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74" t="str" cm="1">
        <f t="array" ref="A1">portfolio</f>
        <v>Cushman &amp; Wakefield</v>
      </c>
      <c r="B1" s="74"/>
      <c r="C1" s="74"/>
      <c r="D1" s="75" t="s">
        <v>100</v>
      </c>
      <c r="E1" s="75"/>
      <c r="F1" s="75"/>
      <c r="G1" s="73" t="s">
        <v>101</v>
      </c>
      <c r="H1" s="73"/>
      <c r="I1" s="73"/>
      <c r="J1" s="4"/>
      <c r="K1" s="4"/>
    </row>
    <row r="2" spans="1:12" ht="19.5" customHeight="1">
      <c r="A2" s="76" t="s">
        <v>2</v>
      </c>
      <c r="B2" s="76"/>
      <c r="C2" s="5">
        <f>SUM(C4:C98)</f>
        <v>0</v>
      </c>
      <c r="D2" s="5">
        <f>SUM(D4:D98)</f>
        <v>0</v>
      </c>
      <c r="E2" s="5">
        <f>C2-D2</f>
        <v>0</v>
      </c>
      <c r="F2" s="6">
        <f>IFERROR(E2/D2, 0)</f>
        <v>0</v>
      </c>
      <c r="G2" s="5">
        <f>SUM(G4:G98)</f>
        <v>0</v>
      </c>
      <c r="H2" s="7">
        <f>C2-G2</f>
        <v>0</v>
      </c>
      <c r="I2" s="6">
        <f>IFERROR(H2/G2, 0)</f>
        <v>0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2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  <c r="L4" s="59"/>
    </row>
    <row r="5" spans="1:12" ht="15.6">
      <c r="A5" s="30" t="str">
        <v xml:space="preserve"> Apple Valley - Bank of America</v>
      </c>
      <c r="B5" s="31" t="str">
        <v>CA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  <c r="L5" s="59"/>
    </row>
    <row r="6" spans="1:12" ht="30.6" customHeight="1">
      <c r="A6" s="28" t="str">
        <v xml:space="preserve"> Arvin - Bank of America</v>
      </c>
      <c r="B6" s="29" t="str">
        <v>CA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  <c r="L6" s="59"/>
    </row>
    <row r="7" spans="1:12" ht="54" customHeight="1">
      <c r="A7" s="30" t="str">
        <v xml:space="preserve"> Bell - Bank of America</v>
      </c>
      <c r="B7" s="31" t="str">
        <v>CA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  <c r="L7" s="59"/>
    </row>
    <row r="8" spans="1:12" ht="15.6">
      <c r="A8" s="28" t="str">
        <v xml:space="preserve"> Chula Vista - Bank of America</v>
      </c>
      <c r="B8" s="29" t="str">
        <v>CA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  <c r="L8" s="59"/>
    </row>
    <row r="9" spans="1:12" ht="15.6">
      <c r="A9" s="30" t="str">
        <v xml:space="preserve"> Cupertino - Bank of America</v>
      </c>
      <c r="B9" s="31" t="str">
        <v>CA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  <c r="L9" s="59"/>
    </row>
    <row r="10" spans="1:12" ht="15.6">
      <c r="A10" s="28" t="str">
        <v xml:space="preserve"> Diamond Bar - Bank of America</v>
      </c>
      <c r="B10" s="29" t="str">
        <v>CA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  <c r="L10" s="59"/>
    </row>
    <row r="11" spans="1:12" ht="15.6">
      <c r="A11" s="30" t="str">
        <v xml:space="preserve"> El Centro - Bank of America</v>
      </c>
      <c r="B11" s="31" t="str">
        <v>CA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  <c r="L11" s="59"/>
    </row>
    <row r="12" spans="1:12" ht="15.6">
      <c r="A12" s="28" t="str">
        <v xml:space="preserve"> Moreno Valley - Bank of America</v>
      </c>
      <c r="B12" s="29" t="str">
        <v>CA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  <c r="L12" s="59"/>
    </row>
    <row r="13" spans="1:12" ht="15.6">
      <c r="A13" s="30" t="str">
        <v xml:space="preserve"> Redlands - Bank of America</v>
      </c>
      <c r="B13" s="31" t="str">
        <v>CA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  <c r="L13" s="59"/>
    </row>
    <row r="14" spans="1:12" ht="15.6">
      <c r="A14" s="28" t="str">
        <v xml:space="preserve"> Roseville - Bank of America</v>
      </c>
      <c r="B14" s="29" t="str">
        <v>CA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  <c r="L14" s="59"/>
    </row>
    <row r="15" spans="1:12" ht="49.5" customHeight="1">
      <c r="A15" s="30" t="str">
        <v xml:space="preserve"> San Bernardino - Bank of America</v>
      </c>
      <c r="B15" s="31" t="str">
        <v>CA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  <c r="L15" s="59"/>
    </row>
    <row r="16" spans="1:12" ht="15.6">
      <c r="A16" s="28" t="str">
        <v xml:space="preserve"> San Diego - Bank of America</v>
      </c>
      <c r="B16" s="29" t="str">
        <v>CA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  <c r="L16" s="59"/>
    </row>
    <row r="17" spans="1:12" ht="15.6">
      <c r="A17" s="30" t="str">
        <v xml:space="preserve"> Stockton - Bank of America</v>
      </c>
      <c r="B17" s="31" t="str">
        <v>CA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  <c r="L17" s="59"/>
    </row>
    <row r="18" spans="1:12" ht="12.75" customHeight="1">
      <c r="A18" s="28" t="str">
        <v xml:space="preserve"> Victorville - Bank of America</v>
      </c>
      <c r="B18" s="29" t="str">
        <v>CA</v>
      </c>
      <c r="C18" s="24"/>
      <c r="D18" s="13"/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15"/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  <c r="L18" s="59"/>
    </row>
    <row r="19" spans="1:12" ht="15.6">
      <c r="A19" s="30" t="str">
        <v xml:space="preserve"> Aurora - BA - Colfax Ave</v>
      </c>
      <c r="B19" s="31" t="str">
        <v>CO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  <c r="L19" s="59"/>
    </row>
    <row r="20" spans="1:12" ht="15.6">
      <c r="A20" s="28" t="str">
        <v xml:space="preserve"> Aurora - BA - Parker Rd</v>
      </c>
      <c r="B20" s="29" t="str">
        <v>CO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  <c r="L20" s="59"/>
    </row>
    <row r="21" spans="1:12" ht="15.6">
      <c r="A21" s="30" t="str">
        <v xml:space="preserve"> Broomfield - Bank of America</v>
      </c>
      <c r="B21" s="31" t="str">
        <v>CO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  <c r="L21" s="59"/>
    </row>
    <row r="22" spans="1:12" ht="28.9">
      <c r="A22" s="28" t="str">
        <v xml:space="preserve"> Colorado Springs - Bank of America</v>
      </c>
      <c r="B22" s="29" t="str">
        <v>CO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 t="s">
        <v>102</v>
      </c>
      <c r="K22" s="41" t="s">
        <v>103</v>
      </c>
      <c r="L22" s="59"/>
    </row>
    <row r="23" spans="1:12" ht="15.6">
      <c r="A23" s="30" t="str">
        <v xml:space="preserve"> Denver - BA - 49th Ave</v>
      </c>
      <c r="B23" s="31" t="str">
        <v>CO</v>
      </c>
      <c r="C23" s="11"/>
      <c r="D23" s="18"/>
      <c r="E23" s="18" t="str">
        <f t="shared" si="4"/>
        <v/>
      </c>
      <c r="F23" s="19" t="str">
        <f t="shared" si="5"/>
        <v/>
      </c>
      <c r="G23" s="20"/>
      <c r="H23" s="20" t="str">
        <f t="shared" si="6"/>
        <v/>
      </c>
      <c r="I23" s="19" t="str">
        <f t="shared" si="7"/>
        <v/>
      </c>
      <c r="J23" s="42"/>
      <c r="K23" s="43"/>
      <c r="L23" s="59"/>
    </row>
    <row r="24" spans="1:12" ht="15.6">
      <c r="A24" s="28" t="str">
        <v xml:space="preserve"> Denver - BA Wadsworth Blvd</v>
      </c>
      <c r="B24" s="29" t="str">
        <v>CO</v>
      </c>
      <c r="C24" s="24"/>
      <c r="D24" s="13"/>
      <c r="E24" s="13" t="str">
        <f t="shared" si="4"/>
        <v/>
      </c>
      <c r="F24" s="14" t="str">
        <f t="shared" si="5"/>
        <v/>
      </c>
      <c r="G24" s="15"/>
      <c r="H24" s="15" t="str">
        <f t="shared" si="6"/>
        <v/>
      </c>
      <c r="I24" s="16" t="str">
        <f t="shared" si="7"/>
        <v/>
      </c>
      <c r="J24" s="41"/>
      <c r="K24" s="41"/>
      <c r="L24" s="59"/>
    </row>
    <row r="25" spans="1:12" ht="15.6">
      <c r="A25" s="30" t="str">
        <v xml:space="preserve"> Fort Collins - Bank of America</v>
      </c>
      <c r="B25" s="31" t="str">
        <v>CO</v>
      </c>
      <c r="C25" s="11"/>
      <c r="D25" s="18"/>
      <c r="E25" s="18" t="str">
        <f t="shared" si="4"/>
        <v/>
      </c>
      <c r="F25" s="19" t="str">
        <f t="shared" si="5"/>
        <v/>
      </c>
      <c r="G25" s="20"/>
      <c r="H25" s="20" t="str">
        <f t="shared" si="6"/>
        <v/>
      </c>
      <c r="I25" s="19" t="str">
        <f t="shared" si="7"/>
        <v/>
      </c>
      <c r="J25" s="42"/>
      <c r="K25" s="43"/>
      <c r="L25" s="59"/>
    </row>
    <row r="26" spans="1:12" ht="15.6">
      <c r="A26" s="28" t="str">
        <v xml:space="preserve"> Lafayette - Bank of America</v>
      </c>
      <c r="B26" s="29" t="str">
        <v>CO</v>
      </c>
      <c r="C26" s="24"/>
      <c r="D26" s="13"/>
      <c r="E26" s="13" t="str">
        <f t="shared" si="4"/>
        <v/>
      </c>
      <c r="F26" s="14" t="str">
        <f t="shared" si="5"/>
        <v/>
      </c>
      <c r="G26" s="15"/>
      <c r="H26" s="15" t="str">
        <f t="shared" si="6"/>
        <v/>
      </c>
      <c r="I26" s="16" t="str">
        <f t="shared" si="7"/>
        <v/>
      </c>
      <c r="J26" s="41"/>
      <c r="K26" s="41"/>
      <c r="L26" s="59"/>
    </row>
    <row r="27" spans="1:12" ht="15.6">
      <c r="A27" s="30" t="str">
        <v xml:space="preserve"> Lakewood - Bank of America</v>
      </c>
      <c r="B27" s="31" t="str">
        <v>CO</v>
      </c>
      <c r="C27" s="11"/>
      <c r="D27" s="18"/>
      <c r="E27" s="18" t="str">
        <f t="shared" si="4"/>
        <v/>
      </c>
      <c r="F27" s="19" t="str">
        <f t="shared" si="5"/>
        <v/>
      </c>
      <c r="G27" s="20"/>
      <c r="H27" s="20" t="str">
        <f t="shared" si="6"/>
        <v/>
      </c>
      <c r="I27" s="19" t="str">
        <f t="shared" si="7"/>
        <v/>
      </c>
      <c r="J27" s="42"/>
      <c r="K27" s="43"/>
      <c r="L27" s="59"/>
    </row>
    <row r="28" spans="1:12" ht="15.6">
      <c r="A28" s="28" t="str">
        <v xml:space="preserve"> Longmont - Bank of America</v>
      </c>
      <c r="B28" s="29" t="str">
        <v>CO</v>
      </c>
      <c r="C28" s="24"/>
      <c r="D28" s="13"/>
      <c r="E28" s="13" t="str">
        <f t="shared" si="4"/>
        <v/>
      </c>
      <c r="F28" s="14" t="str">
        <f t="shared" si="5"/>
        <v/>
      </c>
      <c r="G28" s="15"/>
      <c r="H28" s="15" t="str">
        <f t="shared" si="6"/>
        <v/>
      </c>
      <c r="I28" s="16" t="str">
        <f t="shared" si="7"/>
        <v/>
      </c>
      <c r="J28" s="41"/>
      <c r="K28" s="41"/>
      <c r="L28" s="59"/>
    </row>
    <row r="29" spans="1:12" ht="39.6" customHeight="1">
      <c r="A29" s="30" t="str">
        <v xml:space="preserve"> Thornton - Bank of America</v>
      </c>
      <c r="B29" s="31" t="str">
        <v>CO</v>
      </c>
      <c r="C29" s="11"/>
      <c r="D29" s="18"/>
      <c r="E29" s="18" t="str">
        <f t="shared" si="4"/>
        <v/>
      </c>
      <c r="F29" s="19" t="str">
        <f t="shared" si="5"/>
        <v/>
      </c>
      <c r="G29" s="20"/>
      <c r="H29" s="20" t="str">
        <f t="shared" si="6"/>
        <v/>
      </c>
      <c r="I29" s="19" t="str">
        <f t="shared" si="7"/>
        <v/>
      </c>
      <c r="J29" s="42"/>
      <c r="K29" s="56"/>
      <c r="L29" s="59"/>
    </row>
    <row r="30" spans="1:12" ht="15.6">
      <c r="A30" s="28" t="str">
        <v xml:space="preserve"> Calumet City - Bank of America</v>
      </c>
      <c r="B30" s="29" t="str">
        <v>IL</v>
      </c>
      <c r="C30" s="24"/>
      <c r="D30" s="13"/>
      <c r="E30" s="13" t="str">
        <f t="shared" si="4"/>
        <v/>
      </c>
      <c r="F30" s="14" t="str">
        <f t="shared" si="5"/>
        <v/>
      </c>
      <c r="G30" s="15"/>
      <c r="H30" s="15" t="str">
        <f t="shared" si="6"/>
        <v/>
      </c>
      <c r="I30" s="16" t="str">
        <f t="shared" si="7"/>
        <v/>
      </c>
      <c r="J30" s="41"/>
      <c r="K30" s="41"/>
      <c r="L30" s="59"/>
    </row>
    <row r="31" spans="1:12" ht="15.6">
      <c r="A31" s="30" t="str">
        <v xml:space="preserve"> Downers Grove - Bank of America</v>
      </c>
      <c r="B31" s="31" t="str">
        <v>IL</v>
      </c>
      <c r="C31" s="11"/>
      <c r="D31" s="18"/>
      <c r="E31" s="18" t="str">
        <f t="shared" si="4"/>
        <v/>
      </c>
      <c r="F31" s="19" t="str">
        <f t="shared" si="5"/>
        <v/>
      </c>
      <c r="G31" s="20"/>
      <c r="H31" s="20" t="str">
        <f t="shared" si="6"/>
        <v/>
      </c>
      <c r="I31" s="19" t="str">
        <f t="shared" si="7"/>
        <v/>
      </c>
      <c r="J31" s="42"/>
      <c r="K31" s="43"/>
      <c r="L31" s="59"/>
    </row>
    <row r="32" spans="1:12" ht="15.6">
      <c r="A32" s="28" t="str">
        <v xml:space="preserve"> Bloomington - Bank of America</v>
      </c>
      <c r="B32" s="29" t="str">
        <v>MN</v>
      </c>
      <c r="C32" s="24"/>
      <c r="D32" s="13"/>
      <c r="E32" s="13" t="str">
        <f t="shared" si="4"/>
        <v/>
      </c>
      <c r="F32" s="14" t="str">
        <f t="shared" si="5"/>
        <v/>
      </c>
      <c r="G32" s="15"/>
      <c r="H32" s="15" t="str">
        <f t="shared" si="6"/>
        <v/>
      </c>
      <c r="I32" s="16" t="str">
        <f t="shared" si="7"/>
        <v/>
      </c>
      <c r="J32" s="41"/>
      <c r="K32" s="41"/>
      <c r="L32" s="59"/>
    </row>
    <row r="33" spans="1:12" ht="15.6">
      <c r="A33" s="30" t="str">
        <v xml:space="preserve"> Clayton - Bank of America</v>
      </c>
      <c r="B33" s="31" t="str">
        <v>MO</v>
      </c>
      <c r="C33" s="11"/>
      <c r="D33" s="18"/>
      <c r="E33" s="18" t="str">
        <f t="shared" si="4"/>
        <v/>
      </c>
      <c r="F33" s="19" t="str">
        <f t="shared" si="5"/>
        <v/>
      </c>
      <c r="G33" s="20"/>
      <c r="H33" s="20" t="str">
        <f t="shared" si="6"/>
        <v/>
      </c>
      <c r="I33" s="19" t="str">
        <f t="shared" si="7"/>
        <v/>
      </c>
      <c r="J33" s="42"/>
      <c r="K33" s="43"/>
      <c r="L33" s="59"/>
    </row>
    <row r="34" spans="1:12" ht="15.6">
      <c r="A34" s="28" t="str">
        <v xml:space="preserve"> Manchester - Bank of America</v>
      </c>
      <c r="B34" s="29" t="str">
        <v>MO</v>
      </c>
      <c r="C34" s="24"/>
      <c r="D34" s="13"/>
      <c r="E34" s="13" t="str">
        <f t="shared" si="4"/>
        <v/>
      </c>
      <c r="F34" s="14" t="str">
        <f t="shared" si="5"/>
        <v/>
      </c>
      <c r="G34" s="15"/>
      <c r="H34" s="15" t="str">
        <f t="shared" si="6"/>
        <v/>
      </c>
      <c r="I34" s="16" t="str">
        <f t="shared" si="7"/>
        <v/>
      </c>
      <c r="J34" s="41"/>
      <c r="K34" s="41"/>
      <c r="L34" s="59"/>
    </row>
    <row r="35" spans="1:12" ht="15.6">
      <c r="A35" s="30" t="str">
        <v xml:space="preserve"> Las Vegas - BA - Eastern Ave</v>
      </c>
      <c r="B35" s="31" t="str">
        <v>NV</v>
      </c>
      <c r="C35" s="11"/>
      <c r="D35" s="18"/>
      <c r="E35" s="18" t="str">
        <f t="shared" si="4"/>
        <v/>
      </c>
      <c r="F35" s="19" t="str">
        <f t="shared" si="5"/>
        <v/>
      </c>
      <c r="G35" s="20"/>
      <c r="H35" s="20" t="str">
        <f t="shared" si="6"/>
        <v/>
      </c>
      <c r="I35" s="19" t="str">
        <f t="shared" si="7"/>
        <v/>
      </c>
      <c r="J35" s="42"/>
      <c r="K35" s="43"/>
      <c r="L35" s="59"/>
    </row>
    <row r="36" spans="1:12" ht="15.6">
      <c r="A36" s="28" t="str">
        <v xml:space="preserve"> Las Vegas - BA - Town Ctr Dr</v>
      </c>
      <c r="B36" s="29" t="str">
        <v>NV</v>
      </c>
      <c r="C36" s="24"/>
      <c r="D36" s="13"/>
      <c r="E36" s="13" t="str">
        <f t="shared" si="4"/>
        <v/>
      </c>
      <c r="F36" s="14" t="str">
        <f t="shared" si="5"/>
        <v/>
      </c>
      <c r="G36" s="15"/>
      <c r="H36" s="15" t="str">
        <f t="shared" si="6"/>
        <v/>
      </c>
      <c r="I36" s="16" t="str">
        <f t="shared" si="7"/>
        <v/>
      </c>
      <c r="J36" s="41"/>
      <c r="K36" s="41"/>
      <c r="L36" s="59"/>
    </row>
    <row r="37" spans="1:12" ht="15.6">
      <c r="A37" s="30" t="str">
        <v xml:space="preserve"> Riverton - Bank of America</v>
      </c>
      <c r="B37" s="31" t="str">
        <v>UT</v>
      </c>
      <c r="C37" s="11"/>
      <c r="D37" s="18"/>
      <c r="E37" s="18" t="str">
        <f t="shared" si="4"/>
        <v/>
      </c>
      <c r="F37" s="19" t="str">
        <f t="shared" si="5"/>
        <v/>
      </c>
      <c r="G37" s="20"/>
      <c r="H37" s="20" t="str">
        <f t="shared" si="6"/>
        <v/>
      </c>
      <c r="I37" s="19" t="str">
        <f t="shared" si="7"/>
        <v/>
      </c>
      <c r="J37" s="42"/>
      <c r="K37" s="43"/>
      <c r="L37" s="59"/>
    </row>
    <row r="38" spans="1:12" ht="15.6">
      <c r="A38" s="28" t="str">
        <v xml:space="preserve"> Salt Lake City - Bank of America</v>
      </c>
      <c r="B38" s="29" t="str">
        <v>UT</v>
      </c>
      <c r="C38" s="24"/>
      <c r="D38" s="13"/>
      <c r="E38" s="13" t="str">
        <f t="shared" si="4"/>
        <v/>
      </c>
      <c r="F38" s="14" t="str">
        <f t="shared" si="5"/>
        <v/>
      </c>
      <c r="G38" s="15"/>
      <c r="H38" s="15" t="str">
        <f t="shared" si="6"/>
        <v/>
      </c>
      <c r="I38" s="16" t="str">
        <f t="shared" si="7"/>
        <v/>
      </c>
      <c r="J38" s="41"/>
      <c r="K38" s="41"/>
      <c r="L38" s="59"/>
    </row>
    <row r="39" spans="1:12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2" ht="14.45">
      <c r="A40" s="21"/>
      <c r="B40" s="33"/>
      <c r="C40" s="58"/>
      <c r="D40" s="21"/>
      <c r="E40" s="21"/>
      <c r="F40" s="22"/>
      <c r="G40" s="21"/>
      <c r="H40" s="21"/>
      <c r="I40" s="22"/>
      <c r="J40" s="21"/>
      <c r="K40" s="21"/>
    </row>
    <row r="41" spans="1:12" ht="14.45">
      <c r="A41" s="21"/>
      <c r="B41" s="33"/>
      <c r="C41" s="58"/>
      <c r="D41" s="21"/>
      <c r="E41" s="21"/>
      <c r="F41" s="22"/>
      <c r="G41" s="21"/>
      <c r="H41" s="21"/>
      <c r="I41" s="22"/>
      <c r="J41" s="21"/>
      <c r="K41" s="21"/>
    </row>
    <row r="42" spans="1:12" ht="14.45">
      <c r="A42" s="21"/>
      <c r="B42" s="33"/>
      <c r="C42" s="58"/>
      <c r="D42" s="21"/>
      <c r="E42" s="21"/>
      <c r="F42" s="22"/>
      <c r="G42" s="21"/>
      <c r="H42" s="21"/>
      <c r="I42" s="22"/>
      <c r="J42" s="21"/>
      <c r="K42" s="21"/>
    </row>
    <row r="43" spans="1:12" ht="14.45">
      <c r="A43" s="21"/>
      <c r="B43" s="33"/>
      <c r="C43" s="58"/>
      <c r="D43" s="21"/>
      <c r="E43" s="21"/>
      <c r="F43" s="22"/>
      <c r="G43" s="21"/>
      <c r="H43" s="21"/>
      <c r="I43" s="22"/>
      <c r="J43" s="21"/>
      <c r="K43" s="21"/>
    </row>
    <row r="44" spans="1:12" ht="14.45">
      <c r="A44" s="21"/>
      <c r="B44" s="33"/>
      <c r="C44" s="58"/>
      <c r="D44" s="21"/>
      <c r="E44" s="21"/>
      <c r="F44" s="22"/>
      <c r="G44" s="21"/>
      <c r="H44" s="21"/>
      <c r="I44" s="22"/>
      <c r="J44" s="21"/>
      <c r="K44" s="21"/>
    </row>
    <row r="45" spans="1:12" ht="14.45">
      <c r="A45" s="21"/>
      <c r="B45" s="33"/>
      <c r="C45" s="58"/>
      <c r="D45" s="21"/>
      <c r="E45" s="21"/>
      <c r="F45" s="22"/>
      <c r="G45" s="21"/>
      <c r="H45" s="21"/>
      <c r="I45" s="22"/>
      <c r="J45" s="21"/>
      <c r="K45" s="21"/>
    </row>
    <row r="46" spans="1:12" ht="14.45">
      <c r="A46" s="21"/>
      <c r="B46" s="33"/>
      <c r="C46" s="58"/>
      <c r="D46" s="21"/>
      <c r="E46" s="21"/>
      <c r="F46" s="22"/>
      <c r="G46" s="21"/>
      <c r="H46" s="21"/>
      <c r="I46" s="22"/>
      <c r="J46" s="21"/>
      <c r="K46" s="21"/>
    </row>
    <row r="47" spans="1:12" ht="14.45">
      <c r="A47" s="21"/>
      <c r="B47" s="33"/>
      <c r="C47" s="58"/>
      <c r="D47" s="21"/>
      <c r="E47" s="21"/>
      <c r="F47" s="22"/>
      <c r="G47" s="21"/>
      <c r="H47" s="21"/>
      <c r="I47" s="22"/>
      <c r="J47" s="21"/>
      <c r="K47" s="21"/>
    </row>
    <row r="48" spans="1:12" ht="14.45">
      <c r="A48" s="21"/>
      <c r="B48" s="33"/>
      <c r="C48" s="58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58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58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58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58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58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58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58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58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58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58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58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58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58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58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58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58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58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58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58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58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58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58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58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58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58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58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58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58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58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58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58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58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58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58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58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58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58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58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58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58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58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58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58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58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58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58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58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58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58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58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58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C340" s="21"/>
      <c r="D340" s="21"/>
      <c r="E340" s="21"/>
      <c r="F340" s="22"/>
      <c r="G340" s="21"/>
      <c r="H340" s="21"/>
      <c r="I340" s="22"/>
      <c r="J340" s="21"/>
      <c r="K340" s="21"/>
    </row>
  </sheetData>
  <mergeCells count="4">
    <mergeCell ref="G1:I1"/>
    <mergeCell ref="A1:C1"/>
    <mergeCell ref="D1:F1"/>
    <mergeCell ref="A2:B2"/>
  </mergeCells>
  <conditionalFormatting sqref="F2 I2">
    <cfRule type="cellIs" dxfId="32" priority="5" stopIfTrue="1" operator="lessThanOrEqual">
      <formula>-0.1</formula>
    </cfRule>
    <cfRule type="expression" dxfId="31" priority="6">
      <formula>AND(ISNUMBER(F2), F2&gt;=0.1)</formula>
    </cfRule>
  </conditionalFormatting>
  <conditionalFormatting sqref="F4:F98 I4:I98">
    <cfRule type="cellIs" dxfId="30" priority="3" stopIfTrue="1" operator="lessThanOrEqual">
      <formula>-0.1</formula>
    </cfRule>
    <cfRule type="expression" dxfId="29" priority="4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42"/>
  <sheetViews>
    <sheetView zoomScale="70" zoomScaleNormal="70" workbookViewId="0">
      <pane xSplit="2" ySplit="3" topLeftCell="C10" activePane="bottomRight" state="frozen"/>
      <selection pane="bottomRight" activeCell="P19" sqref="P19:P20"/>
      <selection pane="bottomLeft" activeCell="P19" sqref="P19:P20"/>
      <selection pane="topRight" activeCell="P19" sqref="P19:P2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4" t="str" cm="1">
        <f t="array" ref="A1">portfolio</f>
        <v>Cushman &amp; Wakefield</v>
      </c>
      <c r="B1" s="74"/>
      <c r="C1" s="74"/>
      <c r="D1" s="75" t="s">
        <v>104</v>
      </c>
      <c r="E1" s="75"/>
      <c r="F1" s="75"/>
      <c r="G1" s="73" t="s">
        <v>105</v>
      </c>
      <c r="H1" s="73"/>
      <c r="I1" s="73"/>
      <c r="J1" s="4"/>
      <c r="K1" s="4"/>
    </row>
    <row r="2" spans="1:11" ht="19.5" customHeight="1">
      <c r="A2" s="76" t="s">
        <v>2</v>
      </c>
      <c r="B2" s="76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>
        <v>0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 xml:space="preserve"> Apple Valley - Bank of America</v>
      </c>
      <c r="B5" s="31" t="str">
        <v>CA</v>
      </c>
      <c r="C5" s="11"/>
      <c r="D5" s="18">
        <v>0</v>
      </c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6">
      <c r="A6" s="28" t="str">
        <v xml:space="preserve"> Arvin - Bank of America</v>
      </c>
      <c r="B6" s="29" t="str">
        <v>CA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 xml:space="preserve"> Bell - Bank of America</v>
      </c>
      <c r="B7" s="31" t="str">
        <v>CA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6">
      <c r="A8" s="28" t="str">
        <v xml:space="preserve"> Chula Vista - Bank of America</v>
      </c>
      <c r="B8" s="29" t="str">
        <v>CA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6">
      <c r="A9" s="30" t="str">
        <v xml:space="preserve"> Cupertino - Bank of America</v>
      </c>
      <c r="B9" s="31" t="str">
        <v>CA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6">
      <c r="A10" s="28" t="str">
        <v xml:space="preserve"> Diamond Bar - Bank of America</v>
      </c>
      <c r="B10" s="29" t="str">
        <v>CA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6">
      <c r="A11" s="30" t="str">
        <v xml:space="preserve"> El Centro - Bank of America</v>
      </c>
      <c r="B11" s="31" t="str">
        <v>CA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6">
      <c r="A12" s="28" t="str">
        <v xml:space="preserve"> Moreno Valley - Bank of America</v>
      </c>
      <c r="B12" s="29" t="str">
        <v>CA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6">
      <c r="A13" s="30" t="str">
        <v xml:space="preserve"> Redlands - Bank of America</v>
      </c>
      <c r="B13" s="31" t="str">
        <v>CA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6">
      <c r="A14" s="28" t="str">
        <v xml:space="preserve"> Roseville - Bank of America</v>
      </c>
      <c r="B14" s="29" t="str">
        <v>CA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6">
      <c r="A15" s="30" t="str">
        <v xml:space="preserve"> San Bernardino - Bank of America</v>
      </c>
      <c r="B15" s="31" t="str">
        <v>CA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6">
      <c r="A16" s="28" t="str">
        <v xml:space="preserve"> San Diego - Bank of America</v>
      </c>
      <c r="B16" s="29" t="str">
        <v>CA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 xml:space="preserve"> Stockton - Bank of America</v>
      </c>
      <c r="B17" s="31" t="str">
        <v>CA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22.5" customHeight="1">
      <c r="A18" s="28" t="str">
        <v xml:space="preserve"> Victorville - Bank of America</v>
      </c>
      <c r="B18" s="29" t="str">
        <v>CA</v>
      </c>
      <c r="C18" s="24"/>
      <c r="D18" s="13"/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15"/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</row>
    <row r="19" spans="1:11" ht="15.6">
      <c r="A19" s="30" t="str">
        <v xml:space="preserve"> Aurora - BA - Colfax Ave</v>
      </c>
      <c r="B19" s="31" t="str">
        <v>CO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6">
      <c r="A20" s="28" t="str">
        <v xml:space="preserve"> Aurora - BA - Parker Rd</v>
      </c>
      <c r="B20" s="29" t="str">
        <v>CO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6">
      <c r="A21" s="30" t="str">
        <v xml:space="preserve"> Broomfield - Bank of America</v>
      </c>
      <c r="B21" s="31" t="str">
        <v>CO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5.6">
      <c r="A22" s="28" t="str">
        <v xml:space="preserve"> Colorado Springs - Bank of America</v>
      </c>
      <c r="B22" s="29" t="str">
        <v>CO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</row>
    <row r="23" spans="1:11" ht="15.6">
      <c r="A23" s="30" t="str">
        <v xml:space="preserve"> Denver - BA - 49th Ave</v>
      </c>
      <c r="B23" s="31" t="str">
        <v>CO</v>
      </c>
      <c r="C23" s="11"/>
      <c r="D23" s="18"/>
      <c r="E23" s="18" t="str">
        <f t="shared" si="4"/>
        <v/>
      </c>
      <c r="F23" s="19" t="str">
        <f t="shared" si="5"/>
        <v/>
      </c>
      <c r="G23" s="20"/>
      <c r="H23" s="20" t="str">
        <f t="shared" si="6"/>
        <v/>
      </c>
      <c r="I23" s="19" t="str">
        <f t="shared" si="7"/>
        <v/>
      </c>
      <c r="J23" s="42"/>
      <c r="K23" s="43"/>
    </row>
    <row r="24" spans="1:11" ht="15.6">
      <c r="A24" s="28" t="str">
        <v xml:space="preserve"> Denver - BA Wadsworth Blvd</v>
      </c>
      <c r="B24" s="29" t="str">
        <v>CO</v>
      </c>
      <c r="C24" s="24"/>
      <c r="D24" s="13"/>
      <c r="E24" s="13" t="str">
        <f t="shared" si="4"/>
        <v/>
      </c>
      <c r="F24" s="14" t="str">
        <f t="shared" si="5"/>
        <v/>
      </c>
      <c r="G24" s="15"/>
      <c r="H24" s="15" t="str">
        <f t="shared" si="6"/>
        <v/>
      </c>
      <c r="I24" s="16" t="str">
        <f t="shared" si="7"/>
        <v/>
      </c>
      <c r="J24" s="41"/>
      <c r="K24" s="41"/>
    </row>
    <row r="25" spans="1:11" ht="15.6">
      <c r="A25" s="30" t="str">
        <v xml:space="preserve"> Fort Collins - Bank of America</v>
      </c>
      <c r="B25" s="31" t="str">
        <v>CO</v>
      </c>
      <c r="C25" s="11"/>
      <c r="D25" s="18"/>
      <c r="E25" s="18" t="str">
        <f t="shared" si="4"/>
        <v/>
      </c>
      <c r="F25" s="19" t="str">
        <f t="shared" si="5"/>
        <v/>
      </c>
      <c r="G25" s="20"/>
      <c r="H25" s="20" t="str">
        <f t="shared" si="6"/>
        <v/>
      </c>
      <c r="I25" s="19" t="str">
        <f t="shared" si="7"/>
        <v/>
      </c>
      <c r="J25" s="42"/>
      <c r="K25" s="43"/>
    </row>
    <row r="26" spans="1:11" ht="15.6">
      <c r="A26" s="28" t="str">
        <v xml:space="preserve"> Lafayette - Bank of America</v>
      </c>
      <c r="B26" s="29" t="str">
        <v>CO</v>
      </c>
      <c r="C26" s="24"/>
      <c r="D26" s="13"/>
      <c r="E26" s="13" t="str">
        <f t="shared" si="4"/>
        <v/>
      </c>
      <c r="F26" s="14" t="str">
        <f t="shared" si="5"/>
        <v/>
      </c>
      <c r="G26" s="15"/>
      <c r="H26" s="15" t="str">
        <f t="shared" si="6"/>
        <v/>
      </c>
      <c r="I26" s="16" t="str">
        <f t="shared" si="7"/>
        <v/>
      </c>
      <c r="J26" s="41"/>
      <c r="K26" s="41"/>
    </row>
    <row r="27" spans="1:11" ht="15.6">
      <c r="A27" s="30" t="str">
        <v xml:space="preserve"> Lakewood - Bank of America</v>
      </c>
      <c r="B27" s="31" t="str">
        <v>CO</v>
      </c>
      <c r="C27" s="11"/>
      <c r="D27" s="18"/>
      <c r="E27" s="18" t="str">
        <f t="shared" si="4"/>
        <v/>
      </c>
      <c r="F27" s="19" t="str">
        <f t="shared" si="5"/>
        <v/>
      </c>
      <c r="G27" s="20"/>
      <c r="H27" s="20" t="str">
        <f t="shared" si="6"/>
        <v/>
      </c>
      <c r="I27" s="19" t="str">
        <f t="shared" si="7"/>
        <v/>
      </c>
      <c r="J27" s="42"/>
      <c r="K27" s="43"/>
    </row>
    <row r="28" spans="1:11" ht="15.6">
      <c r="A28" s="28" t="str">
        <v xml:space="preserve"> Longmont - Bank of America</v>
      </c>
      <c r="B28" s="29" t="str">
        <v>CO</v>
      </c>
      <c r="C28" s="24"/>
      <c r="D28" s="13"/>
      <c r="E28" s="13" t="str">
        <f t="shared" si="4"/>
        <v/>
      </c>
      <c r="F28" s="14" t="str">
        <f t="shared" si="5"/>
        <v/>
      </c>
      <c r="G28" s="15"/>
      <c r="H28" s="15" t="str">
        <f t="shared" si="6"/>
        <v/>
      </c>
      <c r="I28" s="16" t="str">
        <f t="shared" si="7"/>
        <v/>
      </c>
      <c r="J28" s="41"/>
      <c r="K28" s="41"/>
    </row>
    <row r="29" spans="1:11" ht="15.6">
      <c r="A29" s="30" t="str">
        <v xml:space="preserve"> Thornton - Bank of America</v>
      </c>
      <c r="B29" s="31" t="str">
        <v>CO</v>
      </c>
      <c r="C29" s="11"/>
      <c r="D29" s="18"/>
      <c r="E29" s="18" t="str">
        <f t="shared" si="4"/>
        <v/>
      </c>
      <c r="F29" s="19" t="str">
        <f t="shared" si="5"/>
        <v/>
      </c>
      <c r="G29" s="20"/>
      <c r="H29" s="20" t="str">
        <f t="shared" si="6"/>
        <v/>
      </c>
      <c r="I29" s="19" t="str">
        <f t="shared" si="7"/>
        <v/>
      </c>
      <c r="J29" s="42"/>
      <c r="K29" s="43"/>
    </row>
    <row r="30" spans="1:11" ht="15.6">
      <c r="A30" s="28" t="str">
        <v xml:space="preserve"> Calumet City - Bank of America</v>
      </c>
      <c r="B30" s="29" t="str">
        <v>IL</v>
      </c>
      <c r="C30" s="24"/>
      <c r="D30" s="13"/>
      <c r="E30" s="13" t="str">
        <f t="shared" si="4"/>
        <v/>
      </c>
      <c r="F30" s="14" t="str">
        <f t="shared" si="5"/>
        <v/>
      </c>
      <c r="G30" s="15"/>
      <c r="H30" s="15" t="str">
        <f t="shared" si="6"/>
        <v/>
      </c>
      <c r="I30" s="16" t="str">
        <f t="shared" si="7"/>
        <v/>
      </c>
      <c r="J30" s="41"/>
      <c r="K30" s="41"/>
    </row>
    <row r="31" spans="1:11" ht="15.6">
      <c r="A31" s="30" t="str">
        <v xml:space="preserve"> Downers Grove - Bank of America</v>
      </c>
      <c r="B31" s="31" t="str">
        <v>IL</v>
      </c>
      <c r="C31" s="11"/>
      <c r="D31" s="18"/>
      <c r="E31" s="18" t="str">
        <f t="shared" si="4"/>
        <v/>
      </c>
      <c r="F31" s="19" t="str">
        <f t="shared" si="5"/>
        <v/>
      </c>
      <c r="G31" s="20"/>
      <c r="H31" s="20" t="str">
        <f t="shared" si="6"/>
        <v/>
      </c>
      <c r="I31" s="19" t="str">
        <f t="shared" si="7"/>
        <v/>
      </c>
      <c r="J31" s="42"/>
      <c r="K31" s="43"/>
    </row>
    <row r="32" spans="1:11" ht="15.6">
      <c r="A32" s="28" t="str">
        <v xml:space="preserve"> Bloomington - Bank of America</v>
      </c>
      <c r="B32" s="29" t="str">
        <v>MN</v>
      </c>
      <c r="C32" s="24"/>
      <c r="D32" s="13"/>
      <c r="E32" s="13" t="str">
        <f t="shared" si="4"/>
        <v/>
      </c>
      <c r="F32" s="14" t="str">
        <f t="shared" si="5"/>
        <v/>
      </c>
      <c r="G32" s="15"/>
      <c r="H32" s="15" t="str">
        <f t="shared" si="6"/>
        <v/>
      </c>
      <c r="I32" s="16" t="str">
        <f t="shared" si="7"/>
        <v/>
      </c>
      <c r="J32" s="41"/>
      <c r="K32" s="41"/>
    </row>
    <row r="33" spans="1:11" ht="15.6">
      <c r="A33" s="30" t="str">
        <v xml:space="preserve"> Clayton - Bank of America</v>
      </c>
      <c r="B33" s="31" t="str">
        <v>MO</v>
      </c>
      <c r="C33" s="11"/>
      <c r="D33" s="18"/>
      <c r="E33" s="18" t="str">
        <f t="shared" si="4"/>
        <v/>
      </c>
      <c r="F33" s="19" t="str">
        <f t="shared" si="5"/>
        <v/>
      </c>
      <c r="G33" s="20"/>
      <c r="H33" s="20" t="str">
        <f t="shared" si="6"/>
        <v/>
      </c>
      <c r="I33" s="19" t="str">
        <f t="shared" si="7"/>
        <v/>
      </c>
      <c r="J33" s="42"/>
      <c r="K33" s="43"/>
    </row>
    <row r="34" spans="1:11" ht="15.6">
      <c r="A34" s="28" t="str">
        <v xml:space="preserve"> Manchester - Bank of America</v>
      </c>
      <c r="B34" s="29" t="str">
        <v>MO</v>
      </c>
      <c r="C34" s="24"/>
      <c r="D34" s="13"/>
      <c r="E34" s="13" t="str">
        <f t="shared" si="4"/>
        <v/>
      </c>
      <c r="F34" s="14" t="str">
        <f t="shared" si="5"/>
        <v/>
      </c>
      <c r="G34" s="15"/>
      <c r="H34" s="15" t="str">
        <f t="shared" si="6"/>
        <v/>
      </c>
      <c r="I34" s="16" t="str">
        <f t="shared" si="7"/>
        <v/>
      </c>
      <c r="J34" s="41"/>
      <c r="K34" s="41"/>
    </row>
    <row r="35" spans="1:11" ht="15.6">
      <c r="A35" s="30" t="str">
        <v xml:space="preserve"> Las Vegas - BA - Eastern Ave</v>
      </c>
      <c r="B35" s="31" t="str">
        <v>NV</v>
      </c>
      <c r="C35" s="11"/>
      <c r="D35" s="18"/>
      <c r="E35" s="18" t="str">
        <f t="shared" si="4"/>
        <v/>
      </c>
      <c r="F35" s="19" t="str">
        <f t="shared" si="5"/>
        <v/>
      </c>
      <c r="G35" s="20"/>
      <c r="H35" s="20" t="str">
        <f t="shared" si="6"/>
        <v/>
      </c>
      <c r="I35" s="19" t="str">
        <f t="shared" si="7"/>
        <v/>
      </c>
      <c r="J35" s="42"/>
      <c r="K35" s="43"/>
    </row>
    <row r="36" spans="1:11" ht="15.6">
      <c r="A36" s="28" t="str">
        <v xml:space="preserve"> Las Vegas - BA - Town Ctr Dr</v>
      </c>
      <c r="B36" s="29" t="str">
        <v>NV</v>
      </c>
      <c r="C36" s="24"/>
      <c r="D36" s="13"/>
      <c r="E36" s="13" t="str">
        <f t="shared" si="4"/>
        <v/>
      </c>
      <c r="F36" s="14" t="str">
        <f t="shared" si="5"/>
        <v/>
      </c>
      <c r="G36" s="15"/>
      <c r="H36" s="15" t="str">
        <f t="shared" si="6"/>
        <v/>
      </c>
      <c r="I36" s="16" t="str">
        <f t="shared" si="7"/>
        <v/>
      </c>
      <c r="J36" s="41"/>
      <c r="K36" s="41"/>
    </row>
    <row r="37" spans="1:11" ht="15.6">
      <c r="A37" s="30" t="str">
        <v xml:space="preserve"> Riverton - Bank of America</v>
      </c>
      <c r="B37" s="31" t="str">
        <v>UT</v>
      </c>
      <c r="C37" s="11"/>
      <c r="D37" s="18"/>
      <c r="E37" s="18" t="str">
        <f t="shared" si="4"/>
        <v/>
      </c>
      <c r="F37" s="19" t="str">
        <f t="shared" si="5"/>
        <v/>
      </c>
      <c r="G37" s="20"/>
      <c r="H37" s="20" t="str">
        <f t="shared" si="6"/>
        <v/>
      </c>
      <c r="I37" s="19" t="str">
        <f t="shared" si="7"/>
        <v/>
      </c>
      <c r="J37" s="42"/>
      <c r="K37" s="43"/>
    </row>
    <row r="38" spans="1:11" ht="15.6">
      <c r="A38" s="28" t="str">
        <v xml:space="preserve"> Salt Lake City - Bank of America</v>
      </c>
      <c r="B38" s="29" t="str">
        <v>UT</v>
      </c>
      <c r="C38" s="24"/>
      <c r="D38" s="13"/>
      <c r="E38" s="13" t="str">
        <f t="shared" si="4"/>
        <v/>
      </c>
      <c r="F38" s="14" t="str">
        <f t="shared" si="5"/>
        <v/>
      </c>
      <c r="G38" s="15"/>
      <c r="H38" s="15" t="str">
        <f t="shared" si="6"/>
        <v/>
      </c>
      <c r="I38" s="16" t="str">
        <f t="shared" si="7"/>
        <v/>
      </c>
      <c r="J38" s="41"/>
      <c r="K38" s="4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sortState xmlns:xlrd2="http://schemas.microsoft.com/office/spreadsheetml/2017/richdata2" ref="A3:K15">
    <sortCondition ref="A3:A15"/>
  </sortState>
  <mergeCells count="4">
    <mergeCell ref="G1:I1"/>
    <mergeCell ref="A1:C1"/>
    <mergeCell ref="D1:F1"/>
    <mergeCell ref="A2:B2"/>
  </mergeCells>
  <conditionalFormatting sqref="F2 I2">
    <cfRule type="cellIs" dxfId="28" priority="3" stopIfTrue="1" operator="lessThanOrEqual">
      <formula>-0.1</formula>
    </cfRule>
    <cfRule type="expression" dxfId="27" priority="4">
      <formula>AND(ISNUMBER(F2), F2&gt;=0.1)</formula>
    </cfRule>
  </conditionalFormatting>
  <conditionalFormatting sqref="F4:F100 I4:I100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42"/>
  <sheetViews>
    <sheetView zoomScale="80" zoomScaleNormal="80" workbookViewId="0">
      <pane xSplit="2" ySplit="3" topLeftCell="C16" activePane="bottomRight" state="frozen"/>
      <selection pane="bottomRight" activeCell="P19" sqref="P19:P20"/>
      <selection pane="bottomLeft" activeCell="P19" sqref="P19:P20"/>
      <selection pane="topRight" activeCell="P19" sqref="P19:P2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4" t="str" cm="1">
        <f t="array" ref="A1">portfolio</f>
        <v>Cushman &amp; Wakefield</v>
      </c>
      <c r="B1" s="74"/>
      <c r="C1" s="74"/>
      <c r="D1" s="75" t="s">
        <v>106</v>
      </c>
      <c r="E1" s="75"/>
      <c r="F1" s="75"/>
      <c r="G1" s="73" t="s">
        <v>107</v>
      </c>
      <c r="H1" s="73"/>
      <c r="I1" s="73"/>
      <c r="J1" s="4"/>
      <c r="K1" s="4"/>
    </row>
    <row r="2" spans="1:11" ht="19.5" customHeight="1">
      <c r="A2" s="76" t="s">
        <v>2</v>
      </c>
      <c r="B2" s="76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>
        <v>0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 xml:space="preserve"> Apple Valley - Bank of America</v>
      </c>
      <c r="B5" s="31" t="str">
        <v>CA</v>
      </c>
      <c r="C5" s="11"/>
      <c r="D5" s="18">
        <v>0</v>
      </c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6">
      <c r="A6" s="28" t="str">
        <v xml:space="preserve"> Arvin - Bank of America</v>
      </c>
      <c r="B6" s="29" t="str">
        <v>CA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 xml:space="preserve"> Bell - Bank of America</v>
      </c>
      <c r="B7" s="31" t="str">
        <v>CA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6">
      <c r="A8" s="28" t="str">
        <v xml:space="preserve"> Chula Vista - Bank of America</v>
      </c>
      <c r="B8" s="29" t="str">
        <v>CA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6">
      <c r="A9" s="30" t="str">
        <v xml:space="preserve"> Cupertino - Bank of America</v>
      </c>
      <c r="B9" s="31" t="str">
        <v>CA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6">
      <c r="A10" s="28" t="str">
        <v xml:space="preserve"> Diamond Bar - Bank of America</v>
      </c>
      <c r="B10" s="29" t="str">
        <v>CA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6">
      <c r="A11" s="30" t="str">
        <v xml:space="preserve"> El Centro - Bank of America</v>
      </c>
      <c r="B11" s="31" t="str">
        <v>CA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6">
      <c r="A12" s="28" t="str">
        <v xml:space="preserve"> Moreno Valley - Bank of America</v>
      </c>
      <c r="B12" s="29" t="str">
        <v>CA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6">
      <c r="A13" s="30" t="str">
        <v xml:space="preserve"> Redlands - Bank of America</v>
      </c>
      <c r="B13" s="31" t="str">
        <v>CA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6">
      <c r="A14" s="28" t="str">
        <v xml:space="preserve"> Roseville - Bank of America</v>
      </c>
      <c r="B14" s="29" t="str">
        <v>CA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6">
      <c r="A15" s="30" t="str">
        <v xml:space="preserve"> San Bernardino - Bank of America</v>
      </c>
      <c r="B15" s="31" t="str">
        <v>CA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6">
      <c r="A16" s="28" t="str">
        <v xml:space="preserve"> San Diego - Bank of America</v>
      </c>
      <c r="B16" s="29" t="str">
        <v>CA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 xml:space="preserve"> Stockton - Bank of America</v>
      </c>
      <c r="B17" s="31" t="str">
        <v>CA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 xml:space="preserve"> Victorville - Bank of America</v>
      </c>
      <c r="B18" s="29" t="str">
        <v>CA</v>
      </c>
      <c r="C18" s="24"/>
      <c r="D18" s="13"/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15"/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</row>
    <row r="19" spans="1:11" ht="15.6">
      <c r="A19" s="30" t="str">
        <v xml:space="preserve"> Aurora - BA - Colfax Ave</v>
      </c>
      <c r="B19" s="31" t="str">
        <v>CO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6">
      <c r="A20" s="28" t="str">
        <v xml:space="preserve"> Aurora - BA - Parker Rd</v>
      </c>
      <c r="B20" s="29" t="str">
        <v>CO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6">
      <c r="A21" s="30" t="str">
        <v xml:space="preserve"> Broomfield - Bank of America</v>
      </c>
      <c r="B21" s="31" t="str">
        <v>CO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5.6">
      <c r="A22" s="28" t="str">
        <v xml:space="preserve"> Colorado Springs - Bank of America</v>
      </c>
      <c r="B22" s="29" t="str">
        <v>CO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</row>
    <row r="23" spans="1:11" ht="15.6">
      <c r="A23" s="30" t="str">
        <v xml:space="preserve"> Denver - BA - 49th Ave</v>
      </c>
      <c r="B23" s="31" t="str">
        <v>CO</v>
      </c>
      <c r="C23" s="11"/>
      <c r="D23" s="18"/>
      <c r="E23" s="18" t="str">
        <f t="shared" si="4"/>
        <v/>
      </c>
      <c r="F23" s="19" t="str">
        <f t="shared" si="5"/>
        <v/>
      </c>
      <c r="G23" s="20"/>
      <c r="H23" s="20" t="str">
        <f t="shared" si="6"/>
        <v/>
      </c>
      <c r="I23" s="19" t="str">
        <f t="shared" si="7"/>
        <v/>
      </c>
      <c r="J23" s="42"/>
      <c r="K23" s="43"/>
    </row>
    <row r="24" spans="1:11" ht="15.6">
      <c r="A24" s="28" t="str">
        <v xml:space="preserve"> Denver - BA Wadsworth Blvd</v>
      </c>
      <c r="B24" s="29" t="str">
        <v>CO</v>
      </c>
      <c r="C24" s="24"/>
      <c r="D24" s="13"/>
      <c r="E24" s="13" t="str">
        <f t="shared" si="4"/>
        <v/>
      </c>
      <c r="F24" s="14" t="str">
        <f t="shared" si="5"/>
        <v/>
      </c>
      <c r="G24" s="15"/>
      <c r="H24" s="15" t="str">
        <f t="shared" si="6"/>
        <v/>
      </c>
      <c r="I24" s="16" t="str">
        <f t="shared" si="7"/>
        <v/>
      </c>
      <c r="J24" s="41"/>
      <c r="K24" s="41"/>
    </row>
    <row r="25" spans="1:11" ht="15.6">
      <c r="A25" s="30" t="str">
        <v xml:space="preserve"> Fort Collins - Bank of America</v>
      </c>
      <c r="B25" s="31" t="str">
        <v>CO</v>
      </c>
      <c r="C25" s="11"/>
      <c r="D25" s="18"/>
      <c r="E25" s="18" t="str">
        <f t="shared" si="4"/>
        <v/>
      </c>
      <c r="F25" s="19" t="str">
        <f t="shared" si="5"/>
        <v/>
      </c>
      <c r="G25" s="20"/>
      <c r="H25" s="20" t="str">
        <f t="shared" si="6"/>
        <v/>
      </c>
      <c r="I25" s="19" t="str">
        <f t="shared" si="7"/>
        <v/>
      </c>
      <c r="J25" s="42"/>
      <c r="K25" s="43"/>
    </row>
    <row r="26" spans="1:11" ht="15.6">
      <c r="A26" s="28" t="str">
        <v xml:space="preserve"> Lafayette - Bank of America</v>
      </c>
      <c r="B26" s="29" t="str">
        <v>CO</v>
      </c>
      <c r="C26" s="24"/>
      <c r="D26" s="13"/>
      <c r="E26" s="13" t="str">
        <f t="shared" si="4"/>
        <v/>
      </c>
      <c r="F26" s="14" t="str">
        <f t="shared" si="5"/>
        <v/>
      </c>
      <c r="G26" s="15"/>
      <c r="H26" s="15" t="str">
        <f t="shared" si="6"/>
        <v/>
      </c>
      <c r="I26" s="16" t="str">
        <f t="shared" si="7"/>
        <v/>
      </c>
      <c r="J26" s="41"/>
      <c r="K26" s="41"/>
    </row>
    <row r="27" spans="1:11" ht="15.6">
      <c r="A27" s="30" t="str">
        <v xml:space="preserve"> Lakewood - Bank of America</v>
      </c>
      <c r="B27" s="31" t="str">
        <v>CO</v>
      </c>
      <c r="C27" s="11"/>
      <c r="D27" s="18"/>
      <c r="E27" s="18" t="str">
        <f t="shared" si="4"/>
        <v/>
      </c>
      <c r="F27" s="19" t="str">
        <f t="shared" si="5"/>
        <v/>
      </c>
      <c r="G27" s="20"/>
      <c r="H27" s="20" t="str">
        <f t="shared" si="6"/>
        <v/>
      </c>
      <c r="I27" s="19" t="str">
        <f t="shared" si="7"/>
        <v/>
      </c>
      <c r="J27" s="42"/>
      <c r="K27" s="43"/>
    </row>
    <row r="28" spans="1:11" ht="15.6">
      <c r="A28" s="28" t="str">
        <v xml:space="preserve"> Longmont - Bank of America</v>
      </c>
      <c r="B28" s="29" t="str">
        <v>CO</v>
      </c>
      <c r="C28" s="24"/>
      <c r="D28" s="13"/>
      <c r="E28" s="13" t="str">
        <f t="shared" si="4"/>
        <v/>
      </c>
      <c r="F28" s="14" t="str">
        <f t="shared" si="5"/>
        <v/>
      </c>
      <c r="G28" s="15"/>
      <c r="H28" s="15" t="str">
        <f t="shared" si="6"/>
        <v/>
      </c>
      <c r="I28" s="16" t="str">
        <f t="shared" si="7"/>
        <v/>
      </c>
      <c r="J28" s="41"/>
      <c r="K28" s="41"/>
    </row>
    <row r="29" spans="1:11" ht="15.6">
      <c r="A29" s="30" t="str">
        <v xml:space="preserve"> Thornton - Bank of America</v>
      </c>
      <c r="B29" s="31" t="str">
        <v>CO</v>
      </c>
      <c r="C29" s="11"/>
      <c r="D29" s="18"/>
      <c r="E29" s="18" t="str">
        <f t="shared" si="4"/>
        <v/>
      </c>
      <c r="F29" s="19" t="str">
        <f t="shared" si="5"/>
        <v/>
      </c>
      <c r="G29" s="20"/>
      <c r="H29" s="20" t="str">
        <f t="shared" si="6"/>
        <v/>
      </c>
      <c r="I29" s="19" t="str">
        <f t="shared" si="7"/>
        <v/>
      </c>
      <c r="J29" s="42"/>
      <c r="K29" s="43"/>
    </row>
    <row r="30" spans="1:11" ht="15.6">
      <c r="A30" s="28" t="str">
        <v xml:space="preserve"> Calumet City - Bank of America</v>
      </c>
      <c r="B30" s="29" t="str">
        <v>IL</v>
      </c>
      <c r="C30" s="24"/>
      <c r="D30" s="13"/>
      <c r="E30" s="13" t="str">
        <f t="shared" si="4"/>
        <v/>
      </c>
      <c r="F30" s="14" t="str">
        <f t="shared" si="5"/>
        <v/>
      </c>
      <c r="G30" s="15"/>
      <c r="H30" s="15" t="str">
        <f t="shared" si="6"/>
        <v/>
      </c>
      <c r="I30" s="16" t="str">
        <f t="shared" si="7"/>
        <v/>
      </c>
      <c r="J30" s="41"/>
      <c r="K30" s="41"/>
    </row>
    <row r="31" spans="1:11" ht="15.6">
      <c r="A31" s="30" t="str">
        <v xml:space="preserve"> Downers Grove - Bank of America</v>
      </c>
      <c r="B31" s="31" t="str">
        <v>IL</v>
      </c>
      <c r="C31" s="11"/>
      <c r="D31" s="18"/>
      <c r="E31" s="18" t="str">
        <f t="shared" si="4"/>
        <v/>
      </c>
      <c r="F31" s="19" t="str">
        <f t="shared" si="5"/>
        <v/>
      </c>
      <c r="G31" s="20"/>
      <c r="H31" s="20" t="str">
        <f t="shared" si="6"/>
        <v/>
      </c>
      <c r="I31" s="19" t="str">
        <f t="shared" si="7"/>
        <v/>
      </c>
      <c r="J31" s="42"/>
      <c r="K31" s="43"/>
    </row>
    <row r="32" spans="1:11" ht="15.6">
      <c r="A32" s="28" t="str">
        <v xml:space="preserve"> Bloomington - Bank of America</v>
      </c>
      <c r="B32" s="29" t="str">
        <v>MN</v>
      </c>
      <c r="C32" s="24"/>
      <c r="D32" s="13"/>
      <c r="E32" s="13" t="str">
        <f t="shared" si="4"/>
        <v/>
      </c>
      <c r="F32" s="14" t="str">
        <f t="shared" si="5"/>
        <v/>
      </c>
      <c r="G32" s="15"/>
      <c r="H32" s="15" t="str">
        <f t="shared" si="6"/>
        <v/>
      </c>
      <c r="I32" s="16" t="str">
        <f t="shared" si="7"/>
        <v/>
      </c>
      <c r="J32" s="41"/>
      <c r="K32" s="41"/>
    </row>
    <row r="33" spans="1:11" ht="15.6">
      <c r="A33" s="30" t="str">
        <v xml:space="preserve"> Clayton - Bank of America</v>
      </c>
      <c r="B33" s="31" t="str">
        <v>MO</v>
      </c>
      <c r="C33" s="11"/>
      <c r="D33" s="18"/>
      <c r="E33" s="18" t="str">
        <f t="shared" si="4"/>
        <v/>
      </c>
      <c r="F33" s="19" t="str">
        <f t="shared" si="5"/>
        <v/>
      </c>
      <c r="G33" s="20"/>
      <c r="H33" s="20" t="str">
        <f t="shared" si="6"/>
        <v/>
      </c>
      <c r="I33" s="19" t="str">
        <f t="shared" si="7"/>
        <v/>
      </c>
      <c r="J33" s="42"/>
      <c r="K33" s="43"/>
    </row>
    <row r="34" spans="1:11" ht="15.6">
      <c r="A34" s="28" t="str">
        <v xml:space="preserve"> Manchester - Bank of America</v>
      </c>
      <c r="B34" s="29" t="str">
        <v>MO</v>
      </c>
      <c r="C34" s="24"/>
      <c r="D34" s="13"/>
      <c r="E34" s="13" t="str">
        <f t="shared" si="4"/>
        <v/>
      </c>
      <c r="F34" s="14" t="str">
        <f t="shared" si="5"/>
        <v/>
      </c>
      <c r="G34" s="15"/>
      <c r="H34" s="15" t="str">
        <f t="shared" si="6"/>
        <v/>
      </c>
      <c r="I34" s="16" t="str">
        <f t="shared" si="7"/>
        <v/>
      </c>
      <c r="J34" s="41"/>
      <c r="K34" s="41"/>
    </row>
    <row r="35" spans="1:11" ht="15.6">
      <c r="A35" s="30" t="str">
        <v xml:space="preserve"> Las Vegas - BA - Eastern Ave</v>
      </c>
      <c r="B35" s="31" t="str">
        <v>NV</v>
      </c>
      <c r="C35" s="11"/>
      <c r="D35" s="18"/>
      <c r="E35" s="18" t="str">
        <f t="shared" si="4"/>
        <v/>
      </c>
      <c r="F35" s="19" t="str">
        <f t="shared" si="5"/>
        <v/>
      </c>
      <c r="G35" s="20"/>
      <c r="H35" s="20" t="str">
        <f t="shared" si="6"/>
        <v/>
      </c>
      <c r="I35" s="19" t="str">
        <f t="shared" si="7"/>
        <v/>
      </c>
      <c r="J35" s="42"/>
      <c r="K35" s="43"/>
    </row>
    <row r="36" spans="1:11" ht="15.6">
      <c r="A36" s="28" t="str">
        <v xml:space="preserve"> Las Vegas - BA - Town Ctr Dr</v>
      </c>
      <c r="B36" s="29" t="str">
        <v>NV</v>
      </c>
      <c r="C36" s="24"/>
      <c r="D36" s="13"/>
      <c r="E36" s="13" t="str">
        <f t="shared" si="4"/>
        <v/>
      </c>
      <c r="F36" s="14" t="str">
        <f t="shared" si="5"/>
        <v/>
      </c>
      <c r="G36" s="15"/>
      <c r="H36" s="15" t="str">
        <f t="shared" si="6"/>
        <v/>
      </c>
      <c r="I36" s="16" t="str">
        <f t="shared" si="7"/>
        <v/>
      </c>
      <c r="J36" s="41"/>
      <c r="K36" s="41"/>
    </row>
    <row r="37" spans="1:11" ht="15.6">
      <c r="A37" s="30" t="str">
        <v xml:space="preserve"> Riverton - Bank of America</v>
      </c>
      <c r="B37" s="31" t="str">
        <v>UT</v>
      </c>
      <c r="C37" s="11"/>
      <c r="D37" s="18"/>
      <c r="E37" s="18" t="str">
        <f t="shared" si="4"/>
        <v/>
      </c>
      <c r="F37" s="19" t="str">
        <f t="shared" si="5"/>
        <v/>
      </c>
      <c r="G37" s="20"/>
      <c r="H37" s="20" t="str">
        <f t="shared" si="6"/>
        <v/>
      </c>
      <c r="I37" s="19" t="str">
        <f t="shared" si="7"/>
        <v/>
      </c>
      <c r="J37" s="42"/>
      <c r="K37" s="43"/>
    </row>
    <row r="38" spans="1:11" ht="15.6">
      <c r="A38" s="28" t="str">
        <v xml:space="preserve"> Salt Lake City - Bank of America</v>
      </c>
      <c r="B38" s="29" t="str">
        <v>UT</v>
      </c>
      <c r="C38" s="24"/>
      <c r="D38" s="13"/>
      <c r="E38" s="13" t="str">
        <f t="shared" si="4"/>
        <v/>
      </c>
      <c r="F38" s="14" t="str">
        <f t="shared" si="5"/>
        <v/>
      </c>
      <c r="G38" s="15"/>
      <c r="H38" s="15" t="str">
        <f t="shared" si="6"/>
        <v/>
      </c>
      <c r="I38" s="16" t="str">
        <f t="shared" si="7"/>
        <v/>
      </c>
      <c r="J38" s="41"/>
      <c r="K38" s="4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24" priority="3" stopIfTrue="1" operator="lessThanOrEqual">
      <formula>-0.1</formula>
    </cfRule>
    <cfRule type="expression" dxfId="23" priority="4">
      <formula>AND(ISNUMBER(F2), F2&gt;=0.1)</formula>
    </cfRule>
  </conditionalFormatting>
  <conditionalFormatting sqref="F4:F100 I4:I100">
    <cfRule type="cellIs" dxfId="22" priority="1" stopIfTrue="1" operator="lessThanOrEqual">
      <formula>-0.1</formula>
    </cfRule>
    <cfRule type="expression" dxfId="2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42"/>
  <sheetViews>
    <sheetView zoomScale="80" zoomScaleNormal="80" workbookViewId="0">
      <pane xSplit="2" ySplit="3" topLeftCell="P19" activePane="bottomRight" state="frozen"/>
      <selection pane="bottomRight" activeCell="P19" sqref="P19:P20"/>
      <selection pane="bottomLeft" activeCell="P19" sqref="P19:P20"/>
      <selection pane="topRight" activeCell="P19" sqref="P19:P2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4" t="str" cm="1">
        <f t="array" ref="A1">portfolio</f>
        <v>Cushman &amp; Wakefield</v>
      </c>
      <c r="B1" s="74"/>
      <c r="C1" s="74"/>
      <c r="D1" s="75" t="s">
        <v>108</v>
      </c>
      <c r="E1" s="75"/>
      <c r="F1" s="75"/>
      <c r="G1" s="73" t="s">
        <v>109</v>
      </c>
      <c r="H1" s="73"/>
      <c r="I1" s="73"/>
      <c r="J1" s="4"/>
      <c r="K1" s="4"/>
    </row>
    <row r="2" spans="1:11" ht="19.5" customHeight="1">
      <c r="A2" s="76" t="s">
        <v>2</v>
      </c>
      <c r="B2" s="76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>
        <v>0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 xml:space="preserve"> Apple Valley - Bank of America</v>
      </c>
      <c r="B5" s="31" t="str">
        <v>CA</v>
      </c>
      <c r="C5" s="11"/>
      <c r="D5" s="18">
        <v>0</v>
      </c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6">
      <c r="A6" s="28" t="str">
        <v xml:space="preserve"> Arvin - Bank of America</v>
      </c>
      <c r="B6" s="29" t="str">
        <v>CA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 xml:space="preserve"> Bell - Bank of America</v>
      </c>
      <c r="B7" s="31" t="str">
        <v>CA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3"/>
    </row>
    <row r="8" spans="1:11" ht="15.6">
      <c r="A8" s="28" t="str">
        <v xml:space="preserve"> Chula Vista - Bank of America</v>
      </c>
      <c r="B8" s="29" t="str">
        <v>CA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6">
      <c r="A9" s="30" t="str">
        <v xml:space="preserve"> Cupertino - Bank of America</v>
      </c>
      <c r="B9" s="31" t="str">
        <v>CA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6">
      <c r="A10" s="28" t="str">
        <v xml:space="preserve"> Diamond Bar - Bank of America</v>
      </c>
      <c r="B10" s="29" t="str">
        <v>CA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6">
      <c r="A11" s="30" t="str">
        <v xml:space="preserve"> El Centro - Bank of America</v>
      </c>
      <c r="B11" s="31" t="str">
        <v>CA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6">
      <c r="A12" s="28" t="str">
        <v xml:space="preserve"> Moreno Valley - Bank of America</v>
      </c>
      <c r="B12" s="29" t="str">
        <v>CA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6">
      <c r="A13" s="30" t="str">
        <v xml:space="preserve"> Redlands - Bank of America</v>
      </c>
      <c r="B13" s="31" t="str">
        <v>CA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6">
      <c r="A14" s="28" t="str">
        <v xml:space="preserve"> Roseville - Bank of America</v>
      </c>
      <c r="B14" s="29" t="str">
        <v>CA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6">
      <c r="A15" s="30" t="str">
        <v xml:space="preserve"> San Bernardino - Bank of America</v>
      </c>
      <c r="B15" s="31" t="str">
        <v>CA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2"/>
    </row>
    <row r="16" spans="1:11" ht="15.6">
      <c r="A16" s="28" t="str">
        <v xml:space="preserve"> San Diego - Bank of America</v>
      </c>
      <c r="B16" s="29" t="str">
        <v>CA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 xml:space="preserve"> Stockton - Bank of America</v>
      </c>
      <c r="B17" s="31" t="str">
        <v>CA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K17" s="43"/>
    </row>
    <row r="18" spans="1:11" ht="12.75" customHeight="1">
      <c r="A18" s="28" t="str">
        <v xml:space="preserve"> Victorville - Bank of America</v>
      </c>
      <c r="B18" s="29" t="str">
        <v>CA</v>
      </c>
      <c r="C18" s="24"/>
      <c r="D18" s="13"/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15"/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</row>
    <row r="19" spans="1:11" ht="15.6">
      <c r="A19" s="30" t="str">
        <v xml:space="preserve"> Aurora - BA - Colfax Ave</v>
      </c>
      <c r="B19" s="31" t="str">
        <v>CO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6">
      <c r="A20" s="28" t="str">
        <v xml:space="preserve"> Aurora - BA - Parker Rd</v>
      </c>
      <c r="B20" s="29" t="str">
        <v>CO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6">
      <c r="A21" s="30" t="str">
        <v xml:space="preserve"> Broomfield - Bank of America</v>
      </c>
      <c r="B21" s="31" t="str">
        <v>CO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5.6">
      <c r="A22" s="28" t="str">
        <v xml:space="preserve"> Colorado Springs - Bank of America</v>
      </c>
      <c r="B22" s="29" t="str">
        <v>CO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</row>
    <row r="23" spans="1:11" ht="15.6">
      <c r="A23" s="30" t="str">
        <v xml:space="preserve"> Denver - BA - 49th Ave</v>
      </c>
      <c r="B23" s="31" t="str">
        <v>CO</v>
      </c>
      <c r="C23" s="11"/>
      <c r="D23" s="18"/>
      <c r="E23" s="18" t="str">
        <f t="shared" si="4"/>
        <v/>
      </c>
      <c r="F23" s="19" t="str">
        <f t="shared" si="5"/>
        <v/>
      </c>
      <c r="G23" s="20"/>
      <c r="H23" s="20" t="str">
        <f t="shared" si="6"/>
        <v/>
      </c>
      <c r="I23" s="19" t="str">
        <f t="shared" si="7"/>
        <v/>
      </c>
      <c r="J23" s="42"/>
      <c r="K23" s="43"/>
    </row>
    <row r="24" spans="1:11" ht="15.6">
      <c r="A24" s="28" t="str">
        <v xml:space="preserve"> Denver - BA Wadsworth Blvd</v>
      </c>
      <c r="B24" s="29" t="str">
        <v>CO</v>
      </c>
      <c r="C24" s="24"/>
      <c r="D24" s="13"/>
      <c r="E24" s="13" t="str">
        <f t="shared" si="4"/>
        <v/>
      </c>
      <c r="F24" s="14" t="str">
        <f t="shared" si="5"/>
        <v/>
      </c>
      <c r="G24" s="15"/>
      <c r="H24" s="15" t="str">
        <f t="shared" si="6"/>
        <v/>
      </c>
      <c r="I24" s="16" t="str">
        <f t="shared" si="7"/>
        <v/>
      </c>
      <c r="J24" s="41"/>
      <c r="K24" s="41"/>
    </row>
    <row r="25" spans="1:11" ht="15.6">
      <c r="A25" s="30" t="str">
        <v xml:space="preserve"> Fort Collins - Bank of America</v>
      </c>
      <c r="B25" s="31" t="str">
        <v>CO</v>
      </c>
      <c r="C25" s="11"/>
      <c r="D25" s="18"/>
      <c r="E25" s="18" t="str">
        <f t="shared" si="4"/>
        <v/>
      </c>
      <c r="F25" s="19" t="str">
        <f t="shared" si="5"/>
        <v/>
      </c>
      <c r="G25" s="20"/>
      <c r="H25" s="20" t="str">
        <f t="shared" si="6"/>
        <v/>
      </c>
      <c r="I25" s="19" t="str">
        <f t="shared" si="7"/>
        <v/>
      </c>
      <c r="J25" s="42"/>
      <c r="K25" s="43"/>
    </row>
    <row r="26" spans="1:11" ht="15.6">
      <c r="A26" s="28" t="str">
        <v xml:space="preserve"> Lafayette - Bank of America</v>
      </c>
      <c r="B26" s="29" t="str">
        <v>CO</v>
      </c>
      <c r="C26" s="24"/>
      <c r="D26" s="13"/>
      <c r="E26" s="13" t="str">
        <f t="shared" si="4"/>
        <v/>
      </c>
      <c r="F26" s="14" t="str">
        <f t="shared" si="5"/>
        <v/>
      </c>
      <c r="G26" s="15"/>
      <c r="H26" s="15" t="str">
        <f t="shared" si="6"/>
        <v/>
      </c>
      <c r="I26" s="16" t="str">
        <f t="shared" si="7"/>
        <v/>
      </c>
      <c r="J26" s="41"/>
      <c r="K26" s="41"/>
    </row>
    <row r="27" spans="1:11" ht="15.6">
      <c r="A27" s="30" t="str">
        <v xml:space="preserve"> Lakewood - Bank of America</v>
      </c>
      <c r="B27" s="31" t="str">
        <v>CO</v>
      </c>
      <c r="C27" s="11"/>
      <c r="D27" s="18"/>
      <c r="E27" s="18" t="str">
        <f t="shared" si="4"/>
        <v/>
      </c>
      <c r="F27" s="19" t="str">
        <f t="shared" si="5"/>
        <v/>
      </c>
      <c r="G27" s="20"/>
      <c r="H27" s="20" t="str">
        <f t="shared" si="6"/>
        <v/>
      </c>
      <c r="I27" s="19" t="str">
        <f t="shared" si="7"/>
        <v/>
      </c>
      <c r="J27" s="42"/>
      <c r="K27" s="42"/>
    </row>
    <row r="28" spans="1:11" ht="15.6">
      <c r="A28" s="28" t="str">
        <v xml:space="preserve"> Longmont - Bank of America</v>
      </c>
      <c r="B28" s="29" t="str">
        <v>CO</v>
      </c>
      <c r="C28" s="24"/>
      <c r="D28" s="13"/>
      <c r="E28" s="13" t="str">
        <f t="shared" si="4"/>
        <v/>
      </c>
      <c r="F28" s="14" t="str">
        <f t="shared" si="5"/>
        <v/>
      </c>
      <c r="G28" s="15"/>
      <c r="H28" s="15" t="str">
        <f t="shared" si="6"/>
        <v/>
      </c>
      <c r="I28" s="16" t="str">
        <f t="shared" si="7"/>
        <v/>
      </c>
      <c r="J28" s="41"/>
      <c r="K28" s="41"/>
    </row>
    <row r="29" spans="1:11" ht="15.6">
      <c r="A29" s="30" t="str">
        <v xml:space="preserve"> Thornton - Bank of America</v>
      </c>
      <c r="B29" s="31" t="str">
        <v>CO</v>
      </c>
      <c r="C29" s="11"/>
      <c r="D29" s="18"/>
      <c r="E29" s="18" t="str">
        <f t="shared" si="4"/>
        <v/>
      </c>
      <c r="F29" s="19" t="str">
        <f t="shared" si="5"/>
        <v/>
      </c>
      <c r="G29" s="20"/>
      <c r="H29" s="20" t="str">
        <f t="shared" si="6"/>
        <v/>
      </c>
      <c r="I29" s="19" t="str">
        <f t="shared" si="7"/>
        <v/>
      </c>
      <c r="J29" s="42"/>
      <c r="K29" s="42"/>
    </row>
    <row r="30" spans="1:11" ht="15.6">
      <c r="A30" s="28" t="str">
        <v xml:space="preserve"> Calumet City - Bank of America</v>
      </c>
      <c r="B30" s="29" t="str">
        <v>IL</v>
      </c>
      <c r="C30" s="24"/>
      <c r="D30" s="13"/>
      <c r="E30" s="13" t="str">
        <f t="shared" si="4"/>
        <v/>
      </c>
      <c r="F30" s="14" t="str">
        <f t="shared" si="5"/>
        <v/>
      </c>
      <c r="G30" s="15"/>
      <c r="H30" s="15" t="str">
        <f t="shared" si="6"/>
        <v/>
      </c>
      <c r="I30" s="16" t="str">
        <f t="shared" si="7"/>
        <v/>
      </c>
      <c r="J30" s="41"/>
      <c r="K30" s="41"/>
    </row>
    <row r="31" spans="1:11" ht="15.6">
      <c r="A31" s="30" t="str">
        <v xml:space="preserve"> Downers Grove - Bank of America</v>
      </c>
      <c r="B31" s="31" t="str">
        <v>IL</v>
      </c>
      <c r="C31" s="11"/>
      <c r="D31" s="18"/>
      <c r="E31" s="18" t="str">
        <f t="shared" si="4"/>
        <v/>
      </c>
      <c r="F31" s="19" t="str">
        <f t="shared" si="5"/>
        <v/>
      </c>
      <c r="G31" s="20"/>
      <c r="H31" s="20" t="str">
        <f t="shared" si="6"/>
        <v/>
      </c>
      <c r="I31" s="19" t="str">
        <f t="shared" si="7"/>
        <v/>
      </c>
      <c r="J31" s="42"/>
      <c r="K31" s="42"/>
    </row>
    <row r="32" spans="1:11" ht="15.6">
      <c r="A32" s="28" t="str">
        <v xml:space="preserve"> Bloomington - Bank of America</v>
      </c>
      <c r="B32" s="29" t="str">
        <v>MN</v>
      </c>
      <c r="C32" s="24"/>
      <c r="D32" s="13"/>
      <c r="E32" s="13" t="str">
        <f t="shared" si="4"/>
        <v/>
      </c>
      <c r="F32" s="14" t="str">
        <f t="shared" si="5"/>
        <v/>
      </c>
      <c r="G32" s="15"/>
      <c r="H32" s="15" t="str">
        <f t="shared" si="6"/>
        <v/>
      </c>
      <c r="I32" s="16" t="str">
        <f t="shared" si="7"/>
        <v/>
      </c>
      <c r="J32" s="41"/>
      <c r="K32" s="41"/>
    </row>
    <row r="33" spans="1:11" ht="15.6">
      <c r="A33" s="30" t="str">
        <v xml:space="preserve"> Clayton - Bank of America</v>
      </c>
      <c r="B33" s="31" t="str">
        <v>MO</v>
      </c>
      <c r="C33" s="11"/>
      <c r="D33" s="18"/>
      <c r="E33" s="18" t="str">
        <f t="shared" si="4"/>
        <v/>
      </c>
      <c r="F33" s="19" t="str">
        <f t="shared" si="5"/>
        <v/>
      </c>
      <c r="G33" s="20"/>
      <c r="H33" s="20" t="str">
        <f t="shared" si="6"/>
        <v/>
      </c>
      <c r="I33" s="19" t="str">
        <f t="shared" si="7"/>
        <v/>
      </c>
      <c r="J33" s="42"/>
      <c r="K33" s="42"/>
    </row>
    <row r="34" spans="1:11" ht="15.6">
      <c r="A34" s="28" t="str">
        <v xml:space="preserve"> Manchester - Bank of America</v>
      </c>
      <c r="B34" s="29" t="str">
        <v>MO</v>
      </c>
      <c r="C34" s="24"/>
      <c r="D34" s="13"/>
      <c r="E34" s="13" t="str">
        <f t="shared" si="4"/>
        <v/>
      </c>
      <c r="F34" s="14" t="str">
        <f t="shared" si="5"/>
        <v/>
      </c>
      <c r="G34" s="15"/>
      <c r="H34" s="15" t="str">
        <f t="shared" si="6"/>
        <v/>
      </c>
      <c r="I34" s="16" t="str">
        <f t="shared" si="7"/>
        <v/>
      </c>
      <c r="J34" s="41"/>
      <c r="K34" s="41"/>
    </row>
    <row r="35" spans="1:11" ht="15.6">
      <c r="A35" s="30" t="str">
        <v xml:space="preserve"> Las Vegas - BA - Eastern Ave</v>
      </c>
      <c r="B35" s="31" t="str">
        <v>NV</v>
      </c>
      <c r="C35" s="11"/>
      <c r="D35" s="18"/>
      <c r="E35" s="18" t="str">
        <f t="shared" si="4"/>
        <v/>
      </c>
      <c r="F35" s="19" t="str">
        <f t="shared" si="5"/>
        <v/>
      </c>
      <c r="G35" s="20"/>
      <c r="H35" s="20" t="str">
        <f t="shared" si="6"/>
        <v/>
      </c>
      <c r="I35" s="19" t="str">
        <f t="shared" si="7"/>
        <v/>
      </c>
      <c r="J35" s="42"/>
      <c r="K35" s="42"/>
    </row>
    <row r="36" spans="1:11" ht="15.6">
      <c r="A36" s="28" t="str">
        <v xml:space="preserve"> Las Vegas - BA - Town Ctr Dr</v>
      </c>
      <c r="B36" s="29" t="str">
        <v>NV</v>
      </c>
      <c r="C36" s="24"/>
      <c r="D36" s="13"/>
      <c r="E36" s="13" t="str">
        <f t="shared" si="4"/>
        <v/>
      </c>
      <c r="F36" s="14" t="str">
        <f t="shared" si="5"/>
        <v/>
      </c>
      <c r="G36" s="15"/>
      <c r="H36" s="15" t="str">
        <f t="shared" si="6"/>
        <v/>
      </c>
      <c r="I36" s="16" t="str">
        <f t="shared" si="7"/>
        <v/>
      </c>
      <c r="J36" s="41"/>
      <c r="K36" s="41"/>
    </row>
    <row r="37" spans="1:11" ht="15.6">
      <c r="A37" s="30" t="str">
        <v xml:space="preserve"> Riverton - Bank of America</v>
      </c>
      <c r="B37" s="31" t="str">
        <v>UT</v>
      </c>
      <c r="C37" s="11"/>
      <c r="D37" s="18"/>
      <c r="E37" s="18" t="str">
        <f t="shared" si="4"/>
        <v/>
      </c>
      <c r="F37" s="19" t="str">
        <f t="shared" si="5"/>
        <v/>
      </c>
      <c r="G37" s="20"/>
      <c r="H37" s="20" t="str">
        <f t="shared" si="6"/>
        <v/>
      </c>
      <c r="I37" s="19" t="str">
        <f t="shared" si="7"/>
        <v/>
      </c>
      <c r="J37" s="42"/>
      <c r="K37" s="43"/>
    </row>
    <row r="38" spans="1:11" ht="15.6">
      <c r="A38" s="28" t="str">
        <v xml:space="preserve"> Salt Lake City - Bank of America</v>
      </c>
      <c r="B38" s="29" t="str">
        <v>UT</v>
      </c>
      <c r="C38" s="24"/>
      <c r="D38" s="13"/>
      <c r="E38" s="13" t="str">
        <f t="shared" si="4"/>
        <v/>
      </c>
      <c r="F38" s="14" t="str">
        <f t="shared" si="5"/>
        <v/>
      </c>
      <c r="G38" s="15"/>
      <c r="H38" s="15" t="str">
        <f t="shared" si="6"/>
        <v/>
      </c>
      <c r="I38" s="16" t="str">
        <f t="shared" si="7"/>
        <v/>
      </c>
      <c r="J38" s="41"/>
      <c r="K38" s="4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conditionalFormatting sqref="F4:F100 I4:I100">
    <cfRule type="cellIs" dxfId="18" priority="1" stopIfTrue="1" operator="lessThanOrEqual">
      <formula>-0.1</formula>
    </cfRule>
    <cfRule type="expression" dxfId="1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42"/>
  <sheetViews>
    <sheetView workbookViewId="0">
      <pane xSplit="2" ySplit="3" topLeftCell="C4" activePane="bottomRight" state="frozen"/>
      <selection pane="bottomRight" activeCell="P19" sqref="P19:P20"/>
      <selection pane="bottomLeft" activeCell="P19" sqref="P19:P20"/>
      <selection pane="topRight" activeCell="P19" sqref="P19:P2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4" t="str" cm="1">
        <f t="array" ref="A1">portfolio</f>
        <v>Cushman &amp; Wakefield</v>
      </c>
      <c r="B1" s="74"/>
      <c r="C1" s="74"/>
      <c r="D1" s="75" t="s">
        <v>110</v>
      </c>
      <c r="E1" s="75"/>
      <c r="F1" s="75"/>
      <c r="G1" s="73" t="s">
        <v>111</v>
      </c>
      <c r="H1" s="73"/>
      <c r="I1" s="73"/>
      <c r="J1" s="4"/>
      <c r="K1" s="4"/>
    </row>
    <row r="2" spans="1:11" ht="19.5" customHeight="1">
      <c r="A2" s="76" t="s">
        <v>2</v>
      </c>
      <c r="B2" s="76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>
        <v>0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 xml:space="preserve"> Apple Valley - Bank of America</v>
      </c>
      <c r="B5" s="31" t="str">
        <v>CA</v>
      </c>
      <c r="C5" s="11"/>
      <c r="D5" s="18">
        <v>0</v>
      </c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>IF(AND(ISNUMBER(C5),ISNUMBER(G5)), C5-G5, "")</f>
        <v/>
      </c>
      <c r="I5" s="19" t="str">
        <f>IFERROR(H5/G5, "")</f>
        <v/>
      </c>
      <c r="J5" s="42"/>
      <c r="K5" s="42"/>
    </row>
    <row r="6" spans="1:11" ht="15.6">
      <c r="A6" s="28" t="str">
        <v xml:space="preserve"> Arvin - Bank of America</v>
      </c>
      <c r="B6" s="29" t="str">
        <v>CA</v>
      </c>
      <c r="C6" s="24"/>
      <c r="D6" s="13"/>
      <c r="E6" s="13" t="str">
        <f t="shared" si="0"/>
        <v/>
      </c>
      <c r="F6" s="14" t="str">
        <f t="shared" ref="F6:F17" si="1">IFERROR(E6/D6, "")</f>
        <v/>
      </c>
      <c r="G6" s="15"/>
      <c r="H6" s="15" t="str">
        <f t="shared" ref="H6:H17" si="2">IF(AND(ISNUMBER(C6),ISNUMBER(G6)), C6-G6, "")</f>
        <v/>
      </c>
      <c r="I6" s="16" t="str">
        <f t="shared" ref="I6:I17" si="3">IFERROR(H6/G6, "")</f>
        <v/>
      </c>
      <c r="J6" s="41"/>
      <c r="K6" s="41"/>
    </row>
    <row r="7" spans="1:11" ht="15.6">
      <c r="A7" s="30" t="str">
        <v xml:space="preserve"> Bell - Bank of America</v>
      </c>
      <c r="B7" s="31" t="str">
        <v>CA</v>
      </c>
      <c r="C7" s="11"/>
      <c r="D7" s="18"/>
      <c r="E7" s="18" t="str">
        <f t="shared" si="0"/>
        <v/>
      </c>
      <c r="F7" s="19" t="str">
        <f t="shared" si="1"/>
        <v/>
      </c>
      <c r="G7" s="20"/>
      <c r="H7" s="20" t="str">
        <f t="shared" si="2"/>
        <v/>
      </c>
      <c r="I7" s="19" t="str">
        <f t="shared" si="3"/>
        <v/>
      </c>
      <c r="J7" s="42"/>
      <c r="K7" s="42"/>
    </row>
    <row r="8" spans="1:11" ht="15.6">
      <c r="A8" s="28" t="str">
        <v xml:space="preserve"> Chula Vista - Bank of America</v>
      </c>
      <c r="B8" s="29" t="str">
        <v>CA</v>
      </c>
      <c r="C8" s="24"/>
      <c r="D8" s="13"/>
      <c r="E8" s="13" t="str">
        <f t="shared" si="0"/>
        <v/>
      </c>
      <c r="F8" s="14" t="str">
        <f t="shared" si="1"/>
        <v/>
      </c>
      <c r="G8" s="15"/>
      <c r="H8" s="15" t="str">
        <f t="shared" si="2"/>
        <v/>
      </c>
      <c r="I8" s="16" t="str">
        <f t="shared" si="3"/>
        <v/>
      </c>
      <c r="J8" s="41"/>
      <c r="K8" s="41"/>
    </row>
    <row r="9" spans="1:11" ht="15.6">
      <c r="A9" s="30" t="str">
        <v xml:space="preserve"> Cupertino - Bank of America</v>
      </c>
      <c r="B9" s="31" t="str">
        <v>CA</v>
      </c>
      <c r="C9" s="11"/>
      <c r="D9" s="18"/>
      <c r="E9" s="18" t="str">
        <f t="shared" si="0"/>
        <v/>
      </c>
      <c r="F9" s="19" t="str">
        <f t="shared" si="1"/>
        <v/>
      </c>
      <c r="G9" s="20"/>
      <c r="H9" s="20" t="str">
        <f t="shared" si="2"/>
        <v/>
      </c>
      <c r="I9" s="19" t="str">
        <f t="shared" si="3"/>
        <v/>
      </c>
      <c r="J9" s="42"/>
      <c r="K9" s="43"/>
    </row>
    <row r="10" spans="1:11" ht="15.6">
      <c r="A10" s="28" t="str">
        <v xml:space="preserve"> Diamond Bar - Bank of America</v>
      </c>
      <c r="B10" s="29" t="str">
        <v>CA</v>
      </c>
      <c r="C10" s="24"/>
      <c r="D10" s="13"/>
      <c r="E10" s="13" t="str">
        <f t="shared" si="0"/>
        <v/>
      </c>
      <c r="F10" s="14" t="str">
        <f t="shared" si="1"/>
        <v/>
      </c>
      <c r="G10" s="15"/>
      <c r="H10" s="15" t="str">
        <f t="shared" si="2"/>
        <v/>
      </c>
      <c r="I10" s="16" t="str">
        <f t="shared" si="3"/>
        <v/>
      </c>
      <c r="J10" s="41"/>
      <c r="K10" s="41"/>
    </row>
    <row r="11" spans="1:11" ht="15.6">
      <c r="A11" s="30" t="str">
        <v xml:space="preserve"> El Centro - Bank of America</v>
      </c>
      <c r="B11" s="31" t="str">
        <v>CA</v>
      </c>
      <c r="C11" s="11"/>
      <c r="D11" s="18"/>
      <c r="E11" s="18" t="str">
        <f t="shared" si="0"/>
        <v/>
      </c>
      <c r="F11" s="19" t="str">
        <f t="shared" si="1"/>
        <v/>
      </c>
      <c r="G11" s="20"/>
      <c r="H11" s="20" t="str">
        <f t="shared" si="2"/>
        <v/>
      </c>
      <c r="I11" s="19" t="str">
        <f t="shared" si="3"/>
        <v/>
      </c>
      <c r="J11" s="42"/>
      <c r="K11" s="43"/>
    </row>
    <row r="12" spans="1:11" ht="15.6">
      <c r="A12" s="28" t="str">
        <v xml:space="preserve"> Moreno Valley - Bank of America</v>
      </c>
      <c r="B12" s="29" t="str">
        <v>CA</v>
      </c>
      <c r="C12" s="24"/>
      <c r="D12" s="13"/>
      <c r="E12" s="13" t="str">
        <f t="shared" si="0"/>
        <v/>
      </c>
      <c r="F12" s="14" t="str">
        <f t="shared" si="1"/>
        <v/>
      </c>
      <c r="G12" s="15"/>
      <c r="H12" s="15" t="str">
        <f t="shared" si="2"/>
        <v/>
      </c>
      <c r="I12" s="16" t="str">
        <f t="shared" si="3"/>
        <v/>
      </c>
      <c r="J12" s="41"/>
      <c r="K12" s="41"/>
    </row>
    <row r="13" spans="1:11" ht="15.6">
      <c r="A13" s="30" t="str">
        <v xml:space="preserve"> Redlands - Bank of America</v>
      </c>
      <c r="B13" s="31" t="str">
        <v>CA</v>
      </c>
      <c r="C13" s="11"/>
      <c r="D13" s="18"/>
      <c r="E13" s="18" t="str">
        <f t="shared" si="0"/>
        <v/>
      </c>
      <c r="F13" s="19" t="str">
        <f t="shared" si="1"/>
        <v/>
      </c>
      <c r="G13" s="20"/>
      <c r="H13" s="20" t="str">
        <f t="shared" si="2"/>
        <v/>
      </c>
      <c r="I13" s="19" t="str">
        <f t="shared" si="3"/>
        <v/>
      </c>
      <c r="J13" s="42"/>
      <c r="K13" s="43"/>
    </row>
    <row r="14" spans="1:11" ht="15.6">
      <c r="A14" s="28" t="str">
        <v xml:space="preserve"> Roseville - Bank of America</v>
      </c>
      <c r="B14" s="29" t="str">
        <v>CA</v>
      </c>
      <c r="C14" s="24"/>
      <c r="D14" s="13"/>
      <c r="E14" s="13" t="str">
        <f t="shared" si="0"/>
        <v/>
      </c>
      <c r="F14" s="14" t="str">
        <f t="shared" si="1"/>
        <v/>
      </c>
      <c r="G14" s="15"/>
      <c r="H14" s="15" t="str">
        <f t="shared" si="2"/>
        <v/>
      </c>
      <c r="I14" s="16" t="str">
        <f t="shared" si="3"/>
        <v/>
      </c>
      <c r="J14" s="41"/>
      <c r="K14" s="41"/>
    </row>
    <row r="15" spans="1:11" ht="15.6">
      <c r="A15" s="30" t="str">
        <v xml:space="preserve"> San Bernardino - Bank of America</v>
      </c>
      <c r="B15" s="31" t="str">
        <v>CA</v>
      </c>
      <c r="C15" s="11"/>
      <c r="D15" s="18"/>
      <c r="E15" s="18" t="str">
        <f t="shared" si="0"/>
        <v/>
      </c>
      <c r="F15" s="19" t="str">
        <f t="shared" si="1"/>
        <v/>
      </c>
      <c r="G15" s="20"/>
      <c r="H15" s="20" t="str">
        <f t="shared" si="2"/>
        <v/>
      </c>
      <c r="I15" s="19" t="str">
        <f t="shared" si="3"/>
        <v/>
      </c>
      <c r="J15" s="42"/>
      <c r="K15" s="43"/>
    </row>
    <row r="16" spans="1:11" ht="15.6">
      <c r="A16" s="28" t="str">
        <v xml:space="preserve"> San Diego - Bank of America</v>
      </c>
      <c r="B16" s="29" t="str">
        <v>CA</v>
      </c>
      <c r="C16" s="24"/>
      <c r="D16" s="13"/>
      <c r="E16" s="13" t="str">
        <f t="shared" si="0"/>
        <v/>
      </c>
      <c r="F16" s="14" t="str">
        <f t="shared" si="1"/>
        <v/>
      </c>
      <c r="G16" s="15"/>
      <c r="H16" s="15" t="str">
        <f t="shared" si="2"/>
        <v/>
      </c>
      <c r="I16" s="16" t="str">
        <f t="shared" si="3"/>
        <v/>
      </c>
      <c r="J16" s="41"/>
      <c r="K16" s="41"/>
    </row>
    <row r="17" spans="1:11" ht="15.6">
      <c r="A17" s="30" t="str">
        <v xml:space="preserve"> Stockton - Bank of America</v>
      </c>
      <c r="B17" s="31" t="str">
        <v>CA</v>
      </c>
      <c r="C17" s="11"/>
      <c r="D17" s="18"/>
      <c r="E17" s="18" t="str">
        <f t="shared" si="0"/>
        <v/>
      </c>
      <c r="F17" s="19" t="str">
        <f t="shared" si="1"/>
        <v/>
      </c>
      <c r="G17" s="20"/>
      <c r="H17" s="20" t="str">
        <f t="shared" si="2"/>
        <v/>
      </c>
      <c r="I17" s="19" t="str">
        <f t="shared" si="3"/>
        <v/>
      </c>
      <c r="J17" s="42"/>
      <c r="K17" s="43"/>
    </row>
    <row r="18" spans="1:11" ht="12.75" customHeight="1">
      <c r="A18" s="28" t="str">
        <v xml:space="preserve"> Victorville - Bank of America</v>
      </c>
      <c r="B18" s="29" t="str">
        <v>CA</v>
      </c>
      <c r="C18" s="24"/>
      <c r="D18" s="13"/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15"/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</row>
    <row r="19" spans="1:11" ht="15.6">
      <c r="A19" s="30" t="str">
        <v xml:space="preserve"> Aurora - BA - Colfax Ave</v>
      </c>
      <c r="B19" s="31" t="str">
        <v>CO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6">
      <c r="A20" s="28" t="str">
        <v xml:space="preserve"> Aurora - BA - Parker Rd</v>
      </c>
      <c r="B20" s="29" t="str">
        <v>CO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6">
      <c r="A21" s="30" t="str">
        <v xml:space="preserve"> Broomfield - Bank of America</v>
      </c>
      <c r="B21" s="31" t="str">
        <v>CO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5.6">
      <c r="A22" s="28" t="str">
        <v xml:space="preserve"> Colorado Springs - Bank of America</v>
      </c>
      <c r="B22" s="29" t="str">
        <v>CO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</row>
    <row r="23" spans="1:11" ht="15.6">
      <c r="A23" s="30" t="str">
        <v xml:space="preserve"> Denver - BA - 49th Ave</v>
      </c>
      <c r="B23" s="31" t="str">
        <v>CO</v>
      </c>
      <c r="C23" s="11"/>
      <c r="D23" s="18"/>
      <c r="E23" s="18" t="str">
        <f t="shared" si="4"/>
        <v/>
      </c>
      <c r="F23" s="19" t="str">
        <f t="shared" si="5"/>
        <v/>
      </c>
      <c r="G23" s="20"/>
      <c r="H23" s="20" t="str">
        <f t="shared" si="6"/>
        <v/>
      </c>
      <c r="I23" s="19" t="str">
        <f t="shared" si="7"/>
        <v/>
      </c>
      <c r="J23" s="42"/>
      <c r="K23" s="43"/>
    </row>
    <row r="24" spans="1:11" ht="15.6">
      <c r="A24" s="28" t="str">
        <v xml:space="preserve"> Denver - BA Wadsworth Blvd</v>
      </c>
      <c r="B24" s="29" t="str">
        <v>CO</v>
      </c>
      <c r="C24" s="24"/>
      <c r="D24" s="13"/>
      <c r="E24" s="13" t="str">
        <f t="shared" si="4"/>
        <v/>
      </c>
      <c r="F24" s="14" t="str">
        <f t="shared" si="5"/>
        <v/>
      </c>
      <c r="G24" s="15"/>
      <c r="H24" s="15" t="str">
        <f t="shared" si="6"/>
        <v/>
      </c>
      <c r="I24" s="16" t="str">
        <f t="shared" si="7"/>
        <v/>
      </c>
      <c r="J24" s="41"/>
      <c r="K24" s="41"/>
    </row>
    <row r="25" spans="1:11" ht="15.6">
      <c r="A25" s="30" t="str">
        <v xml:space="preserve"> Fort Collins - Bank of America</v>
      </c>
      <c r="B25" s="31" t="str">
        <v>CO</v>
      </c>
      <c r="C25" s="11"/>
      <c r="D25" s="18"/>
      <c r="E25" s="18" t="str">
        <f t="shared" si="4"/>
        <v/>
      </c>
      <c r="F25" s="19" t="str">
        <f t="shared" si="5"/>
        <v/>
      </c>
      <c r="G25" s="20"/>
      <c r="H25" s="20" t="str">
        <f t="shared" si="6"/>
        <v/>
      </c>
      <c r="I25" s="19" t="str">
        <f t="shared" si="7"/>
        <v/>
      </c>
      <c r="J25" s="42"/>
      <c r="K25" s="42"/>
    </row>
    <row r="26" spans="1:11" ht="15.6">
      <c r="A26" s="28" t="str">
        <v xml:space="preserve"> Lafayette - Bank of America</v>
      </c>
      <c r="B26" s="29" t="str">
        <v>CO</v>
      </c>
      <c r="C26" s="24"/>
      <c r="D26" s="13"/>
      <c r="E26" s="13" t="str">
        <f t="shared" si="4"/>
        <v/>
      </c>
      <c r="F26" s="14" t="str">
        <f t="shared" si="5"/>
        <v/>
      </c>
      <c r="G26" s="15"/>
      <c r="H26" s="15" t="str">
        <f t="shared" si="6"/>
        <v/>
      </c>
      <c r="I26" s="16" t="str">
        <f t="shared" si="7"/>
        <v/>
      </c>
      <c r="J26" s="41"/>
      <c r="K26" s="41"/>
    </row>
    <row r="27" spans="1:11" ht="15.6">
      <c r="A27" s="30" t="str">
        <v xml:space="preserve"> Lakewood - Bank of America</v>
      </c>
      <c r="B27" s="31" t="str">
        <v>CO</v>
      </c>
      <c r="C27" s="11"/>
      <c r="D27" s="18"/>
      <c r="E27" s="18" t="str">
        <f t="shared" si="4"/>
        <v/>
      </c>
      <c r="F27" s="19" t="str">
        <f t="shared" si="5"/>
        <v/>
      </c>
      <c r="G27" s="20"/>
      <c r="H27" s="20" t="str">
        <f t="shared" si="6"/>
        <v/>
      </c>
      <c r="I27" s="19" t="str">
        <f t="shared" si="7"/>
        <v/>
      </c>
      <c r="J27" s="42"/>
      <c r="K27" s="43"/>
    </row>
    <row r="28" spans="1:11" ht="15.6">
      <c r="A28" s="28" t="str">
        <v xml:space="preserve"> Longmont - Bank of America</v>
      </c>
      <c r="B28" s="29" t="str">
        <v>CO</v>
      </c>
      <c r="C28" s="24"/>
      <c r="D28" s="13"/>
      <c r="E28" s="13" t="str">
        <f t="shared" si="4"/>
        <v/>
      </c>
      <c r="F28" s="14" t="str">
        <f t="shared" si="5"/>
        <v/>
      </c>
      <c r="G28" s="15"/>
      <c r="H28" s="15" t="str">
        <f t="shared" si="6"/>
        <v/>
      </c>
      <c r="I28" s="16" t="str">
        <f t="shared" si="7"/>
        <v/>
      </c>
      <c r="J28" s="41"/>
      <c r="K28" s="41"/>
    </row>
    <row r="29" spans="1:11" ht="15.6">
      <c r="A29" s="30" t="str">
        <v xml:space="preserve"> Thornton - Bank of America</v>
      </c>
      <c r="B29" s="31" t="str">
        <v>CO</v>
      </c>
      <c r="C29" s="11"/>
      <c r="D29" s="18"/>
      <c r="E29" s="18" t="str">
        <f t="shared" si="4"/>
        <v/>
      </c>
      <c r="F29" s="19" t="str">
        <f t="shared" si="5"/>
        <v/>
      </c>
      <c r="G29" s="20"/>
      <c r="H29" s="20" t="str">
        <f t="shared" si="6"/>
        <v/>
      </c>
      <c r="I29" s="19" t="str">
        <f t="shared" si="7"/>
        <v/>
      </c>
      <c r="J29" s="42"/>
      <c r="K29" s="43"/>
    </row>
    <row r="30" spans="1:11" ht="15.6">
      <c r="A30" s="28" t="str">
        <v xml:space="preserve"> Calumet City - Bank of America</v>
      </c>
      <c r="B30" s="29" t="str">
        <v>IL</v>
      </c>
      <c r="C30" s="24"/>
      <c r="D30" s="13"/>
      <c r="E30" s="13" t="str">
        <f t="shared" si="4"/>
        <v/>
      </c>
      <c r="F30" s="14" t="str">
        <f t="shared" si="5"/>
        <v/>
      </c>
      <c r="G30" s="15"/>
      <c r="H30" s="15" t="str">
        <f t="shared" si="6"/>
        <v/>
      </c>
      <c r="I30" s="16" t="str">
        <f t="shared" si="7"/>
        <v/>
      </c>
      <c r="J30" s="41"/>
      <c r="K30" s="41"/>
    </row>
    <row r="31" spans="1:11" ht="15.6">
      <c r="A31" s="30" t="str">
        <v xml:space="preserve"> Downers Grove - Bank of America</v>
      </c>
      <c r="B31" s="31" t="str">
        <v>IL</v>
      </c>
      <c r="C31" s="11"/>
      <c r="D31" s="18"/>
      <c r="E31" s="18" t="str">
        <f t="shared" si="4"/>
        <v/>
      </c>
      <c r="F31" s="19" t="str">
        <f t="shared" si="5"/>
        <v/>
      </c>
      <c r="G31" s="20"/>
      <c r="H31" s="20" t="str">
        <f t="shared" si="6"/>
        <v/>
      </c>
      <c r="I31" s="19" t="str">
        <f t="shared" si="7"/>
        <v/>
      </c>
      <c r="J31" s="42"/>
      <c r="K31" s="43"/>
    </row>
    <row r="32" spans="1:11" ht="15.6">
      <c r="A32" s="28" t="str">
        <v xml:space="preserve"> Bloomington - Bank of America</v>
      </c>
      <c r="B32" s="29" t="str">
        <v>MN</v>
      </c>
      <c r="C32" s="24"/>
      <c r="D32" s="13"/>
      <c r="E32" s="13" t="str">
        <f t="shared" si="4"/>
        <v/>
      </c>
      <c r="F32" s="14" t="str">
        <f t="shared" si="5"/>
        <v/>
      </c>
      <c r="G32" s="15"/>
      <c r="H32" s="15" t="str">
        <f t="shared" si="6"/>
        <v/>
      </c>
      <c r="I32" s="16" t="str">
        <f t="shared" si="7"/>
        <v/>
      </c>
      <c r="J32" s="41"/>
      <c r="K32" s="41"/>
    </row>
    <row r="33" spans="1:11" ht="15.6">
      <c r="A33" s="30" t="str">
        <v xml:space="preserve"> Clayton - Bank of America</v>
      </c>
      <c r="B33" s="31" t="str">
        <v>MO</v>
      </c>
      <c r="C33" s="11"/>
      <c r="D33" s="18"/>
      <c r="E33" s="18" t="str">
        <f t="shared" si="4"/>
        <v/>
      </c>
      <c r="F33" s="19" t="str">
        <f t="shared" si="5"/>
        <v/>
      </c>
      <c r="G33" s="20"/>
      <c r="H33" s="20" t="str">
        <f t="shared" si="6"/>
        <v/>
      </c>
      <c r="I33" s="19" t="str">
        <f t="shared" si="7"/>
        <v/>
      </c>
      <c r="J33" s="42"/>
      <c r="K33" s="42"/>
    </row>
    <row r="34" spans="1:11" ht="15.6">
      <c r="A34" s="28" t="str">
        <v xml:space="preserve"> Manchester - Bank of America</v>
      </c>
      <c r="B34" s="29" t="str">
        <v>MO</v>
      </c>
      <c r="C34" s="24"/>
      <c r="D34" s="13"/>
      <c r="E34" s="13" t="str">
        <f t="shared" si="4"/>
        <v/>
      </c>
      <c r="F34" s="14" t="str">
        <f t="shared" si="5"/>
        <v/>
      </c>
      <c r="G34" s="15"/>
      <c r="H34" s="15" t="str">
        <f t="shared" si="6"/>
        <v/>
      </c>
      <c r="I34" s="16" t="str">
        <f t="shared" si="7"/>
        <v/>
      </c>
      <c r="J34" s="41"/>
      <c r="K34" s="41"/>
    </row>
    <row r="35" spans="1:11" ht="15.6">
      <c r="A35" s="30" t="str">
        <v xml:space="preserve"> Las Vegas - BA - Eastern Ave</v>
      </c>
      <c r="B35" s="31" t="str">
        <v>NV</v>
      </c>
      <c r="C35" s="11"/>
      <c r="D35" s="18"/>
      <c r="E35" s="18" t="str">
        <f t="shared" si="4"/>
        <v/>
      </c>
      <c r="F35" s="19" t="str">
        <f t="shared" si="5"/>
        <v/>
      </c>
      <c r="G35" s="20"/>
      <c r="H35" s="20" t="str">
        <f t="shared" si="6"/>
        <v/>
      </c>
      <c r="I35" s="19" t="str">
        <f t="shared" si="7"/>
        <v/>
      </c>
      <c r="J35" s="42"/>
      <c r="K35" s="43"/>
    </row>
    <row r="36" spans="1:11" ht="15.6">
      <c r="A36" s="28" t="str">
        <v xml:space="preserve"> Las Vegas - BA - Town Ctr Dr</v>
      </c>
      <c r="B36" s="29" t="str">
        <v>NV</v>
      </c>
      <c r="C36" s="24"/>
      <c r="D36" s="13"/>
      <c r="E36" s="13" t="str">
        <f t="shared" si="4"/>
        <v/>
      </c>
      <c r="F36" s="14" t="str">
        <f t="shared" si="5"/>
        <v/>
      </c>
      <c r="G36" s="15"/>
      <c r="H36" s="15" t="str">
        <f t="shared" si="6"/>
        <v/>
      </c>
      <c r="I36" s="16" t="str">
        <f t="shared" si="7"/>
        <v/>
      </c>
      <c r="J36" s="41"/>
      <c r="K36" s="41"/>
    </row>
    <row r="37" spans="1:11" ht="15.6">
      <c r="A37" s="30" t="str">
        <v xml:space="preserve"> Riverton - Bank of America</v>
      </c>
      <c r="B37" s="31" t="str">
        <v>UT</v>
      </c>
      <c r="C37" s="11"/>
      <c r="D37" s="18"/>
      <c r="E37" s="18" t="str">
        <f t="shared" si="4"/>
        <v/>
      </c>
      <c r="F37" s="19" t="str">
        <f t="shared" si="5"/>
        <v/>
      </c>
      <c r="G37" s="20"/>
      <c r="H37" s="20" t="str">
        <f t="shared" si="6"/>
        <v/>
      </c>
      <c r="I37" s="19" t="str">
        <f t="shared" si="7"/>
        <v/>
      </c>
      <c r="J37" s="42"/>
      <c r="K37" s="43"/>
    </row>
    <row r="38" spans="1:11" ht="15.6">
      <c r="A38" s="28" t="str">
        <v xml:space="preserve"> Salt Lake City - Bank of America</v>
      </c>
      <c r="B38" s="29" t="str">
        <v>UT</v>
      </c>
      <c r="C38" s="24"/>
      <c r="D38" s="13"/>
      <c r="E38" s="13" t="str">
        <f t="shared" si="4"/>
        <v/>
      </c>
      <c r="F38" s="14" t="str">
        <f t="shared" si="5"/>
        <v/>
      </c>
      <c r="G38" s="15"/>
      <c r="H38" s="15" t="str">
        <f t="shared" si="6"/>
        <v/>
      </c>
      <c r="I38" s="16" t="str">
        <f t="shared" si="7"/>
        <v/>
      </c>
      <c r="J38" s="41"/>
      <c r="K38" s="41"/>
    </row>
    <row r="39" spans="1:11" ht="14.45">
      <c r="A39" s="21"/>
      <c r="B39" s="33"/>
      <c r="C39" s="21"/>
      <c r="D39" s="21"/>
      <c r="E39" s="21"/>
      <c r="F39" s="22"/>
      <c r="G39" s="20">
        <v>0</v>
      </c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conditionalFormatting sqref="F4:F100 I4:I100">
    <cfRule type="cellIs" dxfId="14" priority="1" stopIfTrue="1" operator="lessThanOrEqual">
      <formula>-0.1</formula>
    </cfRule>
    <cfRule type="expression" dxfId="1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2"/>
  <sheetViews>
    <sheetView zoomScale="90" zoomScaleNormal="90" workbookViewId="0">
      <pane xSplit="2" ySplit="3" topLeftCell="C4" activePane="bottomRight" state="frozen"/>
      <selection pane="bottomRight" activeCell="I6" sqref="I6"/>
      <selection pane="bottomLeft" activeCell="P19" sqref="P19:P20"/>
      <selection pane="topRight" activeCell="P19" sqref="P19:P2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4" t="str" cm="1">
        <f t="array" ref="A1">portfolio</f>
        <v>Cushman &amp; Wakefield</v>
      </c>
      <c r="B1" s="74"/>
      <c r="C1" s="74"/>
      <c r="D1" s="75" t="s">
        <v>112</v>
      </c>
      <c r="E1" s="75"/>
      <c r="F1" s="75"/>
      <c r="G1" s="73" t="s">
        <v>113</v>
      </c>
      <c r="H1" s="73"/>
      <c r="I1" s="73"/>
      <c r="J1" s="4"/>
      <c r="K1" s="4"/>
    </row>
    <row r="2" spans="1:11" ht="19.5" customHeight="1">
      <c r="A2" s="76" t="s">
        <v>2</v>
      </c>
      <c r="B2" s="76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/>
      <c r="D4" s="13"/>
      <c r="E4" s="13" t="str">
        <f>IF(AND(ISNUMBER(C4),ISNUMBER(D4)), C4-D4, "")</f>
        <v/>
      </c>
      <c r="F4" s="14" t="str">
        <f>IFERROR(E4/D4, "")</f>
        <v/>
      </c>
      <c r="G4" s="15"/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 xml:space="preserve"> Apple Valley - Bank of America</v>
      </c>
      <c r="B5" s="31" t="str">
        <v>CA</v>
      </c>
      <c r="C5" s="11"/>
      <c r="D5" s="18"/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6">
      <c r="A6" s="28" t="str">
        <v xml:space="preserve"> Arvin - Bank of America</v>
      </c>
      <c r="B6" s="29" t="str">
        <v>CA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 xml:space="preserve"> Bell - Bank of America</v>
      </c>
      <c r="B7" s="31" t="str">
        <v>CA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42"/>
      <c r="K7" s="42"/>
    </row>
    <row r="8" spans="1:11" ht="15.6">
      <c r="A8" s="28" t="str">
        <v xml:space="preserve"> Chula Vista - Bank of America</v>
      </c>
      <c r="B8" s="29" t="str">
        <v>CA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6">
      <c r="A9" s="30" t="str">
        <v xml:space="preserve"> Cupertino - Bank of America</v>
      </c>
      <c r="B9" s="31" t="str">
        <v>CA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42"/>
      <c r="K9" s="43"/>
    </row>
    <row r="10" spans="1:11" ht="15.6">
      <c r="A10" s="28" t="str">
        <v xml:space="preserve"> Diamond Bar - Bank of America</v>
      </c>
      <c r="B10" s="29" t="str">
        <v>CA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41"/>
      <c r="K10" s="41"/>
    </row>
    <row r="11" spans="1:11" ht="15.6">
      <c r="A11" s="30" t="str">
        <v xml:space="preserve"> El Centro - Bank of America</v>
      </c>
      <c r="B11" s="31" t="str">
        <v>CA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6">
      <c r="A12" s="28" t="str">
        <v xml:space="preserve"> Moreno Valley - Bank of America</v>
      </c>
      <c r="B12" s="29" t="str">
        <v>CA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6">
      <c r="A13" s="30" t="str">
        <v xml:space="preserve"> Redlands - Bank of America</v>
      </c>
      <c r="B13" s="31" t="str">
        <v>CA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6">
      <c r="A14" s="28" t="str">
        <v xml:space="preserve"> Roseville - Bank of America</v>
      </c>
      <c r="B14" s="29" t="str">
        <v>CA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6">
      <c r="A15" s="30" t="str">
        <v xml:space="preserve"> San Bernardino - Bank of America</v>
      </c>
      <c r="B15" s="31" t="str">
        <v>CA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6">
      <c r="A16" s="28" t="str">
        <v xml:space="preserve"> San Diego - Bank of America</v>
      </c>
      <c r="B16" s="29" t="str">
        <v>CA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 xml:space="preserve"> Stockton - Bank of America</v>
      </c>
      <c r="B17" s="31" t="str">
        <v>CA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42"/>
      <c r="K17" s="43"/>
    </row>
    <row r="18" spans="1:11" ht="12.75" customHeight="1">
      <c r="A18" s="28" t="str">
        <v xml:space="preserve"> Victorville - Bank of America</v>
      </c>
      <c r="B18" s="29" t="str">
        <v>CA</v>
      </c>
      <c r="C18" s="24"/>
      <c r="D18" s="13"/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15"/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</row>
    <row r="19" spans="1:11" ht="15.6">
      <c r="A19" s="30" t="str">
        <v xml:space="preserve"> Aurora - BA - Colfax Ave</v>
      </c>
      <c r="B19" s="31" t="str">
        <v>CO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6">
      <c r="A20" s="28" t="str">
        <v xml:space="preserve"> Aurora - BA - Parker Rd</v>
      </c>
      <c r="B20" s="29" t="str">
        <v>CO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6">
      <c r="A21" s="30" t="str">
        <v xml:space="preserve"> Broomfield - Bank of America</v>
      </c>
      <c r="B21" s="31" t="str">
        <v>CO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5.6">
      <c r="A22" s="28" t="str">
        <v xml:space="preserve"> Colorado Springs - Bank of America</v>
      </c>
      <c r="B22" s="29" t="str">
        <v>CO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</row>
    <row r="23" spans="1:11" ht="15.6">
      <c r="A23" s="30" t="str">
        <v xml:space="preserve"> Denver - BA - 49th Ave</v>
      </c>
      <c r="B23" s="31" t="str">
        <v>CO</v>
      </c>
      <c r="C23" s="11"/>
      <c r="D23" s="18"/>
      <c r="E23" s="18" t="str">
        <f t="shared" si="4"/>
        <v/>
      </c>
      <c r="F23" s="19" t="str">
        <f t="shared" si="5"/>
        <v/>
      </c>
      <c r="G23" s="20"/>
      <c r="H23" s="20" t="str">
        <f t="shared" si="6"/>
        <v/>
      </c>
      <c r="I23" s="19" t="str">
        <f t="shared" si="7"/>
        <v/>
      </c>
      <c r="J23" s="42"/>
      <c r="K23" s="43"/>
    </row>
    <row r="24" spans="1:11" ht="15.6">
      <c r="A24" s="28" t="str">
        <v xml:space="preserve"> Denver - BA Wadsworth Blvd</v>
      </c>
      <c r="B24" s="29" t="str">
        <v>CO</v>
      </c>
      <c r="C24" s="24"/>
      <c r="D24" s="13"/>
      <c r="E24" s="13" t="str">
        <f t="shared" si="4"/>
        <v/>
      </c>
      <c r="F24" s="14" t="str">
        <f t="shared" si="5"/>
        <v/>
      </c>
      <c r="G24" s="15"/>
      <c r="H24" s="15" t="str">
        <f t="shared" si="6"/>
        <v/>
      </c>
      <c r="I24" s="16" t="str">
        <f t="shared" si="7"/>
        <v/>
      </c>
      <c r="J24" s="41"/>
      <c r="K24" s="41"/>
    </row>
    <row r="25" spans="1:11" ht="15.6">
      <c r="A25" s="30" t="str">
        <v xml:space="preserve"> Fort Collins - Bank of America</v>
      </c>
      <c r="B25" s="31" t="str">
        <v>CO</v>
      </c>
      <c r="C25" s="11"/>
      <c r="D25" s="18"/>
      <c r="E25" s="18" t="str">
        <f t="shared" si="4"/>
        <v/>
      </c>
      <c r="F25" s="19" t="str">
        <f t="shared" si="5"/>
        <v/>
      </c>
      <c r="G25" s="20"/>
      <c r="H25" s="20" t="str">
        <f t="shared" si="6"/>
        <v/>
      </c>
      <c r="I25" s="19" t="str">
        <f t="shared" si="7"/>
        <v/>
      </c>
      <c r="J25" s="42"/>
      <c r="K25" s="42"/>
    </row>
    <row r="26" spans="1:11" ht="15.6">
      <c r="A26" s="28" t="str">
        <v xml:space="preserve"> Lafayette - Bank of America</v>
      </c>
      <c r="B26" s="29" t="str">
        <v>CO</v>
      </c>
      <c r="C26" s="24"/>
      <c r="D26" s="13"/>
      <c r="E26" s="13" t="str">
        <f t="shared" si="4"/>
        <v/>
      </c>
      <c r="F26" s="14" t="str">
        <f t="shared" si="5"/>
        <v/>
      </c>
      <c r="G26" s="15"/>
      <c r="H26" s="15" t="str">
        <f t="shared" si="6"/>
        <v/>
      </c>
      <c r="I26" s="16" t="str">
        <f t="shared" si="7"/>
        <v/>
      </c>
      <c r="J26" s="41"/>
      <c r="K26" s="41"/>
    </row>
    <row r="27" spans="1:11" ht="15.6">
      <c r="A27" s="30" t="str">
        <v xml:space="preserve"> Lakewood - Bank of America</v>
      </c>
      <c r="B27" s="31" t="str">
        <v>CO</v>
      </c>
      <c r="C27" s="11"/>
      <c r="D27" s="18"/>
      <c r="E27" s="18" t="str">
        <f t="shared" si="4"/>
        <v/>
      </c>
      <c r="F27" s="19" t="str">
        <f t="shared" si="5"/>
        <v/>
      </c>
      <c r="G27" s="20"/>
      <c r="H27" s="20" t="str">
        <f t="shared" si="6"/>
        <v/>
      </c>
      <c r="I27" s="19" t="str">
        <f t="shared" si="7"/>
        <v/>
      </c>
      <c r="J27" s="42"/>
      <c r="K27" s="43"/>
    </row>
    <row r="28" spans="1:11" ht="15.6">
      <c r="A28" s="28" t="str">
        <v xml:space="preserve"> Longmont - Bank of America</v>
      </c>
      <c r="B28" s="29" t="str">
        <v>CO</v>
      </c>
      <c r="C28" s="24"/>
      <c r="D28" s="13"/>
      <c r="E28" s="13" t="str">
        <f t="shared" si="4"/>
        <v/>
      </c>
      <c r="F28" s="14" t="str">
        <f t="shared" si="5"/>
        <v/>
      </c>
      <c r="G28" s="15"/>
      <c r="H28" s="15" t="str">
        <f t="shared" si="6"/>
        <v/>
      </c>
      <c r="I28" s="16" t="str">
        <f t="shared" si="7"/>
        <v/>
      </c>
      <c r="J28" s="41"/>
      <c r="K28" s="41"/>
    </row>
    <row r="29" spans="1:11" ht="15.6">
      <c r="A29" s="30" t="str">
        <v xml:space="preserve"> Thornton - Bank of America</v>
      </c>
      <c r="B29" s="31" t="str">
        <v>CO</v>
      </c>
      <c r="C29" s="11"/>
      <c r="D29" s="18"/>
      <c r="E29" s="18" t="str">
        <f t="shared" si="4"/>
        <v/>
      </c>
      <c r="F29" s="19" t="str">
        <f t="shared" si="5"/>
        <v/>
      </c>
      <c r="G29" s="20"/>
      <c r="H29" s="20" t="str">
        <f t="shared" si="6"/>
        <v/>
      </c>
      <c r="I29" s="19" t="str">
        <f t="shared" si="7"/>
        <v/>
      </c>
      <c r="J29" s="42"/>
      <c r="K29" s="43"/>
    </row>
    <row r="30" spans="1:11" ht="15.6">
      <c r="A30" s="28" t="str">
        <v xml:space="preserve"> Calumet City - Bank of America</v>
      </c>
      <c r="B30" s="29" t="str">
        <v>IL</v>
      </c>
      <c r="C30" s="24"/>
      <c r="D30" s="13"/>
      <c r="E30" s="13" t="str">
        <f t="shared" si="4"/>
        <v/>
      </c>
      <c r="F30" s="14" t="str">
        <f t="shared" si="5"/>
        <v/>
      </c>
      <c r="G30" s="15"/>
      <c r="H30" s="15" t="str">
        <f t="shared" si="6"/>
        <v/>
      </c>
      <c r="I30" s="16" t="str">
        <f t="shared" si="7"/>
        <v/>
      </c>
      <c r="J30" s="41"/>
      <c r="K30" s="41"/>
    </row>
    <row r="31" spans="1:11" ht="15.6">
      <c r="A31" s="30" t="str">
        <v xml:space="preserve"> Downers Grove - Bank of America</v>
      </c>
      <c r="B31" s="31" t="str">
        <v>IL</v>
      </c>
      <c r="C31" s="11"/>
      <c r="D31" s="18"/>
      <c r="E31" s="18" t="str">
        <f t="shared" si="4"/>
        <v/>
      </c>
      <c r="F31" s="19" t="str">
        <f t="shared" si="5"/>
        <v/>
      </c>
      <c r="G31" s="20"/>
      <c r="H31" s="20" t="str">
        <f t="shared" si="6"/>
        <v/>
      </c>
      <c r="I31" s="19" t="str">
        <f t="shared" si="7"/>
        <v/>
      </c>
      <c r="J31" s="42"/>
      <c r="K31" s="43"/>
    </row>
    <row r="32" spans="1:11" ht="15.6">
      <c r="A32" s="28" t="str">
        <v xml:space="preserve"> Bloomington - Bank of America</v>
      </c>
      <c r="B32" s="29" t="str">
        <v>MN</v>
      </c>
      <c r="C32" s="24"/>
      <c r="D32" s="13"/>
      <c r="E32" s="13" t="str">
        <f t="shared" si="4"/>
        <v/>
      </c>
      <c r="F32" s="14" t="str">
        <f t="shared" si="5"/>
        <v/>
      </c>
      <c r="G32" s="15"/>
      <c r="H32" s="15" t="str">
        <f t="shared" si="6"/>
        <v/>
      </c>
      <c r="I32" s="16" t="str">
        <f t="shared" si="7"/>
        <v/>
      </c>
      <c r="J32" s="41"/>
      <c r="K32" s="41"/>
    </row>
    <row r="33" spans="1:11" ht="15.6">
      <c r="A33" s="30" t="str">
        <v xml:space="preserve"> Clayton - Bank of America</v>
      </c>
      <c r="B33" s="31" t="str">
        <v>MO</v>
      </c>
      <c r="C33" s="11"/>
      <c r="D33" s="18"/>
      <c r="E33" s="18" t="str">
        <f t="shared" si="4"/>
        <v/>
      </c>
      <c r="F33" s="19" t="str">
        <f t="shared" si="5"/>
        <v/>
      </c>
      <c r="G33" s="20"/>
      <c r="H33" s="20" t="str">
        <f t="shared" si="6"/>
        <v/>
      </c>
      <c r="I33" s="19" t="str">
        <f t="shared" si="7"/>
        <v/>
      </c>
      <c r="J33" s="42"/>
      <c r="K33" s="42"/>
    </row>
    <row r="34" spans="1:11" ht="15.6">
      <c r="A34" s="28" t="str">
        <v xml:space="preserve"> Manchester - Bank of America</v>
      </c>
      <c r="B34" s="29" t="str">
        <v>MO</v>
      </c>
      <c r="C34" s="24"/>
      <c r="D34" s="13"/>
      <c r="E34" s="13" t="str">
        <f t="shared" si="4"/>
        <v/>
      </c>
      <c r="F34" s="14" t="str">
        <f t="shared" si="5"/>
        <v/>
      </c>
      <c r="G34" s="15"/>
      <c r="H34" s="15" t="str">
        <f t="shared" si="6"/>
        <v/>
      </c>
      <c r="I34" s="16" t="str">
        <f t="shared" si="7"/>
        <v/>
      </c>
      <c r="J34" s="41"/>
      <c r="K34" s="41"/>
    </row>
    <row r="35" spans="1:11" ht="15.6">
      <c r="A35" s="30" t="str">
        <v xml:space="preserve"> Las Vegas - BA - Eastern Ave</v>
      </c>
      <c r="B35" s="31" t="str">
        <v>NV</v>
      </c>
      <c r="C35" s="11"/>
      <c r="D35" s="18"/>
      <c r="E35" s="18" t="str">
        <f t="shared" si="4"/>
        <v/>
      </c>
      <c r="F35" s="19" t="str">
        <f t="shared" si="5"/>
        <v/>
      </c>
      <c r="G35" s="20"/>
      <c r="H35" s="20" t="str">
        <f t="shared" si="6"/>
        <v/>
      </c>
      <c r="I35" s="19" t="str">
        <f t="shared" si="7"/>
        <v/>
      </c>
      <c r="J35" s="42"/>
      <c r="K35" s="43"/>
    </row>
    <row r="36" spans="1:11" ht="15.6">
      <c r="A36" s="28" t="str">
        <v xml:space="preserve"> Las Vegas - BA - Town Ctr Dr</v>
      </c>
      <c r="B36" s="29" t="str">
        <v>NV</v>
      </c>
      <c r="C36" s="24"/>
      <c r="D36" s="13"/>
      <c r="E36" s="13" t="str">
        <f t="shared" si="4"/>
        <v/>
      </c>
      <c r="F36" s="14" t="str">
        <f t="shared" si="5"/>
        <v/>
      </c>
      <c r="G36" s="15"/>
      <c r="H36" s="15" t="str">
        <f t="shared" si="6"/>
        <v/>
      </c>
      <c r="I36" s="16" t="str">
        <f t="shared" si="7"/>
        <v/>
      </c>
      <c r="J36" s="41"/>
      <c r="K36" s="41"/>
    </row>
    <row r="37" spans="1:11" ht="15.6">
      <c r="A37" s="30" t="str">
        <v xml:space="preserve"> Riverton - Bank of America</v>
      </c>
      <c r="B37" s="31" t="str">
        <v>UT</v>
      </c>
      <c r="C37" s="11"/>
      <c r="D37" s="18"/>
      <c r="E37" s="18" t="str">
        <f t="shared" si="4"/>
        <v/>
      </c>
      <c r="F37" s="19" t="str">
        <f t="shared" si="5"/>
        <v/>
      </c>
      <c r="G37" s="20"/>
      <c r="H37" s="20" t="str">
        <f t="shared" si="6"/>
        <v/>
      </c>
      <c r="I37" s="19" t="str">
        <f t="shared" si="7"/>
        <v/>
      </c>
      <c r="J37" s="42"/>
      <c r="K37" s="43"/>
    </row>
    <row r="38" spans="1:11" ht="15.6">
      <c r="A38" s="28" t="str">
        <v xml:space="preserve"> Salt Lake City - Bank of America</v>
      </c>
      <c r="B38" s="29" t="str">
        <v>UT</v>
      </c>
      <c r="C38" s="24"/>
      <c r="D38" s="13"/>
      <c r="E38" s="13" t="str">
        <f t="shared" si="4"/>
        <v/>
      </c>
      <c r="F38" s="14" t="str">
        <f t="shared" si="5"/>
        <v/>
      </c>
      <c r="G38" s="15"/>
      <c r="H38" s="15" t="str">
        <f t="shared" si="6"/>
        <v/>
      </c>
      <c r="I38" s="16" t="str">
        <f t="shared" si="7"/>
        <v/>
      </c>
      <c r="J38" s="41"/>
      <c r="K38" s="4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conditionalFormatting sqref="F4:F100 I4:I100">
    <cfRule type="cellIs" dxfId="10" priority="1" stopIfTrue="1" operator="lessThanOrEqual">
      <formula>-0.1</formula>
    </cfRule>
    <cfRule type="expression" dxfId="9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2"/>
  <sheetViews>
    <sheetView zoomScale="70" zoomScaleNormal="70" workbookViewId="0">
      <pane xSplit="2" ySplit="3" topLeftCell="P4" activePane="bottomRight" state="frozen"/>
      <selection pane="bottomRight" activeCell="P19" sqref="P19:P20"/>
      <selection pane="bottomLeft" activeCell="P19" sqref="P19:P20"/>
      <selection pane="topRight" activeCell="P19" sqref="P19:P20"/>
    </sheetView>
  </sheetViews>
  <sheetFormatPr defaultRowHeight="13.9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74" t="str" cm="1">
        <f t="array" ref="A1">portfolio</f>
        <v>Cushman &amp; Wakefield</v>
      </c>
      <c r="B1" s="74"/>
      <c r="C1" s="74"/>
      <c r="D1" s="75" t="s">
        <v>114</v>
      </c>
      <c r="E1" s="75"/>
      <c r="F1" s="75"/>
      <c r="G1" s="73" t="s">
        <v>115</v>
      </c>
      <c r="H1" s="73"/>
      <c r="I1" s="73"/>
      <c r="J1" s="4"/>
      <c r="K1" s="4"/>
    </row>
    <row r="2" spans="1:11" ht="19.5" customHeight="1">
      <c r="A2" s="76" t="s">
        <v>2</v>
      </c>
      <c r="B2" s="76"/>
      <c r="C2" s="5">
        <f>SUM(C4:C100)</f>
        <v>0</v>
      </c>
      <c r="D2" s="5">
        <f>SUM(D4:D100)</f>
        <v>0</v>
      </c>
      <c r="E2" s="5">
        <f>C2-D2</f>
        <v>0</v>
      </c>
      <c r="F2" s="6">
        <f>IFERROR(E2/D2, 0)</f>
        <v>0</v>
      </c>
      <c r="G2" s="5">
        <f>SUM(G4:G100)</f>
        <v>0</v>
      </c>
      <c r="H2" s="7">
        <f>C2-G2</f>
        <v>0</v>
      </c>
      <c r="I2" s="6">
        <f>IFERROR(H2/G2, 0)</f>
        <v>0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6">
      <c r="A4" s="32" t="str" cm="1">
        <f t="array" ref="A4:A38">Sites[Site]</f>
        <v xml:space="preserve"> Adelanto - Bank of America</v>
      </c>
      <c r="B4" s="29" t="str" cm="1">
        <f t="array" ref="B4:B38">Sites[State]</f>
        <v>CA</v>
      </c>
      <c r="C4" s="24"/>
      <c r="D4" s="13">
        <v>0</v>
      </c>
      <c r="E4" s="13" t="str">
        <f>IF(AND(ISNUMBER(C4),ISNUMBER(D4)), C4-D4, "")</f>
        <v/>
      </c>
      <c r="F4" s="14" t="str">
        <f>IFERROR(E4/D4, "")</f>
        <v/>
      </c>
      <c r="G4" s="15">
        <v>0</v>
      </c>
      <c r="H4" s="15" t="str">
        <f>IF(AND(ISNUMBER(C4),ISNUMBER(G4)), C4-G4, "")</f>
        <v/>
      </c>
      <c r="I4" s="16" t="str">
        <f>IFERROR(H4/G4, "")</f>
        <v/>
      </c>
      <c r="J4" s="41"/>
      <c r="K4" s="41"/>
    </row>
    <row r="5" spans="1:11" ht="15.6">
      <c r="A5" s="30" t="str">
        <v xml:space="preserve"> Apple Valley - Bank of America</v>
      </c>
      <c r="B5" s="31" t="str">
        <v>CA</v>
      </c>
      <c r="C5" s="11"/>
      <c r="D5" s="18">
        <v>0</v>
      </c>
      <c r="E5" s="18" t="str">
        <f t="shared" ref="E5:E17" si="0">IF(AND(ISNUMBER(C5),ISNUMBER(D5)), C5-D5, "")</f>
        <v/>
      </c>
      <c r="F5" s="19" t="str">
        <f>IFERROR(E5/D5, "")</f>
        <v/>
      </c>
      <c r="G5" s="20"/>
      <c r="H5" s="20" t="str">
        <f t="shared" ref="H5:H17" si="1">IF(AND(ISNUMBER(C5),ISNUMBER(G5)), C5-G5, "")</f>
        <v/>
      </c>
      <c r="I5" s="19" t="str">
        <f t="shared" ref="I5:I17" si="2">IFERROR(H5/G5, "")</f>
        <v/>
      </c>
      <c r="J5" s="42"/>
      <c r="K5" s="42"/>
    </row>
    <row r="6" spans="1:11" ht="15.6">
      <c r="A6" s="28" t="str">
        <v xml:space="preserve"> Arvin - Bank of America</v>
      </c>
      <c r="B6" s="29" t="str">
        <v>CA</v>
      </c>
      <c r="C6" s="24"/>
      <c r="D6" s="13"/>
      <c r="E6" s="13" t="str">
        <f t="shared" si="0"/>
        <v/>
      </c>
      <c r="F6" s="14" t="str">
        <f t="shared" ref="F6:F17" si="3">IFERROR(E6/D6, "")</f>
        <v/>
      </c>
      <c r="G6" s="15"/>
      <c r="H6" s="15" t="str">
        <f t="shared" si="1"/>
        <v/>
      </c>
      <c r="I6" s="16" t="str">
        <f t="shared" si="2"/>
        <v/>
      </c>
      <c r="J6" s="41"/>
      <c r="K6" s="41"/>
    </row>
    <row r="7" spans="1:11" ht="15.6">
      <c r="A7" s="30" t="str">
        <v xml:space="preserve"> Bell - Bank of America</v>
      </c>
      <c r="B7" s="31" t="str">
        <v>CA</v>
      </c>
      <c r="C7" s="11"/>
      <c r="D7" s="18"/>
      <c r="E7" s="18" t="str">
        <f t="shared" si="0"/>
        <v/>
      </c>
      <c r="F7" s="19" t="str">
        <f t="shared" si="3"/>
        <v/>
      </c>
      <c r="G7" s="20"/>
      <c r="H7" s="20" t="str">
        <f t="shared" si="1"/>
        <v/>
      </c>
      <c r="I7" s="19" t="str">
        <f t="shared" si="2"/>
        <v/>
      </c>
      <c r="J7" s="60"/>
      <c r="K7" s="60"/>
    </row>
    <row r="8" spans="1:11" ht="15.6">
      <c r="A8" s="28" t="str">
        <v xml:space="preserve"> Chula Vista - Bank of America</v>
      </c>
      <c r="B8" s="29" t="str">
        <v>CA</v>
      </c>
      <c r="C8" s="24"/>
      <c r="D8" s="13"/>
      <c r="E8" s="13" t="str">
        <f t="shared" si="0"/>
        <v/>
      </c>
      <c r="F8" s="14" t="str">
        <f t="shared" si="3"/>
        <v/>
      </c>
      <c r="G8" s="15"/>
      <c r="H8" s="15" t="str">
        <f t="shared" si="1"/>
        <v/>
      </c>
      <c r="I8" s="16" t="str">
        <f t="shared" si="2"/>
        <v/>
      </c>
      <c r="J8" s="41"/>
      <c r="K8" s="41"/>
    </row>
    <row r="9" spans="1:11" ht="15.6">
      <c r="A9" s="30" t="str">
        <v xml:space="preserve"> Cupertino - Bank of America</v>
      </c>
      <c r="B9" s="31" t="str">
        <v>CA</v>
      </c>
      <c r="C9" s="11"/>
      <c r="D9" s="18"/>
      <c r="E9" s="18" t="str">
        <f t="shared" si="0"/>
        <v/>
      </c>
      <c r="F9" s="19" t="str">
        <f t="shared" si="3"/>
        <v/>
      </c>
      <c r="G9" s="20"/>
      <c r="H9" s="20" t="str">
        <f t="shared" si="1"/>
        <v/>
      </c>
      <c r="I9" s="19" t="str">
        <f t="shared" si="2"/>
        <v/>
      </c>
      <c r="J9" s="60"/>
      <c r="K9" s="61"/>
    </row>
    <row r="10" spans="1:11" ht="15.6">
      <c r="A10" s="28" t="str">
        <v xml:space="preserve"> Diamond Bar - Bank of America</v>
      </c>
      <c r="B10" s="29" t="str">
        <v>CA</v>
      </c>
      <c r="C10" s="24"/>
      <c r="D10" s="13"/>
      <c r="E10" s="13" t="str">
        <f t="shared" si="0"/>
        <v/>
      </c>
      <c r="F10" s="14" t="str">
        <f t="shared" si="3"/>
        <v/>
      </c>
      <c r="G10" s="15"/>
      <c r="H10" s="15" t="str">
        <f t="shared" si="1"/>
        <v/>
      </c>
      <c r="I10" s="16" t="str">
        <f t="shared" si="2"/>
        <v/>
      </c>
      <c r="J10" s="62"/>
      <c r="K10" s="62"/>
    </row>
    <row r="11" spans="1:11" ht="15.6">
      <c r="A11" s="30" t="str">
        <v xml:space="preserve"> El Centro - Bank of America</v>
      </c>
      <c r="B11" s="31" t="str">
        <v>CA</v>
      </c>
      <c r="C11" s="11"/>
      <c r="D11" s="18"/>
      <c r="E11" s="18" t="str">
        <f t="shared" si="0"/>
        <v/>
      </c>
      <c r="F11" s="19" t="str">
        <f t="shared" si="3"/>
        <v/>
      </c>
      <c r="G11" s="20"/>
      <c r="H11" s="20" t="str">
        <f t="shared" si="1"/>
        <v/>
      </c>
      <c r="I11" s="19" t="str">
        <f t="shared" si="2"/>
        <v/>
      </c>
      <c r="J11" s="42"/>
      <c r="K11" s="43"/>
    </row>
    <row r="12" spans="1:11" ht="15.6">
      <c r="A12" s="28" t="str">
        <v xml:space="preserve"> Moreno Valley - Bank of America</v>
      </c>
      <c r="B12" s="29" t="str">
        <v>CA</v>
      </c>
      <c r="C12" s="24"/>
      <c r="D12" s="13"/>
      <c r="E12" s="13" t="str">
        <f t="shared" si="0"/>
        <v/>
      </c>
      <c r="F12" s="14" t="str">
        <f t="shared" si="3"/>
        <v/>
      </c>
      <c r="G12" s="15"/>
      <c r="H12" s="15" t="str">
        <f t="shared" si="1"/>
        <v/>
      </c>
      <c r="I12" s="16" t="str">
        <f t="shared" si="2"/>
        <v/>
      </c>
      <c r="J12" s="41"/>
      <c r="K12" s="41"/>
    </row>
    <row r="13" spans="1:11" ht="15.6">
      <c r="A13" s="30" t="str">
        <v xml:space="preserve"> Redlands - Bank of America</v>
      </c>
      <c r="B13" s="31" t="str">
        <v>CA</v>
      </c>
      <c r="C13" s="11"/>
      <c r="D13" s="18"/>
      <c r="E13" s="18" t="str">
        <f t="shared" si="0"/>
        <v/>
      </c>
      <c r="F13" s="19" t="str">
        <f t="shared" si="3"/>
        <v/>
      </c>
      <c r="G13" s="20"/>
      <c r="H13" s="20" t="str">
        <f t="shared" si="1"/>
        <v/>
      </c>
      <c r="I13" s="19" t="str">
        <f t="shared" si="2"/>
        <v/>
      </c>
      <c r="J13" s="42"/>
      <c r="K13" s="43"/>
    </row>
    <row r="14" spans="1:11" ht="15.6">
      <c r="A14" s="28" t="str">
        <v xml:space="preserve"> Roseville - Bank of America</v>
      </c>
      <c r="B14" s="29" t="str">
        <v>CA</v>
      </c>
      <c r="C14" s="24"/>
      <c r="D14" s="13"/>
      <c r="E14" s="13" t="str">
        <f t="shared" si="0"/>
        <v/>
      </c>
      <c r="F14" s="14" t="str">
        <f t="shared" si="3"/>
        <v/>
      </c>
      <c r="G14" s="15"/>
      <c r="H14" s="15" t="str">
        <f t="shared" si="1"/>
        <v/>
      </c>
      <c r="I14" s="16" t="str">
        <f t="shared" si="2"/>
        <v/>
      </c>
      <c r="J14" s="41"/>
      <c r="K14" s="41"/>
    </row>
    <row r="15" spans="1:11" ht="15.6">
      <c r="A15" s="30" t="str">
        <v xml:space="preserve"> San Bernardino - Bank of America</v>
      </c>
      <c r="B15" s="31" t="str">
        <v>CA</v>
      </c>
      <c r="C15" s="11"/>
      <c r="D15" s="18"/>
      <c r="E15" s="18" t="str">
        <f t="shared" si="0"/>
        <v/>
      </c>
      <c r="F15" s="19" t="str">
        <f t="shared" si="3"/>
        <v/>
      </c>
      <c r="G15" s="20"/>
      <c r="H15" s="20" t="str">
        <f t="shared" si="1"/>
        <v/>
      </c>
      <c r="I15" s="19" t="str">
        <f t="shared" si="2"/>
        <v/>
      </c>
      <c r="J15" s="42"/>
      <c r="K15" s="43"/>
    </row>
    <row r="16" spans="1:11" ht="15.6">
      <c r="A16" s="28" t="str">
        <v xml:space="preserve"> San Diego - Bank of America</v>
      </c>
      <c r="B16" s="29" t="str">
        <v>CA</v>
      </c>
      <c r="C16" s="24"/>
      <c r="D16" s="13"/>
      <c r="E16" s="13" t="str">
        <f t="shared" si="0"/>
        <v/>
      </c>
      <c r="F16" s="14" t="str">
        <f t="shared" si="3"/>
        <v/>
      </c>
      <c r="G16" s="15"/>
      <c r="H16" s="15" t="str">
        <f t="shared" si="1"/>
        <v/>
      </c>
      <c r="I16" s="16" t="str">
        <f t="shared" si="2"/>
        <v/>
      </c>
      <c r="J16" s="41"/>
      <c r="K16" s="41"/>
    </row>
    <row r="17" spans="1:11" ht="15.6">
      <c r="A17" s="30" t="str">
        <v xml:space="preserve"> Stockton - Bank of America</v>
      </c>
      <c r="B17" s="31" t="str">
        <v>CA</v>
      </c>
      <c r="C17" s="11"/>
      <c r="D17" s="18"/>
      <c r="E17" s="18" t="str">
        <f t="shared" si="0"/>
        <v/>
      </c>
      <c r="F17" s="19" t="str">
        <f t="shared" si="3"/>
        <v/>
      </c>
      <c r="G17" s="20"/>
      <c r="H17" s="20" t="str">
        <f t="shared" si="1"/>
        <v/>
      </c>
      <c r="I17" s="19" t="str">
        <f t="shared" si="2"/>
        <v/>
      </c>
      <c r="J17" s="60"/>
      <c r="K17" s="60"/>
    </row>
    <row r="18" spans="1:11" ht="12.75" customHeight="1">
      <c r="A18" s="28" t="str">
        <v xml:space="preserve"> Victorville - Bank of America</v>
      </c>
      <c r="B18" s="29" t="str">
        <v>CA</v>
      </c>
      <c r="C18" s="24"/>
      <c r="D18" s="13"/>
      <c r="E18" s="13" t="str">
        <f t="shared" ref="E18:E38" si="4">IF(AND(ISNUMBER(C18),ISNUMBER(D18)), C18-D18, "")</f>
        <v/>
      </c>
      <c r="F18" s="14" t="str">
        <f t="shared" ref="F18:F38" si="5">IFERROR(E18/D18, "")</f>
        <v/>
      </c>
      <c r="G18" s="15"/>
      <c r="H18" s="15" t="str">
        <f t="shared" ref="H18:H38" si="6">IF(AND(ISNUMBER(C18),ISNUMBER(G18)), C18-G18, "")</f>
        <v/>
      </c>
      <c r="I18" s="16" t="str">
        <f t="shared" ref="I18:I38" si="7">IFERROR(H18/G18, "")</f>
        <v/>
      </c>
      <c r="J18" s="41"/>
      <c r="K18" s="41"/>
    </row>
    <row r="19" spans="1:11" ht="15.6">
      <c r="A19" s="30" t="str">
        <v xml:space="preserve"> Aurora - BA - Colfax Ave</v>
      </c>
      <c r="B19" s="31" t="str">
        <v>CO</v>
      </c>
      <c r="C19" s="11"/>
      <c r="D19" s="18"/>
      <c r="E19" s="18" t="str">
        <f t="shared" si="4"/>
        <v/>
      </c>
      <c r="F19" s="19" t="str">
        <f t="shared" si="5"/>
        <v/>
      </c>
      <c r="G19" s="20"/>
      <c r="H19" s="20" t="str">
        <f t="shared" si="6"/>
        <v/>
      </c>
      <c r="I19" s="19" t="str">
        <f t="shared" si="7"/>
        <v/>
      </c>
      <c r="J19" s="42"/>
      <c r="K19" s="43"/>
    </row>
    <row r="20" spans="1:11" ht="15.6">
      <c r="A20" s="28" t="str">
        <v xml:space="preserve"> Aurora - BA - Parker Rd</v>
      </c>
      <c r="B20" s="29" t="str">
        <v>CO</v>
      </c>
      <c r="C20" s="24"/>
      <c r="D20" s="13"/>
      <c r="E20" s="13" t="str">
        <f t="shared" si="4"/>
        <v/>
      </c>
      <c r="F20" s="14" t="str">
        <f t="shared" si="5"/>
        <v/>
      </c>
      <c r="G20" s="15"/>
      <c r="H20" s="15" t="str">
        <f t="shared" si="6"/>
        <v/>
      </c>
      <c r="I20" s="16" t="str">
        <f t="shared" si="7"/>
        <v/>
      </c>
      <c r="J20" s="41"/>
      <c r="K20" s="41"/>
    </row>
    <row r="21" spans="1:11" ht="15.6">
      <c r="A21" s="30" t="str">
        <v xml:space="preserve"> Broomfield - Bank of America</v>
      </c>
      <c r="B21" s="31" t="str">
        <v>CO</v>
      </c>
      <c r="C21" s="11"/>
      <c r="D21" s="18"/>
      <c r="E21" s="18" t="str">
        <f t="shared" si="4"/>
        <v/>
      </c>
      <c r="F21" s="19" t="str">
        <f t="shared" si="5"/>
        <v/>
      </c>
      <c r="G21" s="20"/>
      <c r="H21" s="20" t="str">
        <f t="shared" si="6"/>
        <v/>
      </c>
      <c r="I21" s="19" t="str">
        <f t="shared" si="7"/>
        <v/>
      </c>
      <c r="J21" s="42"/>
      <c r="K21" s="43"/>
    </row>
    <row r="22" spans="1:11" ht="15.6">
      <c r="A22" s="28" t="str">
        <v xml:space="preserve"> Colorado Springs - Bank of America</v>
      </c>
      <c r="B22" s="29" t="str">
        <v>CO</v>
      </c>
      <c r="C22" s="24"/>
      <c r="D22" s="13"/>
      <c r="E22" s="13" t="str">
        <f t="shared" si="4"/>
        <v/>
      </c>
      <c r="F22" s="14" t="str">
        <f t="shared" si="5"/>
        <v/>
      </c>
      <c r="G22" s="15"/>
      <c r="H22" s="15" t="str">
        <f t="shared" si="6"/>
        <v/>
      </c>
      <c r="I22" s="16" t="str">
        <f t="shared" si="7"/>
        <v/>
      </c>
      <c r="J22" s="41"/>
      <c r="K22" s="41"/>
    </row>
    <row r="23" spans="1:11" ht="15.6">
      <c r="A23" s="30" t="str">
        <v xml:space="preserve"> Denver - BA - 49th Ave</v>
      </c>
      <c r="B23" s="31" t="str">
        <v>CO</v>
      </c>
      <c r="C23" s="11"/>
      <c r="D23" s="18"/>
      <c r="E23" s="18" t="str">
        <f t="shared" si="4"/>
        <v/>
      </c>
      <c r="F23" s="19" t="str">
        <f t="shared" si="5"/>
        <v/>
      </c>
      <c r="G23" s="20"/>
      <c r="H23" s="20" t="str">
        <f t="shared" si="6"/>
        <v/>
      </c>
      <c r="I23" s="19" t="str">
        <f t="shared" si="7"/>
        <v/>
      </c>
      <c r="J23" s="42"/>
      <c r="K23" s="43"/>
    </row>
    <row r="24" spans="1:11" ht="15.6">
      <c r="A24" s="28" t="str">
        <v xml:space="preserve"> Denver - BA Wadsworth Blvd</v>
      </c>
      <c r="B24" s="29" t="str">
        <v>CO</v>
      </c>
      <c r="C24" s="24"/>
      <c r="D24" s="13"/>
      <c r="E24" s="13" t="str">
        <f t="shared" si="4"/>
        <v/>
      </c>
      <c r="F24" s="14" t="str">
        <f t="shared" si="5"/>
        <v/>
      </c>
      <c r="G24" s="15"/>
      <c r="H24" s="15" t="str">
        <f t="shared" si="6"/>
        <v/>
      </c>
      <c r="I24" s="16" t="str">
        <f t="shared" si="7"/>
        <v/>
      </c>
      <c r="J24" s="41"/>
      <c r="K24" s="41"/>
    </row>
    <row r="25" spans="1:11" ht="15.6">
      <c r="A25" s="30" t="str">
        <v xml:space="preserve"> Fort Collins - Bank of America</v>
      </c>
      <c r="B25" s="31" t="str">
        <v>CO</v>
      </c>
      <c r="C25" s="11"/>
      <c r="D25" s="18"/>
      <c r="E25" s="18" t="str">
        <f t="shared" si="4"/>
        <v/>
      </c>
      <c r="F25" s="19" t="str">
        <f t="shared" si="5"/>
        <v/>
      </c>
      <c r="G25" s="20"/>
      <c r="H25" s="20" t="str">
        <f t="shared" si="6"/>
        <v/>
      </c>
      <c r="I25" s="19" t="str">
        <f t="shared" si="7"/>
        <v/>
      </c>
      <c r="J25" s="60"/>
      <c r="K25" s="60"/>
    </row>
    <row r="26" spans="1:11" ht="15.6">
      <c r="A26" s="28" t="str">
        <v xml:space="preserve"> Lafayette - Bank of America</v>
      </c>
      <c r="B26" s="29" t="str">
        <v>CO</v>
      </c>
      <c r="C26" s="24"/>
      <c r="D26" s="13"/>
      <c r="E26" s="13" t="str">
        <f t="shared" si="4"/>
        <v/>
      </c>
      <c r="F26" s="14" t="str">
        <f t="shared" si="5"/>
        <v/>
      </c>
      <c r="G26" s="15"/>
      <c r="H26" s="15" t="str">
        <f t="shared" si="6"/>
        <v/>
      </c>
      <c r="I26" s="16" t="str">
        <f t="shared" si="7"/>
        <v/>
      </c>
      <c r="J26" s="62"/>
      <c r="K26" s="62"/>
    </row>
    <row r="27" spans="1:11" ht="15.6">
      <c r="A27" s="30" t="str">
        <v xml:space="preserve"> Lakewood - Bank of America</v>
      </c>
      <c r="B27" s="31" t="str">
        <v>CO</v>
      </c>
      <c r="C27" s="11"/>
      <c r="D27" s="18"/>
      <c r="E27" s="18" t="str">
        <f t="shared" si="4"/>
        <v/>
      </c>
      <c r="F27" s="19" t="str">
        <f t="shared" si="5"/>
        <v/>
      </c>
      <c r="G27" s="20"/>
      <c r="H27" s="20" t="str">
        <f t="shared" si="6"/>
        <v/>
      </c>
      <c r="I27" s="19" t="str">
        <f t="shared" si="7"/>
        <v/>
      </c>
      <c r="J27" s="42"/>
      <c r="K27" s="43"/>
    </row>
    <row r="28" spans="1:11" ht="15.6">
      <c r="A28" s="28" t="str">
        <v xml:space="preserve"> Longmont - Bank of America</v>
      </c>
      <c r="B28" s="29" t="str">
        <v>CO</v>
      </c>
      <c r="C28" s="24"/>
      <c r="D28" s="13"/>
      <c r="E28" s="13" t="str">
        <f t="shared" si="4"/>
        <v/>
      </c>
      <c r="F28" s="14" t="str">
        <f t="shared" si="5"/>
        <v/>
      </c>
      <c r="G28" s="15"/>
      <c r="H28" s="15" t="str">
        <f t="shared" si="6"/>
        <v/>
      </c>
      <c r="I28" s="16" t="str">
        <f t="shared" si="7"/>
        <v/>
      </c>
      <c r="J28" s="41"/>
      <c r="K28" s="41"/>
    </row>
    <row r="29" spans="1:11" ht="15.6">
      <c r="A29" s="30" t="str">
        <v xml:space="preserve"> Thornton - Bank of America</v>
      </c>
      <c r="B29" s="31" t="str">
        <v>CO</v>
      </c>
      <c r="C29" s="11"/>
      <c r="D29" s="18"/>
      <c r="E29" s="18" t="str">
        <f t="shared" si="4"/>
        <v/>
      </c>
      <c r="F29" s="19" t="str">
        <f t="shared" si="5"/>
        <v/>
      </c>
      <c r="G29" s="20"/>
      <c r="H29" s="20" t="str">
        <f t="shared" si="6"/>
        <v/>
      </c>
      <c r="I29" s="19" t="str">
        <f t="shared" si="7"/>
        <v/>
      </c>
      <c r="J29" s="42"/>
      <c r="K29" s="43"/>
    </row>
    <row r="30" spans="1:11" ht="15.6">
      <c r="A30" s="28" t="str">
        <v xml:space="preserve"> Calumet City - Bank of America</v>
      </c>
      <c r="B30" s="29" t="str">
        <v>IL</v>
      </c>
      <c r="C30" s="24"/>
      <c r="D30" s="13"/>
      <c r="E30" s="13" t="str">
        <f t="shared" si="4"/>
        <v/>
      </c>
      <c r="F30" s="14" t="str">
        <f t="shared" si="5"/>
        <v/>
      </c>
      <c r="G30" s="15"/>
      <c r="H30" s="15" t="str">
        <f t="shared" si="6"/>
        <v/>
      </c>
      <c r="I30" s="16" t="str">
        <f t="shared" si="7"/>
        <v/>
      </c>
      <c r="J30" s="41"/>
      <c r="K30" s="41"/>
    </row>
    <row r="31" spans="1:11" ht="15.6">
      <c r="A31" s="30" t="str">
        <v xml:space="preserve"> Downers Grove - Bank of America</v>
      </c>
      <c r="B31" s="31" t="str">
        <v>IL</v>
      </c>
      <c r="C31" s="11"/>
      <c r="D31" s="18"/>
      <c r="E31" s="18" t="str">
        <f t="shared" si="4"/>
        <v/>
      </c>
      <c r="F31" s="19" t="str">
        <f t="shared" si="5"/>
        <v/>
      </c>
      <c r="G31" s="20"/>
      <c r="H31" s="20" t="str">
        <f t="shared" si="6"/>
        <v/>
      </c>
      <c r="I31" s="19" t="str">
        <f t="shared" si="7"/>
        <v/>
      </c>
      <c r="J31" s="42"/>
      <c r="K31" s="43"/>
    </row>
    <row r="32" spans="1:11" ht="15.6">
      <c r="A32" s="28" t="str">
        <v xml:space="preserve"> Bloomington - Bank of America</v>
      </c>
      <c r="B32" s="29" t="str">
        <v>MN</v>
      </c>
      <c r="C32" s="24"/>
      <c r="D32" s="13"/>
      <c r="E32" s="13" t="str">
        <f t="shared" si="4"/>
        <v/>
      </c>
      <c r="F32" s="14" t="str">
        <f t="shared" si="5"/>
        <v/>
      </c>
      <c r="G32" s="15"/>
      <c r="H32" s="15" t="str">
        <f t="shared" si="6"/>
        <v/>
      </c>
      <c r="I32" s="16" t="str">
        <f t="shared" si="7"/>
        <v/>
      </c>
      <c r="J32" s="62"/>
      <c r="K32" s="62"/>
    </row>
    <row r="33" spans="1:11" ht="15.6">
      <c r="A33" s="30" t="str">
        <v xml:space="preserve"> Clayton - Bank of America</v>
      </c>
      <c r="B33" s="31" t="str">
        <v>MO</v>
      </c>
      <c r="C33" s="11"/>
      <c r="D33" s="18"/>
      <c r="E33" s="18" t="str">
        <f t="shared" si="4"/>
        <v/>
      </c>
      <c r="F33" s="19" t="str">
        <f t="shared" si="5"/>
        <v/>
      </c>
      <c r="G33" s="20"/>
      <c r="H33" s="20" t="str">
        <f t="shared" si="6"/>
        <v/>
      </c>
      <c r="I33" s="19" t="str">
        <f t="shared" si="7"/>
        <v/>
      </c>
      <c r="J33" s="42"/>
      <c r="K33" s="43"/>
    </row>
    <row r="34" spans="1:11" ht="15.6">
      <c r="A34" s="28" t="str">
        <v xml:space="preserve"> Manchester - Bank of America</v>
      </c>
      <c r="B34" s="29" t="str">
        <v>MO</v>
      </c>
      <c r="C34" s="24"/>
      <c r="D34" s="13"/>
      <c r="E34" s="13" t="str">
        <f t="shared" si="4"/>
        <v/>
      </c>
      <c r="F34" s="14" t="str">
        <f t="shared" si="5"/>
        <v/>
      </c>
      <c r="G34" s="15"/>
      <c r="H34" s="15" t="str">
        <f t="shared" si="6"/>
        <v/>
      </c>
      <c r="I34" s="16" t="str">
        <f t="shared" si="7"/>
        <v/>
      </c>
      <c r="J34" s="41"/>
      <c r="K34" s="41"/>
    </row>
    <row r="35" spans="1:11" ht="15.6">
      <c r="A35" s="30" t="str">
        <v xml:space="preserve"> Las Vegas - BA - Eastern Ave</v>
      </c>
      <c r="B35" s="31" t="str">
        <v>NV</v>
      </c>
      <c r="C35" s="11"/>
      <c r="D35" s="18"/>
      <c r="E35" s="18" t="str">
        <f t="shared" si="4"/>
        <v/>
      </c>
      <c r="F35" s="19" t="str">
        <f t="shared" si="5"/>
        <v/>
      </c>
      <c r="G35" s="20"/>
      <c r="H35" s="20" t="str">
        <f t="shared" si="6"/>
        <v/>
      </c>
      <c r="I35" s="19" t="str">
        <f t="shared" si="7"/>
        <v/>
      </c>
      <c r="J35" s="42"/>
      <c r="K35" s="43"/>
    </row>
    <row r="36" spans="1:11" ht="15.6">
      <c r="A36" s="28" t="str">
        <v xml:space="preserve"> Las Vegas - BA - Town Ctr Dr</v>
      </c>
      <c r="B36" s="29" t="str">
        <v>NV</v>
      </c>
      <c r="C36" s="24"/>
      <c r="D36" s="13"/>
      <c r="E36" s="13" t="str">
        <f t="shared" si="4"/>
        <v/>
      </c>
      <c r="F36" s="14" t="str">
        <f t="shared" si="5"/>
        <v/>
      </c>
      <c r="G36" s="15"/>
      <c r="H36" s="15" t="str">
        <f t="shared" si="6"/>
        <v/>
      </c>
      <c r="I36" s="16" t="str">
        <f t="shared" si="7"/>
        <v/>
      </c>
      <c r="J36" s="41"/>
      <c r="K36" s="41"/>
    </row>
    <row r="37" spans="1:11" ht="15.6">
      <c r="A37" s="30" t="str">
        <v xml:space="preserve"> Riverton - Bank of America</v>
      </c>
      <c r="B37" s="31" t="str">
        <v>UT</v>
      </c>
      <c r="C37" s="11"/>
      <c r="D37" s="18"/>
      <c r="E37" s="18" t="str">
        <f t="shared" si="4"/>
        <v/>
      </c>
      <c r="F37" s="19" t="str">
        <f t="shared" si="5"/>
        <v/>
      </c>
      <c r="G37" s="20"/>
      <c r="H37" s="20" t="str">
        <f t="shared" si="6"/>
        <v/>
      </c>
      <c r="I37" s="19" t="str">
        <f t="shared" si="7"/>
        <v/>
      </c>
      <c r="J37" s="42"/>
      <c r="K37" s="43"/>
    </row>
    <row r="38" spans="1:11" ht="15.6">
      <c r="A38" s="28" t="str">
        <v xml:space="preserve"> Salt Lake City - Bank of America</v>
      </c>
      <c r="B38" s="29" t="str">
        <v>UT</v>
      </c>
      <c r="C38" s="24"/>
      <c r="D38" s="13"/>
      <c r="E38" s="13" t="str">
        <f t="shared" si="4"/>
        <v/>
      </c>
      <c r="F38" s="14" t="str">
        <f t="shared" si="5"/>
        <v/>
      </c>
      <c r="G38" s="15"/>
      <c r="H38" s="15" t="str">
        <f t="shared" si="6"/>
        <v/>
      </c>
      <c r="I38" s="16" t="str">
        <f t="shared" si="7"/>
        <v/>
      </c>
      <c r="J38" s="41"/>
      <c r="K38" s="41"/>
    </row>
    <row r="39" spans="1:11" ht="14.4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4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4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4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4.45">
      <c r="A315" s="21"/>
      <c r="B315" s="33"/>
      <c r="C315" s="21"/>
      <c r="D315" s="21"/>
      <c r="E315" s="21"/>
      <c r="F315" s="22"/>
      <c r="G315" s="21"/>
      <c r="H315" s="21"/>
      <c r="I315" s="22"/>
      <c r="J315" s="21"/>
      <c r="K315" s="21"/>
    </row>
    <row r="316" spans="1:11" ht="14.45">
      <c r="A316" s="21"/>
      <c r="B316" s="33"/>
      <c r="C316" s="21"/>
      <c r="D316" s="21"/>
      <c r="E316" s="21"/>
      <c r="F316" s="22"/>
      <c r="G316" s="21"/>
      <c r="H316" s="21"/>
      <c r="I316" s="22"/>
      <c r="J316" s="21"/>
      <c r="K316" s="21"/>
    </row>
    <row r="317" spans="1:11" ht="14.45">
      <c r="A317" s="21"/>
      <c r="B317" s="33"/>
      <c r="C317" s="21"/>
      <c r="D317" s="21"/>
      <c r="E317" s="21"/>
      <c r="F317" s="22"/>
      <c r="G317" s="21"/>
      <c r="H317" s="21"/>
      <c r="I317" s="22"/>
      <c r="J317" s="21"/>
      <c r="K317" s="21"/>
    </row>
    <row r="318" spans="1:11" ht="14.45">
      <c r="A318" s="21"/>
      <c r="B318" s="33"/>
      <c r="C318" s="21"/>
      <c r="D318" s="21"/>
      <c r="E318" s="21"/>
      <c r="F318" s="22"/>
      <c r="G318" s="21"/>
      <c r="H318" s="21"/>
      <c r="I318" s="22"/>
      <c r="J318" s="21"/>
      <c r="K318" s="21"/>
    </row>
    <row r="319" spans="1:11" ht="14.45">
      <c r="A319" s="21"/>
      <c r="B319" s="33"/>
      <c r="C319" s="21"/>
      <c r="D319" s="21"/>
      <c r="E319" s="21"/>
      <c r="F319" s="22"/>
      <c r="G319" s="21"/>
      <c r="H319" s="21"/>
      <c r="I319" s="22"/>
      <c r="J319" s="21"/>
      <c r="K319" s="21"/>
    </row>
    <row r="320" spans="1:11" ht="14.45">
      <c r="A320" s="21"/>
      <c r="B320" s="33"/>
      <c r="C320" s="21"/>
      <c r="D320" s="21"/>
      <c r="E320" s="21"/>
      <c r="F320" s="22"/>
      <c r="G320" s="21"/>
      <c r="H320" s="21"/>
      <c r="I320" s="22"/>
      <c r="J320" s="21"/>
      <c r="K320" s="21"/>
    </row>
    <row r="321" spans="1:11" ht="14.45">
      <c r="A321" s="21"/>
      <c r="B321" s="33"/>
      <c r="C321" s="21"/>
      <c r="D321" s="21"/>
      <c r="E321" s="21"/>
      <c r="F321" s="22"/>
      <c r="G321" s="21"/>
      <c r="H321" s="21"/>
      <c r="I321" s="22"/>
      <c r="J321" s="21"/>
      <c r="K321" s="21"/>
    </row>
    <row r="322" spans="1:11" ht="14.45">
      <c r="A322" s="21"/>
      <c r="B322" s="33"/>
      <c r="C322" s="21"/>
      <c r="D322" s="21"/>
      <c r="E322" s="21"/>
      <c r="F322" s="22"/>
      <c r="G322" s="21"/>
      <c r="H322" s="21"/>
      <c r="I322" s="22"/>
      <c r="J322" s="21"/>
      <c r="K322" s="21"/>
    </row>
    <row r="323" spans="1:11" ht="14.45">
      <c r="A323" s="21"/>
      <c r="B323" s="33"/>
      <c r="C323" s="21"/>
      <c r="D323" s="21"/>
      <c r="E323" s="21"/>
      <c r="F323" s="22"/>
      <c r="G323" s="21"/>
      <c r="H323" s="21"/>
      <c r="I323" s="22"/>
      <c r="J323" s="21"/>
      <c r="K323" s="21"/>
    </row>
    <row r="324" spans="1:11" ht="14.45">
      <c r="A324" s="21"/>
      <c r="B324" s="33"/>
      <c r="C324" s="21"/>
      <c r="D324" s="21"/>
      <c r="E324" s="21"/>
      <c r="F324" s="22"/>
      <c r="G324" s="21"/>
      <c r="H324" s="21"/>
      <c r="I324" s="22"/>
      <c r="J324" s="21"/>
      <c r="K324" s="21"/>
    </row>
    <row r="325" spans="1:11" ht="14.45">
      <c r="A325" s="21"/>
      <c r="B325" s="33"/>
      <c r="C325" s="21"/>
      <c r="D325" s="21"/>
      <c r="E325" s="21"/>
      <c r="F325" s="22"/>
      <c r="G325" s="21"/>
      <c r="H325" s="21"/>
      <c r="I325" s="22"/>
      <c r="J325" s="21"/>
      <c r="K325" s="21"/>
    </row>
    <row r="326" spans="1:11" ht="14.45">
      <c r="A326" s="21"/>
      <c r="B326" s="33"/>
      <c r="C326" s="21"/>
      <c r="D326" s="21"/>
      <c r="E326" s="21"/>
      <c r="F326" s="22"/>
      <c r="G326" s="21"/>
      <c r="H326" s="21"/>
      <c r="I326" s="22"/>
      <c r="J326" s="21"/>
      <c r="K326" s="21"/>
    </row>
    <row r="327" spans="1:11" ht="14.45">
      <c r="A327" s="21"/>
      <c r="B327" s="33"/>
      <c r="C327" s="21"/>
      <c r="D327" s="21"/>
      <c r="E327" s="21"/>
      <c r="F327" s="22"/>
      <c r="G327" s="21"/>
      <c r="H327" s="21"/>
      <c r="I327" s="22"/>
      <c r="J327" s="21"/>
      <c r="K327" s="21"/>
    </row>
    <row r="328" spans="1:11" ht="14.45">
      <c r="A328" s="21"/>
      <c r="B328" s="33"/>
      <c r="C328" s="21"/>
      <c r="D328" s="21"/>
      <c r="E328" s="21"/>
      <c r="F328" s="22"/>
      <c r="G328" s="21"/>
      <c r="H328" s="21"/>
      <c r="I328" s="22"/>
      <c r="J328" s="21"/>
      <c r="K328" s="21"/>
    </row>
    <row r="329" spans="1:11" ht="14.45">
      <c r="A329" s="21"/>
      <c r="B329" s="33"/>
      <c r="C329" s="21"/>
      <c r="D329" s="21"/>
      <c r="E329" s="21"/>
      <c r="F329" s="22"/>
      <c r="G329" s="21"/>
      <c r="H329" s="21"/>
      <c r="I329" s="22"/>
      <c r="J329" s="21"/>
      <c r="K329" s="21"/>
    </row>
    <row r="330" spans="1:11" ht="14.45">
      <c r="A330" s="21"/>
      <c r="B330" s="33"/>
      <c r="C330" s="21"/>
      <c r="D330" s="21"/>
      <c r="E330" s="21"/>
      <c r="F330" s="22"/>
      <c r="G330" s="21"/>
      <c r="H330" s="21"/>
      <c r="I330" s="22"/>
      <c r="J330" s="21"/>
      <c r="K330" s="21"/>
    </row>
    <row r="331" spans="1:11" ht="14.45">
      <c r="A331" s="21"/>
      <c r="B331" s="33"/>
      <c r="C331" s="21"/>
      <c r="D331" s="21"/>
      <c r="E331" s="21"/>
      <c r="F331" s="22"/>
      <c r="G331" s="21"/>
      <c r="H331" s="21"/>
      <c r="I331" s="22"/>
      <c r="J331" s="21"/>
      <c r="K331" s="21"/>
    </row>
    <row r="332" spans="1:11" ht="14.45">
      <c r="A332" s="21"/>
      <c r="B332" s="33"/>
      <c r="C332" s="21"/>
      <c r="D332" s="21"/>
      <c r="E332" s="21"/>
      <c r="F332" s="22"/>
      <c r="G332" s="21"/>
      <c r="H332" s="21"/>
      <c r="I332" s="22"/>
      <c r="J332" s="21"/>
      <c r="K332" s="21"/>
    </row>
    <row r="333" spans="1:11" ht="14.45">
      <c r="A333" s="21"/>
      <c r="B333" s="33"/>
      <c r="C333" s="21"/>
      <c r="D333" s="21"/>
      <c r="E333" s="21"/>
      <c r="F333" s="22"/>
      <c r="G333" s="21"/>
      <c r="H333" s="21"/>
      <c r="I333" s="22"/>
      <c r="J333" s="21"/>
      <c r="K333" s="21"/>
    </row>
    <row r="334" spans="1:11" ht="14.45">
      <c r="A334" s="21"/>
      <c r="B334" s="33"/>
      <c r="C334" s="21"/>
      <c r="D334" s="21"/>
      <c r="E334" s="21"/>
      <c r="F334" s="22"/>
      <c r="G334" s="21"/>
      <c r="H334" s="21"/>
      <c r="I334" s="22"/>
      <c r="J334" s="21"/>
      <c r="K334" s="21"/>
    </row>
    <row r="335" spans="1:11" ht="14.45">
      <c r="A335" s="21"/>
      <c r="B335" s="33"/>
      <c r="C335" s="21"/>
      <c r="D335" s="21"/>
      <c r="E335" s="21"/>
      <c r="F335" s="22"/>
      <c r="G335" s="21"/>
      <c r="H335" s="21"/>
      <c r="I335" s="22"/>
      <c r="J335" s="21"/>
      <c r="K335" s="21"/>
    </row>
    <row r="336" spans="1:11" ht="14.45">
      <c r="A336" s="21"/>
      <c r="B336" s="33"/>
      <c r="C336" s="21"/>
      <c r="D336" s="21"/>
      <c r="E336" s="21"/>
      <c r="F336" s="22"/>
      <c r="G336" s="21"/>
      <c r="H336" s="21"/>
      <c r="I336" s="22"/>
      <c r="J336" s="21"/>
      <c r="K336" s="21"/>
    </row>
    <row r="337" spans="1:11" ht="14.45">
      <c r="A337" s="21"/>
      <c r="B337" s="33"/>
      <c r="C337" s="21"/>
      <c r="D337" s="21"/>
      <c r="E337" s="21"/>
      <c r="F337" s="22"/>
      <c r="G337" s="21"/>
      <c r="H337" s="21"/>
      <c r="I337" s="22"/>
      <c r="J337" s="21"/>
      <c r="K337" s="21"/>
    </row>
    <row r="338" spans="1:11" ht="14.45">
      <c r="A338" s="21"/>
      <c r="B338" s="33"/>
      <c r="C338" s="21"/>
      <c r="D338" s="21"/>
      <c r="E338" s="21"/>
      <c r="F338" s="22"/>
      <c r="G338" s="21"/>
      <c r="H338" s="21"/>
      <c r="I338" s="22"/>
      <c r="J338" s="21"/>
      <c r="K338" s="21"/>
    </row>
    <row r="339" spans="1:11" ht="14.45">
      <c r="A339" s="21"/>
      <c r="B339" s="33"/>
      <c r="C339" s="21"/>
      <c r="D339" s="21"/>
      <c r="E339" s="21"/>
      <c r="F339" s="22"/>
      <c r="G339" s="21"/>
      <c r="H339" s="21"/>
      <c r="I339" s="22"/>
      <c r="J339" s="21"/>
      <c r="K339" s="21"/>
    </row>
    <row r="340" spans="1:11" ht="14.45">
      <c r="A340" s="21"/>
      <c r="B340" s="33"/>
      <c r="C340" s="21"/>
      <c r="D340" s="21"/>
      <c r="E340" s="21"/>
      <c r="F340" s="22"/>
      <c r="G340" s="21"/>
      <c r="H340" s="21"/>
      <c r="I340" s="22"/>
      <c r="J340" s="21"/>
      <c r="K340" s="21"/>
    </row>
    <row r="341" spans="1:11" ht="14.45">
      <c r="A341" s="21"/>
      <c r="B341" s="33"/>
      <c r="C341" s="21"/>
      <c r="D341" s="21"/>
      <c r="E341" s="21"/>
      <c r="F341" s="22"/>
      <c r="G341" s="21"/>
      <c r="H341" s="21"/>
      <c r="I341" s="22"/>
      <c r="J341" s="21"/>
      <c r="K341" s="21"/>
    </row>
    <row r="342" spans="1:11" ht="14.45">
      <c r="C342" s="21"/>
      <c r="D342" s="21"/>
      <c r="E342" s="21"/>
      <c r="F342" s="22"/>
      <c r="G342" s="21"/>
      <c r="H342" s="21"/>
      <c r="I342" s="22"/>
      <c r="J342" s="21"/>
      <c r="K342" s="21"/>
    </row>
  </sheetData>
  <mergeCells count="4">
    <mergeCell ref="G1:I1"/>
    <mergeCell ref="A1:C1"/>
    <mergeCell ref="D1:F1"/>
    <mergeCell ref="A2:B2"/>
  </mergeCells>
  <conditionalFormatting sqref="F2 I2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conditionalFormatting sqref="F4:F100 I4:I100">
    <cfRule type="cellIs" dxfId="6" priority="1" stopIfTrue="1" operator="lessThanOrEqual">
      <formula>-0.1</formula>
    </cfRule>
    <cfRule type="expression" dxfId="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38"/>
  <sheetViews>
    <sheetView zoomScaleNormal="100" workbookViewId="0">
      <pane ySplit="3" topLeftCell="A13" activePane="bottomLeft" state="frozen"/>
      <selection pane="bottomLeft" activeCell="A24" sqref="A24"/>
    </sheetView>
  </sheetViews>
  <sheetFormatPr defaultRowHeight="12.75" customHeight="1"/>
  <cols>
    <col min="1" max="1" width="58.5703125" customWidth="1"/>
    <col min="2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116</v>
      </c>
      <c r="B1" t="s">
        <v>117</v>
      </c>
    </row>
    <row r="3" spans="1:7" ht="13.15">
      <c r="A3" t="s">
        <v>118</v>
      </c>
      <c r="B3" t="s">
        <v>3</v>
      </c>
      <c r="C3" t="s">
        <v>4</v>
      </c>
      <c r="D3" t="s">
        <v>119</v>
      </c>
      <c r="E3" s="2" t="s">
        <v>120</v>
      </c>
    </row>
    <row r="4" spans="1:7" ht="14.45">
      <c r="A4" s="44" t="s">
        <v>121</v>
      </c>
      <c r="B4" s="45" t="s">
        <v>122</v>
      </c>
      <c r="C4" s="45" t="s">
        <v>123</v>
      </c>
      <c r="D4" s="46"/>
      <c r="E4" s="47" t="s">
        <v>124</v>
      </c>
      <c r="G4" s="3"/>
    </row>
    <row r="5" spans="1:7" ht="14.45">
      <c r="A5" s="48" t="s">
        <v>121</v>
      </c>
      <c r="B5" s="49" t="s">
        <v>125</v>
      </c>
      <c r="C5" s="49" t="s">
        <v>123</v>
      </c>
      <c r="D5" s="50"/>
      <c r="E5" s="51" t="s">
        <v>124</v>
      </c>
      <c r="G5" s="3"/>
    </row>
    <row r="6" spans="1:7" ht="14.45">
      <c r="A6" s="44" t="s">
        <v>126</v>
      </c>
      <c r="B6" s="45" t="s">
        <v>127</v>
      </c>
      <c r="C6" s="45" t="s">
        <v>123</v>
      </c>
      <c r="D6" s="46"/>
      <c r="E6" s="47" t="s">
        <v>124</v>
      </c>
      <c r="G6" s="3"/>
    </row>
    <row r="7" spans="1:7" ht="12.75" customHeight="1">
      <c r="A7" s="48" t="s">
        <v>128</v>
      </c>
      <c r="B7" s="49" t="s">
        <v>129</v>
      </c>
      <c r="C7" s="49" t="s">
        <v>123</v>
      </c>
      <c r="D7" s="50"/>
      <c r="E7" s="51" t="s">
        <v>124</v>
      </c>
    </row>
    <row r="8" spans="1:7" ht="12.75" customHeight="1">
      <c r="A8" s="44" t="s">
        <v>130</v>
      </c>
      <c r="B8" s="45" t="s">
        <v>131</v>
      </c>
      <c r="C8" s="45" t="s">
        <v>123</v>
      </c>
      <c r="D8" s="46"/>
      <c r="E8" s="47" t="s">
        <v>124</v>
      </c>
    </row>
    <row r="9" spans="1:7" ht="12.75" customHeight="1">
      <c r="A9" s="48" t="s">
        <v>132</v>
      </c>
      <c r="B9" s="49" t="s">
        <v>133</v>
      </c>
      <c r="C9" s="49" t="s">
        <v>123</v>
      </c>
      <c r="D9" s="50"/>
      <c r="E9" s="51" t="s">
        <v>124</v>
      </c>
    </row>
    <row r="10" spans="1:7" ht="12.75" customHeight="1">
      <c r="A10" s="44" t="s">
        <v>134</v>
      </c>
      <c r="B10" s="45" t="s">
        <v>135</v>
      </c>
      <c r="C10" s="45" t="s">
        <v>123</v>
      </c>
      <c r="D10" s="46"/>
      <c r="E10" s="47" t="s">
        <v>124</v>
      </c>
    </row>
    <row r="11" spans="1:7" ht="12.75" customHeight="1">
      <c r="A11" s="48" t="s">
        <v>136</v>
      </c>
      <c r="B11" s="49" t="s">
        <v>137</v>
      </c>
      <c r="C11" s="49" t="s">
        <v>123</v>
      </c>
      <c r="D11" s="50"/>
      <c r="E11" s="51" t="s">
        <v>124</v>
      </c>
    </row>
    <row r="12" spans="1:7" ht="12.75" customHeight="1">
      <c r="A12" s="44" t="s">
        <v>138</v>
      </c>
      <c r="B12" s="45" t="s">
        <v>139</v>
      </c>
      <c r="C12" s="45" t="s">
        <v>123</v>
      </c>
      <c r="D12" s="46"/>
      <c r="E12" s="47" t="s">
        <v>124</v>
      </c>
    </row>
    <row r="13" spans="1:7" ht="12.75" customHeight="1">
      <c r="A13" s="48" t="s">
        <v>121</v>
      </c>
      <c r="B13" s="49" t="s">
        <v>140</v>
      </c>
      <c r="C13" s="49" t="s">
        <v>123</v>
      </c>
      <c r="D13" s="50"/>
      <c r="E13" s="51" t="s">
        <v>124</v>
      </c>
    </row>
    <row r="14" spans="1:7" ht="12.75" customHeight="1">
      <c r="A14" s="44" t="s">
        <v>141</v>
      </c>
      <c r="B14" s="45" t="s">
        <v>142</v>
      </c>
      <c r="C14" s="45" t="s">
        <v>123</v>
      </c>
      <c r="D14" s="46"/>
      <c r="E14" s="47" t="s">
        <v>124</v>
      </c>
    </row>
    <row r="15" spans="1:7" ht="12.75" customHeight="1">
      <c r="A15" s="48" t="s">
        <v>143</v>
      </c>
      <c r="B15" s="49" t="s">
        <v>144</v>
      </c>
      <c r="C15" s="49" t="s">
        <v>123</v>
      </c>
      <c r="D15" s="50"/>
      <c r="E15" s="51" t="s">
        <v>124</v>
      </c>
    </row>
    <row r="16" spans="1:7" ht="12.75" customHeight="1">
      <c r="A16" s="44" t="s">
        <v>145</v>
      </c>
      <c r="B16" s="45" t="s">
        <v>146</v>
      </c>
      <c r="C16" s="45" t="s">
        <v>123</v>
      </c>
      <c r="D16" s="46"/>
      <c r="E16" s="47" t="s">
        <v>124</v>
      </c>
    </row>
    <row r="17" spans="1:5" ht="12.75" customHeight="1">
      <c r="A17" s="48" t="s">
        <v>147</v>
      </c>
      <c r="B17" s="49" t="s">
        <v>148</v>
      </c>
      <c r="C17" s="49" t="s">
        <v>123</v>
      </c>
      <c r="D17" s="50"/>
      <c r="E17" s="51" t="s">
        <v>124</v>
      </c>
    </row>
    <row r="18" spans="1:5" ht="12.75" customHeight="1">
      <c r="A18" s="48"/>
      <c r="B18" s="49" t="s">
        <v>149</v>
      </c>
      <c r="C18" s="49" t="s">
        <v>123</v>
      </c>
      <c r="D18" s="46"/>
      <c r="E18" s="47" t="s">
        <v>124</v>
      </c>
    </row>
    <row r="19" spans="1:5" ht="12.75" customHeight="1">
      <c r="A19" s="48" t="s">
        <v>150</v>
      </c>
      <c r="B19" s="49" t="s">
        <v>151</v>
      </c>
      <c r="C19" s="49" t="s">
        <v>152</v>
      </c>
      <c r="D19" s="50"/>
      <c r="E19" s="51" t="s">
        <v>124</v>
      </c>
    </row>
    <row r="20" spans="1:5" ht="12.75" customHeight="1">
      <c r="A20" s="48" t="s">
        <v>153</v>
      </c>
      <c r="B20" s="49" t="s">
        <v>154</v>
      </c>
      <c r="C20" s="49" t="s">
        <v>152</v>
      </c>
      <c r="D20" s="46"/>
      <c r="E20" s="47" t="s">
        <v>124</v>
      </c>
    </row>
    <row r="21" spans="1:5" ht="12.75" customHeight="1">
      <c r="A21" s="48" t="s">
        <v>155</v>
      </c>
      <c r="B21" s="49" t="s">
        <v>156</v>
      </c>
      <c r="C21" s="49" t="s">
        <v>152</v>
      </c>
      <c r="D21" s="50"/>
      <c r="E21" s="51" t="s">
        <v>124</v>
      </c>
    </row>
    <row r="22" spans="1:5" ht="12.75" customHeight="1">
      <c r="A22" s="48" t="s">
        <v>157</v>
      </c>
      <c r="B22" s="49" t="s">
        <v>158</v>
      </c>
      <c r="C22" s="49" t="s">
        <v>152</v>
      </c>
      <c r="D22" s="46"/>
      <c r="E22" s="47" t="s">
        <v>124</v>
      </c>
    </row>
    <row r="23" spans="1:5" ht="12.75" customHeight="1">
      <c r="A23" s="48" t="s">
        <v>159</v>
      </c>
      <c r="B23" s="49" t="s">
        <v>160</v>
      </c>
      <c r="C23" s="49" t="s">
        <v>152</v>
      </c>
      <c r="D23" s="50"/>
      <c r="E23" s="51" t="s">
        <v>124</v>
      </c>
    </row>
    <row r="24" spans="1:5" ht="12.75" customHeight="1">
      <c r="A24" s="48" t="s">
        <v>161</v>
      </c>
      <c r="B24" s="49" t="s">
        <v>162</v>
      </c>
      <c r="C24" s="49" t="s">
        <v>152</v>
      </c>
      <c r="D24" s="46"/>
      <c r="E24" s="47" t="s">
        <v>124</v>
      </c>
    </row>
    <row r="25" spans="1:5" ht="12.75" customHeight="1">
      <c r="A25" s="48" t="s">
        <v>163</v>
      </c>
      <c r="B25" s="49" t="s">
        <v>164</v>
      </c>
      <c r="C25" s="49" t="s">
        <v>152</v>
      </c>
      <c r="D25" s="50"/>
      <c r="E25" s="51" t="s">
        <v>124</v>
      </c>
    </row>
    <row r="26" spans="1:5" ht="12.75" customHeight="1">
      <c r="A26" s="48" t="s">
        <v>165</v>
      </c>
      <c r="B26" s="49" t="s">
        <v>166</v>
      </c>
      <c r="C26" s="49" t="s">
        <v>152</v>
      </c>
      <c r="D26" s="46"/>
      <c r="E26" s="47" t="s">
        <v>124</v>
      </c>
    </row>
    <row r="27" spans="1:5" ht="12.75" customHeight="1">
      <c r="A27" s="48" t="s">
        <v>167</v>
      </c>
      <c r="B27" s="49" t="s">
        <v>168</v>
      </c>
      <c r="C27" s="49" t="s">
        <v>152</v>
      </c>
      <c r="D27" s="50"/>
      <c r="E27" s="51" t="s">
        <v>124</v>
      </c>
    </row>
    <row r="28" spans="1:5" ht="12.75" customHeight="1">
      <c r="A28" s="48" t="s">
        <v>169</v>
      </c>
      <c r="B28" s="49" t="s">
        <v>170</v>
      </c>
      <c r="C28" s="49" t="s">
        <v>152</v>
      </c>
      <c r="D28" s="46"/>
      <c r="E28" s="47" t="s">
        <v>124</v>
      </c>
    </row>
    <row r="29" spans="1:5" ht="12.75" customHeight="1">
      <c r="A29" s="48" t="s">
        <v>171</v>
      </c>
      <c r="B29" s="49" t="s">
        <v>172</v>
      </c>
      <c r="C29" s="49" t="s">
        <v>152</v>
      </c>
      <c r="D29" s="50"/>
      <c r="E29" s="51" t="s">
        <v>124</v>
      </c>
    </row>
    <row r="30" spans="1:5" ht="12.75" customHeight="1">
      <c r="A30" s="48" t="s">
        <v>173</v>
      </c>
      <c r="B30" s="49" t="s">
        <v>174</v>
      </c>
      <c r="C30" s="49" t="s">
        <v>175</v>
      </c>
      <c r="D30" s="46"/>
      <c r="E30" s="47" t="s">
        <v>124</v>
      </c>
    </row>
    <row r="31" spans="1:5" ht="12.75" customHeight="1">
      <c r="A31" s="48" t="s">
        <v>176</v>
      </c>
      <c r="B31" s="49" t="s">
        <v>177</v>
      </c>
      <c r="C31" s="49" t="s">
        <v>175</v>
      </c>
      <c r="D31" s="50"/>
      <c r="E31" s="51" t="s">
        <v>124</v>
      </c>
    </row>
    <row r="32" spans="1:5" ht="12.75" customHeight="1">
      <c r="A32" s="48" t="s">
        <v>121</v>
      </c>
      <c r="B32" s="49" t="s">
        <v>178</v>
      </c>
      <c r="C32" s="49" t="s">
        <v>179</v>
      </c>
      <c r="D32" s="46"/>
      <c r="E32" s="47" t="s">
        <v>124</v>
      </c>
    </row>
    <row r="33" spans="1:5" ht="12.75" customHeight="1">
      <c r="A33" s="48" t="s">
        <v>180</v>
      </c>
      <c r="B33" s="49" t="s">
        <v>181</v>
      </c>
      <c r="C33" s="49" t="s">
        <v>182</v>
      </c>
      <c r="D33" s="50"/>
      <c r="E33" s="51" t="s">
        <v>124</v>
      </c>
    </row>
    <row r="34" spans="1:5" ht="12.75" customHeight="1">
      <c r="A34" s="48" t="s">
        <v>183</v>
      </c>
      <c r="B34" s="49" t="s">
        <v>184</v>
      </c>
      <c r="C34" s="49" t="s">
        <v>182</v>
      </c>
      <c r="D34" s="46"/>
      <c r="E34" s="47" t="s">
        <v>124</v>
      </c>
    </row>
    <row r="35" spans="1:5" ht="12.75" customHeight="1">
      <c r="A35" s="48" t="s">
        <v>185</v>
      </c>
      <c r="B35" s="49" t="s">
        <v>186</v>
      </c>
      <c r="C35" s="49" t="s">
        <v>187</v>
      </c>
      <c r="D35" s="50"/>
      <c r="E35" s="51" t="s">
        <v>124</v>
      </c>
    </row>
    <row r="36" spans="1:5" ht="12.75" customHeight="1">
      <c r="A36" s="48" t="s">
        <v>121</v>
      </c>
      <c r="B36" s="49" t="s">
        <v>188</v>
      </c>
      <c r="C36" s="49" t="s">
        <v>187</v>
      </c>
      <c r="D36" s="46"/>
      <c r="E36" s="47" t="s">
        <v>124</v>
      </c>
    </row>
    <row r="37" spans="1:5" ht="12.75" customHeight="1">
      <c r="A37" s="48" t="s">
        <v>189</v>
      </c>
      <c r="B37" s="49" t="s">
        <v>190</v>
      </c>
      <c r="C37" s="49" t="s">
        <v>191</v>
      </c>
      <c r="D37" s="50"/>
      <c r="E37" s="51" t="s">
        <v>124</v>
      </c>
    </row>
    <row r="38" spans="1:5" ht="12.75" customHeight="1">
      <c r="A38" s="52" t="s">
        <v>192</v>
      </c>
      <c r="B38" s="53" t="s">
        <v>193</v>
      </c>
      <c r="C38" s="53" t="s">
        <v>191</v>
      </c>
      <c r="D38" s="54"/>
      <c r="E38" s="55" t="s">
        <v>124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5.xml>��
</file>

<file path=customXml/item16.xml>��
</file>

<file path=customXml/item17.xml>��
</file>

<file path=customXml/item18.xml>��
</file>

<file path=customXml/item19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0.xml>��
</file>

<file path=customXml/itemProps1.xml><?xml version="1.0" encoding="utf-8"?>
<ds:datastoreItem xmlns:ds="http://schemas.openxmlformats.org/officeDocument/2006/customXml" ds:itemID="{F12EFA50-0068-4A8C-85A0-F1B26389EBC3}"/>
</file>

<file path=customXml/itemProps2.xml><?xml version="1.0" encoding="utf-8"?>
<ds:datastoreItem xmlns:ds="http://schemas.openxmlformats.org/officeDocument/2006/customXml" ds:itemID="{078388C9-06F9-42F4-B857-EF76B5CAF1FD}"/>
</file>

<file path=customXml/itemProps3.xml><?xml version="1.0" encoding="utf-8"?>
<ds:datastoreItem xmlns:ds="http://schemas.openxmlformats.org/officeDocument/2006/customXml" ds:itemID="{CB52044A-5C0B-44A2-99D0-C1C315EC302D}"/>
</file>

<file path=customXml/itemProps4.xml><?xml version="1.0" encoding="utf-8"?>
<ds:datastoreItem xmlns:ds="http://schemas.openxmlformats.org/officeDocument/2006/customXml" ds:itemID="{BE26B669-A686-459C-A5E9-FEC3409C4C81}"/>
</file>

<file path=customXml/itemProps5.xml><?xml version="1.0" encoding="utf-8"?>
<ds:datastoreItem xmlns:ds="http://schemas.openxmlformats.org/officeDocument/2006/customXml" ds:itemID="{E3716282-BFD2-4ED2-BA47-BFA1123827F0}"/>
</file>

<file path=customXml/itemProps6.xml><?xml version="1.0" encoding="utf-8"?>
<ds:datastoreItem xmlns:ds="http://schemas.openxmlformats.org/officeDocument/2006/customXml" ds:itemID="{3AEAA9D8-2182-46BA-A58E-96C72DDA1C54}"/>
</file>

<file path=customXml/itemProps7.xml><?xml version="1.0" encoding="utf-8"?>
<ds:datastoreItem xmlns:ds="http://schemas.openxmlformats.org/officeDocument/2006/customXml" ds:itemID="{BF5C6359-7763-4C37-8EAF-2BC4698CB285}"/>
</file>

<file path=customXml/itemProps8.xml><?xml version="1.0" encoding="utf-8"?>
<ds:datastoreItem xmlns:ds="http://schemas.openxmlformats.org/officeDocument/2006/customXml" ds:itemID="{8D732231-4216-4543-A665-18A2886B0EB7}"/>
</file>

<file path=customXml/itemProps9.xml><?xml version="1.0" encoding="utf-8"?>
<ds:datastoreItem xmlns:ds="http://schemas.openxmlformats.org/officeDocument/2006/customXml" ds:itemID="{98A113BB-8B7A-453C-8BD4-8EFC67FC2D3F}"/>
</file>

<file path=customXml/itemProps10.xml><?xml version="1.0" encoding="utf-8"?>
<ds:datastoreItem xmlns:ds="http://schemas.openxmlformats.org/officeDocument/2006/customXml" ds:itemID="{14966E4F-347B-477B-B74C-9DAC05405806}"/>
</file>

<file path=customXml/itemProps11.xml><?xml version="1.0" encoding="utf-8"?>
<ds:datastoreItem xmlns:ds="http://schemas.openxmlformats.org/officeDocument/2006/customXml" ds:itemID="{0389C43E-394D-44C0-87DC-4780FCFCFB40}"/>
</file>

<file path=customXml/itemProps12.xml><?xml version="1.0" encoding="utf-8"?>
<ds:datastoreItem xmlns:ds="http://schemas.openxmlformats.org/officeDocument/2006/customXml" ds:itemID="{89CF5C07-45EB-4100-9AFB-2C6AF77FA787}"/>
</file>

<file path=customXml/itemProps13.xml><?xml version="1.0" encoding="utf-8"?>
<ds:datastoreItem xmlns:ds="http://schemas.openxmlformats.org/officeDocument/2006/customXml" ds:itemID="{E20E8303-6A67-485C-B6F4-303542CC295C}"/>
</file>

<file path=customXml/itemProps14.xml><?xml version="1.0" encoding="utf-8"?>
<ds:datastoreItem xmlns:ds="http://schemas.openxmlformats.org/officeDocument/2006/customXml" ds:itemID="{2572D16B-5328-49B4-8531-1F40F4F561AD}"/>
</file>

<file path=customXml/itemProps15.xml><?xml version="1.0" encoding="utf-8"?>
<ds:datastoreItem xmlns:ds="http://schemas.openxmlformats.org/officeDocument/2006/customXml" ds:itemID="{66B09F59-6532-46F8-924A-9A02417E070D}"/>
</file>

<file path=customXml/itemProps16.xml><?xml version="1.0" encoding="utf-8"?>
<ds:datastoreItem xmlns:ds="http://schemas.openxmlformats.org/officeDocument/2006/customXml" ds:itemID="{F6B2B1A1-1C4B-4AC9-9A7D-7A102DD1C942}"/>
</file>

<file path=customXml/itemProps17.xml><?xml version="1.0" encoding="utf-8"?>
<ds:datastoreItem xmlns:ds="http://schemas.openxmlformats.org/officeDocument/2006/customXml" ds:itemID="{2BC74AAC-D69B-4AF1-9649-B21EF3C1C463}"/>
</file>

<file path=customXml/itemProps18.xml><?xml version="1.0" encoding="utf-8"?>
<ds:datastoreItem xmlns:ds="http://schemas.openxmlformats.org/officeDocument/2006/customXml" ds:itemID="{1954BBA4-0359-438C-B0EC-A756015F7C02}"/>
</file>

<file path=customXml/itemProps19.xml><?xml version="1.0" encoding="utf-8"?>
<ds:datastoreItem xmlns:ds="http://schemas.openxmlformats.org/officeDocument/2006/customXml" ds:itemID="{7946C510-7D04-49D8-9B25-EEC04582A1CA}"/>
</file>

<file path=customXml/itemProps20.xml><?xml version="1.0" encoding="utf-8"?>
<ds:datastoreItem xmlns:ds="http://schemas.openxmlformats.org/officeDocument/2006/customXml" ds:itemID="{D3A7101F-9A85-4235-8B03-415370C100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Boughman, Kaylin</cp:lastModifiedBy>
  <cp:revision/>
  <dcterms:created xsi:type="dcterms:W3CDTF">2021-01-01T16:39:53Z</dcterms:created>
  <dcterms:modified xsi:type="dcterms:W3CDTF">2025-06-23T18:56:34Z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2025-01-13T22:44:34Z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677233a5-8511-4e1b-a589-b50e327b5f82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