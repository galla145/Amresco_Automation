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2"/>
  <workbookPr codeName="ThisWorkbook" defaultThemeVersion="166925"/>
  <mc:AlternateContent xmlns:mc="http://schemas.openxmlformats.org/markup-compatibility/2006">
    <mc:Choice Requires="x15">
      <x15ac:absPath xmlns:x15ac="http://schemas.microsoft.com/office/spreadsheetml/2010/11/ac" url="https://ameresco.sharepoint.com/sites/AmerescoLibsysSharedFolder/Shared Documents/05_Monthly Reports/2025/May 2025/"/>
    </mc:Choice>
  </mc:AlternateContent>
  <xr:revisionPtr revIDLastSave="15" documentId="13_ncr:1_{DA857018-C3E4-46B5-B345-7F4624576B2E}" xr6:coauthVersionLast="47" xr6:coauthVersionMax="47" xr10:uidLastSave="{AD5BA49C-5BAE-42D0-9113-13DD68D9CE42}"/>
  <bookViews>
    <workbookView xWindow="35880" yWindow="4950" windowWidth="29040" windowHeight="15720" tabRatio="866" firstSheet="2" activeTab="2"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 i="34" l="1"/>
  <c r="K6" i="34"/>
  <c r="K7" i="34"/>
  <c r="K8" i="34"/>
  <c r="K9" i="34"/>
  <c r="K10" i="34"/>
  <c r="K11" i="34"/>
  <c r="K12" i="34"/>
  <c r="K13" i="34"/>
  <c r="K14" i="34"/>
  <c r="K15" i="34"/>
  <c r="K16" i="34"/>
  <c r="K17" i="34"/>
  <c r="K18" i="34"/>
  <c r="K19" i="34"/>
  <c r="K20" i="34"/>
  <c r="K21" i="34"/>
  <c r="K22" i="34"/>
  <c r="K23" i="34"/>
  <c r="K24" i="34"/>
  <c r="K25" i="34"/>
  <c r="K26" i="34"/>
  <c r="K27" i="34"/>
  <c r="K28" i="34"/>
  <c r="K29" i="34"/>
  <c r="K30" i="34"/>
  <c r="K31" i="34"/>
  <c r="K32" i="34"/>
  <c r="K33" i="34"/>
  <c r="K34" i="34"/>
  <c r="K35" i="34"/>
  <c r="K36" i="34"/>
  <c r="K37" i="34"/>
  <c r="K38" i="34"/>
  <c r="K39" i="34"/>
  <c r="K40" i="34"/>
  <c r="K41" i="34"/>
  <c r="K42" i="34"/>
  <c r="K43" i="34"/>
  <c r="K44" i="34"/>
  <c r="K45" i="34"/>
  <c r="K46" i="34"/>
  <c r="K47" i="34"/>
  <c r="K48" i="34"/>
  <c r="K49" i="34"/>
  <c r="K50" i="34"/>
  <c r="K51" i="34"/>
  <c r="K52" i="34"/>
  <c r="K53" i="34"/>
  <c r="K54" i="34"/>
  <c r="K55" i="34"/>
  <c r="K56" i="34"/>
  <c r="K57" i="34"/>
  <c r="K58" i="34"/>
  <c r="K59" i="34"/>
  <c r="K60" i="34"/>
  <c r="K61" i="34"/>
  <c r="K62" i="34"/>
  <c r="K63" i="34"/>
  <c r="K64" i="34"/>
  <c r="K65" i="34"/>
  <c r="K66" i="34"/>
  <c r="K67" i="34"/>
  <c r="K68" i="34"/>
  <c r="K4" i="34"/>
  <c r="I69" i="34"/>
  <c r="I69" i="1" l="1"/>
  <c r="H69" i="1"/>
  <c r="F69" i="1"/>
  <c r="G69" i="1"/>
  <c r="E69" i="1"/>
  <c r="D69" i="1"/>
  <c r="C69" i="1"/>
  <c r="C69" i="18"/>
  <c r="C69" i="34" s="1"/>
  <c r="D69" i="18"/>
  <c r="D69" i="34" s="1"/>
  <c r="H69" i="18"/>
  <c r="H69" i="34" s="1"/>
  <c r="G69" i="18"/>
  <c r="G69" i="34" s="1"/>
  <c r="H22" i="21"/>
  <c r="I69" i="72"/>
  <c r="H69" i="72"/>
  <c r="E69" i="72"/>
  <c r="I69" i="4"/>
  <c r="H69" i="4"/>
  <c r="H69" i="3"/>
  <c r="E69" i="3"/>
  <c r="E69" i="4"/>
  <c r="E48" i="3"/>
  <c r="H41" i="72"/>
  <c r="I41" i="72"/>
  <c r="C17" i="30"/>
  <c r="E17" i="30"/>
  <c r="F17" i="30"/>
  <c r="D17" i="30"/>
  <c r="G17" i="30"/>
  <c r="H17" i="30"/>
  <c r="I17" i="30"/>
  <c r="C18" i="30"/>
  <c r="D18" i="30"/>
  <c r="E18" i="30"/>
  <c r="F18" i="30"/>
  <c r="G18" i="30"/>
  <c r="I18" i="30"/>
  <c r="H18" i="30"/>
  <c r="C19" i="30"/>
  <c r="E19" i="30"/>
  <c r="F19" i="30"/>
  <c r="D19" i="30"/>
  <c r="G19" i="30"/>
  <c r="H19" i="30"/>
  <c r="I19" i="30"/>
  <c r="C20" i="30"/>
  <c r="D20" i="30"/>
  <c r="E20" i="30"/>
  <c r="F20" i="30"/>
  <c r="G20" i="30"/>
  <c r="H20" i="30"/>
  <c r="I20" i="30"/>
  <c r="C21" i="30"/>
  <c r="D21" i="30"/>
  <c r="E21" i="30"/>
  <c r="F21" i="30"/>
  <c r="G21" i="30"/>
  <c r="H21" i="30"/>
  <c r="I21" i="30"/>
  <c r="C22" i="30"/>
  <c r="E22" i="30"/>
  <c r="F22" i="30"/>
  <c r="D22" i="30"/>
  <c r="G22" i="30"/>
  <c r="I22" i="30"/>
  <c r="H22" i="30"/>
  <c r="C23" i="30"/>
  <c r="D23" i="30"/>
  <c r="E23" i="30"/>
  <c r="F23" i="30"/>
  <c r="G23" i="30"/>
  <c r="H23" i="30"/>
  <c r="I23" i="30"/>
  <c r="C24" i="30"/>
  <c r="D24" i="30"/>
  <c r="E24" i="30"/>
  <c r="F24" i="30"/>
  <c r="G24" i="30"/>
  <c r="H24" i="30"/>
  <c r="I24" i="30"/>
  <c r="C25" i="30"/>
  <c r="D25" i="30"/>
  <c r="E25" i="30"/>
  <c r="F25" i="30"/>
  <c r="G25" i="30"/>
  <c r="H25" i="30"/>
  <c r="I25" i="30"/>
  <c r="C26" i="30"/>
  <c r="E26" i="30"/>
  <c r="F26" i="30"/>
  <c r="D26" i="30"/>
  <c r="G26" i="30"/>
  <c r="H26" i="30"/>
  <c r="I26" i="30"/>
  <c r="C27" i="30"/>
  <c r="E27" i="30"/>
  <c r="F27" i="30"/>
  <c r="D27" i="30"/>
  <c r="G27" i="30"/>
  <c r="H27" i="30"/>
  <c r="I27" i="30"/>
  <c r="C28" i="30"/>
  <c r="D28" i="30"/>
  <c r="E28" i="30"/>
  <c r="F28" i="30"/>
  <c r="G28" i="30"/>
  <c r="H28" i="30"/>
  <c r="I28" i="30"/>
  <c r="C29" i="30"/>
  <c r="D29" i="30"/>
  <c r="E29" i="30"/>
  <c r="F29" i="30"/>
  <c r="G29" i="30"/>
  <c r="H29" i="30"/>
  <c r="I29" i="30"/>
  <c r="C30" i="30"/>
  <c r="D30" i="30"/>
  <c r="E30" i="30"/>
  <c r="F30" i="30"/>
  <c r="G30" i="30"/>
  <c r="I30" i="30"/>
  <c r="H30" i="30"/>
  <c r="C31" i="30"/>
  <c r="E31" i="30"/>
  <c r="F31" i="30"/>
  <c r="D31" i="30"/>
  <c r="G31" i="30"/>
  <c r="H31" i="30"/>
  <c r="I31" i="30"/>
  <c r="C32" i="30"/>
  <c r="D32" i="30"/>
  <c r="E32" i="30"/>
  <c r="F32" i="30"/>
  <c r="G32" i="30"/>
  <c r="H32" i="30"/>
  <c r="I32" i="30"/>
  <c r="C33" i="30"/>
  <c r="D33" i="30"/>
  <c r="E33" i="30"/>
  <c r="F33" i="30"/>
  <c r="G33" i="30"/>
  <c r="H33" i="30"/>
  <c r="I33" i="30"/>
  <c r="C34" i="30"/>
  <c r="E34" i="30"/>
  <c r="F34" i="30"/>
  <c r="D34" i="30"/>
  <c r="G34" i="30"/>
  <c r="I34" i="30"/>
  <c r="H34" i="30"/>
  <c r="C35" i="30"/>
  <c r="D35" i="30"/>
  <c r="E35" i="30"/>
  <c r="F35" i="30"/>
  <c r="G35" i="30"/>
  <c r="H35" i="30"/>
  <c r="I35" i="30"/>
  <c r="C36" i="30"/>
  <c r="D36" i="30"/>
  <c r="E36" i="30"/>
  <c r="F36" i="30"/>
  <c r="G36" i="30"/>
  <c r="H36" i="30"/>
  <c r="I36" i="30"/>
  <c r="C37" i="30"/>
  <c r="D37" i="30"/>
  <c r="E37" i="30"/>
  <c r="F37" i="30"/>
  <c r="G37" i="30"/>
  <c r="H37" i="30"/>
  <c r="I37" i="30"/>
  <c r="C38" i="30"/>
  <c r="E38" i="30"/>
  <c r="F38" i="30"/>
  <c r="D38" i="30"/>
  <c r="G38" i="30"/>
  <c r="H38" i="30"/>
  <c r="I38" i="30"/>
  <c r="C39" i="30"/>
  <c r="E39" i="30"/>
  <c r="F39" i="30"/>
  <c r="D39" i="30"/>
  <c r="G39" i="30"/>
  <c r="H39" i="30"/>
  <c r="I39" i="30"/>
  <c r="C40" i="30"/>
  <c r="D40" i="30"/>
  <c r="E40" i="30"/>
  <c r="F40" i="30"/>
  <c r="G40" i="30"/>
  <c r="H40" i="30"/>
  <c r="I40" i="30"/>
  <c r="C41" i="30"/>
  <c r="D41" i="30"/>
  <c r="E41" i="30"/>
  <c r="F41" i="30"/>
  <c r="G41" i="30"/>
  <c r="H41" i="30"/>
  <c r="I41" i="30"/>
  <c r="C42" i="30"/>
  <c r="D42" i="30"/>
  <c r="E42" i="30"/>
  <c r="F42" i="30"/>
  <c r="G42" i="30"/>
  <c r="H42" i="30"/>
  <c r="I42" i="30"/>
  <c r="C43" i="30"/>
  <c r="E43" i="30"/>
  <c r="F43" i="30"/>
  <c r="D43" i="30"/>
  <c r="G43" i="30"/>
  <c r="H43" i="30"/>
  <c r="I43" i="30"/>
  <c r="C44" i="30"/>
  <c r="D44" i="30"/>
  <c r="E44" i="30"/>
  <c r="F44" i="30"/>
  <c r="G44" i="30"/>
  <c r="H44" i="30"/>
  <c r="I44" i="30"/>
  <c r="C45" i="30"/>
  <c r="D45" i="30"/>
  <c r="E45" i="30"/>
  <c r="F45" i="30"/>
  <c r="G45" i="30"/>
  <c r="H45" i="30"/>
  <c r="I45" i="30"/>
  <c r="C46" i="30"/>
  <c r="E46" i="30"/>
  <c r="F46" i="30"/>
  <c r="D46" i="30"/>
  <c r="G46" i="30"/>
  <c r="I46" i="30"/>
  <c r="H46" i="30"/>
  <c r="C47" i="30"/>
  <c r="D47" i="30"/>
  <c r="E47" i="30"/>
  <c r="F47" i="30"/>
  <c r="G47" i="30"/>
  <c r="H47" i="30"/>
  <c r="I47" i="30"/>
  <c r="C48" i="30"/>
  <c r="D48" i="30"/>
  <c r="E48" i="30"/>
  <c r="F48" i="30"/>
  <c r="G48" i="30"/>
  <c r="H48" i="30"/>
  <c r="I48" i="30"/>
  <c r="C49" i="30"/>
  <c r="D49" i="30"/>
  <c r="E49" i="30"/>
  <c r="F49" i="30"/>
  <c r="G49" i="30"/>
  <c r="H49" i="30"/>
  <c r="I49" i="30"/>
  <c r="C50" i="30"/>
  <c r="E50" i="30"/>
  <c r="F50" i="30"/>
  <c r="D50" i="30"/>
  <c r="G50" i="30"/>
  <c r="H50" i="30"/>
  <c r="I50" i="30"/>
  <c r="C51" i="30"/>
  <c r="E51" i="30"/>
  <c r="F51" i="30"/>
  <c r="D51" i="30"/>
  <c r="G51" i="30"/>
  <c r="H51" i="30"/>
  <c r="I51" i="30"/>
  <c r="C52" i="30"/>
  <c r="D52" i="30"/>
  <c r="E52" i="30"/>
  <c r="F52" i="30"/>
  <c r="G52" i="30"/>
  <c r="H52" i="30"/>
  <c r="I52" i="30"/>
  <c r="C53" i="30"/>
  <c r="E53" i="30"/>
  <c r="F53" i="30"/>
  <c r="D53" i="30"/>
  <c r="G53" i="30"/>
  <c r="H53" i="30"/>
  <c r="I53" i="30"/>
  <c r="C54" i="30"/>
  <c r="D54" i="30"/>
  <c r="E54" i="30"/>
  <c r="F54" i="30"/>
  <c r="G54" i="30"/>
  <c r="H54" i="30"/>
  <c r="I54" i="30"/>
  <c r="C55" i="30"/>
  <c r="E55" i="30"/>
  <c r="F55" i="30"/>
  <c r="D55" i="30"/>
  <c r="G55" i="30"/>
  <c r="H55" i="30"/>
  <c r="I55" i="30"/>
  <c r="C56" i="30"/>
  <c r="D56" i="30"/>
  <c r="E56" i="30"/>
  <c r="F56" i="30"/>
  <c r="G56" i="30"/>
  <c r="H56" i="30"/>
  <c r="I56" i="30"/>
  <c r="C57" i="30"/>
  <c r="D57" i="30"/>
  <c r="E57" i="30"/>
  <c r="F57" i="30"/>
  <c r="G57" i="30"/>
  <c r="H57" i="30"/>
  <c r="I57" i="30"/>
  <c r="C58" i="30"/>
  <c r="E58" i="30"/>
  <c r="F58" i="30"/>
  <c r="D58" i="30"/>
  <c r="G58" i="30"/>
  <c r="I58" i="30"/>
  <c r="H58" i="30"/>
  <c r="C59" i="30"/>
  <c r="D59" i="30"/>
  <c r="E59" i="30"/>
  <c r="F59" i="30"/>
  <c r="G59" i="30"/>
  <c r="H59" i="30"/>
  <c r="I59" i="30"/>
  <c r="C60" i="30"/>
  <c r="D60" i="30"/>
  <c r="E60" i="30"/>
  <c r="F60" i="30"/>
  <c r="G60" i="30"/>
  <c r="H60" i="30"/>
  <c r="I60" i="30"/>
  <c r="C61" i="30"/>
  <c r="D61" i="30"/>
  <c r="E61" i="30"/>
  <c r="F61" i="30"/>
  <c r="G61" i="30"/>
  <c r="H61" i="30"/>
  <c r="I61" i="30"/>
  <c r="C62" i="30"/>
  <c r="E62" i="30"/>
  <c r="F62" i="30"/>
  <c r="D62" i="30"/>
  <c r="G62" i="30"/>
  <c r="H62" i="30"/>
  <c r="I62" i="30"/>
  <c r="C63" i="30"/>
  <c r="E63" i="30"/>
  <c r="F63" i="30"/>
  <c r="D63" i="30"/>
  <c r="G63" i="30"/>
  <c r="H63" i="30"/>
  <c r="I63" i="30"/>
  <c r="C64" i="30"/>
  <c r="D64" i="30"/>
  <c r="E64" i="30"/>
  <c r="F64" i="30"/>
  <c r="G64" i="30"/>
  <c r="H64" i="30"/>
  <c r="I64" i="30"/>
  <c r="C65" i="30"/>
  <c r="E65" i="30"/>
  <c r="F65" i="30"/>
  <c r="D65" i="30"/>
  <c r="G65" i="30"/>
  <c r="H65" i="30"/>
  <c r="I65" i="30"/>
  <c r="C66" i="30"/>
  <c r="D66" i="30"/>
  <c r="E66" i="30"/>
  <c r="F66" i="30"/>
  <c r="G66" i="30"/>
  <c r="H66" i="30"/>
  <c r="I66" i="30"/>
  <c r="C67" i="30"/>
  <c r="E67" i="30"/>
  <c r="F67" i="30"/>
  <c r="D67" i="30"/>
  <c r="G67" i="30"/>
  <c r="H67" i="30"/>
  <c r="I67" i="30"/>
  <c r="C68" i="30"/>
  <c r="D68" i="30"/>
  <c r="E68" i="30"/>
  <c r="F68" i="30"/>
  <c r="G68" i="30"/>
  <c r="H68" i="30"/>
  <c r="I68" i="30"/>
  <c r="C16" i="18"/>
  <c r="C16" i="34" s="1"/>
  <c r="D16" i="18"/>
  <c r="E16" i="18"/>
  <c r="F16" i="18"/>
  <c r="G16" i="18"/>
  <c r="C17" i="18"/>
  <c r="D17" i="18"/>
  <c r="G17" i="18"/>
  <c r="C18" i="18"/>
  <c r="D18" i="18"/>
  <c r="G18" i="18"/>
  <c r="C19" i="18"/>
  <c r="D19" i="18"/>
  <c r="G19" i="18"/>
  <c r="C20" i="18"/>
  <c r="D20" i="18"/>
  <c r="E20" i="18"/>
  <c r="F20" i="18"/>
  <c r="G20" i="18"/>
  <c r="H20" i="18"/>
  <c r="I20" i="18" s="1"/>
  <c r="C21" i="18"/>
  <c r="D21" i="18"/>
  <c r="G21" i="18"/>
  <c r="C22" i="18"/>
  <c r="D22" i="18"/>
  <c r="E22" i="18"/>
  <c r="F22" i="18" s="1"/>
  <c r="G22" i="18"/>
  <c r="C23" i="18"/>
  <c r="C23" i="34" s="1"/>
  <c r="D23" i="18"/>
  <c r="E23" i="18"/>
  <c r="F23" i="18"/>
  <c r="G23" i="18"/>
  <c r="G23" i="34" s="1"/>
  <c r="C24" i="18"/>
  <c r="C24" i="34" s="1"/>
  <c r="D24" i="18"/>
  <c r="G24" i="18"/>
  <c r="G24" i="34" s="1"/>
  <c r="C25" i="18"/>
  <c r="C25" i="34" s="1"/>
  <c r="D25" i="18"/>
  <c r="G25" i="18"/>
  <c r="C26" i="18"/>
  <c r="C26" i="34" s="1"/>
  <c r="D26" i="18"/>
  <c r="G26" i="18"/>
  <c r="G26" i="34" s="1"/>
  <c r="C27" i="18"/>
  <c r="C27" i="34" s="1"/>
  <c r="D27" i="18"/>
  <c r="E27" i="18" s="1"/>
  <c r="F27" i="18" s="1"/>
  <c r="G27" i="18"/>
  <c r="C28" i="18"/>
  <c r="D28" i="18"/>
  <c r="G28" i="18"/>
  <c r="G28" i="34" s="1"/>
  <c r="C29" i="18"/>
  <c r="D29" i="18"/>
  <c r="G29" i="18"/>
  <c r="G29" i="34" s="1"/>
  <c r="C30" i="18"/>
  <c r="D30" i="18"/>
  <c r="G30" i="18"/>
  <c r="C31" i="18"/>
  <c r="C31" i="34" s="1"/>
  <c r="D31" i="18"/>
  <c r="E31" i="18"/>
  <c r="F31" i="18"/>
  <c r="G31" i="18"/>
  <c r="G31" i="34" s="1"/>
  <c r="C32" i="18"/>
  <c r="C32" i="34" s="1"/>
  <c r="D32" i="18"/>
  <c r="E32" i="18"/>
  <c r="F32" i="18" s="1"/>
  <c r="G32" i="18"/>
  <c r="G32" i="34" s="1"/>
  <c r="C33" i="18"/>
  <c r="D33" i="18"/>
  <c r="G33" i="18"/>
  <c r="C34" i="18"/>
  <c r="C34" i="34" s="1"/>
  <c r="D34" i="18"/>
  <c r="G34" i="18"/>
  <c r="C35" i="18"/>
  <c r="D35" i="18"/>
  <c r="E35" i="18"/>
  <c r="F35" i="18"/>
  <c r="G35" i="18"/>
  <c r="G35" i="34" s="1"/>
  <c r="H35" i="18"/>
  <c r="I35" i="18"/>
  <c r="C36" i="18"/>
  <c r="D36" i="18"/>
  <c r="G36" i="18"/>
  <c r="C37" i="18"/>
  <c r="D37" i="18"/>
  <c r="E37" i="18"/>
  <c r="F37" i="18" s="1"/>
  <c r="G37" i="18"/>
  <c r="C38" i="18"/>
  <c r="C38" i="34" s="1"/>
  <c r="D38" i="18"/>
  <c r="E38" i="18" s="1"/>
  <c r="F38" i="18" s="1"/>
  <c r="G38" i="18"/>
  <c r="C39" i="18"/>
  <c r="D39" i="18"/>
  <c r="G39" i="18"/>
  <c r="C40" i="18"/>
  <c r="D40" i="18"/>
  <c r="G40" i="18"/>
  <c r="C41" i="18"/>
  <c r="D41" i="18"/>
  <c r="E41" i="18"/>
  <c r="F41" i="18"/>
  <c r="G41" i="18"/>
  <c r="C42" i="18"/>
  <c r="C42" i="34" s="1"/>
  <c r="D42" i="18"/>
  <c r="G42" i="18"/>
  <c r="G42" i="34" s="1"/>
  <c r="C43" i="18"/>
  <c r="C43" i="34" s="1"/>
  <c r="D43" i="18"/>
  <c r="G43" i="18"/>
  <c r="C44" i="18"/>
  <c r="C44" i="34" s="1"/>
  <c r="D44" i="18"/>
  <c r="G44" i="18"/>
  <c r="G44" i="34" s="1"/>
  <c r="C45" i="18"/>
  <c r="D45" i="18"/>
  <c r="G45" i="18"/>
  <c r="C46" i="18"/>
  <c r="C46" i="34" s="1"/>
  <c r="D46" i="18"/>
  <c r="G46" i="18"/>
  <c r="G46" i="34" s="1"/>
  <c r="C47" i="18"/>
  <c r="D47" i="18"/>
  <c r="G47" i="18"/>
  <c r="G47" i="34" s="1"/>
  <c r="C48" i="18"/>
  <c r="D48" i="18"/>
  <c r="E48" i="18"/>
  <c r="F48" i="18"/>
  <c r="G48" i="18"/>
  <c r="C49" i="18"/>
  <c r="D49" i="18"/>
  <c r="E49" i="18"/>
  <c r="F49" i="18"/>
  <c r="G49" i="18"/>
  <c r="C50" i="18"/>
  <c r="D50" i="18"/>
  <c r="E50" i="18" s="1"/>
  <c r="F50" i="18" s="1"/>
  <c r="G50" i="18"/>
  <c r="C51" i="18"/>
  <c r="D51" i="18"/>
  <c r="E51" i="18" s="1"/>
  <c r="F51" i="18" s="1"/>
  <c r="G51" i="18"/>
  <c r="G51" i="34" s="1"/>
  <c r="H51" i="18"/>
  <c r="H51" i="34" s="1"/>
  <c r="C52" i="18"/>
  <c r="D52" i="18"/>
  <c r="E52" i="18"/>
  <c r="F52" i="18"/>
  <c r="G52" i="18"/>
  <c r="C53" i="18"/>
  <c r="D53" i="18"/>
  <c r="E53" i="18"/>
  <c r="F53" i="18" s="1"/>
  <c r="G53" i="18"/>
  <c r="G53" i="34" s="1"/>
  <c r="C54" i="18"/>
  <c r="C54" i="34" s="1"/>
  <c r="E54" i="34" s="1"/>
  <c r="F54" i="34" s="1"/>
  <c r="D54" i="18"/>
  <c r="G54" i="18"/>
  <c r="C55" i="18"/>
  <c r="C55" i="34" s="1"/>
  <c r="D55" i="18"/>
  <c r="E55" i="18"/>
  <c r="F55" i="18"/>
  <c r="G55" i="18"/>
  <c r="G55" i="34" s="1"/>
  <c r="C56" i="18"/>
  <c r="D56" i="18"/>
  <c r="G56" i="18"/>
  <c r="C57" i="18"/>
  <c r="D57" i="18"/>
  <c r="G57" i="18"/>
  <c r="G57" i="34" s="1"/>
  <c r="C58" i="18"/>
  <c r="C58" i="34" s="1"/>
  <c r="D58" i="18"/>
  <c r="G58" i="18"/>
  <c r="G58" i="34" s="1"/>
  <c r="C59" i="18"/>
  <c r="D59" i="18"/>
  <c r="E59" i="18"/>
  <c r="F59" i="18"/>
  <c r="G59" i="18"/>
  <c r="C60" i="18"/>
  <c r="D60" i="18"/>
  <c r="E60" i="18"/>
  <c r="F60" i="18"/>
  <c r="G60" i="18"/>
  <c r="G60" i="34" s="1"/>
  <c r="H60" i="18"/>
  <c r="H60" i="34" s="1"/>
  <c r="I60" i="18"/>
  <c r="C61" i="18"/>
  <c r="D61" i="18"/>
  <c r="G61" i="18"/>
  <c r="C62" i="18"/>
  <c r="D62" i="18"/>
  <c r="G62" i="18"/>
  <c r="G62" i="34" s="1"/>
  <c r="C63" i="18"/>
  <c r="D63" i="18"/>
  <c r="G63" i="18"/>
  <c r="G63" i="34" s="1"/>
  <c r="C64" i="18"/>
  <c r="D64" i="18"/>
  <c r="G64" i="18"/>
  <c r="C65" i="18"/>
  <c r="D65" i="18"/>
  <c r="E65" i="18"/>
  <c r="F65" i="18"/>
  <c r="G65" i="18"/>
  <c r="C66" i="18"/>
  <c r="D66" i="18"/>
  <c r="E66" i="18" s="1"/>
  <c r="F66" i="18" s="1"/>
  <c r="G66" i="18"/>
  <c r="C67" i="18"/>
  <c r="D67" i="18"/>
  <c r="E67" i="18"/>
  <c r="F67" i="18"/>
  <c r="G67" i="18"/>
  <c r="C68" i="18"/>
  <c r="D68" i="18"/>
  <c r="E68" i="18"/>
  <c r="F68" i="18" s="1"/>
  <c r="G68" i="18"/>
  <c r="G68" i="34" s="1"/>
  <c r="I19" i="21"/>
  <c r="I20" i="21"/>
  <c r="I21" i="21"/>
  <c r="I22" i="21"/>
  <c r="I28" i="21"/>
  <c r="I34" i="21"/>
  <c r="I35" i="21"/>
  <c r="I36" i="21"/>
  <c r="I42" i="21"/>
  <c r="I44" i="21"/>
  <c r="I47" i="21"/>
  <c r="I55" i="21"/>
  <c r="I68" i="21"/>
  <c r="I23" i="20"/>
  <c r="I24" i="20"/>
  <c r="I25" i="20"/>
  <c r="I26" i="20"/>
  <c r="I45" i="20"/>
  <c r="I46" i="20"/>
  <c r="I47" i="20"/>
  <c r="I60" i="20"/>
  <c r="I16" i="19"/>
  <c r="I17" i="19"/>
  <c r="I18" i="19"/>
  <c r="I19" i="19"/>
  <c r="I20" i="19"/>
  <c r="I21" i="19"/>
  <c r="I22" i="19"/>
  <c r="I23" i="19"/>
  <c r="I24" i="19"/>
  <c r="I25" i="19"/>
  <c r="I26" i="19"/>
  <c r="I27" i="19"/>
  <c r="I28" i="19"/>
  <c r="I29" i="19"/>
  <c r="I30" i="19"/>
  <c r="I31" i="19"/>
  <c r="I32" i="19"/>
  <c r="I33" i="19"/>
  <c r="I34" i="19"/>
  <c r="I35" i="19"/>
  <c r="I36" i="19"/>
  <c r="I37" i="19"/>
  <c r="I38" i="19"/>
  <c r="I39" i="19"/>
  <c r="I40" i="19"/>
  <c r="I41" i="19"/>
  <c r="I42" i="19"/>
  <c r="I43" i="19"/>
  <c r="I44" i="19"/>
  <c r="I45" i="19"/>
  <c r="I46" i="19"/>
  <c r="I47" i="19"/>
  <c r="I48" i="19"/>
  <c r="I49" i="19"/>
  <c r="I50" i="19"/>
  <c r="I51" i="19"/>
  <c r="I52" i="19"/>
  <c r="I53" i="19"/>
  <c r="I54" i="19"/>
  <c r="I55" i="19"/>
  <c r="I56" i="19"/>
  <c r="I57" i="19"/>
  <c r="I58" i="19"/>
  <c r="I59" i="19"/>
  <c r="I60" i="19"/>
  <c r="I61" i="19"/>
  <c r="I62" i="19"/>
  <c r="I63" i="19"/>
  <c r="I64" i="19"/>
  <c r="I65" i="19"/>
  <c r="I66" i="19"/>
  <c r="I67" i="19"/>
  <c r="I68" i="19"/>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16" i="27"/>
  <c r="I17" i="27"/>
  <c r="I18" i="27"/>
  <c r="I19" i="27"/>
  <c r="I20" i="27"/>
  <c r="I21" i="27"/>
  <c r="I22" i="27"/>
  <c r="I23" i="27"/>
  <c r="I24" i="27"/>
  <c r="I25" i="27"/>
  <c r="I26" i="27"/>
  <c r="I27" i="27"/>
  <c r="I28" i="27"/>
  <c r="I29" i="27"/>
  <c r="I30" i="27"/>
  <c r="I31" i="27"/>
  <c r="I32" i="27"/>
  <c r="I33" i="27"/>
  <c r="I34" i="27"/>
  <c r="I35" i="27"/>
  <c r="I36" i="27"/>
  <c r="I37" i="27"/>
  <c r="I38" i="27"/>
  <c r="I39" i="27"/>
  <c r="I40" i="27"/>
  <c r="I41" i="27"/>
  <c r="I42" i="27"/>
  <c r="I43" i="27"/>
  <c r="I44" i="27"/>
  <c r="I45" i="27"/>
  <c r="I46" i="27"/>
  <c r="I47" i="27"/>
  <c r="I48" i="27"/>
  <c r="I49" i="27"/>
  <c r="I50" i="27"/>
  <c r="I51" i="27"/>
  <c r="I52" i="27"/>
  <c r="I53" i="27"/>
  <c r="I54" i="27"/>
  <c r="I55" i="27"/>
  <c r="I56" i="27"/>
  <c r="I57" i="27"/>
  <c r="I58" i="27"/>
  <c r="I59" i="27"/>
  <c r="I60" i="27"/>
  <c r="I61" i="27"/>
  <c r="I62" i="27"/>
  <c r="I63" i="27"/>
  <c r="I64" i="27"/>
  <c r="I65" i="27"/>
  <c r="I66" i="27"/>
  <c r="I67" i="27"/>
  <c r="I68" i="27"/>
  <c r="I16" i="28"/>
  <c r="I17" i="28"/>
  <c r="I18" i="28"/>
  <c r="I19" i="28"/>
  <c r="I20" i="28"/>
  <c r="I21" i="28"/>
  <c r="I22" i="28"/>
  <c r="I23" i="28"/>
  <c r="I24" i="28"/>
  <c r="I25" i="28"/>
  <c r="I26" i="28"/>
  <c r="I27" i="28"/>
  <c r="I28" i="28"/>
  <c r="I29" i="28"/>
  <c r="I30" i="28"/>
  <c r="I31" i="28"/>
  <c r="I32" i="28"/>
  <c r="I33" i="28"/>
  <c r="I34" i="28"/>
  <c r="I35" i="28"/>
  <c r="I36" i="28"/>
  <c r="I37" i="28"/>
  <c r="I38" i="28"/>
  <c r="I39" i="28"/>
  <c r="I40" i="28"/>
  <c r="I41" i="28"/>
  <c r="I42" i="28"/>
  <c r="I43" i="28"/>
  <c r="I44" i="28"/>
  <c r="I45" i="28"/>
  <c r="I46" i="28"/>
  <c r="I47" i="28"/>
  <c r="I48" i="28"/>
  <c r="I49" i="28"/>
  <c r="I50" i="28"/>
  <c r="I51" i="28"/>
  <c r="I52" i="28"/>
  <c r="I53" i="28"/>
  <c r="I54" i="28"/>
  <c r="I55" i="28"/>
  <c r="I56" i="28"/>
  <c r="I57" i="28"/>
  <c r="I58" i="28"/>
  <c r="I59" i="28"/>
  <c r="I60" i="28"/>
  <c r="I61" i="28"/>
  <c r="I62" i="28"/>
  <c r="I63" i="28"/>
  <c r="I64" i="28"/>
  <c r="I65" i="28"/>
  <c r="I66" i="28"/>
  <c r="I67" i="28"/>
  <c r="I68" i="28"/>
  <c r="I16" i="31"/>
  <c r="I17" i="31"/>
  <c r="I18" i="31"/>
  <c r="I19" i="31"/>
  <c r="I20" i="31"/>
  <c r="I21" i="31"/>
  <c r="I22" i="31"/>
  <c r="I23" i="31"/>
  <c r="I24" i="31"/>
  <c r="I25" i="31"/>
  <c r="I26" i="31"/>
  <c r="I27" i="31"/>
  <c r="I28" i="31"/>
  <c r="I29" i="31"/>
  <c r="I30" i="31"/>
  <c r="I31" i="31"/>
  <c r="I32" i="31"/>
  <c r="I33" i="31"/>
  <c r="I34" i="31"/>
  <c r="I35" i="31"/>
  <c r="I36" i="31"/>
  <c r="I37" i="31"/>
  <c r="I38" i="31"/>
  <c r="I39" i="31"/>
  <c r="I40" i="31"/>
  <c r="I41" i="31"/>
  <c r="I42" i="31"/>
  <c r="I43" i="31"/>
  <c r="I44" i="31"/>
  <c r="I45" i="31"/>
  <c r="I46" i="31"/>
  <c r="I47" i="31"/>
  <c r="I48" i="31"/>
  <c r="I49" i="31"/>
  <c r="I50" i="31"/>
  <c r="I51" i="31"/>
  <c r="I52" i="31"/>
  <c r="I53" i="31"/>
  <c r="I54" i="31"/>
  <c r="I55" i="31"/>
  <c r="I56" i="31"/>
  <c r="I57" i="31"/>
  <c r="I58" i="31"/>
  <c r="I59" i="31"/>
  <c r="I60" i="31"/>
  <c r="I61" i="31"/>
  <c r="I62" i="31"/>
  <c r="I63" i="31"/>
  <c r="I64" i="31"/>
  <c r="I65" i="31"/>
  <c r="I66" i="31"/>
  <c r="I67" i="31"/>
  <c r="I68" i="31"/>
  <c r="I16" i="32"/>
  <c r="I17" i="32"/>
  <c r="I18" i="32"/>
  <c r="I19" i="32"/>
  <c r="I20" i="32"/>
  <c r="I21" i="32"/>
  <c r="I22" i="32"/>
  <c r="I23" i="32"/>
  <c r="I24" i="32"/>
  <c r="I25" i="32"/>
  <c r="I26" i="32"/>
  <c r="I27" i="32"/>
  <c r="I28" i="32"/>
  <c r="I29" i="32"/>
  <c r="I30" i="32"/>
  <c r="I31" i="32"/>
  <c r="I32" i="32"/>
  <c r="I33" i="32"/>
  <c r="I34" i="32"/>
  <c r="I35" i="32"/>
  <c r="I36" i="32"/>
  <c r="I37" i="32"/>
  <c r="I38" i="32"/>
  <c r="I39" i="32"/>
  <c r="I40" i="32"/>
  <c r="I41" i="32"/>
  <c r="I42" i="32"/>
  <c r="I43" i="32"/>
  <c r="I44" i="32"/>
  <c r="I45" i="32"/>
  <c r="I46" i="32"/>
  <c r="I47" i="32"/>
  <c r="I48" i="32"/>
  <c r="I49" i="32"/>
  <c r="I50" i="32"/>
  <c r="I51" i="32"/>
  <c r="I52" i="32"/>
  <c r="I53" i="32"/>
  <c r="I54" i="32"/>
  <c r="I55" i="32"/>
  <c r="I56" i="32"/>
  <c r="I57" i="32"/>
  <c r="I58" i="32"/>
  <c r="I59" i="32"/>
  <c r="I60" i="32"/>
  <c r="I61" i="32"/>
  <c r="I62" i="32"/>
  <c r="I63" i="32"/>
  <c r="I64" i="32"/>
  <c r="I65" i="32"/>
  <c r="I66" i="32"/>
  <c r="I67" i="32"/>
  <c r="I68" i="32"/>
  <c r="I16" i="33"/>
  <c r="I17" i="33"/>
  <c r="I18" i="33"/>
  <c r="I19" i="33"/>
  <c r="I20" i="33"/>
  <c r="I21" i="33"/>
  <c r="I22" i="33"/>
  <c r="I23" i="33"/>
  <c r="I24" i="33"/>
  <c r="I25" i="33"/>
  <c r="I26" i="33"/>
  <c r="I27" i="33"/>
  <c r="I28" i="33"/>
  <c r="I29" i="33"/>
  <c r="I30" i="33"/>
  <c r="I31" i="33"/>
  <c r="I32" i="33"/>
  <c r="I33" i="33"/>
  <c r="I34" i="33"/>
  <c r="I35" i="33"/>
  <c r="I36" i="33"/>
  <c r="I37" i="33"/>
  <c r="I38" i="33"/>
  <c r="I39" i="33"/>
  <c r="I40" i="33"/>
  <c r="I41" i="33"/>
  <c r="I42" i="33"/>
  <c r="I43" i="33"/>
  <c r="I44" i="33"/>
  <c r="I45" i="33"/>
  <c r="I46" i="33"/>
  <c r="I47" i="33"/>
  <c r="I48" i="33"/>
  <c r="I49" i="33"/>
  <c r="I50" i="33"/>
  <c r="I51" i="33"/>
  <c r="I52" i="33"/>
  <c r="I53" i="33"/>
  <c r="I54" i="33"/>
  <c r="I55" i="33"/>
  <c r="I56" i="33"/>
  <c r="I57" i="33"/>
  <c r="I58" i="33"/>
  <c r="I59" i="33"/>
  <c r="I60" i="33"/>
  <c r="I61" i="33"/>
  <c r="I62" i="33"/>
  <c r="I63" i="33"/>
  <c r="I64" i="33"/>
  <c r="I65" i="33"/>
  <c r="I66" i="33"/>
  <c r="I67" i="33"/>
  <c r="I68" i="33"/>
  <c r="H17" i="33"/>
  <c r="H18" i="33"/>
  <c r="H19" i="33"/>
  <c r="H20" i="33"/>
  <c r="H21" i="33"/>
  <c r="H22" i="33"/>
  <c r="H23" i="33"/>
  <c r="H24" i="33"/>
  <c r="H25" i="33"/>
  <c r="H26" i="33"/>
  <c r="H27" i="33"/>
  <c r="H28" i="33"/>
  <c r="H29" i="33"/>
  <c r="H30" i="33"/>
  <c r="H31" i="33"/>
  <c r="H32" i="33"/>
  <c r="H33" i="33"/>
  <c r="H34" i="33"/>
  <c r="H35" i="33"/>
  <c r="H36" i="33"/>
  <c r="H37" i="33"/>
  <c r="H38" i="33"/>
  <c r="H39" i="33"/>
  <c r="H40" i="33"/>
  <c r="H41" i="33"/>
  <c r="H42" i="33"/>
  <c r="H43" i="33"/>
  <c r="H44" i="33"/>
  <c r="H45" i="33"/>
  <c r="H46" i="33"/>
  <c r="H47" i="33"/>
  <c r="H48" i="33"/>
  <c r="H49" i="33"/>
  <c r="H50" i="33"/>
  <c r="H51" i="33"/>
  <c r="H52" i="33"/>
  <c r="H53" i="33"/>
  <c r="H54" i="33"/>
  <c r="H55" i="33"/>
  <c r="H56" i="33"/>
  <c r="H57" i="33"/>
  <c r="H58" i="33"/>
  <c r="H59" i="33"/>
  <c r="H60" i="33"/>
  <c r="H61" i="33"/>
  <c r="H62" i="33"/>
  <c r="H63" i="33"/>
  <c r="H64" i="33"/>
  <c r="H65" i="33"/>
  <c r="H66" i="33"/>
  <c r="H67" i="33"/>
  <c r="H68" i="33"/>
  <c r="E17" i="33"/>
  <c r="F17" i="33"/>
  <c r="E18" i="33"/>
  <c r="E19" i="33"/>
  <c r="E20" i="33"/>
  <c r="E21" i="33"/>
  <c r="E22" i="33"/>
  <c r="E23" i="33"/>
  <c r="E24" i="33"/>
  <c r="E25" i="33"/>
  <c r="E26" i="33"/>
  <c r="E27" i="33"/>
  <c r="E28" i="33"/>
  <c r="E29" i="33"/>
  <c r="E30" i="33"/>
  <c r="E31" i="33"/>
  <c r="E32" i="33"/>
  <c r="E33" i="33"/>
  <c r="E34" i="33"/>
  <c r="E35" i="33"/>
  <c r="E36" i="33"/>
  <c r="E37" i="33"/>
  <c r="E38" i="33"/>
  <c r="E39" i="33"/>
  <c r="E40" i="33"/>
  <c r="E41" i="33"/>
  <c r="E42" i="33"/>
  <c r="E43" i="33"/>
  <c r="E44" i="33"/>
  <c r="E45" i="33"/>
  <c r="E46" i="33"/>
  <c r="E47" i="33"/>
  <c r="E48" i="33"/>
  <c r="E49" i="33"/>
  <c r="E50" i="33"/>
  <c r="E51" i="33"/>
  <c r="E52" i="33"/>
  <c r="E53" i="33"/>
  <c r="E54" i="33"/>
  <c r="E55" i="33"/>
  <c r="E56" i="33"/>
  <c r="E57" i="33"/>
  <c r="E58" i="33"/>
  <c r="E59" i="33"/>
  <c r="E60" i="33"/>
  <c r="E61" i="33"/>
  <c r="E62" i="33"/>
  <c r="E63" i="33"/>
  <c r="E64" i="33"/>
  <c r="E65" i="33"/>
  <c r="E66" i="33"/>
  <c r="E67" i="33"/>
  <c r="E68" i="33"/>
  <c r="G26" i="29"/>
  <c r="G27" i="29"/>
  <c r="D67" i="29"/>
  <c r="D68" i="29"/>
  <c r="C67" i="29"/>
  <c r="C68" i="29"/>
  <c r="G61" i="29"/>
  <c r="G62" i="29"/>
  <c r="G63" i="29"/>
  <c r="G64" i="29"/>
  <c r="G65" i="29"/>
  <c r="G66" i="29"/>
  <c r="G67" i="29"/>
  <c r="G68" i="29"/>
  <c r="G55" i="29"/>
  <c r="G56" i="29"/>
  <c r="G57" i="29"/>
  <c r="G46" i="29"/>
  <c r="G47" i="29"/>
  <c r="G40" i="29"/>
  <c r="H18" i="32"/>
  <c r="H19" i="32"/>
  <c r="H20" i="32"/>
  <c r="H21" i="32"/>
  <c r="H22" i="32"/>
  <c r="H23" i="32"/>
  <c r="H24" i="32"/>
  <c r="H25" i="32"/>
  <c r="H26" i="32"/>
  <c r="H27" i="32"/>
  <c r="H28" i="32"/>
  <c r="H29" i="32"/>
  <c r="H30" i="32"/>
  <c r="H31" i="32"/>
  <c r="H32" i="32"/>
  <c r="H33" i="32"/>
  <c r="H34" i="32"/>
  <c r="H35" i="32"/>
  <c r="H36" i="32"/>
  <c r="H37" i="32"/>
  <c r="H38" i="32"/>
  <c r="H39" i="32"/>
  <c r="H40" i="32"/>
  <c r="H41" i="32"/>
  <c r="H42" i="32"/>
  <c r="H43" i="32"/>
  <c r="H44" i="32"/>
  <c r="H45" i="32"/>
  <c r="H46" i="32"/>
  <c r="H47" i="32"/>
  <c r="H48" i="32"/>
  <c r="H49" i="32"/>
  <c r="H50" i="32"/>
  <c r="H51" i="32"/>
  <c r="H52" i="32"/>
  <c r="H53" i="32"/>
  <c r="H54" i="32"/>
  <c r="H55" i="32"/>
  <c r="H56" i="32"/>
  <c r="H57" i="32"/>
  <c r="H58" i="32"/>
  <c r="H59" i="32"/>
  <c r="H60" i="32"/>
  <c r="H61" i="32"/>
  <c r="H62" i="32"/>
  <c r="H63" i="32"/>
  <c r="H64" i="32"/>
  <c r="H65" i="32"/>
  <c r="H66" i="32"/>
  <c r="H67" i="32"/>
  <c r="H68" i="32"/>
  <c r="E18" i="32"/>
  <c r="E19" i="32"/>
  <c r="E20" i="32"/>
  <c r="E21" i="32"/>
  <c r="E22" i="32"/>
  <c r="E23" i="32"/>
  <c r="E24" i="32"/>
  <c r="E25" i="32"/>
  <c r="E26" i="32"/>
  <c r="E27" i="32"/>
  <c r="E28" i="32"/>
  <c r="E29" i="32"/>
  <c r="E30" i="32"/>
  <c r="E31" i="32"/>
  <c r="E32" i="32"/>
  <c r="E33" i="32"/>
  <c r="E34" i="32"/>
  <c r="E35" i="32"/>
  <c r="E36" i="32"/>
  <c r="E37" i="32"/>
  <c r="E38" i="32"/>
  <c r="E39" i="32"/>
  <c r="E40" i="32"/>
  <c r="E41" i="32"/>
  <c r="E42" i="32"/>
  <c r="E43" i="32"/>
  <c r="E44" i="32"/>
  <c r="E45" i="32"/>
  <c r="E46" i="32"/>
  <c r="E47" i="32"/>
  <c r="E48" i="32"/>
  <c r="E49" i="32"/>
  <c r="E50" i="32"/>
  <c r="E51" i="32"/>
  <c r="E52" i="32"/>
  <c r="E53" i="32"/>
  <c r="E54" i="32"/>
  <c r="E55" i="32"/>
  <c r="E56" i="32"/>
  <c r="E57" i="32"/>
  <c r="E58" i="32"/>
  <c r="E59" i="32"/>
  <c r="E60" i="32"/>
  <c r="E61" i="32"/>
  <c r="E62" i="32"/>
  <c r="E63" i="32"/>
  <c r="E64" i="32"/>
  <c r="E65" i="32"/>
  <c r="E66" i="32"/>
  <c r="E67" i="32"/>
  <c r="E68" i="32"/>
  <c r="G6" i="30"/>
  <c r="G7" i="30"/>
  <c r="G8" i="30"/>
  <c r="G9" i="30"/>
  <c r="G10" i="30"/>
  <c r="G11" i="30"/>
  <c r="G12" i="30"/>
  <c r="G13" i="30"/>
  <c r="G14" i="30"/>
  <c r="G15" i="30"/>
  <c r="G16" i="30"/>
  <c r="G5" i="30"/>
  <c r="G4" i="30"/>
  <c r="A4" i="31" a="1"/>
  <c r="A4" i="31"/>
  <c r="E26" i="31"/>
  <c r="E27" i="31"/>
  <c r="E28" i="31"/>
  <c r="E29" i="31"/>
  <c r="E30" i="31"/>
  <c r="E31" i="31"/>
  <c r="E32" i="31"/>
  <c r="E33" i="31"/>
  <c r="E34" i="31"/>
  <c r="E35" i="31"/>
  <c r="E36" i="31"/>
  <c r="E37" i="31"/>
  <c r="E38" i="31"/>
  <c r="E39" i="31"/>
  <c r="E40" i="31"/>
  <c r="E41" i="31"/>
  <c r="E42" i="31"/>
  <c r="E43" i="31"/>
  <c r="E44" i="31"/>
  <c r="E45" i="31"/>
  <c r="E46" i="31"/>
  <c r="E47" i="31"/>
  <c r="E48" i="31"/>
  <c r="E49" i="31"/>
  <c r="E50" i="31"/>
  <c r="E51" i="31"/>
  <c r="E52" i="31"/>
  <c r="E53" i="31"/>
  <c r="E54" i="31"/>
  <c r="E55" i="31"/>
  <c r="E56" i="31"/>
  <c r="E57" i="31"/>
  <c r="E58" i="31"/>
  <c r="E59" i="31"/>
  <c r="E60" i="31"/>
  <c r="E61" i="31"/>
  <c r="E62" i="31"/>
  <c r="E63" i="31"/>
  <c r="E64" i="31"/>
  <c r="E65" i="31"/>
  <c r="E66" i="31"/>
  <c r="E67" i="31"/>
  <c r="E68" i="31"/>
  <c r="H17" i="31"/>
  <c r="H18" i="31"/>
  <c r="H19" i="31"/>
  <c r="H20" i="31"/>
  <c r="H21" i="31"/>
  <c r="H22" i="31"/>
  <c r="H23" i="31"/>
  <c r="H24" i="31"/>
  <c r="H25" i="31"/>
  <c r="H26" i="31"/>
  <c r="H27" i="31"/>
  <c r="H28" i="31"/>
  <c r="H29" i="31"/>
  <c r="H30" i="31"/>
  <c r="H31" i="31"/>
  <c r="H32" i="31"/>
  <c r="H33" i="31"/>
  <c r="H34" i="31"/>
  <c r="H35" i="31"/>
  <c r="H36" i="31"/>
  <c r="H37" i="31"/>
  <c r="H38" i="31"/>
  <c r="H39" i="31"/>
  <c r="H40" i="31"/>
  <c r="H41" i="31"/>
  <c r="H42" i="31"/>
  <c r="H43" i="31"/>
  <c r="H44" i="31"/>
  <c r="H45" i="31"/>
  <c r="H46" i="31"/>
  <c r="H47" i="31"/>
  <c r="H48" i="31"/>
  <c r="H49" i="31"/>
  <c r="H50" i="31"/>
  <c r="H51" i="31"/>
  <c r="H52" i="31"/>
  <c r="H53" i="31"/>
  <c r="H54" i="31"/>
  <c r="H55" i="31"/>
  <c r="H56" i="31"/>
  <c r="H57" i="31"/>
  <c r="H58" i="31"/>
  <c r="H59" i="31"/>
  <c r="H60" i="31"/>
  <c r="H61" i="31"/>
  <c r="H62" i="31"/>
  <c r="H63" i="31"/>
  <c r="H64" i="31"/>
  <c r="H65" i="31"/>
  <c r="H66" i="31"/>
  <c r="H67" i="31"/>
  <c r="H68" i="31"/>
  <c r="E18" i="31"/>
  <c r="E19" i="31"/>
  <c r="E20" i="31"/>
  <c r="E21" i="31"/>
  <c r="E22" i="31"/>
  <c r="E23" i="31"/>
  <c r="E24" i="31"/>
  <c r="E25" i="31"/>
  <c r="H65" i="28"/>
  <c r="H60" i="28"/>
  <c r="H64" i="28"/>
  <c r="H63" i="28"/>
  <c r="H62" i="28"/>
  <c r="H59" i="28"/>
  <c r="H38" i="28"/>
  <c r="H37" i="28"/>
  <c r="H36" i="28"/>
  <c r="H35" i="28"/>
  <c r="H34" i="28"/>
  <c r="H33" i="28"/>
  <c r="H39" i="28"/>
  <c r="H44" i="28"/>
  <c r="H32" i="28"/>
  <c r="H25" i="28"/>
  <c r="H24" i="28"/>
  <c r="H23" i="28"/>
  <c r="H22" i="28"/>
  <c r="H21" i="28"/>
  <c r="H19" i="28"/>
  <c r="H20" i="28"/>
  <c r="H26" i="28"/>
  <c r="H31" i="28"/>
  <c r="H30" i="28"/>
  <c r="H50" i="28"/>
  <c r="H48" i="28"/>
  <c r="E19" i="28"/>
  <c r="E20" i="28"/>
  <c r="H57" i="28"/>
  <c r="H58" i="28"/>
  <c r="H28" i="28"/>
  <c r="H29" i="28"/>
  <c r="H42" i="28"/>
  <c r="A3" i="27" a="1"/>
  <c r="A3" i="27"/>
  <c r="H18" i="28"/>
  <c r="H27" i="28"/>
  <c r="H40" i="28"/>
  <c r="H41" i="28"/>
  <c r="H40" i="29"/>
  <c r="H43" i="28"/>
  <c r="H45" i="28"/>
  <c r="H46" i="28"/>
  <c r="H47" i="28"/>
  <c r="H49" i="28"/>
  <c r="H51" i="28"/>
  <c r="H52" i="28"/>
  <c r="H53" i="28"/>
  <c r="H54" i="28"/>
  <c r="H55" i="28"/>
  <c r="H56" i="28"/>
  <c r="H55" i="29"/>
  <c r="H61" i="28"/>
  <c r="H66" i="28"/>
  <c r="H67" i="28"/>
  <c r="H68" i="28"/>
  <c r="E18" i="28"/>
  <c r="F18" i="28"/>
  <c r="E21" i="28"/>
  <c r="F21" i="28"/>
  <c r="E22" i="28"/>
  <c r="F22" i="28"/>
  <c r="E23" i="28"/>
  <c r="F23" i="28"/>
  <c r="E24" i="28"/>
  <c r="F24" i="28"/>
  <c r="E25" i="28"/>
  <c r="F25" i="28"/>
  <c r="E26" i="28"/>
  <c r="F26" i="28"/>
  <c r="E27" i="28"/>
  <c r="F27" i="28"/>
  <c r="E28" i="28"/>
  <c r="F28" i="28"/>
  <c r="E29" i="28"/>
  <c r="F29" i="28"/>
  <c r="E30" i="28"/>
  <c r="F30" i="28"/>
  <c r="E31" i="28"/>
  <c r="F31" i="28"/>
  <c r="E32" i="28"/>
  <c r="F32" i="28"/>
  <c r="E33" i="28"/>
  <c r="F33" i="28"/>
  <c r="E34" i="28"/>
  <c r="F34" i="28"/>
  <c r="E35" i="28"/>
  <c r="F35" i="28"/>
  <c r="E36" i="28"/>
  <c r="F36" i="28"/>
  <c r="E37" i="28"/>
  <c r="F37" i="28"/>
  <c r="E38" i="28"/>
  <c r="F38" i="28"/>
  <c r="E39" i="28"/>
  <c r="F39" i="28"/>
  <c r="E40" i="28"/>
  <c r="F40" i="28"/>
  <c r="E41" i="28"/>
  <c r="F41" i="28"/>
  <c r="E42" i="28"/>
  <c r="F42" i="28"/>
  <c r="E43" i="28"/>
  <c r="F43" i="28"/>
  <c r="E44" i="28"/>
  <c r="F44" i="28"/>
  <c r="E45" i="28"/>
  <c r="F45" i="28"/>
  <c r="E46" i="28"/>
  <c r="F46" i="28"/>
  <c r="E47" i="28"/>
  <c r="F47" i="28"/>
  <c r="E48" i="28"/>
  <c r="F48" i="28"/>
  <c r="E49" i="28"/>
  <c r="F49" i="28"/>
  <c r="E50" i="28"/>
  <c r="F50" i="28"/>
  <c r="E51" i="28"/>
  <c r="F51" i="28"/>
  <c r="E52" i="28"/>
  <c r="F52" i="28"/>
  <c r="E53" i="28"/>
  <c r="F53" i="28"/>
  <c r="E54" i="28"/>
  <c r="F54" i="28"/>
  <c r="E55" i="28"/>
  <c r="F55" i="28"/>
  <c r="E56" i="28"/>
  <c r="F56" i="28"/>
  <c r="E57" i="28"/>
  <c r="F57" i="28"/>
  <c r="E58" i="28"/>
  <c r="F58" i="28"/>
  <c r="E59" i="28"/>
  <c r="F59" i="28"/>
  <c r="E60" i="28"/>
  <c r="F60" i="28"/>
  <c r="E61" i="28"/>
  <c r="F61" i="28"/>
  <c r="E62" i="28"/>
  <c r="F62" i="28"/>
  <c r="E63" i="28"/>
  <c r="F63" i="28"/>
  <c r="E64" i="28"/>
  <c r="F64" i="28"/>
  <c r="E65" i="28"/>
  <c r="F65" i="28"/>
  <c r="E66" i="28"/>
  <c r="F66" i="28"/>
  <c r="E67" i="28"/>
  <c r="F67" i="28"/>
  <c r="E68" i="28"/>
  <c r="F68" i="28"/>
  <c r="H18" i="27"/>
  <c r="H19" i="27"/>
  <c r="H20" i="27"/>
  <c r="H21" i="27"/>
  <c r="H22" i="27"/>
  <c r="H23" i="27"/>
  <c r="H24" i="27"/>
  <c r="H25" i="27"/>
  <c r="H26" i="27"/>
  <c r="H27" i="27"/>
  <c r="H28" i="27"/>
  <c r="H29" i="27"/>
  <c r="H30" i="27"/>
  <c r="H31" i="27"/>
  <c r="H32" i="27"/>
  <c r="H33" i="27"/>
  <c r="H34" i="27"/>
  <c r="H35" i="27"/>
  <c r="H36" i="27"/>
  <c r="H37" i="27"/>
  <c r="H38" i="27"/>
  <c r="H39" i="27"/>
  <c r="H40" i="27"/>
  <c r="H41" i="27"/>
  <c r="H42" i="27"/>
  <c r="H43" i="27"/>
  <c r="H44" i="27"/>
  <c r="H45" i="27"/>
  <c r="H46" i="27"/>
  <c r="H47" i="27"/>
  <c r="H48" i="27"/>
  <c r="H49" i="27"/>
  <c r="H50" i="27"/>
  <c r="H51" i="27"/>
  <c r="H52" i="27"/>
  <c r="H53" i="27"/>
  <c r="H54" i="27"/>
  <c r="H55" i="27"/>
  <c r="H56" i="27"/>
  <c r="H57" i="27"/>
  <c r="H58" i="27"/>
  <c r="H59" i="27"/>
  <c r="H60" i="27"/>
  <c r="H61" i="27"/>
  <c r="H62" i="27"/>
  <c r="H63" i="27"/>
  <c r="H64" i="27"/>
  <c r="H65" i="27"/>
  <c r="H66" i="27"/>
  <c r="H67" i="27"/>
  <c r="H68" i="27"/>
  <c r="I4" i="27"/>
  <c r="I5" i="27"/>
  <c r="H4" i="27"/>
  <c r="H5" i="27"/>
  <c r="H6" i="27"/>
  <c r="I6" i="27"/>
  <c r="H7" i="27"/>
  <c r="I7" i="27"/>
  <c r="H8" i="27"/>
  <c r="I8" i="27"/>
  <c r="H9" i="27"/>
  <c r="I9" i="27"/>
  <c r="H10" i="27"/>
  <c r="I10" i="27"/>
  <c r="E18" i="27"/>
  <c r="F18" i="27"/>
  <c r="E19" i="27"/>
  <c r="F19" i="27"/>
  <c r="E20" i="27"/>
  <c r="F20" i="27"/>
  <c r="E21" i="27"/>
  <c r="F21" i="27"/>
  <c r="E22" i="27"/>
  <c r="F22" i="27"/>
  <c r="E23" i="27"/>
  <c r="F23" i="27"/>
  <c r="E24" i="27"/>
  <c r="F24" i="27"/>
  <c r="E25" i="27"/>
  <c r="F25" i="27"/>
  <c r="E26" i="27"/>
  <c r="F26" i="27"/>
  <c r="E27" i="27"/>
  <c r="F27" i="27"/>
  <c r="E28" i="27"/>
  <c r="F28" i="27"/>
  <c r="E29" i="27"/>
  <c r="F29" i="27"/>
  <c r="E30" i="27"/>
  <c r="F30" i="27"/>
  <c r="E31" i="27"/>
  <c r="F31" i="27"/>
  <c r="E32" i="27"/>
  <c r="F32" i="27"/>
  <c r="E33" i="27"/>
  <c r="F33" i="27"/>
  <c r="E34" i="27"/>
  <c r="F34" i="27"/>
  <c r="E35" i="27"/>
  <c r="F35" i="27"/>
  <c r="E36" i="27"/>
  <c r="F36" i="27"/>
  <c r="E37" i="27"/>
  <c r="F37" i="27"/>
  <c r="E38" i="27"/>
  <c r="F38" i="27"/>
  <c r="E39" i="27"/>
  <c r="F39" i="27"/>
  <c r="E40" i="27"/>
  <c r="F40" i="27"/>
  <c r="E41" i="27"/>
  <c r="F41" i="27"/>
  <c r="E42" i="27"/>
  <c r="F42" i="27"/>
  <c r="E43" i="27"/>
  <c r="F43" i="27"/>
  <c r="E44" i="27"/>
  <c r="F44" i="27"/>
  <c r="E45" i="27"/>
  <c r="F45" i="27"/>
  <c r="E46" i="27"/>
  <c r="F46" i="27"/>
  <c r="E47" i="27"/>
  <c r="F47" i="27"/>
  <c r="E48" i="27"/>
  <c r="F48" i="27"/>
  <c r="E49" i="27"/>
  <c r="F49" i="27"/>
  <c r="E50" i="27"/>
  <c r="F50" i="27"/>
  <c r="E51" i="27"/>
  <c r="F51" i="27"/>
  <c r="E52" i="27"/>
  <c r="F52" i="27"/>
  <c r="E53" i="27"/>
  <c r="F53" i="27"/>
  <c r="E54" i="27"/>
  <c r="F54" i="27"/>
  <c r="E55" i="27"/>
  <c r="F55" i="27"/>
  <c r="E56" i="27"/>
  <c r="F56" i="27"/>
  <c r="E57" i="27"/>
  <c r="F57" i="27"/>
  <c r="E58" i="27"/>
  <c r="F58" i="27"/>
  <c r="E59" i="27"/>
  <c r="F59" i="27"/>
  <c r="E60" i="27"/>
  <c r="F60" i="27"/>
  <c r="E61" i="27"/>
  <c r="F61" i="27"/>
  <c r="E62" i="27"/>
  <c r="F62" i="27"/>
  <c r="E63" i="27"/>
  <c r="F63" i="27"/>
  <c r="E64" i="27"/>
  <c r="F64" i="27"/>
  <c r="E65" i="27"/>
  <c r="F65" i="27"/>
  <c r="E66" i="27"/>
  <c r="F66" i="27"/>
  <c r="E67" i="27"/>
  <c r="F67" i="27"/>
  <c r="E68" i="27"/>
  <c r="F68" i="27"/>
  <c r="E4" i="27"/>
  <c r="F4" i="27"/>
  <c r="E5" i="27"/>
  <c r="F5" i="27"/>
  <c r="E6" i="27"/>
  <c r="F6" i="27"/>
  <c r="E7" i="27"/>
  <c r="F7" i="27"/>
  <c r="E8" i="27"/>
  <c r="F8" i="27"/>
  <c r="E9" i="27"/>
  <c r="F9" i="27"/>
  <c r="E10" i="27"/>
  <c r="F10" i="27"/>
  <c r="C26" i="1"/>
  <c r="D26" i="1"/>
  <c r="G26" i="1"/>
  <c r="C27" i="1"/>
  <c r="D27" i="1"/>
  <c r="G27" i="1"/>
  <c r="C28" i="1"/>
  <c r="D28" i="1"/>
  <c r="G28" i="1"/>
  <c r="C29" i="1"/>
  <c r="D29" i="1"/>
  <c r="G29" i="1"/>
  <c r="C30" i="1"/>
  <c r="D30" i="1"/>
  <c r="G30" i="1"/>
  <c r="C31" i="1"/>
  <c r="D31" i="1"/>
  <c r="G31" i="1"/>
  <c r="C32" i="1"/>
  <c r="D32" i="1"/>
  <c r="G32" i="1"/>
  <c r="C33" i="1"/>
  <c r="D33" i="1"/>
  <c r="G33" i="1"/>
  <c r="C34" i="1"/>
  <c r="D34" i="1"/>
  <c r="E34" i="1"/>
  <c r="F34" i="1"/>
  <c r="G34" i="1"/>
  <c r="C35" i="1"/>
  <c r="D35" i="1"/>
  <c r="G35" i="1"/>
  <c r="C36" i="1"/>
  <c r="D36" i="1"/>
  <c r="G36" i="1"/>
  <c r="C37" i="1"/>
  <c r="D37" i="1"/>
  <c r="G37" i="1"/>
  <c r="C38" i="1"/>
  <c r="D38" i="1"/>
  <c r="G38" i="1"/>
  <c r="C39" i="1"/>
  <c r="D39" i="1"/>
  <c r="G39" i="1"/>
  <c r="C40" i="1"/>
  <c r="D40" i="1"/>
  <c r="G40" i="1"/>
  <c r="C41" i="1"/>
  <c r="D41" i="1"/>
  <c r="G41" i="1"/>
  <c r="C42" i="1"/>
  <c r="D42" i="1"/>
  <c r="E42" i="1"/>
  <c r="F42" i="1"/>
  <c r="G42" i="1"/>
  <c r="C43" i="1"/>
  <c r="D43" i="1"/>
  <c r="G43" i="1"/>
  <c r="C44" i="1"/>
  <c r="D44" i="1"/>
  <c r="G44" i="1"/>
  <c r="C45" i="1"/>
  <c r="D45" i="1"/>
  <c r="G45" i="1"/>
  <c r="C46" i="1"/>
  <c r="D46" i="1"/>
  <c r="G46" i="1"/>
  <c r="C47" i="1"/>
  <c r="D47" i="1"/>
  <c r="G47" i="1"/>
  <c r="C48" i="1"/>
  <c r="D48" i="1"/>
  <c r="G48" i="1"/>
  <c r="C49" i="1"/>
  <c r="D49" i="1"/>
  <c r="G49" i="1"/>
  <c r="C50" i="1"/>
  <c r="D50" i="1"/>
  <c r="G50" i="1"/>
  <c r="C51" i="1"/>
  <c r="D51" i="1"/>
  <c r="G51" i="1"/>
  <c r="C52" i="1"/>
  <c r="D52" i="1"/>
  <c r="G52" i="1"/>
  <c r="C53" i="1"/>
  <c r="D53" i="1"/>
  <c r="G53" i="1"/>
  <c r="C54" i="1"/>
  <c r="D54" i="1"/>
  <c r="G54" i="1"/>
  <c r="C55" i="1"/>
  <c r="D55" i="1"/>
  <c r="G55" i="1"/>
  <c r="C56" i="1"/>
  <c r="D56" i="1"/>
  <c r="G56" i="1"/>
  <c r="C57" i="1"/>
  <c r="D57" i="1"/>
  <c r="E57" i="1"/>
  <c r="F57" i="1"/>
  <c r="G57" i="1"/>
  <c r="C58" i="1"/>
  <c r="D58" i="1"/>
  <c r="G58" i="1"/>
  <c r="C59" i="1"/>
  <c r="D59" i="1"/>
  <c r="G59" i="1"/>
  <c r="C60" i="1"/>
  <c r="D60" i="1"/>
  <c r="G60" i="1"/>
  <c r="C61" i="1"/>
  <c r="D61" i="1"/>
  <c r="G61" i="1"/>
  <c r="C62" i="1"/>
  <c r="D62" i="1"/>
  <c r="G62" i="1"/>
  <c r="C63" i="1"/>
  <c r="D63" i="1"/>
  <c r="G63" i="1"/>
  <c r="C64" i="1"/>
  <c r="D64" i="1"/>
  <c r="G64" i="1"/>
  <c r="G64" i="34"/>
  <c r="C65" i="1"/>
  <c r="D65" i="1"/>
  <c r="G65" i="1"/>
  <c r="C66" i="1"/>
  <c r="D66" i="1"/>
  <c r="G66" i="1"/>
  <c r="G66" i="34"/>
  <c r="C67" i="1"/>
  <c r="D67" i="1"/>
  <c r="G67" i="1"/>
  <c r="C68" i="1"/>
  <c r="D68" i="1"/>
  <c r="G68" i="1"/>
  <c r="C26" i="29"/>
  <c r="D26" i="29"/>
  <c r="C27" i="29"/>
  <c r="D27" i="29"/>
  <c r="C28" i="29"/>
  <c r="D28" i="29"/>
  <c r="G28" i="29"/>
  <c r="C29" i="29"/>
  <c r="D29" i="29"/>
  <c r="G29" i="29"/>
  <c r="C30" i="29"/>
  <c r="D30" i="29"/>
  <c r="G30" i="29"/>
  <c r="H30" i="29"/>
  <c r="C31" i="29"/>
  <c r="D31" i="29"/>
  <c r="G31" i="29"/>
  <c r="C32" i="29"/>
  <c r="D32" i="29"/>
  <c r="G32" i="29"/>
  <c r="C33" i="29"/>
  <c r="D33" i="29"/>
  <c r="G33" i="29"/>
  <c r="C34" i="29"/>
  <c r="D34" i="29"/>
  <c r="G34" i="29"/>
  <c r="H34" i="29"/>
  <c r="C35" i="29"/>
  <c r="D35" i="29"/>
  <c r="G35" i="29"/>
  <c r="C36" i="29"/>
  <c r="D36" i="29"/>
  <c r="G36" i="29"/>
  <c r="C37" i="29"/>
  <c r="D37" i="29"/>
  <c r="G37" i="29"/>
  <c r="C38" i="29"/>
  <c r="D38" i="29"/>
  <c r="G38" i="29"/>
  <c r="H38" i="29"/>
  <c r="C39" i="29"/>
  <c r="D39" i="29"/>
  <c r="G39" i="29"/>
  <c r="H39" i="29"/>
  <c r="I39" i="29"/>
  <c r="C40" i="29"/>
  <c r="D40" i="29"/>
  <c r="C41" i="29"/>
  <c r="D41" i="29"/>
  <c r="G41" i="29"/>
  <c r="C42" i="29"/>
  <c r="D42" i="29"/>
  <c r="G42" i="29"/>
  <c r="H42" i="29"/>
  <c r="C43" i="29"/>
  <c r="D43" i="29"/>
  <c r="G43" i="29"/>
  <c r="C44" i="29"/>
  <c r="D44" i="29"/>
  <c r="G44" i="29"/>
  <c r="C45" i="29"/>
  <c r="D45" i="29"/>
  <c r="G45" i="29"/>
  <c r="C46" i="29"/>
  <c r="D46" i="29"/>
  <c r="C47" i="29"/>
  <c r="D47" i="29"/>
  <c r="C48" i="29"/>
  <c r="D48" i="29"/>
  <c r="G48" i="29"/>
  <c r="C49" i="29"/>
  <c r="D49" i="29"/>
  <c r="G49" i="29"/>
  <c r="C50" i="29"/>
  <c r="D50" i="29"/>
  <c r="G50" i="29"/>
  <c r="H50" i="29"/>
  <c r="C51" i="29"/>
  <c r="D51" i="29"/>
  <c r="G51" i="29"/>
  <c r="C52" i="29"/>
  <c r="D52" i="29"/>
  <c r="G52" i="29"/>
  <c r="C53" i="29"/>
  <c r="D53" i="29"/>
  <c r="G53" i="29"/>
  <c r="C54" i="29"/>
  <c r="D54" i="29"/>
  <c r="G54" i="29"/>
  <c r="C55" i="29"/>
  <c r="D55" i="29"/>
  <c r="C56" i="29"/>
  <c r="D56" i="29"/>
  <c r="C57" i="29"/>
  <c r="D57" i="29"/>
  <c r="C58" i="29"/>
  <c r="D58" i="29"/>
  <c r="G58" i="29"/>
  <c r="C59" i="29"/>
  <c r="D59" i="29"/>
  <c r="G59" i="29"/>
  <c r="C60" i="29"/>
  <c r="D60" i="29"/>
  <c r="G60" i="29"/>
  <c r="C61" i="29"/>
  <c r="D61" i="29"/>
  <c r="C62" i="29"/>
  <c r="D62" i="29"/>
  <c r="C63" i="29"/>
  <c r="D63" i="29"/>
  <c r="C64" i="29"/>
  <c r="D64" i="29"/>
  <c r="C65" i="29"/>
  <c r="D65" i="29"/>
  <c r="C66" i="29"/>
  <c r="D66" i="29"/>
  <c r="H66" i="29"/>
  <c r="E26" i="26"/>
  <c r="F26" i="26"/>
  <c r="H26" i="26"/>
  <c r="E27" i="26"/>
  <c r="F27" i="26"/>
  <c r="H27" i="26"/>
  <c r="E28" i="26"/>
  <c r="F28" i="26"/>
  <c r="H28" i="26"/>
  <c r="E29" i="26"/>
  <c r="F29" i="26"/>
  <c r="H29" i="26"/>
  <c r="E30" i="26"/>
  <c r="F30" i="26"/>
  <c r="H30" i="26"/>
  <c r="E31" i="26"/>
  <c r="F31" i="26"/>
  <c r="H31" i="26"/>
  <c r="E32" i="26"/>
  <c r="F32" i="26"/>
  <c r="H32" i="26"/>
  <c r="E33" i="26"/>
  <c r="F33" i="26"/>
  <c r="H33" i="26"/>
  <c r="E34" i="26"/>
  <c r="F34" i="26"/>
  <c r="H34" i="26"/>
  <c r="E35" i="26"/>
  <c r="F35" i="26"/>
  <c r="H35" i="26"/>
  <c r="E36" i="26"/>
  <c r="F36" i="26"/>
  <c r="H36" i="26"/>
  <c r="E37" i="26"/>
  <c r="F37" i="26"/>
  <c r="H37" i="26"/>
  <c r="E38" i="26"/>
  <c r="F38" i="26"/>
  <c r="H38" i="26"/>
  <c r="E39" i="26"/>
  <c r="F39" i="26"/>
  <c r="H39" i="26"/>
  <c r="E40" i="26"/>
  <c r="F40" i="26"/>
  <c r="H40" i="26"/>
  <c r="E41" i="26"/>
  <c r="F41" i="26"/>
  <c r="H41" i="26"/>
  <c r="E42" i="26"/>
  <c r="F42" i="26"/>
  <c r="H42" i="26"/>
  <c r="E43" i="26"/>
  <c r="F43" i="26"/>
  <c r="H43" i="26"/>
  <c r="H43" i="29"/>
  <c r="E44" i="26"/>
  <c r="F44" i="26"/>
  <c r="H44" i="26"/>
  <c r="E45" i="26"/>
  <c r="F45" i="26"/>
  <c r="H45" i="26"/>
  <c r="E46" i="26"/>
  <c r="F46" i="26"/>
  <c r="H46" i="26"/>
  <c r="H46" i="29"/>
  <c r="E47" i="26"/>
  <c r="F47" i="26"/>
  <c r="H47" i="26"/>
  <c r="E48" i="26"/>
  <c r="F48" i="26"/>
  <c r="H48" i="26"/>
  <c r="H48" i="29"/>
  <c r="E49" i="26"/>
  <c r="F49" i="26"/>
  <c r="H49" i="26"/>
  <c r="E50" i="26"/>
  <c r="F50" i="26"/>
  <c r="H50" i="26"/>
  <c r="E51" i="26"/>
  <c r="F51" i="26"/>
  <c r="H51" i="26"/>
  <c r="E52" i="26"/>
  <c r="F52" i="26"/>
  <c r="H52" i="26"/>
  <c r="E53" i="26"/>
  <c r="F53" i="26"/>
  <c r="H53" i="26"/>
  <c r="E54" i="26"/>
  <c r="F54" i="26"/>
  <c r="H54" i="26"/>
  <c r="E55" i="26"/>
  <c r="F55" i="26"/>
  <c r="H55" i="26"/>
  <c r="E56" i="26"/>
  <c r="F56" i="26"/>
  <c r="H56" i="26"/>
  <c r="E57" i="26"/>
  <c r="F57" i="26"/>
  <c r="H57" i="26"/>
  <c r="E58" i="26"/>
  <c r="F58" i="26"/>
  <c r="H58" i="26"/>
  <c r="H58" i="29"/>
  <c r="E59" i="26"/>
  <c r="F59" i="26"/>
  <c r="H59" i="26"/>
  <c r="E60" i="26"/>
  <c r="F60" i="26"/>
  <c r="H60" i="26"/>
  <c r="H60" i="29"/>
  <c r="E61" i="26"/>
  <c r="F61" i="26"/>
  <c r="H61" i="26"/>
  <c r="E62" i="26"/>
  <c r="F62" i="26"/>
  <c r="H62" i="26"/>
  <c r="E63" i="26"/>
  <c r="F63" i="26"/>
  <c r="H63" i="26"/>
  <c r="E64" i="26"/>
  <c r="F64" i="26"/>
  <c r="H64" i="26"/>
  <c r="E65" i="26"/>
  <c r="F65" i="26"/>
  <c r="H65" i="26"/>
  <c r="E66" i="26"/>
  <c r="F66" i="26"/>
  <c r="H66" i="26"/>
  <c r="E67" i="26"/>
  <c r="F67" i="26"/>
  <c r="H67" i="26"/>
  <c r="E68" i="26"/>
  <c r="F68" i="26"/>
  <c r="H68" i="26"/>
  <c r="E26" i="19"/>
  <c r="H26" i="19"/>
  <c r="E27" i="19"/>
  <c r="H27" i="19"/>
  <c r="E28" i="19"/>
  <c r="H28" i="19"/>
  <c r="E29" i="19"/>
  <c r="H29" i="19"/>
  <c r="E30" i="19"/>
  <c r="H30" i="19"/>
  <c r="E31" i="19"/>
  <c r="H31" i="19"/>
  <c r="E32" i="19"/>
  <c r="H32" i="19"/>
  <c r="E33" i="19"/>
  <c r="H33" i="19"/>
  <c r="E34" i="19"/>
  <c r="H34" i="19"/>
  <c r="E35" i="19"/>
  <c r="H35" i="19"/>
  <c r="E36" i="19"/>
  <c r="H36" i="19"/>
  <c r="E37" i="19"/>
  <c r="H37" i="19"/>
  <c r="E38" i="19"/>
  <c r="H38" i="19"/>
  <c r="E39" i="19"/>
  <c r="H39" i="19"/>
  <c r="E40" i="19"/>
  <c r="H40" i="19"/>
  <c r="E41" i="19"/>
  <c r="H41" i="19"/>
  <c r="E42" i="19"/>
  <c r="H42" i="19"/>
  <c r="E43" i="19"/>
  <c r="H43" i="19"/>
  <c r="E44" i="19"/>
  <c r="H44" i="19"/>
  <c r="E45" i="19"/>
  <c r="H45" i="19"/>
  <c r="E46" i="19"/>
  <c r="H46" i="19"/>
  <c r="E47" i="19"/>
  <c r="H47" i="19"/>
  <c r="E48" i="19"/>
  <c r="H48" i="19"/>
  <c r="E49" i="19"/>
  <c r="H49" i="19"/>
  <c r="E50" i="19"/>
  <c r="H50" i="19"/>
  <c r="E51" i="19"/>
  <c r="H51" i="19"/>
  <c r="E52" i="19"/>
  <c r="H52" i="19"/>
  <c r="E53" i="19"/>
  <c r="H53" i="19"/>
  <c r="E54" i="19"/>
  <c r="H54" i="19"/>
  <c r="E55" i="19"/>
  <c r="H55" i="19"/>
  <c r="E56" i="19"/>
  <c r="H56" i="19"/>
  <c r="E57" i="19"/>
  <c r="H57" i="19"/>
  <c r="E58" i="19"/>
  <c r="H58" i="19"/>
  <c r="E59" i="19"/>
  <c r="H59" i="19"/>
  <c r="E60" i="19"/>
  <c r="H60" i="19"/>
  <c r="E61" i="19"/>
  <c r="H61" i="19"/>
  <c r="E62" i="19"/>
  <c r="H62" i="19"/>
  <c r="E63" i="19"/>
  <c r="H63" i="19"/>
  <c r="E64" i="19"/>
  <c r="H64" i="19"/>
  <c r="E65" i="19"/>
  <c r="H65" i="19"/>
  <c r="E66" i="19"/>
  <c r="H66" i="19"/>
  <c r="E67" i="19"/>
  <c r="H67" i="19"/>
  <c r="E68" i="19"/>
  <c r="H68" i="19"/>
  <c r="E26" i="20"/>
  <c r="H26" i="20"/>
  <c r="E27" i="20"/>
  <c r="H27" i="20"/>
  <c r="I27" i="20" s="1"/>
  <c r="E28" i="20"/>
  <c r="H28" i="20"/>
  <c r="H28" i="18" s="1"/>
  <c r="E29" i="20"/>
  <c r="H29" i="20"/>
  <c r="I29" i="20" s="1"/>
  <c r="E30" i="20"/>
  <c r="H30" i="20"/>
  <c r="I30" i="20" s="1"/>
  <c r="E31" i="20"/>
  <c r="H31" i="20"/>
  <c r="I31" i="20" s="1"/>
  <c r="E32" i="20"/>
  <c r="H32" i="20"/>
  <c r="I32" i="20" s="1"/>
  <c r="E33" i="20"/>
  <c r="H33" i="20"/>
  <c r="I33" i="20" s="1"/>
  <c r="E34" i="20"/>
  <c r="H34" i="20"/>
  <c r="I34" i="20" s="1"/>
  <c r="E35" i="20"/>
  <c r="H35" i="20"/>
  <c r="I35" i="20" s="1"/>
  <c r="E36" i="20"/>
  <c r="H36" i="20"/>
  <c r="I36" i="20" s="1"/>
  <c r="E37" i="20"/>
  <c r="H37" i="20"/>
  <c r="I37" i="20" s="1"/>
  <c r="E38" i="20"/>
  <c r="H38" i="20"/>
  <c r="I38" i="20" s="1"/>
  <c r="E39" i="20"/>
  <c r="H39" i="20"/>
  <c r="I39" i="20" s="1"/>
  <c r="E40" i="20"/>
  <c r="H40" i="20"/>
  <c r="I40" i="20" s="1"/>
  <c r="E41" i="20"/>
  <c r="H41" i="20"/>
  <c r="I41" i="20" s="1"/>
  <c r="E42" i="20"/>
  <c r="H42" i="20"/>
  <c r="I42" i="20" s="1"/>
  <c r="E43" i="20"/>
  <c r="H43" i="20"/>
  <c r="I43" i="20" s="1"/>
  <c r="E44" i="20"/>
  <c r="H44" i="20"/>
  <c r="I44" i="20" s="1"/>
  <c r="E45" i="20"/>
  <c r="H45" i="20"/>
  <c r="E46" i="20"/>
  <c r="H46" i="20"/>
  <c r="E47" i="20"/>
  <c r="H47" i="20"/>
  <c r="E48" i="20"/>
  <c r="H48" i="20"/>
  <c r="I48" i="20" s="1"/>
  <c r="E49" i="20"/>
  <c r="H49" i="20"/>
  <c r="I49" i="20" s="1"/>
  <c r="E50" i="20"/>
  <c r="H50" i="20"/>
  <c r="I50" i="20" s="1"/>
  <c r="E51" i="20"/>
  <c r="H51" i="20"/>
  <c r="I51" i="20" s="1"/>
  <c r="E52" i="20"/>
  <c r="H52" i="20"/>
  <c r="I52" i="20" s="1"/>
  <c r="E53" i="20"/>
  <c r="H53" i="20"/>
  <c r="I53" i="20" s="1"/>
  <c r="E54" i="20"/>
  <c r="H54" i="20"/>
  <c r="I54" i="20" s="1"/>
  <c r="E55" i="20"/>
  <c r="H55" i="20"/>
  <c r="H55" i="18" s="1"/>
  <c r="E56" i="20"/>
  <c r="H56" i="20"/>
  <c r="I56" i="20" s="1"/>
  <c r="E57" i="20"/>
  <c r="H57" i="20"/>
  <c r="I57" i="20" s="1"/>
  <c r="E58" i="20"/>
  <c r="H58" i="20"/>
  <c r="I58" i="20" s="1"/>
  <c r="E59" i="20"/>
  <c r="H59" i="20"/>
  <c r="I59" i="20" s="1"/>
  <c r="E60" i="20"/>
  <c r="H60" i="20"/>
  <c r="E61" i="20"/>
  <c r="H61" i="20"/>
  <c r="I61" i="20" s="1"/>
  <c r="E62" i="20"/>
  <c r="H62" i="20"/>
  <c r="I62" i="20" s="1"/>
  <c r="E63" i="20"/>
  <c r="H63" i="20"/>
  <c r="I63" i="20" s="1"/>
  <c r="E64" i="20"/>
  <c r="H64" i="20"/>
  <c r="I64" i="20" s="1"/>
  <c r="E65" i="20"/>
  <c r="H65" i="20"/>
  <c r="I65" i="20" s="1"/>
  <c r="E66" i="20"/>
  <c r="H66" i="20"/>
  <c r="I66" i="20" s="1"/>
  <c r="E67" i="20"/>
  <c r="H67" i="20"/>
  <c r="I67" i="20" s="1"/>
  <c r="E68" i="20"/>
  <c r="H68" i="20"/>
  <c r="H68" i="18" s="1"/>
  <c r="E26" i="21"/>
  <c r="F26" i="21"/>
  <c r="H26" i="21"/>
  <c r="H26" i="18" s="1"/>
  <c r="E27" i="21"/>
  <c r="F27" i="21" s="1"/>
  <c r="H27" i="21"/>
  <c r="I27" i="21" s="1"/>
  <c r="E28" i="21"/>
  <c r="F28" i="21"/>
  <c r="H28" i="21"/>
  <c r="E29" i="21"/>
  <c r="F29" i="21"/>
  <c r="H29" i="21"/>
  <c r="I29" i="21" s="1"/>
  <c r="E30" i="21"/>
  <c r="F30" i="21"/>
  <c r="H30" i="21"/>
  <c r="E31" i="21"/>
  <c r="F31" i="21"/>
  <c r="H31" i="21"/>
  <c r="E32" i="21"/>
  <c r="F32" i="21"/>
  <c r="H32" i="21"/>
  <c r="E33" i="21"/>
  <c r="F33" i="21"/>
  <c r="H33" i="21"/>
  <c r="I33" i="21" s="1"/>
  <c r="E34" i="21"/>
  <c r="F34" i="21"/>
  <c r="H34" i="21"/>
  <c r="E35" i="21"/>
  <c r="F35" i="21"/>
  <c r="H35" i="21"/>
  <c r="E36" i="21"/>
  <c r="F36" i="21"/>
  <c r="H36" i="21"/>
  <c r="E37" i="21"/>
  <c r="F37" i="21"/>
  <c r="H37" i="21"/>
  <c r="I37" i="21" s="1"/>
  <c r="E38" i="21"/>
  <c r="F38" i="21"/>
  <c r="H38" i="21"/>
  <c r="H38" i="18" s="1"/>
  <c r="E39" i="21"/>
  <c r="F39" i="21"/>
  <c r="H39" i="21"/>
  <c r="I39" i="21" s="1"/>
  <c r="E40" i="21"/>
  <c r="F40" i="21"/>
  <c r="H40" i="21"/>
  <c r="I40" i="21" s="1"/>
  <c r="E41" i="21"/>
  <c r="F41" i="21"/>
  <c r="H41" i="21"/>
  <c r="E42" i="21"/>
  <c r="F42" i="21" s="1"/>
  <c r="H42" i="21"/>
  <c r="H42" i="18" s="1"/>
  <c r="E43" i="21"/>
  <c r="F43" i="21" s="1"/>
  <c r="H43" i="21"/>
  <c r="I43" i="21" s="1"/>
  <c r="E44" i="21"/>
  <c r="F44" i="21" s="1"/>
  <c r="H44" i="21"/>
  <c r="E45" i="21"/>
  <c r="F45" i="21" s="1"/>
  <c r="H45" i="21"/>
  <c r="H45" i="18" s="1"/>
  <c r="E46" i="21"/>
  <c r="F46" i="21" s="1"/>
  <c r="H46" i="21"/>
  <c r="I46" i="21" s="1"/>
  <c r="E47" i="21"/>
  <c r="F47" i="21" s="1"/>
  <c r="H47" i="21"/>
  <c r="E48" i="21"/>
  <c r="F48" i="21"/>
  <c r="H48" i="21"/>
  <c r="E49" i="21"/>
  <c r="F49" i="21"/>
  <c r="H49" i="21"/>
  <c r="E50" i="21"/>
  <c r="F50" i="21"/>
  <c r="H50" i="21"/>
  <c r="E51" i="21"/>
  <c r="F51" i="21" s="1"/>
  <c r="H51" i="21"/>
  <c r="I51" i="21" s="1"/>
  <c r="E52" i="21"/>
  <c r="F52" i="21"/>
  <c r="H52" i="21"/>
  <c r="E53" i="21"/>
  <c r="F53" i="21"/>
  <c r="H53" i="21"/>
  <c r="E54" i="21"/>
  <c r="F54" i="21"/>
  <c r="H54" i="21"/>
  <c r="E55" i="21"/>
  <c r="F55" i="21"/>
  <c r="H55" i="21"/>
  <c r="E56" i="21"/>
  <c r="F56" i="21"/>
  <c r="H56" i="21"/>
  <c r="I56" i="21" s="1"/>
  <c r="E57" i="21"/>
  <c r="F57" i="21"/>
  <c r="H57" i="21"/>
  <c r="I57" i="21" s="1"/>
  <c r="E58" i="21"/>
  <c r="F58" i="21"/>
  <c r="H58" i="21"/>
  <c r="I58" i="21" s="1"/>
  <c r="E59" i="21"/>
  <c r="F59" i="21"/>
  <c r="H59" i="21"/>
  <c r="E60" i="21"/>
  <c r="F60" i="21"/>
  <c r="H60" i="21"/>
  <c r="I60" i="21" s="1"/>
  <c r="E61" i="21"/>
  <c r="F61" i="21" s="1"/>
  <c r="H61" i="21"/>
  <c r="E62" i="21"/>
  <c r="F62" i="21" s="1"/>
  <c r="H62" i="21"/>
  <c r="H62" i="18" s="1"/>
  <c r="E63" i="21"/>
  <c r="F63" i="21"/>
  <c r="H63" i="21"/>
  <c r="I63" i="21" s="1"/>
  <c r="E64" i="21"/>
  <c r="F64" i="21"/>
  <c r="H64" i="21"/>
  <c r="H64" i="18" s="1"/>
  <c r="E65" i="21"/>
  <c r="F65" i="21"/>
  <c r="H65" i="21"/>
  <c r="E66" i="21"/>
  <c r="F66" i="21"/>
  <c r="H66" i="21"/>
  <c r="E67" i="21"/>
  <c r="F67" i="21"/>
  <c r="H67" i="21"/>
  <c r="E68" i="21"/>
  <c r="F68" i="21" s="1"/>
  <c r="H68" i="21"/>
  <c r="E26" i="4"/>
  <c r="F26" i="4"/>
  <c r="H26" i="4"/>
  <c r="I26" i="4" s="1"/>
  <c r="E27" i="4"/>
  <c r="F27" i="4"/>
  <c r="H27" i="4"/>
  <c r="I27" i="4"/>
  <c r="E28" i="4"/>
  <c r="F28" i="4"/>
  <c r="H28" i="4"/>
  <c r="I28" i="4"/>
  <c r="E29" i="4"/>
  <c r="F29" i="4"/>
  <c r="H29" i="4"/>
  <c r="I29" i="4"/>
  <c r="E30" i="4"/>
  <c r="F30" i="4"/>
  <c r="H30" i="4"/>
  <c r="I30" i="4" s="1"/>
  <c r="E31" i="4"/>
  <c r="F31" i="4"/>
  <c r="H31" i="4"/>
  <c r="I31" i="4" s="1"/>
  <c r="E32" i="4"/>
  <c r="F32" i="4"/>
  <c r="H32" i="4"/>
  <c r="I32" i="4" s="1"/>
  <c r="E33" i="4"/>
  <c r="F33" i="4"/>
  <c r="H33" i="4"/>
  <c r="I33" i="4" s="1"/>
  <c r="E34" i="4"/>
  <c r="F34" i="4"/>
  <c r="H34" i="4"/>
  <c r="I34" i="4" s="1"/>
  <c r="E35" i="4"/>
  <c r="F35" i="4"/>
  <c r="H35" i="4"/>
  <c r="I35" i="4"/>
  <c r="E36" i="4"/>
  <c r="F36" i="4"/>
  <c r="H36" i="4"/>
  <c r="I36" i="4" s="1"/>
  <c r="E37" i="4"/>
  <c r="F37" i="4"/>
  <c r="H37" i="4"/>
  <c r="I37" i="4" s="1"/>
  <c r="E38" i="4"/>
  <c r="F38" i="4"/>
  <c r="H38" i="4"/>
  <c r="I38" i="4"/>
  <c r="E39" i="4"/>
  <c r="F39" i="4"/>
  <c r="H39" i="4"/>
  <c r="I39" i="4"/>
  <c r="E40" i="4"/>
  <c r="F40" i="4"/>
  <c r="H40" i="4"/>
  <c r="I40" i="4" s="1"/>
  <c r="E41" i="4"/>
  <c r="F41" i="4"/>
  <c r="H41" i="4"/>
  <c r="I41" i="4" s="1"/>
  <c r="E42" i="4"/>
  <c r="F42" i="4"/>
  <c r="H42" i="4"/>
  <c r="I42" i="4" s="1"/>
  <c r="E43" i="4"/>
  <c r="F43" i="4"/>
  <c r="H43" i="4"/>
  <c r="I43" i="4" s="1"/>
  <c r="E44" i="4"/>
  <c r="F44" i="4"/>
  <c r="H44" i="4"/>
  <c r="I44" i="4" s="1"/>
  <c r="E45" i="4"/>
  <c r="F45" i="4"/>
  <c r="H45" i="4"/>
  <c r="I45" i="4" s="1"/>
  <c r="E46" i="4"/>
  <c r="F46" i="4"/>
  <c r="H46" i="4"/>
  <c r="I46" i="4" s="1"/>
  <c r="E47" i="4"/>
  <c r="F47" i="4"/>
  <c r="H47" i="4"/>
  <c r="I47" i="4" s="1"/>
  <c r="E48" i="4"/>
  <c r="F48" i="4"/>
  <c r="H48" i="4"/>
  <c r="I48" i="4"/>
  <c r="E49" i="4"/>
  <c r="F49" i="4"/>
  <c r="H49" i="4"/>
  <c r="I49" i="4" s="1"/>
  <c r="E50" i="4"/>
  <c r="F50" i="4"/>
  <c r="H50" i="4"/>
  <c r="I50" i="4" s="1"/>
  <c r="E51" i="4"/>
  <c r="F51" i="4"/>
  <c r="H51" i="4"/>
  <c r="I51" i="4"/>
  <c r="E52" i="4"/>
  <c r="F52" i="4"/>
  <c r="H52" i="4"/>
  <c r="I52" i="4" s="1"/>
  <c r="E53" i="4"/>
  <c r="F53" i="4"/>
  <c r="H53" i="4"/>
  <c r="I53" i="4"/>
  <c r="E54" i="4"/>
  <c r="F54" i="4"/>
  <c r="H54" i="4"/>
  <c r="I54" i="4" s="1"/>
  <c r="E55" i="4"/>
  <c r="F55" i="4"/>
  <c r="H55" i="4"/>
  <c r="I55" i="4"/>
  <c r="E56" i="4"/>
  <c r="F56" i="4"/>
  <c r="H56" i="4"/>
  <c r="I56" i="4" s="1"/>
  <c r="E57" i="4"/>
  <c r="F57" i="4"/>
  <c r="H57" i="4"/>
  <c r="I57" i="4" s="1"/>
  <c r="E58" i="4"/>
  <c r="F58" i="4"/>
  <c r="H58" i="4"/>
  <c r="I58" i="4" s="1"/>
  <c r="E59" i="4"/>
  <c r="F59" i="4"/>
  <c r="H59" i="4"/>
  <c r="I59" i="4" s="1"/>
  <c r="E60" i="4"/>
  <c r="F60" i="4"/>
  <c r="H60" i="4"/>
  <c r="I60" i="4"/>
  <c r="E61" i="4"/>
  <c r="F61" i="4"/>
  <c r="H61" i="4"/>
  <c r="I61" i="4"/>
  <c r="E62" i="4"/>
  <c r="F62" i="4"/>
  <c r="H62" i="4"/>
  <c r="I62" i="4" s="1"/>
  <c r="E63" i="4"/>
  <c r="F63" i="4"/>
  <c r="H63" i="4"/>
  <c r="I63" i="4" s="1"/>
  <c r="E64" i="4"/>
  <c r="F64" i="4"/>
  <c r="H64" i="4"/>
  <c r="I64" i="4" s="1"/>
  <c r="E65" i="4"/>
  <c r="F65" i="4"/>
  <c r="H65" i="4"/>
  <c r="I65" i="4" s="1"/>
  <c r="E66" i="4"/>
  <c r="F66" i="4"/>
  <c r="H66" i="4"/>
  <c r="I66" i="4" s="1"/>
  <c r="E67" i="4"/>
  <c r="F67" i="4"/>
  <c r="H67" i="4"/>
  <c r="I67" i="4" s="1"/>
  <c r="E68" i="4"/>
  <c r="F68" i="4"/>
  <c r="H68" i="4"/>
  <c r="I68" i="4"/>
  <c r="E26" i="3"/>
  <c r="F26" i="3"/>
  <c r="H26" i="3"/>
  <c r="I26" i="3"/>
  <c r="E27" i="3"/>
  <c r="F27" i="3"/>
  <c r="H27" i="3"/>
  <c r="I27" i="3"/>
  <c r="E28" i="3"/>
  <c r="F28" i="3"/>
  <c r="H28" i="3"/>
  <c r="I28" i="3"/>
  <c r="E29" i="3"/>
  <c r="F29" i="3"/>
  <c r="H29" i="3"/>
  <c r="I29" i="3"/>
  <c r="E30" i="3"/>
  <c r="F30" i="3"/>
  <c r="H30" i="3"/>
  <c r="I30" i="3"/>
  <c r="E31" i="3"/>
  <c r="F31" i="3"/>
  <c r="H31" i="3"/>
  <c r="I31" i="3"/>
  <c r="E32" i="3"/>
  <c r="F32" i="3"/>
  <c r="H32" i="3"/>
  <c r="I32" i="3"/>
  <c r="E33" i="3"/>
  <c r="F33" i="3"/>
  <c r="H33" i="3"/>
  <c r="I33" i="3"/>
  <c r="E34" i="3"/>
  <c r="F34" i="3"/>
  <c r="H34" i="3"/>
  <c r="I34" i="3"/>
  <c r="E35" i="3"/>
  <c r="F35" i="3"/>
  <c r="H35" i="3"/>
  <c r="I35" i="3"/>
  <c r="E36" i="3"/>
  <c r="F36" i="3"/>
  <c r="H36" i="3"/>
  <c r="I36" i="3"/>
  <c r="E37" i="3"/>
  <c r="F37" i="3"/>
  <c r="H37" i="3"/>
  <c r="I37" i="3"/>
  <c r="E38" i="3"/>
  <c r="F38" i="3"/>
  <c r="H38" i="3"/>
  <c r="I38" i="3"/>
  <c r="E39" i="3"/>
  <c r="F39" i="3"/>
  <c r="H39" i="3"/>
  <c r="I39" i="3"/>
  <c r="F40" i="3"/>
  <c r="H40" i="3"/>
  <c r="I40" i="3"/>
  <c r="E41" i="3"/>
  <c r="F41" i="3"/>
  <c r="H41" i="3"/>
  <c r="E42" i="3"/>
  <c r="F42" i="3"/>
  <c r="H42" i="3"/>
  <c r="I42" i="3"/>
  <c r="E43" i="3"/>
  <c r="F43" i="3"/>
  <c r="H43" i="3"/>
  <c r="I43" i="3"/>
  <c r="E44" i="3"/>
  <c r="F44" i="3"/>
  <c r="H44" i="3"/>
  <c r="I44" i="3"/>
  <c r="E45" i="3"/>
  <c r="F45" i="3"/>
  <c r="H45" i="3"/>
  <c r="I45" i="3"/>
  <c r="E46" i="3"/>
  <c r="F46" i="3"/>
  <c r="H46" i="3"/>
  <c r="I46" i="3"/>
  <c r="E47" i="3"/>
  <c r="F47" i="3"/>
  <c r="H47" i="3"/>
  <c r="I47" i="3"/>
  <c r="F48" i="3"/>
  <c r="H48" i="3"/>
  <c r="I48" i="3"/>
  <c r="E49" i="3"/>
  <c r="F49" i="3"/>
  <c r="H49" i="3"/>
  <c r="I49" i="3"/>
  <c r="E50" i="3"/>
  <c r="F50" i="3"/>
  <c r="H50" i="3"/>
  <c r="I50" i="3"/>
  <c r="E51" i="3"/>
  <c r="F51" i="3"/>
  <c r="H51" i="3"/>
  <c r="I51" i="3"/>
  <c r="E52" i="3"/>
  <c r="F52" i="3"/>
  <c r="H52" i="3"/>
  <c r="I52" i="3"/>
  <c r="E53" i="3"/>
  <c r="F53" i="3"/>
  <c r="H53" i="3"/>
  <c r="I53" i="3"/>
  <c r="E54" i="3"/>
  <c r="F54" i="3"/>
  <c r="H54" i="3"/>
  <c r="I54" i="3"/>
  <c r="E55" i="3"/>
  <c r="F55" i="3"/>
  <c r="H55" i="3"/>
  <c r="I55" i="3"/>
  <c r="E56" i="3"/>
  <c r="F56" i="3"/>
  <c r="H56" i="3"/>
  <c r="I56" i="3"/>
  <c r="E57" i="3"/>
  <c r="F57" i="3"/>
  <c r="H57" i="3"/>
  <c r="I57" i="3"/>
  <c r="E58" i="3"/>
  <c r="F58" i="3"/>
  <c r="H58" i="3"/>
  <c r="I58" i="3"/>
  <c r="E59" i="3"/>
  <c r="F59" i="3"/>
  <c r="H59" i="3"/>
  <c r="I59" i="3"/>
  <c r="E60" i="3"/>
  <c r="F60" i="3"/>
  <c r="H60" i="3"/>
  <c r="I60" i="3"/>
  <c r="E61" i="3"/>
  <c r="F61" i="3"/>
  <c r="H61" i="3"/>
  <c r="I61" i="3"/>
  <c r="E62" i="3"/>
  <c r="F62" i="3"/>
  <c r="H62" i="3"/>
  <c r="I62" i="3"/>
  <c r="E63" i="3"/>
  <c r="F63" i="3"/>
  <c r="H63" i="3"/>
  <c r="I63" i="3"/>
  <c r="E64" i="3"/>
  <c r="F64" i="3"/>
  <c r="H64" i="3"/>
  <c r="I64" i="3"/>
  <c r="E65" i="3"/>
  <c r="F65" i="3"/>
  <c r="H65" i="3"/>
  <c r="I65" i="3"/>
  <c r="E66" i="3"/>
  <c r="F66" i="3"/>
  <c r="H66" i="3"/>
  <c r="I66" i="3"/>
  <c r="E67" i="3"/>
  <c r="F67" i="3"/>
  <c r="H67" i="3"/>
  <c r="I67" i="3"/>
  <c r="E68" i="3"/>
  <c r="F68" i="3"/>
  <c r="H68" i="3"/>
  <c r="I68" i="3"/>
  <c r="E26" i="72"/>
  <c r="F26" i="72"/>
  <c r="H26" i="72"/>
  <c r="I26" i="72"/>
  <c r="E27" i="72"/>
  <c r="F27" i="72"/>
  <c r="H27" i="72"/>
  <c r="I27" i="72"/>
  <c r="E28" i="72"/>
  <c r="F28" i="72"/>
  <c r="H28" i="72"/>
  <c r="E29" i="72"/>
  <c r="F29" i="72"/>
  <c r="H29" i="72"/>
  <c r="I29" i="72"/>
  <c r="E30" i="72"/>
  <c r="F30" i="72"/>
  <c r="H30" i="72"/>
  <c r="E31" i="72"/>
  <c r="F31" i="72"/>
  <c r="H31" i="72"/>
  <c r="E32" i="72"/>
  <c r="F32" i="72"/>
  <c r="H32" i="72"/>
  <c r="I32" i="72"/>
  <c r="E33" i="72"/>
  <c r="F33" i="72"/>
  <c r="H33" i="72"/>
  <c r="E34" i="72"/>
  <c r="F34" i="72"/>
  <c r="H34" i="72"/>
  <c r="E35" i="72"/>
  <c r="F35" i="72"/>
  <c r="H35" i="72"/>
  <c r="I35" i="72"/>
  <c r="E36" i="72"/>
  <c r="F36" i="72"/>
  <c r="H36" i="72"/>
  <c r="I36" i="72"/>
  <c r="E37" i="72"/>
  <c r="F37" i="72"/>
  <c r="H37" i="72"/>
  <c r="E38" i="72"/>
  <c r="F38" i="72"/>
  <c r="H38" i="72"/>
  <c r="I38" i="72"/>
  <c r="E39" i="72"/>
  <c r="F39" i="72"/>
  <c r="H39" i="72"/>
  <c r="I39" i="72"/>
  <c r="E40" i="72"/>
  <c r="F40" i="72"/>
  <c r="H40" i="72"/>
  <c r="I40" i="72"/>
  <c r="E41" i="72"/>
  <c r="F41" i="72"/>
  <c r="E42" i="72"/>
  <c r="F42" i="72"/>
  <c r="H42" i="72"/>
  <c r="I42" i="72"/>
  <c r="E43" i="72"/>
  <c r="F43" i="72"/>
  <c r="H43" i="72"/>
  <c r="E44" i="72"/>
  <c r="F44" i="72"/>
  <c r="H44" i="72"/>
  <c r="I44" i="72"/>
  <c r="E45" i="72"/>
  <c r="F45" i="72"/>
  <c r="H45" i="72"/>
  <c r="E46" i="72"/>
  <c r="F46" i="72"/>
  <c r="H46" i="72"/>
  <c r="I46" i="72"/>
  <c r="E47" i="72"/>
  <c r="F47" i="72"/>
  <c r="H47" i="72"/>
  <c r="I47" i="72"/>
  <c r="E48" i="72"/>
  <c r="F48" i="72"/>
  <c r="H48" i="72"/>
  <c r="I48" i="72"/>
  <c r="E49" i="72"/>
  <c r="F49" i="72"/>
  <c r="H49" i="72"/>
  <c r="I49" i="72"/>
  <c r="E50" i="72"/>
  <c r="F50" i="72"/>
  <c r="H50" i="72"/>
  <c r="I50" i="72"/>
  <c r="E51" i="72"/>
  <c r="F51" i="72"/>
  <c r="H51" i="72"/>
  <c r="I51" i="72"/>
  <c r="E52" i="72"/>
  <c r="F52" i="72"/>
  <c r="H52" i="72"/>
  <c r="E53" i="72"/>
  <c r="F53" i="72"/>
  <c r="H53" i="72"/>
  <c r="I53" i="72"/>
  <c r="E54" i="72"/>
  <c r="F54" i="72"/>
  <c r="H54" i="72"/>
  <c r="I54" i="72"/>
  <c r="E55" i="72"/>
  <c r="F55" i="72"/>
  <c r="H55" i="72"/>
  <c r="E56" i="72"/>
  <c r="F56" i="72"/>
  <c r="H56" i="72"/>
  <c r="I56" i="72"/>
  <c r="E57" i="72"/>
  <c r="F57" i="72"/>
  <c r="H57" i="72"/>
  <c r="E58" i="72"/>
  <c r="F58" i="72"/>
  <c r="H58" i="72"/>
  <c r="I58" i="72"/>
  <c r="E59" i="72"/>
  <c r="F59" i="72"/>
  <c r="H59" i="72"/>
  <c r="I59" i="72"/>
  <c r="E60" i="72"/>
  <c r="F60" i="72"/>
  <c r="H60" i="72"/>
  <c r="I60" i="72"/>
  <c r="E61" i="72"/>
  <c r="F61" i="72"/>
  <c r="H61" i="72"/>
  <c r="I61" i="72"/>
  <c r="E62" i="72"/>
  <c r="F62" i="72"/>
  <c r="H62" i="72"/>
  <c r="I62" i="72"/>
  <c r="E63" i="72"/>
  <c r="F63" i="72"/>
  <c r="H63" i="72"/>
  <c r="I63" i="72"/>
  <c r="E64" i="72"/>
  <c r="F64" i="72"/>
  <c r="H64" i="72"/>
  <c r="I64" i="72"/>
  <c r="E65" i="72"/>
  <c r="F65" i="72"/>
  <c r="H65" i="72"/>
  <c r="I65" i="72"/>
  <c r="E66" i="72"/>
  <c r="F66" i="72"/>
  <c r="H66" i="72"/>
  <c r="I66" i="72"/>
  <c r="E67" i="72"/>
  <c r="F67" i="72"/>
  <c r="H67" i="72"/>
  <c r="E68" i="72"/>
  <c r="F68" i="72"/>
  <c r="H68" i="72"/>
  <c r="I68" i="72"/>
  <c r="G5" i="29"/>
  <c r="G6" i="29"/>
  <c r="G7" i="29"/>
  <c r="G8" i="29"/>
  <c r="G9" i="29"/>
  <c r="G10" i="29"/>
  <c r="G11" i="29"/>
  <c r="G12" i="29"/>
  <c r="G13" i="29"/>
  <c r="G14" i="29"/>
  <c r="G15" i="29"/>
  <c r="G16" i="29"/>
  <c r="G17" i="29"/>
  <c r="G18" i="29"/>
  <c r="G19" i="29"/>
  <c r="G20" i="29"/>
  <c r="G21" i="29"/>
  <c r="G22" i="29"/>
  <c r="G23" i="29"/>
  <c r="G24" i="29"/>
  <c r="G25" i="29"/>
  <c r="G4" i="29"/>
  <c r="D4" i="29"/>
  <c r="H25" i="26"/>
  <c r="E25" i="26"/>
  <c r="F25" i="26"/>
  <c r="H24" i="26"/>
  <c r="H24" i="29"/>
  <c r="E24" i="26"/>
  <c r="F24" i="26"/>
  <c r="H23" i="26"/>
  <c r="E23" i="26"/>
  <c r="F23" i="26"/>
  <c r="H22" i="26"/>
  <c r="E22" i="26"/>
  <c r="F22" i="26"/>
  <c r="H21" i="26"/>
  <c r="E21" i="26"/>
  <c r="F21" i="26"/>
  <c r="H20" i="26"/>
  <c r="E20" i="26"/>
  <c r="F20" i="26"/>
  <c r="H19" i="26"/>
  <c r="E19" i="26"/>
  <c r="F19" i="26"/>
  <c r="H18" i="26"/>
  <c r="H18" i="29"/>
  <c r="E18" i="26"/>
  <c r="F18" i="26"/>
  <c r="G25" i="1"/>
  <c r="H18" i="19"/>
  <c r="H19" i="19"/>
  <c r="H20" i="19"/>
  <c r="H21" i="19"/>
  <c r="H22" i="19"/>
  <c r="H23" i="19"/>
  <c r="H24" i="19"/>
  <c r="H25" i="19"/>
  <c r="E18" i="19"/>
  <c r="E19" i="19"/>
  <c r="E20" i="19"/>
  <c r="E21" i="19"/>
  <c r="E22" i="19"/>
  <c r="E23" i="19"/>
  <c r="E24" i="19"/>
  <c r="E25" i="19"/>
  <c r="E18" i="20"/>
  <c r="E19" i="20"/>
  <c r="E20" i="20"/>
  <c r="E21" i="20"/>
  <c r="E22" i="20"/>
  <c r="E23" i="20"/>
  <c r="E24" i="20"/>
  <c r="E25" i="20"/>
  <c r="H18" i="20"/>
  <c r="I18" i="20" s="1"/>
  <c r="H19" i="20"/>
  <c r="H19" i="18" s="1"/>
  <c r="H20" i="20"/>
  <c r="I20" i="20" s="1"/>
  <c r="H21" i="20"/>
  <c r="I21" i="20" s="1"/>
  <c r="H22" i="20"/>
  <c r="I22" i="20" s="1"/>
  <c r="H23" i="20"/>
  <c r="H24" i="20"/>
  <c r="H25" i="20"/>
  <c r="G4" i="18"/>
  <c r="G4" i="34" s="1"/>
  <c r="G6" i="18"/>
  <c r="G6" i="34" s="1"/>
  <c r="G7" i="18"/>
  <c r="G7" i="34" s="1"/>
  <c r="G8" i="18"/>
  <c r="G8" i="34" s="1"/>
  <c r="G9" i="18"/>
  <c r="G9" i="34" s="1"/>
  <c r="G10" i="18"/>
  <c r="G11" i="18"/>
  <c r="G11" i="34" s="1"/>
  <c r="G12" i="18"/>
  <c r="G12" i="34" s="1"/>
  <c r="G13" i="18"/>
  <c r="G14" i="18"/>
  <c r="G14" i="34" s="1"/>
  <c r="G15" i="18"/>
  <c r="G15" i="34" s="1"/>
  <c r="G5" i="18"/>
  <c r="G4" i="1"/>
  <c r="H18" i="21"/>
  <c r="I18" i="21" s="1"/>
  <c r="H19" i="21"/>
  <c r="H20" i="21"/>
  <c r="H21" i="21"/>
  <c r="H21" i="18" s="1"/>
  <c r="H23" i="21"/>
  <c r="H24" i="21"/>
  <c r="H25" i="21"/>
  <c r="I25" i="21" s="1"/>
  <c r="E25" i="21"/>
  <c r="F25" i="21"/>
  <c r="E24" i="21"/>
  <c r="F24" i="21" s="1"/>
  <c r="E23" i="21"/>
  <c r="F23" i="21"/>
  <c r="E22" i="21"/>
  <c r="F22" i="21" s="1"/>
  <c r="E21" i="21"/>
  <c r="F21" i="21"/>
  <c r="E20" i="21"/>
  <c r="F20" i="21"/>
  <c r="E19" i="21"/>
  <c r="F19" i="21"/>
  <c r="E18" i="21"/>
  <c r="F18" i="21" s="1"/>
  <c r="H23" i="4"/>
  <c r="I23" i="4" s="1"/>
  <c r="H24" i="4"/>
  <c r="I24" i="4" s="1"/>
  <c r="H25" i="4"/>
  <c r="I25" i="4" s="1"/>
  <c r="E25" i="4"/>
  <c r="F25" i="4"/>
  <c r="E24" i="4"/>
  <c r="F24" i="4"/>
  <c r="E23" i="4"/>
  <c r="F23" i="4"/>
  <c r="E22" i="4"/>
  <c r="F22" i="4"/>
  <c r="E21" i="4"/>
  <c r="F21" i="4"/>
  <c r="E20" i="4"/>
  <c r="F20" i="4"/>
  <c r="E19" i="4"/>
  <c r="F19" i="4"/>
  <c r="E18" i="4"/>
  <c r="F18" i="4"/>
  <c r="H18" i="4"/>
  <c r="I18" i="4"/>
  <c r="H19" i="4"/>
  <c r="I19" i="4"/>
  <c r="H20" i="4"/>
  <c r="I20" i="4"/>
  <c r="H21" i="4"/>
  <c r="I21" i="4"/>
  <c r="H22" i="4"/>
  <c r="I22" i="4"/>
  <c r="E24" i="3"/>
  <c r="F24" i="3"/>
  <c r="E25" i="3"/>
  <c r="F25" i="3"/>
  <c r="E18" i="3"/>
  <c r="F18" i="3"/>
  <c r="E19" i="3"/>
  <c r="F19" i="3"/>
  <c r="E20" i="3"/>
  <c r="F20" i="3"/>
  <c r="E21" i="3"/>
  <c r="F21" i="3"/>
  <c r="E22" i="3"/>
  <c r="F22" i="3"/>
  <c r="E23" i="3"/>
  <c r="F23" i="3"/>
  <c r="H18" i="3"/>
  <c r="I18" i="3"/>
  <c r="H19" i="3"/>
  <c r="I19" i="3"/>
  <c r="H20" i="3"/>
  <c r="I20" i="3"/>
  <c r="H21" i="3"/>
  <c r="I21" i="3"/>
  <c r="H22" i="3"/>
  <c r="I22" i="3"/>
  <c r="H23" i="3"/>
  <c r="I23" i="3"/>
  <c r="H24" i="3"/>
  <c r="I24" i="3"/>
  <c r="H25" i="3"/>
  <c r="I25" i="3"/>
  <c r="C2" i="3"/>
  <c r="J2" i="3"/>
  <c r="C18" i="29"/>
  <c r="D18" i="29"/>
  <c r="C19" i="29"/>
  <c r="D19" i="29"/>
  <c r="H19" i="29"/>
  <c r="C20" i="29"/>
  <c r="D20" i="29"/>
  <c r="C21" i="29"/>
  <c r="D21" i="29"/>
  <c r="H21" i="29"/>
  <c r="C22" i="29"/>
  <c r="D22" i="29"/>
  <c r="H22" i="29"/>
  <c r="C23" i="29"/>
  <c r="D23" i="29"/>
  <c r="C24" i="29"/>
  <c r="C24" i="1"/>
  <c r="D24" i="29"/>
  <c r="D24" i="1"/>
  <c r="E24" i="1"/>
  <c r="F24" i="1"/>
  <c r="C25" i="29"/>
  <c r="C25" i="1"/>
  <c r="D25" i="29"/>
  <c r="D25" i="1"/>
  <c r="C18" i="1"/>
  <c r="D18" i="1"/>
  <c r="G18" i="1"/>
  <c r="C19" i="1"/>
  <c r="D19" i="1"/>
  <c r="G19" i="1"/>
  <c r="C20" i="1"/>
  <c r="D20" i="1"/>
  <c r="G20" i="1"/>
  <c r="C21" i="1"/>
  <c r="D21" i="1"/>
  <c r="G21" i="1"/>
  <c r="C22" i="1"/>
  <c r="D22" i="1"/>
  <c r="G22" i="1"/>
  <c r="C23" i="1"/>
  <c r="D23" i="1"/>
  <c r="G23" i="1"/>
  <c r="G24" i="1"/>
  <c r="E18" i="72"/>
  <c r="F18" i="72"/>
  <c r="E19" i="72"/>
  <c r="F19" i="72"/>
  <c r="E20" i="72"/>
  <c r="F20" i="72"/>
  <c r="E21" i="72"/>
  <c r="F21" i="72"/>
  <c r="E22" i="72"/>
  <c r="F22" i="72"/>
  <c r="E23" i="72"/>
  <c r="F23" i="72"/>
  <c r="E24" i="72"/>
  <c r="F24" i="72"/>
  <c r="E25" i="72"/>
  <c r="F25" i="72"/>
  <c r="H18" i="72"/>
  <c r="H19" i="72"/>
  <c r="H20" i="72"/>
  <c r="I20" i="72"/>
  <c r="H21" i="72"/>
  <c r="H22" i="72"/>
  <c r="H23" i="72"/>
  <c r="H24" i="72"/>
  <c r="I24" i="72"/>
  <c r="H25" i="72"/>
  <c r="I25" i="72"/>
  <c r="C16" i="30"/>
  <c r="D16" i="30"/>
  <c r="C16" i="29"/>
  <c r="D16" i="29"/>
  <c r="C17" i="29"/>
  <c r="D17" i="29"/>
  <c r="C16" i="1"/>
  <c r="D16" i="1"/>
  <c r="G16" i="1"/>
  <c r="C17" i="1"/>
  <c r="D17" i="1"/>
  <c r="G17" i="1"/>
  <c r="G17" i="34"/>
  <c r="H16" i="33"/>
  <c r="E16" i="33"/>
  <c r="F16" i="33"/>
  <c r="H17" i="32"/>
  <c r="E17" i="32"/>
  <c r="F17" i="32"/>
  <c r="H16" i="32"/>
  <c r="E16" i="32"/>
  <c r="F16" i="32"/>
  <c r="E17" i="31"/>
  <c r="F17" i="31"/>
  <c r="H16" i="31"/>
  <c r="E16" i="31"/>
  <c r="F16" i="31"/>
  <c r="H17" i="28"/>
  <c r="E17" i="28"/>
  <c r="F17" i="28"/>
  <c r="H16" i="28"/>
  <c r="E16" i="28"/>
  <c r="F16" i="28"/>
  <c r="H17" i="27"/>
  <c r="E17" i="27"/>
  <c r="F17" i="27"/>
  <c r="H16" i="27"/>
  <c r="E16" i="27"/>
  <c r="F16" i="27"/>
  <c r="H17" i="26"/>
  <c r="E17" i="26"/>
  <c r="F17" i="26"/>
  <c r="H16" i="26"/>
  <c r="E16" i="26"/>
  <c r="F16" i="26"/>
  <c r="H17" i="19"/>
  <c r="E17" i="19"/>
  <c r="F17" i="19"/>
  <c r="H16" i="19"/>
  <c r="E16" i="19"/>
  <c r="F16" i="19"/>
  <c r="H17" i="20"/>
  <c r="I17" i="20" s="1"/>
  <c r="E17" i="20"/>
  <c r="F17" i="20" s="1"/>
  <c r="H16" i="20"/>
  <c r="I16" i="20" s="1"/>
  <c r="E16" i="20"/>
  <c r="F16" i="20"/>
  <c r="H17" i="21"/>
  <c r="E17" i="21"/>
  <c r="F17" i="21"/>
  <c r="H16" i="21"/>
  <c r="H16" i="18" s="1"/>
  <c r="E16" i="21"/>
  <c r="F16" i="21"/>
  <c r="H17" i="4"/>
  <c r="I17" i="4"/>
  <c r="E17" i="4"/>
  <c r="F17" i="4"/>
  <c r="H16" i="4"/>
  <c r="I16" i="4"/>
  <c r="E16" i="4"/>
  <c r="F16" i="4"/>
  <c r="E16" i="3"/>
  <c r="F16" i="3"/>
  <c r="H16" i="3"/>
  <c r="I16" i="3"/>
  <c r="E17" i="3"/>
  <c r="F17" i="3"/>
  <c r="H17" i="3"/>
  <c r="I17" i="3"/>
  <c r="E16" i="72"/>
  <c r="F16" i="72"/>
  <c r="H16" i="72"/>
  <c r="E17" i="72"/>
  <c r="F17" i="72"/>
  <c r="H17" i="72"/>
  <c r="I17" i="72"/>
  <c r="E15" i="72"/>
  <c r="F15" i="72"/>
  <c r="E14" i="72"/>
  <c r="F14" i="72"/>
  <c r="E13" i="72"/>
  <c r="F13" i="72"/>
  <c r="E12" i="72"/>
  <c r="F12" i="72"/>
  <c r="E11" i="72"/>
  <c r="F11" i="72"/>
  <c r="E10" i="72"/>
  <c r="F10" i="72"/>
  <c r="E9" i="72"/>
  <c r="F9" i="72"/>
  <c r="E8" i="72"/>
  <c r="F8" i="72"/>
  <c r="E7" i="72"/>
  <c r="F7" i="72"/>
  <c r="E6" i="72"/>
  <c r="F6" i="72"/>
  <c r="E5" i="72"/>
  <c r="F5" i="72"/>
  <c r="E4" i="72"/>
  <c r="F4" i="72"/>
  <c r="B4" i="33" a="1"/>
  <c r="B4" i="33"/>
  <c r="A4" i="33" a="1"/>
  <c r="A4" i="33"/>
  <c r="B4" i="32" a="1"/>
  <c r="B4" i="32"/>
  <c r="A4" i="32" a="1"/>
  <c r="A4" i="32"/>
  <c r="B4" i="31" a="1"/>
  <c r="B4" i="31"/>
  <c r="B4" i="19" a="1"/>
  <c r="B4" i="19"/>
  <c r="A4" i="19" a="1"/>
  <c r="A4" i="19"/>
  <c r="B4" i="20" a="1"/>
  <c r="B4" i="20"/>
  <c r="A4" i="20" a="1"/>
  <c r="A4" i="20"/>
  <c r="B4" i="21" a="1"/>
  <c r="B4" i="21"/>
  <c r="A4" i="21" a="1"/>
  <c r="A4" i="21"/>
  <c r="B4" i="4" a="1"/>
  <c r="B4" i="4"/>
  <c r="A4" i="4" a="1"/>
  <c r="A4" i="4"/>
  <c r="B4" i="3" a="1"/>
  <c r="B4" i="3"/>
  <c r="A4" i="3" a="1"/>
  <c r="A4" i="3"/>
  <c r="B4" i="27" a="1"/>
  <c r="B4" i="27"/>
  <c r="A4" i="27" a="1"/>
  <c r="A4" i="27"/>
  <c r="B4" i="26" a="1"/>
  <c r="B4" i="26"/>
  <c r="A4" i="26" a="1"/>
  <c r="A4" i="26"/>
  <c r="A4" i="72" a="1"/>
  <c r="A4" i="72"/>
  <c r="A4" i="30" a="1"/>
  <c r="A4" i="30"/>
  <c r="B4" i="72" a="1"/>
  <c r="B4" i="72"/>
  <c r="E4" i="3"/>
  <c r="F4" i="3"/>
  <c r="H4" i="3"/>
  <c r="I4" i="3"/>
  <c r="E5" i="3"/>
  <c r="F5" i="3"/>
  <c r="H5" i="3"/>
  <c r="I5" i="3"/>
  <c r="E6" i="3"/>
  <c r="F6" i="3"/>
  <c r="H6" i="3"/>
  <c r="I6" i="3"/>
  <c r="E7" i="3"/>
  <c r="F7" i="3"/>
  <c r="H7" i="3"/>
  <c r="I7" i="3"/>
  <c r="E8" i="3"/>
  <c r="F8" i="3"/>
  <c r="H8" i="3"/>
  <c r="I8" i="3"/>
  <c r="E9" i="3"/>
  <c r="F9" i="3"/>
  <c r="H9" i="3"/>
  <c r="I9" i="3"/>
  <c r="E10" i="3"/>
  <c r="F10" i="3"/>
  <c r="H10" i="3"/>
  <c r="I10" i="3"/>
  <c r="E11" i="3"/>
  <c r="F11" i="3"/>
  <c r="H11" i="3"/>
  <c r="I11" i="3"/>
  <c r="E12" i="3"/>
  <c r="F12" i="3"/>
  <c r="H12" i="3"/>
  <c r="I12" i="3"/>
  <c r="E13" i="3"/>
  <c r="F13" i="3"/>
  <c r="H13" i="3"/>
  <c r="I13" i="3"/>
  <c r="E14" i="3"/>
  <c r="F14" i="3"/>
  <c r="H14" i="3"/>
  <c r="I14" i="3"/>
  <c r="E15" i="3"/>
  <c r="F15" i="3"/>
  <c r="H15" i="3"/>
  <c r="I15" i="3"/>
  <c r="G6" i="1"/>
  <c r="G7" i="1"/>
  <c r="G8" i="1"/>
  <c r="G9" i="1"/>
  <c r="G10" i="1"/>
  <c r="G11" i="1"/>
  <c r="G12" i="1"/>
  <c r="G13" i="1"/>
  <c r="G14" i="1"/>
  <c r="G15" i="1"/>
  <c r="G5" i="1"/>
  <c r="B4" i="34" a="1"/>
  <c r="B4" i="34"/>
  <c r="A4" i="34" a="1"/>
  <c r="A4" i="34"/>
  <c r="A1" i="34" a="1"/>
  <c r="A1" i="34"/>
  <c r="D15" i="30"/>
  <c r="C15" i="30"/>
  <c r="D14" i="30"/>
  <c r="C14" i="30"/>
  <c r="D13" i="30"/>
  <c r="C13" i="30"/>
  <c r="D12" i="30"/>
  <c r="C12" i="30"/>
  <c r="D11" i="30"/>
  <c r="C11" i="30"/>
  <c r="D10" i="30"/>
  <c r="C10" i="30"/>
  <c r="D9" i="30"/>
  <c r="C9" i="30"/>
  <c r="D8" i="30"/>
  <c r="C8" i="30"/>
  <c r="D7" i="30"/>
  <c r="C7" i="30"/>
  <c r="D6" i="30"/>
  <c r="C6" i="30"/>
  <c r="D5" i="30"/>
  <c r="C5" i="30"/>
  <c r="D4" i="30"/>
  <c r="C4" i="30"/>
  <c r="D15" i="29"/>
  <c r="C15" i="29"/>
  <c r="D14" i="29"/>
  <c r="C14" i="29"/>
  <c r="D13" i="29"/>
  <c r="C13" i="29"/>
  <c r="D12" i="29"/>
  <c r="C12" i="29"/>
  <c r="D11" i="29"/>
  <c r="C11" i="29"/>
  <c r="D10" i="29"/>
  <c r="C10" i="29"/>
  <c r="D9" i="29"/>
  <c r="C9" i="29"/>
  <c r="D8" i="29"/>
  <c r="C8" i="29"/>
  <c r="D7" i="29"/>
  <c r="C7" i="29"/>
  <c r="D6" i="29"/>
  <c r="C6" i="29"/>
  <c r="D5" i="29"/>
  <c r="C5" i="29"/>
  <c r="C4" i="29"/>
  <c r="D15" i="18"/>
  <c r="C15" i="18"/>
  <c r="E15" i="18" s="1"/>
  <c r="F15" i="18" s="1"/>
  <c r="D14" i="18"/>
  <c r="C14" i="18"/>
  <c r="C14" i="34" s="1"/>
  <c r="D13" i="18"/>
  <c r="C13" i="18"/>
  <c r="C13" i="34" s="1"/>
  <c r="D12" i="18"/>
  <c r="C12" i="18"/>
  <c r="E12" i="18" s="1"/>
  <c r="F12" i="18" s="1"/>
  <c r="D11" i="18"/>
  <c r="C11" i="18"/>
  <c r="E11" i="18" s="1"/>
  <c r="F11" i="18" s="1"/>
  <c r="D10" i="18"/>
  <c r="C10" i="18"/>
  <c r="E10" i="18" s="1"/>
  <c r="F10" i="18" s="1"/>
  <c r="D9" i="18"/>
  <c r="C9" i="18"/>
  <c r="E9" i="18" s="1"/>
  <c r="F9" i="18" s="1"/>
  <c r="D8" i="18"/>
  <c r="C8" i="18"/>
  <c r="C8" i="34" s="1"/>
  <c r="D7" i="18"/>
  <c r="C7" i="18"/>
  <c r="E7" i="18" s="1"/>
  <c r="F7" i="18" s="1"/>
  <c r="D6" i="18"/>
  <c r="C6" i="18"/>
  <c r="E6" i="18" s="1"/>
  <c r="F6" i="18" s="1"/>
  <c r="D5" i="18"/>
  <c r="C5" i="18"/>
  <c r="C5" i="34" s="1"/>
  <c r="D4" i="18"/>
  <c r="C4" i="18"/>
  <c r="E4" i="18" s="1"/>
  <c r="F4" i="18" s="1"/>
  <c r="B4" i="30" a="1"/>
  <c r="B4" i="30"/>
  <c r="A1" i="30" a="1"/>
  <c r="A1" i="30"/>
  <c r="B4" i="29" a="1"/>
  <c r="B4" i="29"/>
  <c r="A4" i="29" a="1"/>
  <c r="A4" i="29"/>
  <c r="A1" i="29" a="1"/>
  <c r="A1" i="29"/>
  <c r="B4" i="18" a="1"/>
  <c r="B4" i="18"/>
  <c r="A4" i="18" a="1"/>
  <c r="A4" i="18"/>
  <c r="A1" i="18" a="1"/>
  <c r="A1" i="18"/>
  <c r="C15" i="1"/>
  <c r="C14" i="1"/>
  <c r="C13" i="1"/>
  <c r="C12" i="1"/>
  <c r="C11" i="1"/>
  <c r="C10" i="1"/>
  <c r="C9" i="1"/>
  <c r="C8" i="1"/>
  <c r="C7" i="1"/>
  <c r="C6" i="1"/>
  <c r="C5" i="1"/>
  <c r="C4" i="1"/>
  <c r="D6" i="1"/>
  <c r="D7" i="1"/>
  <c r="D8" i="1"/>
  <c r="D9" i="1"/>
  <c r="D10" i="1"/>
  <c r="D11" i="1"/>
  <c r="D12" i="1"/>
  <c r="D13" i="1"/>
  <c r="D14" i="1"/>
  <c r="D15" i="1"/>
  <c r="E15" i="1" s="1"/>
  <c r="F15" i="1" s="1"/>
  <c r="D5" i="1"/>
  <c r="D4" i="1"/>
  <c r="B4" i="1" a="1"/>
  <c r="B4" i="1"/>
  <c r="A4" i="1" a="1"/>
  <c r="A4" i="1"/>
  <c r="A1" i="1" a="1"/>
  <c r="A1" i="1"/>
  <c r="H15" i="33"/>
  <c r="I15" i="33"/>
  <c r="E15" i="33"/>
  <c r="F15" i="33"/>
  <c r="H14" i="33"/>
  <c r="I14" i="33"/>
  <c r="E14" i="33"/>
  <c r="F14" i="33"/>
  <c r="H13" i="33"/>
  <c r="I13" i="33"/>
  <c r="E13" i="33"/>
  <c r="F13" i="33"/>
  <c r="H12" i="33"/>
  <c r="E12" i="33"/>
  <c r="F12" i="33"/>
  <c r="H11" i="33"/>
  <c r="E11" i="33"/>
  <c r="F11" i="33"/>
  <c r="H10" i="33"/>
  <c r="E10" i="33"/>
  <c r="F10" i="33"/>
  <c r="H9" i="33"/>
  <c r="I9" i="33"/>
  <c r="E9" i="33"/>
  <c r="F9" i="33"/>
  <c r="H8" i="33"/>
  <c r="I8" i="33"/>
  <c r="E8" i="33"/>
  <c r="F8" i="33"/>
  <c r="H7" i="33"/>
  <c r="H7" i="30"/>
  <c r="E7" i="33"/>
  <c r="F7" i="33"/>
  <c r="H6" i="33"/>
  <c r="I6" i="33"/>
  <c r="E6" i="33"/>
  <c r="F6" i="33"/>
  <c r="H5" i="33"/>
  <c r="I5" i="33"/>
  <c r="E5" i="33"/>
  <c r="F5" i="33"/>
  <c r="H4" i="33"/>
  <c r="I4" i="33"/>
  <c r="E4" i="33"/>
  <c r="F4" i="33"/>
  <c r="G2" i="33"/>
  <c r="D2" i="33"/>
  <c r="C2" i="33"/>
  <c r="A1" i="33" a="1"/>
  <c r="A1" i="33"/>
  <c r="H15" i="32"/>
  <c r="I15" i="32"/>
  <c r="E15" i="32"/>
  <c r="F15" i="32"/>
  <c r="H14" i="32"/>
  <c r="I14" i="32"/>
  <c r="E14" i="32"/>
  <c r="F14" i="32"/>
  <c r="H13" i="32"/>
  <c r="I13" i="32"/>
  <c r="E13" i="32"/>
  <c r="F13" i="32"/>
  <c r="H12" i="32"/>
  <c r="I12" i="32"/>
  <c r="E12" i="32"/>
  <c r="F12" i="32"/>
  <c r="H11" i="32"/>
  <c r="I11" i="32"/>
  <c r="E11" i="32"/>
  <c r="F11" i="32"/>
  <c r="H10" i="32"/>
  <c r="I10" i="32"/>
  <c r="E10" i="32"/>
  <c r="F10" i="32"/>
  <c r="H9" i="32"/>
  <c r="I9" i="32"/>
  <c r="E9" i="32"/>
  <c r="F9" i="32"/>
  <c r="H8" i="32"/>
  <c r="I8" i="32"/>
  <c r="E8" i="32"/>
  <c r="F8" i="32"/>
  <c r="H7" i="32"/>
  <c r="I7" i="32"/>
  <c r="E7" i="32"/>
  <c r="F7" i="32"/>
  <c r="H6" i="32"/>
  <c r="I6" i="32"/>
  <c r="E6" i="32"/>
  <c r="F6" i="32"/>
  <c r="H5" i="32"/>
  <c r="I5" i="32"/>
  <c r="E5" i="32"/>
  <c r="F5" i="32"/>
  <c r="H4" i="32"/>
  <c r="I4" i="32"/>
  <c r="E4" i="32"/>
  <c r="F4" i="32"/>
  <c r="G2" i="32"/>
  <c r="D2" i="32"/>
  <c r="C2" i="32"/>
  <c r="A1" i="32" a="1"/>
  <c r="A1" i="32"/>
  <c r="H15" i="31"/>
  <c r="I15" i="31"/>
  <c r="E15" i="31"/>
  <c r="F15" i="31"/>
  <c r="H14" i="31"/>
  <c r="I14" i="31"/>
  <c r="E14" i="31"/>
  <c r="F14" i="31"/>
  <c r="H13" i="31"/>
  <c r="I13" i="31"/>
  <c r="E13" i="31"/>
  <c r="F13" i="31"/>
  <c r="H12" i="31"/>
  <c r="I12" i="31"/>
  <c r="E12" i="31"/>
  <c r="F12" i="31"/>
  <c r="H11" i="31"/>
  <c r="I11" i="31"/>
  <c r="E11" i="31"/>
  <c r="F11" i="31"/>
  <c r="H10" i="31"/>
  <c r="I10" i="31"/>
  <c r="E10" i="31"/>
  <c r="F10" i="31"/>
  <c r="H9" i="31"/>
  <c r="I9" i="31"/>
  <c r="E9" i="31"/>
  <c r="F9" i="31"/>
  <c r="H8" i="31"/>
  <c r="I8" i="31"/>
  <c r="E8" i="31"/>
  <c r="F8" i="31"/>
  <c r="H7" i="31"/>
  <c r="I7" i="31"/>
  <c r="E7" i="31"/>
  <c r="F7" i="31"/>
  <c r="H6" i="31"/>
  <c r="I6" i="31"/>
  <c r="E6" i="31"/>
  <c r="F6" i="31"/>
  <c r="H5" i="31"/>
  <c r="I5" i="31"/>
  <c r="E5" i="31"/>
  <c r="F5" i="31"/>
  <c r="H4" i="31"/>
  <c r="I4" i="31"/>
  <c r="E4" i="31"/>
  <c r="F4" i="31"/>
  <c r="G2" i="31"/>
  <c r="H2" i="31"/>
  <c r="I2" i="31"/>
  <c r="D2" i="31"/>
  <c r="E2" i="31"/>
  <c r="F2" i="31"/>
  <c r="C2" i="31"/>
  <c r="A1" i="31" a="1"/>
  <c r="A1" i="31"/>
  <c r="H15" i="28"/>
  <c r="E15" i="28"/>
  <c r="F15" i="28"/>
  <c r="H14" i="28"/>
  <c r="I14" i="28"/>
  <c r="E14" i="28"/>
  <c r="F14" i="28"/>
  <c r="H13" i="28"/>
  <c r="I13" i="28"/>
  <c r="E13" i="28"/>
  <c r="F13" i="28"/>
  <c r="H12" i="28"/>
  <c r="I12" i="28"/>
  <c r="E12" i="28"/>
  <c r="F12" i="28"/>
  <c r="H11" i="28"/>
  <c r="I11" i="28"/>
  <c r="E11" i="28"/>
  <c r="F11" i="28"/>
  <c r="H10" i="28"/>
  <c r="I10" i="28"/>
  <c r="E10" i="28"/>
  <c r="F10" i="28"/>
  <c r="H9" i="28"/>
  <c r="I9" i="28"/>
  <c r="E9" i="28"/>
  <c r="F9" i="28"/>
  <c r="H8" i="28"/>
  <c r="E8" i="28"/>
  <c r="F8" i="28"/>
  <c r="H7" i="28"/>
  <c r="I7" i="28"/>
  <c r="E7" i="28"/>
  <c r="F7" i="28"/>
  <c r="H6" i="28"/>
  <c r="I6" i="28"/>
  <c r="E6" i="28"/>
  <c r="F6" i="28"/>
  <c r="H5" i="28"/>
  <c r="I5" i="28"/>
  <c r="E5" i="28"/>
  <c r="F5" i="28"/>
  <c r="H4" i="28"/>
  <c r="H4" i="29"/>
  <c r="E4" i="28"/>
  <c r="F4" i="28"/>
  <c r="B4" i="28" a="1"/>
  <c r="B4" i="28"/>
  <c r="A4" i="28" a="1"/>
  <c r="A4" i="28"/>
  <c r="G2" i="28"/>
  <c r="D2" i="28"/>
  <c r="C2" i="28"/>
  <c r="J2" i="28"/>
  <c r="A1" i="28" a="1"/>
  <c r="A1" i="28"/>
  <c r="H15" i="27"/>
  <c r="I15" i="27"/>
  <c r="E15" i="27"/>
  <c r="F15" i="27"/>
  <c r="H14" i="27"/>
  <c r="I14" i="27"/>
  <c r="E14" i="27"/>
  <c r="F14" i="27"/>
  <c r="H13" i="27"/>
  <c r="I13" i="27"/>
  <c r="E13" i="27"/>
  <c r="F13" i="27"/>
  <c r="H12" i="27"/>
  <c r="I12" i="27"/>
  <c r="E12" i="27"/>
  <c r="F12" i="27"/>
  <c r="H11" i="27"/>
  <c r="I11" i="27"/>
  <c r="E11" i="27"/>
  <c r="F11" i="27"/>
  <c r="G2" i="27"/>
  <c r="D2" i="27"/>
  <c r="C2" i="27"/>
  <c r="A1" i="27" a="1"/>
  <c r="A1" i="27"/>
  <c r="H15" i="26"/>
  <c r="E15" i="26"/>
  <c r="F15" i="26"/>
  <c r="H14" i="26"/>
  <c r="I14" i="26"/>
  <c r="E14" i="26"/>
  <c r="F14" i="26"/>
  <c r="H13" i="26"/>
  <c r="I13" i="26"/>
  <c r="E13" i="26"/>
  <c r="F13" i="26"/>
  <c r="H12" i="26"/>
  <c r="E12" i="26"/>
  <c r="F12" i="26"/>
  <c r="H11" i="26"/>
  <c r="I11" i="26"/>
  <c r="E11" i="26"/>
  <c r="F11" i="26"/>
  <c r="H10" i="26"/>
  <c r="I10" i="26"/>
  <c r="E10" i="26"/>
  <c r="F10" i="26"/>
  <c r="H9" i="26"/>
  <c r="E9" i="26"/>
  <c r="F9" i="26"/>
  <c r="H8" i="26"/>
  <c r="I8" i="26"/>
  <c r="E8" i="26"/>
  <c r="F8" i="26"/>
  <c r="H7" i="26"/>
  <c r="E7" i="26"/>
  <c r="F7" i="26"/>
  <c r="H6" i="26"/>
  <c r="E6" i="26"/>
  <c r="F6" i="26"/>
  <c r="H5" i="26"/>
  <c r="I5" i="26"/>
  <c r="E5" i="26"/>
  <c r="F5" i="26"/>
  <c r="H4" i="26"/>
  <c r="I4" i="26"/>
  <c r="E4" i="26"/>
  <c r="F4" i="26"/>
  <c r="G2" i="26"/>
  <c r="D2" i="26"/>
  <c r="C2" i="26"/>
  <c r="J2" i="26"/>
  <c r="A1" i="26" a="1"/>
  <c r="A1" i="26"/>
  <c r="H15" i="19"/>
  <c r="I15" i="19"/>
  <c r="E15" i="19"/>
  <c r="F15" i="19"/>
  <c r="H14" i="19"/>
  <c r="I14" i="19"/>
  <c r="E14" i="19"/>
  <c r="F14" i="19"/>
  <c r="H13" i="19"/>
  <c r="I13" i="19"/>
  <c r="E13" i="19"/>
  <c r="F13" i="19"/>
  <c r="H12" i="19"/>
  <c r="I12" i="19"/>
  <c r="E12" i="19"/>
  <c r="F12" i="19"/>
  <c r="H11" i="19"/>
  <c r="I11" i="19"/>
  <c r="E11" i="19"/>
  <c r="F11" i="19"/>
  <c r="H10" i="19"/>
  <c r="I10" i="19"/>
  <c r="E10" i="19"/>
  <c r="F10" i="19"/>
  <c r="H9" i="19"/>
  <c r="I9" i="19"/>
  <c r="E9" i="19"/>
  <c r="F9" i="19"/>
  <c r="H8" i="19"/>
  <c r="I8" i="19"/>
  <c r="E8" i="19"/>
  <c r="F8" i="19"/>
  <c r="H7" i="19"/>
  <c r="I7" i="19"/>
  <c r="E7" i="19"/>
  <c r="F7" i="19"/>
  <c r="H6" i="19"/>
  <c r="I6" i="19"/>
  <c r="E6" i="19"/>
  <c r="F6" i="19"/>
  <c r="H5" i="19"/>
  <c r="I5" i="19"/>
  <c r="E5" i="19"/>
  <c r="F5" i="19"/>
  <c r="H4" i="19"/>
  <c r="I4" i="19"/>
  <c r="E4" i="19"/>
  <c r="F4" i="19"/>
  <c r="G2" i="19"/>
  <c r="D2" i="19"/>
  <c r="C2" i="19"/>
  <c r="H2" i="19"/>
  <c r="I2" i="19"/>
  <c r="A1" i="19" a="1"/>
  <c r="A1" i="19"/>
  <c r="H15" i="20"/>
  <c r="I15" i="20"/>
  <c r="E15" i="20"/>
  <c r="F15" i="20"/>
  <c r="H14" i="20"/>
  <c r="I14" i="20"/>
  <c r="E14" i="20"/>
  <c r="F14" i="20"/>
  <c r="H13" i="20"/>
  <c r="I13" i="20" s="1"/>
  <c r="E13" i="20"/>
  <c r="F13" i="20" s="1"/>
  <c r="H12" i="20"/>
  <c r="I12" i="20" s="1"/>
  <c r="E12" i="20"/>
  <c r="F12" i="20"/>
  <c r="H11" i="20"/>
  <c r="I11" i="20"/>
  <c r="E11" i="20"/>
  <c r="F11" i="20"/>
  <c r="H10" i="20"/>
  <c r="I10" i="20" s="1"/>
  <c r="E10" i="20"/>
  <c r="F10" i="20" s="1"/>
  <c r="H9" i="20"/>
  <c r="I9" i="20" s="1"/>
  <c r="E9" i="20"/>
  <c r="F9" i="20" s="1"/>
  <c r="H8" i="20"/>
  <c r="I8" i="20"/>
  <c r="E8" i="20"/>
  <c r="F8" i="20"/>
  <c r="H7" i="20"/>
  <c r="H7" i="18" s="1"/>
  <c r="I7" i="18" s="1"/>
  <c r="I7" i="20"/>
  <c r="E7" i="20"/>
  <c r="F7" i="20"/>
  <c r="H6" i="20"/>
  <c r="I6" i="20" s="1"/>
  <c r="E6" i="20"/>
  <c r="F6" i="20" s="1"/>
  <c r="H5" i="20"/>
  <c r="I5" i="20"/>
  <c r="E5" i="20"/>
  <c r="F5" i="20" s="1"/>
  <c r="H4" i="20"/>
  <c r="I4" i="20"/>
  <c r="E4" i="20"/>
  <c r="F4" i="20"/>
  <c r="G2" i="20"/>
  <c r="D2" i="20"/>
  <c r="C2" i="20"/>
  <c r="J2" i="20" s="1"/>
  <c r="A1" i="20" a="1"/>
  <c r="A1" i="20"/>
  <c r="H15" i="21"/>
  <c r="I15" i="21" s="1"/>
  <c r="E15" i="21"/>
  <c r="F15" i="21"/>
  <c r="H14" i="21"/>
  <c r="I14" i="21"/>
  <c r="E14" i="21"/>
  <c r="F14" i="21"/>
  <c r="H13" i="21"/>
  <c r="H13" i="18" s="1"/>
  <c r="E13" i="21"/>
  <c r="F13" i="21"/>
  <c r="H12" i="21"/>
  <c r="I12" i="21"/>
  <c r="E12" i="21"/>
  <c r="F12" i="21"/>
  <c r="H11" i="21"/>
  <c r="I11" i="21"/>
  <c r="E11" i="21"/>
  <c r="F11" i="21"/>
  <c r="H10" i="21"/>
  <c r="E10" i="21"/>
  <c r="F10" i="21" s="1"/>
  <c r="H9" i="21"/>
  <c r="I9" i="21"/>
  <c r="E9" i="21"/>
  <c r="F9" i="21"/>
  <c r="H8" i="21"/>
  <c r="I8" i="21"/>
  <c r="E8" i="21"/>
  <c r="F8" i="21"/>
  <c r="H7" i="21"/>
  <c r="I7" i="21" s="1"/>
  <c r="E7" i="21"/>
  <c r="F7" i="21"/>
  <c r="H6" i="21"/>
  <c r="I6" i="21"/>
  <c r="E6" i="21"/>
  <c r="F6" i="21"/>
  <c r="H5" i="21"/>
  <c r="I5" i="21" s="1"/>
  <c r="H5" i="18"/>
  <c r="H5" i="34" s="1"/>
  <c r="I5" i="18"/>
  <c r="E5" i="21"/>
  <c r="F5" i="21"/>
  <c r="H4" i="21"/>
  <c r="H4" i="18" s="1"/>
  <c r="E4" i="21"/>
  <c r="F4" i="21"/>
  <c r="G2" i="21"/>
  <c r="D2" i="21"/>
  <c r="C2" i="21"/>
  <c r="A1" i="21" a="1"/>
  <c r="A1" i="21"/>
  <c r="H15" i="4"/>
  <c r="I15" i="4"/>
  <c r="E15" i="4"/>
  <c r="F15" i="4"/>
  <c r="H14" i="4"/>
  <c r="I14" i="4"/>
  <c r="E14" i="4"/>
  <c r="F14" i="4"/>
  <c r="H13" i="4"/>
  <c r="I13" i="4"/>
  <c r="E13" i="4"/>
  <c r="F13" i="4"/>
  <c r="H12" i="4"/>
  <c r="I12" i="4"/>
  <c r="E12" i="4"/>
  <c r="F12" i="4"/>
  <c r="H11" i="4"/>
  <c r="E11" i="4"/>
  <c r="F11" i="4"/>
  <c r="H10" i="4"/>
  <c r="I10" i="4"/>
  <c r="E10" i="4"/>
  <c r="F10" i="4"/>
  <c r="H9" i="4"/>
  <c r="I9" i="4"/>
  <c r="E9" i="4"/>
  <c r="F9" i="4"/>
  <c r="H8" i="4"/>
  <c r="I8" i="4"/>
  <c r="E8" i="4"/>
  <c r="F8" i="4"/>
  <c r="H7" i="4"/>
  <c r="I7" i="4"/>
  <c r="E7" i="4"/>
  <c r="F7" i="4"/>
  <c r="H6" i="4"/>
  <c r="E6" i="4"/>
  <c r="F6" i="4"/>
  <c r="H5" i="4"/>
  <c r="I5" i="4"/>
  <c r="E5" i="4"/>
  <c r="F5" i="4"/>
  <c r="H4" i="4"/>
  <c r="I4" i="4"/>
  <c r="E4" i="4"/>
  <c r="F4" i="4"/>
  <c r="G2" i="4"/>
  <c r="D2" i="4"/>
  <c r="C2" i="4"/>
  <c r="A1" i="4" a="1"/>
  <c r="A1" i="4"/>
  <c r="G2" i="3"/>
  <c r="D2" i="3"/>
  <c r="A1" i="3" a="1"/>
  <c r="A1" i="3"/>
  <c r="H6" i="72"/>
  <c r="H6" i="1" s="1"/>
  <c r="I6" i="72"/>
  <c r="H7" i="72"/>
  <c r="I7" i="72"/>
  <c r="H8" i="72"/>
  <c r="H9" i="72"/>
  <c r="I9" i="72"/>
  <c r="H10" i="72"/>
  <c r="I10" i="72"/>
  <c r="H11" i="72"/>
  <c r="I11" i="72"/>
  <c r="H12" i="72"/>
  <c r="I12" i="72"/>
  <c r="H13" i="72"/>
  <c r="H13" i="1" s="1"/>
  <c r="I13" i="72"/>
  <c r="H14" i="72"/>
  <c r="H15" i="72"/>
  <c r="H5" i="72"/>
  <c r="I5" i="72"/>
  <c r="H4" i="72"/>
  <c r="I4" i="72"/>
  <c r="G2" i="72"/>
  <c r="D2" i="72"/>
  <c r="C2" i="72"/>
  <c r="A1" i="72" a="1"/>
  <c r="A1" i="72"/>
  <c r="H2" i="32"/>
  <c r="I2" i="32"/>
  <c r="J2" i="32"/>
  <c r="J2" i="31"/>
  <c r="I6" i="26"/>
  <c r="I9" i="26"/>
  <c r="I12" i="26"/>
  <c r="I15" i="26"/>
  <c r="H5" i="29"/>
  <c r="I7" i="26"/>
  <c r="H9" i="18"/>
  <c r="E2" i="32"/>
  <c r="F2" i="32"/>
  <c r="E2" i="26"/>
  <c r="F2" i="26"/>
  <c r="E2" i="19"/>
  <c r="F2" i="19"/>
  <c r="E20" i="1"/>
  <c r="F20" i="1"/>
  <c r="H15" i="1"/>
  <c r="I15" i="1"/>
  <c r="H14" i="1"/>
  <c r="H8" i="1"/>
  <c r="I8" i="1"/>
  <c r="H7" i="1"/>
  <c r="I7" i="1"/>
  <c r="I6" i="4"/>
  <c r="H2" i="4"/>
  <c r="I2" i="4"/>
  <c r="E45" i="1"/>
  <c r="F45" i="1"/>
  <c r="E30" i="1"/>
  <c r="F30" i="1"/>
  <c r="E8" i="1"/>
  <c r="F8" i="1"/>
  <c r="H41" i="1"/>
  <c r="I41" i="3"/>
  <c r="I13" i="1"/>
  <c r="E28" i="1"/>
  <c r="F28" i="1"/>
  <c r="E25" i="1"/>
  <c r="F25" i="1"/>
  <c r="E59" i="1"/>
  <c r="F59" i="1"/>
  <c r="E16" i="1"/>
  <c r="F16" i="1"/>
  <c r="E64" i="1"/>
  <c r="F64" i="1"/>
  <c r="E35" i="1"/>
  <c r="F35" i="1"/>
  <c r="E40" i="1"/>
  <c r="F40" i="1"/>
  <c r="E52" i="1"/>
  <c r="F52" i="1"/>
  <c r="I8" i="72"/>
  <c r="E33" i="1"/>
  <c r="F33" i="1"/>
  <c r="I14" i="1"/>
  <c r="E46" i="1"/>
  <c r="F46" i="1"/>
  <c r="E7" i="1"/>
  <c r="F7" i="1"/>
  <c r="I6" i="1"/>
  <c r="E23" i="1"/>
  <c r="F23" i="1"/>
  <c r="E19" i="1"/>
  <c r="F19" i="1"/>
  <c r="E17" i="1"/>
  <c r="F17" i="1"/>
  <c r="E13" i="1"/>
  <c r="F13" i="1"/>
  <c r="E11" i="1"/>
  <c r="F11" i="1"/>
  <c r="E6" i="1"/>
  <c r="F6" i="1"/>
  <c r="E2" i="72"/>
  <c r="F2" i="72"/>
  <c r="E5" i="1"/>
  <c r="F5" i="1"/>
  <c r="E4" i="1"/>
  <c r="F4" i="1"/>
  <c r="H24" i="1"/>
  <c r="I24" i="1"/>
  <c r="E58" i="1"/>
  <c r="F58" i="1"/>
  <c r="E21" i="1"/>
  <c r="F21" i="1"/>
  <c r="H20" i="1"/>
  <c r="I20" i="1"/>
  <c r="I15" i="72"/>
  <c r="I14" i="72"/>
  <c r="H10" i="1"/>
  <c r="I10" i="1"/>
  <c r="E9" i="1"/>
  <c r="F9" i="1"/>
  <c r="E47" i="1"/>
  <c r="F47" i="1"/>
  <c r="J2" i="72"/>
  <c r="H11" i="1"/>
  <c r="I11" i="1"/>
  <c r="D2" i="1"/>
  <c r="C2" i="1"/>
  <c r="E12" i="1"/>
  <c r="F12" i="1"/>
  <c r="E14" i="1"/>
  <c r="F14" i="1"/>
  <c r="G2" i="1"/>
  <c r="H4" i="1"/>
  <c r="I4" i="1"/>
  <c r="H16" i="1"/>
  <c r="I16" i="1"/>
  <c r="I16" i="72"/>
  <c r="H23" i="1"/>
  <c r="I23" i="1"/>
  <c r="I23" i="72"/>
  <c r="H22" i="1"/>
  <c r="I22" i="1"/>
  <c r="I22" i="72"/>
  <c r="H21" i="1"/>
  <c r="I21" i="1"/>
  <c r="I21" i="72"/>
  <c r="H19" i="1"/>
  <c r="I19" i="1"/>
  <c r="I19" i="72"/>
  <c r="H18" i="1"/>
  <c r="I18" i="1"/>
  <c r="I18" i="72"/>
  <c r="E22" i="1"/>
  <c r="F22" i="1"/>
  <c r="E18" i="1"/>
  <c r="F18" i="1"/>
  <c r="H25" i="1"/>
  <c r="I25" i="1"/>
  <c r="H67" i="1"/>
  <c r="I67" i="1"/>
  <c r="I67" i="72"/>
  <c r="I57" i="72"/>
  <c r="H57" i="1"/>
  <c r="I57" i="1"/>
  <c r="H55" i="1"/>
  <c r="I55" i="1"/>
  <c r="I55" i="72"/>
  <c r="H52" i="1"/>
  <c r="I52" i="1"/>
  <c r="I52" i="72"/>
  <c r="I45" i="72"/>
  <c r="H45" i="1"/>
  <c r="I45" i="1"/>
  <c r="I43" i="72"/>
  <c r="H43" i="1"/>
  <c r="I43" i="1"/>
  <c r="H37" i="1"/>
  <c r="I37" i="1"/>
  <c r="I37" i="72"/>
  <c r="H34" i="1"/>
  <c r="I34" i="1"/>
  <c r="I34" i="72"/>
  <c r="I33" i="72"/>
  <c r="H33" i="1"/>
  <c r="I33" i="1"/>
  <c r="H31" i="1"/>
  <c r="I31" i="1"/>
  <c r="I31" i="72"/>
  <c r="I30" i="72"/>
  <c r="H30" i="1"/>
  <c r="I30" i="1"/>
  <c r="I28" i="72"/>
  <c r="H28" i="1"/>
  <c r="I28" i="1"/>
  <c r="E67" i="1"/>
  <c r="F67" i="1"/>
  <c r="E65" i="1"/>
  <c r="F65" i="1"/>
  <c r="E63" i="1"/>
  <c r="F63" i="1"/>
  <c r="E62" i="1"/>
  <c r="F62" i="1"/>
  <c r="E60" i="1"/>
  <c r="F60" i="1"/>
  <c r="E56" i="1"/>
  <c r="F56" i="1"/>
  <c r="E55" i="1"/>
  <c r="F55" i="1"/>
  <c r="E54" i="1"/>
  <c r="F54" i="1"/>
  <c r="E53" i="1"/>
  <c r="F53" i="1"/>
  <c r="E51" i="1"/>
  <c r="F51" i="1"/>
  <c r="E50" i="1"/>
  <c r="F50" i="1"/>
  <c r="E49" i="1"/>
  <c r="F49" i="1"/>
  <c r="E48" i="1"/>
  <c r="F48" i="1"/>
  <c r="E44" i="1"/>
  <c r="F44" i="1"/>
  <c r="E43" i="1"/>
  <c r="F43" i="1"/>
  <c r="E41" i="1"/>
  <c r="F41" i="1"/>
  <c r="E39" i="1"/>
  <c r="F39" i="1"/>
  <c r="E38" i="1"/>
  <c r="F38" i="1"/>
  <c r="E37" i="1"/>
  <c r="F37" i="1"/>
  <c r="E36" i="1"/>
  <c r="F36" i="1"/>
  <c r="E31" i="1"/>
  <c r="F31" i="1"/>
  <c r="E29" i="1"/>
  <c r="F29" i="1"/>
  <c r="E27" i="1"/>
  <c r="F27" i="1"/>
  <c r="E26" i="1"/>
  <c r="F26" i="1"/>
  <c r="G40" i="34"/>
  <c r="D2" i="18"/>
  <c r="H2" i="3"/>
  <c r="I2" i="3"/>
  <c r="H44" i="1"/>
  <c r="I44" i="1"/>
  <c r="H26" i="1"/>
  <c r="I26" i="1"/>
  <c r="H9" i="1"/>
  <c r="I9" i="1"/>
  <c r="H2" i="26"/>
  <c r="I2" i="26"/>
  <c r="H17" i="1"/>
  <c r="I17" i="1"/>
  <c r="H17" i="29"/>
  <c r="I17" i="29"/>
  <c r="I11" i="4"/>
  <c r="H59" i="1"/>
  <c r="I59" i="1"/>
  <c r="E61" i="1"/>
  <c r="F61" i="1"/>
  <c r="H11" i="30"/>
  <c r="H51" i="1"/>
  <c r="I51" i="1"/>
  <c r="H47" i="1"/>
  <c r="I47" i="1"/>
  <c r="H29" i="1"/>
  <c r="I29" i="1"/>
  <c r="H12" i="1"/>
  <c r="I12" i="1"/>
  <c r="H8" i="18"/>
  <c r="H8" i="34" s="1"/>
  <c r="H8" i="29"/>
  <c r="I8" i="29"/>
  <c r="E2" i="33"/>
  <c r="F2" i="33"/>
  <c r="H35" i="1"/>
  <c r="I35" i="1"/>
  <c r="H12" i="30"/>
  <c r="H32" i="1"/>
  <c r="I32" i="1"/>
  <c r="E66" i="1"/>
  <c r="F66" i="1"/>
  <c r="H54" i="1"/>
  <c r="I54" i="1"/>
  <c r="H65" i="1"/>
  <c r="I65" i="1"/>
  <c r="H53" i="1"/>
  <c r="I53" i="1"/>
  <c r="H65" i="29"/>
  <c r="H56" i="29"/>
  <c r="I56" i="29"/>
  <c r="D47" i="34"/>
  <c r="H62" i="1"/>
  <c r="I62" i="1"/>
  <c r="H2" i="72"/>
  <c r="I2" i="72"/>
  <c r="E10" i="1"/>
  <c r="F10" i="1"/>
  <c r="J2" i="19"/>
  <c r="I4" i="28"/>
  <c r="H61" i="1"/>
  <c r="I61" i="1"/>
  <c r="H42" i="1"/>
  <c r="I42" i="1"/>
  <c r="H64" i="1"/>
  <c r="I64" i="1"/>
  <c r="H38" i="1"/>
  <c r="I38" i="1"/>
  <c r="H50" i="1"/>
  <c r="I50" i="1"/>
  <c r="H54" i="29"/>
  <c r="H63" i="1"/>
  <c r="I63" i="1"/>
  <c r="H58" i="1"/>
  <c r="I58" i="1"/>
  <c r="E2" i="3"/>
  <c r="F2" i="3"/>
  <c r="J2" i="4"/>
  <c r="E2" i="4"/>
  <c r="F2" i="4"/>
  <c r="H5" i="1"/>
  <c r="I5" i="1"/>
  <c r="H15" i="29"/>
  <c r="I15" i="29"/>
  <c r="H68" i="1"/>
  <c r="I68" i="1"/>
  <c r="H56" i="1"/>
  <c r="I56" i="1"/>
  <c r="I41" i="1"/>
  <c r="H66" i="1"/>
  <c r="I66" i="1"/>
  <c r="H10" i="30"/>
  <c r="H15" i="30"/>
  <c r="H60" i="1"/>
  <c r="I60" i="1"/>
  <c r="H68" i="29"/>
  <c r="I68" i="29"/>
  <c r="H32" i="29"/>
  <c r="H40" i="1"/>
  <c r="I40" i="1"/>
  <c r="E68" i="1"/>
  <c r="F68" i="1"/>
  <c r="G56" i="34"/>
  <c r="H49" i="1"/>
  <c r="I49" i="1"/>
  <c r="H46" i="1"/>
  <c r="I46" i="1"/>
  <c r="H59" i="29"/>
  <c r="I59" i="29"/>
  <c r="H26" i="29"/>
  <c r="I26" i="29"/>
  <c r="H67" i="29"/>
  <c r="I67" i="29"/>
  <c r="H62" i="29"/>
  <c r="E32" i="1"/>
  <c r="F32" i="1"/>
  <c r="H48" i="1"/>
  <c r="I48" i="1"/>
  <c r="H39" i="1"/>
  <c r="I39" i="1"/>
  <c r="H36" i="1"/>
  <c r="I36" i="1"/>
  <c r="H27" i="1"/>
  <c r="I27" i="1"/>
  <c r="G67" i="34"/>
  <c r="G65" i="34"/>
  <c r="H33" i="29"/>
  <c r="G61" i="34"/>
  <c r="H51" i="29"/>
  <c r="H27" i="29"/>
  <c r="H64" i="29"/>
  <c r="H25" i="29"/>
  <c r="D68" i="34"/>
  <c r="I11" i="33"/>
  <c r="C47" i="34"/>
  <c r="E47" i="34" s="1"/>
  <c r="F47" i="34" s="1"/>
  <c r="D44" i="34"/>
  <c r="I10" i="33"/>
  <c r="E11" i="30"/>
  <c r="F11" i="30"/>
  <c r="D22" i="34"/>
  <c r="E8" i="30"/>
  <c r="F8" i="30"/>
  <c r="H16" i="30"/>
  <c r="G34" i="34"/>
  <c r="G50" i="34"/>
  <c r="H2" i="33"/>
  <c r="I2" i="33"/>
  <c r="G13" i="34"/>
  <c r="D35" i="34"/>
  <c r="I11" i="30"/>
  <c r="I10" i="30"/>
  <c r="H8" i="30"/>
  <c r="H5" i="30"/>
  <c r="H4" i="30"/>
  <c r="I7" i="33"/>
  <c r="H13" i="30"/>
  <c r="I13" i="30"/>
  <c r="H9" i="30"/>
  <c r="I9" i="30"/>
  <c r="J2" i="33"/>
  <c r="E7" i="30"/>
  <c r="F7" i="30"/>
  <c r="C39" i="34"/>
  <c r="D34" i="34"/>
  <c r="G19" i="34"/>
  <c r="G52" i="34"/>
  <c r="D38" i="34"/>
  <c r="C30" i="34"/>
  <c r="D30" i="34"/>
  <c r="D66" i="34"/>
  <c r="G43" i="34"/>
  <c r="D6" i="34"/>
  <c r="C17" i="34"/>
  <c r="G39" i="34"/>
  <c r="E14" i="30"/>
  <c r="F14" i="30"/>
  <c r="G33" i="34"/>
  <c r="I12" i="30"/>
  <c r="H14" i="30"/>
  <c r="G10" i="34"/>
  <c r="I12" i="33"/>
  <c r="E5" i="30"/>
  <c r="F5" i="30"/>
  <c r="D62" i="34"/>
  <c r="D8" i="34"/>
  <c r="C57" i="34"/>
  <c r="H6" i="30"/>
  <c r="C51" i="34"/>
  <c r="E16" i="30"/>
  <c r="F16" i="30"/>
  <c r="G5" i="34"/>
  <c r="C67" i="34"/>
  <c r="D26" i="34"/>
  <c r="E9" i="30"/>
  <c r="F9" i="30"/>
  <c r="C11" i="34"/>
  <c r="G21" i="34"/>
  <c r="G20" i="34"/>
  <c r="E15" i="30"/>
  <c r="F15" i="30"/>
  <c r="D13" i="34"/>
  <c r="D51" i="34"/>
  <c r="D46" i="34"/>
  <c r="G41" i="34"/>
  <c r="C37" i="34"/>
  <c r="D23" i="34"/>
  <c r="E10" i="30"/>
  <c r="F10" i="30"/>
  <c r="G16" i="34"/>
  <c r="C66" i="34"/>
  <c r="G45" i="34"/>
  <c r="D7" i="34"/>
  <c r="D15" i="34"/>
  <c r="C22" i="34"/>
  <c r="E22" i="34" s="1"/>
  <c r="F22" i="34" s="1"/>
  <c r="C50" i="34"/>
  <c r="D16" i="34"/>
  <c r="G59" i="34"/>
  <c r="G49" i="34"/>
  <c r="E13" i="30"/>
  <c r="F13" i="30"/>
  <c r="C59" i="34"/>
  <c r="C49" i="34"/>
  <c r="G2" i="30"/>
  <c r="I15" i="30"/>
  <c r="G25" i="34"/>
  <c r="D53" i="34"/>
  <c r="G48" i="34"/>
  <c r="I7" i="30"/>
  <c r="E6" i="30"/>
  <c r="F6" i="30"/>
  <c r="D63" i="34"/>
  <c r="C2" i="30"/>
  <c r="D17" i="34"/>
  <c r="C65" i="34"/>
  <c r="G38" i="34"/>
  <c r="G54" i="34"/>
  <c r="D2" i="30"/>
  <c r="E12" i="30"/>
  <c r="F12" i="30"/>
  <c r="D54" i="34"/>
  <c r="G30" i="34"/>
  <c r="D10" i="34"/>
  <c r="D14" i="34"/>
  <c r="G22" i="34"/>
  <c r="D61" i="34"/>
  <c r="D27" i="34"/>
  <c r="D39" i="34"/>
  <c r="D21" i="34"/>
  <c r="C63" i="34"/>
  <c r="E63" i="34" s="1"/>
  <c r="F63" i="34" s="1"/>
  <c r="C12" i="34"/>
  <c r="D12" i="34"/>
  <c r="E4" i="30"/>
  <c r="F4" i="30"/>
  <c r="D60" i="34"/>
  <c r="D41" i="34"/>
  <c r="D29" i="34"/>
  <c r="C56" i="34"/>
  <c r="D65" i="34"/>
  <c r="C60" i="34"/>
  <c r="E60" i="34" s="1"/>
  <c r="F60" i="34" s="1"/>
  <c r="D55" i="34"/>
  <c r="C48" i="34"/>
  <c r="D43" i="34"/>
  <c r="C41" i="34"/>
  <c r="D36" i="34"/>
  <c r="C29" i="34"/>
  <c r="E29" i="34" s="1"/>
  <c r="F29" i="34" s="1"/>
  <c r="D32" i="34"/>
  <c r="D9" i="34"/>
  <c r="D52" i="34"/>
  <c r="D45" i="34"/>
  <c r="D56" i="34"/>
  <c r="D25" i="34"/>
  <c r="D57" i="34"/>
  <c r="C52" i="34"/>
  <c r="D40" i="34"/>
  <c r="D33" i="34"/>
  <c r="D28" i="34"/>
  <c r="D64" i="34"/>
  <c r="D20" i="34"/>
  <c r="D19" i="34"/>
  <c r="D18" i="34"/>
  <c r="D4" i="34"/>
  <c r="H52" i="29"/>
  <c r="H36" i="29"/>
  <c r="H35" i="29"/>
  <c r="H61" i="29"/>
  <c r="H9" i="29"/>
  <c r="I9" i="29"/>
  <c r="H44" i="29"/>
  <c r="H28" i="29"/>
  <c r="I28" i="29"/>
  <c r="H53" i="29"/>
  <c r="I53" i="29"/>
  <c r="E7" i="29"/>
  <c r="F7" i="29"/>
  <c r="H20" i="29"/>
  <c r="I20" i="29"/>
  <c r="H10" i="29"/>
  <c r="I10" i="29"/>
  <c r="H45" i="29"/>
  <c r="I45" i="29"/>
  <c r="H37" i="29"/>
  <c r="I15" i="28"/>
  <c r="H29" i="29"/>
  <c r="I29" i="29"/>
  <c r="H23" i="29"/>
  <c r="I23" i="29"/>
  <c r="H63" i="29"/>
  <c r="E50" i="29"/>
  <c r="F50" i="29"/>
  <c r="H47" i="29"/>
  <c r="H31" i="29"/>
  <c r="I31" i="29"/>
  <c r="I8" i="28"/>
  <c r="E24" i="29"/>
  <c r="F24" i="29"/>
  <c r="H6" i="29"/>
  <c r="E58" i="29"/>
  <c r="F58" i="29"/>
  <c r="I35" i="29"/>
  <c r="E52" i="29"/>
  <c r="F52" i="29"/>
  <c r="I43" i="29"/>
  <c r="E43" i="29"/>
  <c r="F43" i="29"/>
  <c r="E66" i="29"/>
  <c r="F66" i="29"/>
  <c r="D50" i="34"/>
  <c r="H41" i="29"/>
  <c r="I41" i="29"/>
  <c r="H57" i="29"/>
  <c r="I57" i="29"/>
  <c r="H49" i="29"/>
  <c r="I49" i="29"/>
  <c r="E8" i="29"/>
  <c r="F8" i="29"/>
  <c r="E14" i="29"/>
  <c r="F14" i="29"/>
  <c r="E21" i="29"/>
  <c r="F21" i="29"/>
  <c r="E20" i="29"/>
  <c r="F20" i="29"/>
  <c r="E4" i="29"/>
  <c r="F4" i="29"/>
  <c r="I25" i="29"/>
  <c r="I24" i="29"/>
  <c r="I19" i="29"/>
  <c r="H16" i="29"/>
  <c r="I16" i="29"/>
  <c r="E13" i="29"/>
  <c r="F13" i="29"/>
  <c r="H12" i="29"/>
  <c r="I12" i="29"/>
  <c r="H7" i="29"/>
  <c r="I7" i="29"/>
  <c r="E5" i="29"/>
  <c r="F5" i="29"/>
  <c r="C4" i="34"/>
  <c r="H2" i="28"/>
  <c r="I2" i="28"/>
  <c r="E2" i="28"/>
  <c r="F2" i="28"/>
  <c r="E48" i="29"/>
  <c r="F48" i="29"/>
  <c r="I65" i="29"/>
  <c r="I5" i="29"/>
  <c r="I6" i="29"/>
  <c r="C20" i="34"/>
  <c r="E20" i="34" s="1"/>
  <c r="F20" i="34" s="1"/>
  <c r="E55" i="29"/>
  <c r="F55" i="29"/>
  <c r="E49" i="29"/>
  <c r="F49" i="29"/>
  <c r="I40" i="29"/>
  <c r="I34" i="29"/>
  <c r="E9" i="29"/>
  <c r="F9" i="29"/>
  <c r="E67" i="29"/>
  <c r="F67" i="29"/>
  <c r="E59" i="29"/>
  <c r="F59" i="29"/>
  <c r="I38" i="29"/>
  <c r="I52" i="29"/>
  <c r="E40" i="29"/>
  <c r="F40" i="29"/>
  <c r="I27" i="29"/>
  <c r="C21" i="34"/>
  <c r="E21" i="34" s="1"/>
  <c r="F21" i="34" s="1"/>
  <c r="I66" i="29"/>
  <c r="I60" i="29"/>
  <c r="I54" i="29"/>
  <c r="I50" i="29"/>
  <c r="E42" i="29"/>
  <c r="F42" i="29"/>
  <c r="E56" i="29"/>
  <c r="F56" i="29"/>
  <c r="E46" i="29"/>
  <c r="F46" i="29"/>
  <c r="E31" i="29"/>
  <c r="F31" i="29"/>
  <c r="I55" i="29"/>
  <c r="I47" i="29"/>
  <c r="E37" i="29"/>
  <c r="F37" i="29"/>
  <c r="I51" i="29"/>
  <c r="I32" i="29"/>
  <c r="I33" i="29"/>
  <c r="I21" i="29"/>
  <c r="I46" i="29"/>
  <c r="I18" i="29"/>
  <c r="I37" i="29"/>
  <c r="I36" i="29"/>
  <c r="I4" i="29"/>
  <c r="E17" i="29"/>
  <c r="F17" i="29"/>
  <c r="D24" i="34"/>
  <c r="E30" i="29"/>
  <c r="F30" i="29"/>
  <c r="E10" i="29"/>
  <c r="F10" i="29"/>
  <c r="E35" i="29"/>
  <c r="F35" i="29"/>
  <c r="E15" i="29"/>
  <c r="F15" i="29"/>
  <c r="E68" i="29"/>
  <c r="F68" i="29"/>
  <c r="D5" i="34"/>
  <c r="E6" i="29"/>
  <c r="F6" i="29"/>
  <c r="D2" i="29"/>
  <c r="E11" i="29"/>
  <c r="F11" i="29"/>
  <c r="E22" i="29"/>
  <c r="F22" i="29"/>
  <c r="E63" i="29"/>
  <c r="F63" i="29"/>
  <c r="E41" i="29"/>
  <c r="F41" i="29"/>
  <c r="E32" i="29"/>
  <c r="F32" i="29"/>
  <c r="D58" i="34"/>
  <c r="D42" i="34"/>
  <c r="D11" i="34"/>
  <c r="E54" i="29"/>
  <c r="F54" i="29"/>
  <c r="E38" i="29"/>
  <c r="F38" i="29"/>
  <c r="D67" i="34"/>
  <c r="D49" i="34"/>
  <c r="E12" i="29"/>
  <c r="F12" i="29"/>
  <c r="E23" i="29"/>
  <c r="F23" i="29"/>
  <c r="E18" i="29"/>
  <c r="F18" i="29"/>
  <c r="E64" i="29"/>
  <c r="F64" i="29"/>
  <c r="E47" i="29"/>
  <c r="F47" i="29"/>
  <c r="D59" i="34"/>
  <c r="D31" i="34"/>
  <c r="E33" i="29"/>
  <c r="F33" i="29"/>
  <c r="D48" i="34"/>
  <c r="E65" i="29"/>
  <c r="F65" i="29"/>
  <c r="E36" i="29"/>
  <c r="F36" i="29"/>
  <c r="E28" i="29"/>
  <c r="F28" i="29"/>
  <c r="D37" i="34"/>
  <c r="E25" i="29"/>
  <c r="F25" i="29"/>
  <c r="E19" i="29"/>
  <c r="F19" i="29"/>
  <c r="E53" i="29"/>
  <c r="F53" i="29"/>
  <c r="E34" i="29"/>
  <c r="F34" i="29"/>
  <c r="I63" i="29"/>
  <c r="E62" i="29"/>
  <c r="F62" i="29"/>
  <c r="C68" i="34"/>
  <c r="E68" i="34" s="1"/>
  <c r="F68" i="34" s="1"/>
  <c r="C53" i="34"/>
  <c r="E53" i="34" s="1"/>
  <c r="F53" i="34" s="1"/>
  <c r="E45" i="29"/>
  <c r="F45" i="29"/>
  <c r="I44" i="29"/>
  <c r="E44" i="29"/>
  <c r="F44" i="29"/>
  <c r="E39" i="29"/>
  <c r="F39" i="29"/>
  <c r="I42" i="29"/>
  <c r="E26" i="29"/>
  <c r="F26" i="29"/>
  <c r="E60" i="29"/>
  <c r="F60" i="29"/>
  <c r="I58" i="29"/>
  <c r="E57" i="29"/>
  <c r="F57" i="29"/>
  <c r="I22" i="29"/>
  <c r="C19" i="34"/>
  <c r="E19" i="34" s="1"/>
  <c r="F19" i="34" s="1"/>
  <c r="G18" i="34"/>
  <c r="C18" i="34"/>
  <c r="E18" i="34" s="1"/>
  <c r="F18" i="34" s="1"/>
  <c r="E16" i="29"/>
  <c r="F16" i="29"/>
  <c r="H14" i="29"/>
  <c r="I14" i="29"/>
  <c r="H13" i="29"/>
  <c r="I13" i="29"/>
  <c r="H11" i="29"/>
  <c r="I11" i="29"/>
  <c r="G37" i="34"/>
  <c r="G36" i="34"/>
  <c r="C2" i="29"/>
  <c r="C35" i="34"/>
  <c r="E35" i="34" s="1"/>
  <c r="F35" i="34" s="1"/>
  <c r="C33" i="34"/>
  <c r="E33" i="34" s="1"/>
  <c r="F33" i="34" s="1"/>
  <c r="G2" i="29"/>
  <c r="I30" i="29"/>
  <c r="E29" i="29"/>
  <c r="F29" i="29"/>
  <c r="I61" i="29"/>
  <c r="E61" i="29"/>
  <c r="F61" i="29"/>
  <c r="E51" i="29"/>
  <c r="F51" i="29"/>
  <c r="E27" i="29"/>
  <c r="F27" i="29"/>
  <c r="H2" i="27"/>
  <c r="I2" i="27"/>
  <c r="I48" i="29"/>
  <c r="J2" i="27"/>
  <c r="E2" i="27"/>
  <c r="F2" i="27"/>
  <c r="E2" i="1"/>
  <c r="F2" i="1"/>
  <c r="H2" i="1"/>
  <c r="I2" i="1"/>
  <c r="E51" i="34"/>
  <c r="F51" i="34"/>
  <c r="I64" i="29"/>
  <c r="I62" i="29"/>
  <c r="E66" i="34"/>
  <c r="F66" i="34"/>
  <c r="H35" i="34"/>
  <c r="I5" i="30"/>
  <c r="I16" i="30"/>
  <c r="I14" i="30"/>
  <c r="I6" i="30"/>
  <c r="E52" i="34"/>
  <c r="F52" i="34"/>
  <c r="I4" i="30"/>
  <c r="H2" i="30"/>
  <c r="I2" i="30"/>
  <c r="I8" i="30"/>
  <c r="E67" i="34"/>
  <c r="F67" i="34"/>
  <c r="E41" i="34"/>
  <c r="F41" i="34"/>
  <c r="E50" i="34"/>
  <c r="F50" i="34"/>
  <c r="E2" i="30"/>
  <c r="F2" i="30"/>
  <c r="E4" i="34"/>
  <c r="F4" i="34" s="1"/>
  <c r="E65" i="34"/>
  <c r="F65" i="34"/>
  <c r="E49" i="34"/>
  <c r="F49" i="34"/>
  <c r="E48" i="34"/>
  <c r="F48" i="34"/>
  <c r="E59" i="34"/>
  <c r="F59" i="34"/>
  <c r="E2" i="29"/>
  <c r="F2" i="29"/>
  <c r="H2" i="29"/>
  <c r="I2" i="29"/>
  <c r="E54" i="18" l="1"/>
  <c r="F54" i="18" s="1"/>
  <c r="E56" i="34"/>
  <c r="F56" i="34" s="1"/>
  <c r="E12" i="34"/>
  <c r="F12" i="34" s="1"/>
  <c r="E11" i="34"/>
  <c r="F11" i="34" s="1"/>
  <c r="E8" i="34"/>
  <c r="F8" i="34" s="1"/>
  <c r="E13" i="34"/>
  <c r="F13" i="34" s="1"/>
  <c r="E64" i="18"/>
  <c r="F64" i="18" s="1"/>
  <c r="E61" i="18"/>
  <c r="F61" i="18" s="1"/>
  <c r="E56" i="18"/>
  <c r="F56" i="18" s="1"/>
  <c r="E46" i="34"/>
  <c r="F46" i="34" s="1"/>
  <c r="E43" i="34"/>
  <c r="F43" i="34" s="1"/>
  <c r="E38" i="34"/>
  <c r="F38" i="34" s="1"/>
  <c r="E34" i="34"/>
  <c r="F34" i="34" s="1"/>
  <c r="E31" i="34"/>
  <c r="F31" i="34" s="1"/>
  <c r="E28" i="18"/>
  <c r="F28" i="18" s="1"/>
  <c r="E27" i="34"/>
  <c r="F27" i="34" s="1"/>
  <c r="E26" i="34"/>
  <c r="F26" i="34" s="1"/>
  <c r="E25" i="34"/>
  <c r="F25" i="34" s="1"/>
  <c r="E24" i="34"/>
  <c r="F24" i="34" s="1"/>
  <c r="E17" i="18"/>
  <c r="F17" i="18" s="1"/>
  <c r="E16" i="34"/>
  <c r="F16" i="34" s="1"/>
  <c r="D2" i="34"/>
  <c r="E69" i="34"/>
  <c r="E69" i="18"/>
  <c r="F69" i="18" s="1"/>
  <c r="I69" i="18"/>
  <c r="C64" i="34"/>
  <c r="I68" i="20"/>
  <c r="H68" i="34"/>
  <c r="I68" i="34" s="1"/>
  <c r="I68" i="18"/>
  <c r="H53" i="18"/>
  <c r="H55" i="34"/>
  <c r="I55" i="34" s="1"/>
  <c r="I55" i="18"/>
  <c r="I55" i="20"/>
  <c r="H44" i="18"/>
  <c r="E44" i="18"/>
  <c r="F44" i="18" s="1"/>
  <c r="E26" i="18"/>
  <c r="F26" i="18" s="1"/>
  <c r="H24" i="18"/>
  <c r="H23" i="18"/>
  <c r="H58" i="18"/>
  <c r="H58" i="34" s="1"/>
  <c r="E58" i="18"/>
  <c r="F58" i="18" s="1"/>
  <c r="H22" i="18"/>
  <c r="E21" i="18"/>
  <c r="F21" i="18" s="1"/>
  <c r="H19" i="34"/>
  <c r="I19" i="18"/>
  <c r="I19" i="20"/>
  <c r="E18" i="18"/>
  <c r="F18" i="18" s="1"/>
  <c r="H17" i="18"/>
  <c r="H14" i="18"/>
  <c r="E13" i="18"/>
  <c r="F13" i="18" s="1"/>
  <c r="H12" i="18"/>
  <c r="H11" i="18"/>
  <c r="H10" i="18"/>
  <c r="I9" i="18"/>
  <c r="H9" i="34"/>
  <c r="I9" i="34" s="1"/>
  <c r="I8" i="18"/>
  <c r="E8" i="18"/>
  <c r="F8" i="18" s="1"/>
  <c r="C7" i="34"/>
  <c r="E7" i="34" s="1"/>
  <c r="F7" i="34" s="1"/>
  <c r="H6" i="18"/>
  <c r="H6" i="34" s="1"/>
  <c r="I6" i="34" s="1"/>
  <c r="C6" i="34"/>
  <c r="E6" i="34" s="1"/>
  <c r="F6" i="34" s="1"/>
  <c r="I5" i="34"/>
  <c r="H47" i="18"/>
  <c r="H36" i="18"/>
  <c r="I36" i="18" s="1"/>
  <c r="I35" i="34"/>
  <c r="H34" i="18"/>
  <c r="E34" i="18"/>
  <c r="F34" i="18" s="1"/>
  <c r="H32" i="18"/>
  <c r="I32" i="18" s="1"/>
  <c r="H31" i="18"/>
  <c r="H31" i="34" s="1"/>
  <c r="I31" i="34" s="1"/>
  <c r="H30" i="18"/>
  <c r="H30" i="34" s="1"/>
  <c r="I30" i="34" s="1"/>
  <c r="H28" i="34"/>
  <c r="I28" i="34" s="1"/>
  <c r="I28" i="18"/>
  <c r="C28" i="34"/>
  <c r="E28" i="34" s="1"/>
  <c r="F28" i="34" s="1"/>
  <c r="I28" i="20"/>
  <c r="H2" i="20"/>
  <c r="I2" i="20" s="1"/>
  <c r="C61" i="34"/>
  <c r="H61" i="18"/>
  <c r="H61" i="34" s="1"/>
  <c r="I61" i="34" s="1"/>
  <c r="I51" i="18"/>
  <c r="E2" i="20"/>
  <c r="F2" i="20" s="1"/>
  <c r="H65" i="18"/>
  <c r="I65" i="21"/>
  <c r="H59" i="18"/>
  <c r="I59" i="21"/>
  <c r="H54" i="18"/>
  <c r="I54" i="21"/>
  <c r="H52" i="18"/>
  <c r="I52" i="21"/>
  <c r="E64" i="34"/>
  <c r="F64" i="34" s="1"/>
  <c r="E37" i="34"/>
  <c r="F37" i="34" s="1"/>
  <c r="E61" i="34"/>
  <c r="F61" i="34" s="1"/>
  <c r="E57" i="34"/>
  <c r="F57" i="34" s="1"/>
  <c r="E42" i="34"/>
  <c r="F42" i="34" s="1"/>
  <c r="E17" i="34"/>
  <c r="F17" i="34" s="1"/>
  <c r="E30" i="34"/>
  <c r="F30" i="34" s="1"/>
  <c r="E39" i="34"/>
  <c r="F39" i="34" s="1"/>
  <c r="E14" i="34"/>
  <c r="F14" i="34" s="1"/>
  <c r="E63" i="18"/>
  <c r="F63" i="18" s="1"/>
  <c r="E62" i="18"/>
  <c r="F62" i="18" s="1"/>
  <c r="E58" i="34"/>
  <c r="F58" i="34" s="1"/>
  <c r="E57" i="18"/>
  <c r="F57" i="18" s="1"/>
  <c r="E55" i="34"/>
  <c r="F55" i="34" s="1"/>
  <c r="E47" i="18"/>
  <c r="F47" i="18" s="1"/>
  <c r="E46" i="18"/>
  <c r="F46" i="18" s="1"/>
  <c r="E45" i="18"/>
  <c r="F45" i="18" s="1"/>
  <c r="E44" i="34"/>
  <c r="F44" i="34" s="1"/>
  <c r="E43" i="18"/>
  <c r="F43" i="18" s="1"/>
  <c r="E42" i="18"/>
  <c r="F42" i="18" s="1"/>
  <c r="E40" i="18"/>
  <c r="F40" i="18" s="1"/>
  <c r="E39" i="18"/>
  <c r="F39" i="18" s="1"/>
  <c r="E36" i="18"/>
  <c r="F36" i="18" s="1"/>
  <c r="E33" i="18"/>
  <c r="F33" i="18" s="1"/>
  <c r="E32" i="34"/>
  <c r="F32" i="34" s="1"/>
  <c r="E30" i="18"/>
  <c r="F30" i="18" s="1"/>
  <c r="E29" i="18"/>
  <c r="F29" i="18" s="1"/>
  <c r="E25" i="18"/>
  <c r="F25" i="18" s="1"/>
  <c r="E24" i="18"/>
  <c r="F24" i="18" s="1"/>
  <c r="E23" i="34"/>
  <c r="F23" i="34" s="1"/>
  <c r="E19" i="18"/>
  <c r="F19" i="18" s="1"/>
  <c r="E5" i="34"/>
  <c r="F5" i="34" s="1"/>
  <c r="H41" i="18"/>
  <c r="I41" i="21"/>
  <c r="H49" i="18"/>
  <c r="I49" i="21"/>
  <c r="H50" i="18"/>
  <c r="I50" i="21"/>
  <c r="H67" i="18"/>
  <c r="I67" i="21"/>
  <c r="H66" i="18"/>
  <c r="I66" i="21"/>
  <c r="H48" i="18"/>
  <c r="I48" i="21"/>
  <c r="H43" i="18"/>
  <c r="H64" i="34"/>
  <c r="I64" i="34" s="1"/>
  <c r="I64" i="18"/>
  <c r="I64" i="21"/>
  <c r="H63" i="18"/>
  <c r="I62" i="18"/>
  <c r="H62" i="34"/>
  <c r="I62" i="34" s="1"/>
  <c r="C62" i="34"/>
  <c r="E62" i="34" s="1"/>
  <c r="F62" i="34" s="1"/>
  <c r="I62" i="21"/>
  <c r="H53" i="34"/>
  <c r="I53" i="34" s="1"/>
  <c r="I53" i="18"/>
  <c r="I53" i="21"/>
  <c r="H56" i="18"/>
  <c r="H46" i="18"/>
  <c r="I45" i="21"/>
  <c r="H45" i="34"/>
  <c r="I45" i="34" s="1"/>
  <c r="I45" i="18"/>
  <c r="C45" i="34"/>
  <c r="E45" i="34" s="1"/>
  <c r="F45" i="34" s="1"/>
  <c r="H39" i="18"/>
  <c r="H42" i="34"/>
  <c r="I42" i="34" s="1"/>
  <c r="I42" i="18"/>
  <c r="I38" i="18"/>
  <c r="H38" i="34"/>
  <c r="I38" i="34" s="1"/>
  <c r="I38" i="21"/>
  <c r="I26" i="18"/>
  <c r="H26" i="34"/>
  <c r="I26" i="34" s="1"/>
  <c r="I26" i="21"/>
  <c r="H25" i="18"/>
  <c r="H24" i="34"/>
  <c r="I24" i="34" s="1"/>
  <c r="I24" i="18"/>
  <c r="I24" i="21"/>
  <c r="I23" i="18"/>
  <c r="H23" i="34"/>
  <c r="I23" i="34" s="1"/>
  <c r="I23" i="21"/>
  <c r="I60" i="34"/>
  <c r="I58" i="34"/>
  <c r="H57" i="18"/>
  <c r="H21" i="34"/>
  <c r="I21" i="34" s="1"/>
  <c r="I21" i="18"/>
  <c r="H20" i="34"/>
  <c r="I20" i="34" s="1"/>
  <c r="I19" i="34"/>
  <c r="H18" i="18"/>
  <c r="H17" i="34"/>
  <c r="I17" i="34" s="1"/>
  <c r="I17" i="18"/>
  <c r="I17" i="21"/>
  <c r="H16" i="34"/>
  <c r="I16" i="34" s="1"/>
  <c r="I16" i="18"/>
  <c r="I16" i="21"/>
  <c r="H15" i="18"/>
  <c r="C15" i="34"/>
  <c r="E15" i="34" s="1"/>
  <c r="F15" i="34" s="1"/>
  <c r="H14" i="34"/>
  <c r="I14" i="34" s="1"/>
  <c r="I14" i="18"/>
  <c r="E14" i="18"/>
  <c r="F14" i="18" s="1"/>
  <c r="I13" i="18"/>
  <c r="H13" i="34"/>
  <c r="I13" i="34" s="1"/>
  <c r="I13" i="21"/>
  <c r="I12" i="18"/>
  <c r="H12" i="34"/>
  <c r="I12" i="34" s="1"/>
  <c r="I11" i="18"/>
  <c r="H11" i="34"/>
  <c r="I11" i="34" s="1"/>
  <c r="H10" i="34"/>
  <c r="I10" i="34" s="1"/>
  <c r="I10" i="18"/>
  <c r="C10" i="34"/>
  <c r="E10" i="34" s="1"/>
  <c r="F10" i="34" s="1"/>
  <c r="I10" i="21"/>
  <c r="C9" i="34"/>
  <c r="E9" i="34" s="1"/>
  <c r="F9" i="34" s="1"/>
  <c r="I8" i="34"/>
  <c r="H7" i="34"/>
  <c r="I7" i="34" s="1"/>
  <c r="E5" i="18"/>
  <c r="F5" i="18" s="1"/>
  <c r="I47" i="18"/>
  <c r="H47" i="34"/>
  <c r="I47" i="34" s="1"/>
  <c r="I4" i="21"/>
  <c r="H4" i="34"/>
  <c r="I4" i="34" s="1"/>
  <c r="I4" i="18"/>
  <c r="H37" i="18"/>
  <c r="H36" i="34"/>
  <c r="I36" i="34" s="1"/>
  <c r="C36" i="34"/>
  <c r="E36" i="34" s="1"/>
  <c r="F36" i="34" s="1"/>
  <c r="H34" i="34"/>
  <c r="I34" i="34" s="1"/>
  <c r="I34" i="18"/>
  <c r="H33" i="18"/>
  <c r="I32" i="21"/>
  <c r="H2" i="21"/>
  <c r="I2" i="21" s="1"/>
  <c r="I31" i="21"/>
  <c r="I30" i="21"/>
  <c r="J2" i="21"/>
  <c r="H29" i="18"/>
  <c r="I61" i="21"/>
  <c r="G2" i="18"/>
  <c r="I51" i="34"/>
  <c r="H27" i="18"/>
  <c r="G27" i="34"/>
  <c r="G2" i="34" s="1"/>
  <c r="H40" i="18"/>
  <c r="C2" i="18"/>
  <c r="C40" i="34"/>
  <c r="E40" i="34" s="1"/>
  <c r="F40" i="34" s="1"/>
  <c r="E2" i="21"/>
  <c r="F2" i="21" s="1"/>
  <c r="H44" i="34" l="1"/>
  <c r="I44" i="34" s="1"/>
  <c r="I44" i="18"/>
  <c r="I58" i="18"/>
  <c r="H22" i="34"/>
  <c r="I22" i="34" s="1"/>
  <c r="I22" i="18"/>
  <c r="I6" i="18"/>
  <c r="C2" i="34"/>
  <c r="E2" i="34" s="1"/>
  <c r="F2" i="34" s="1"/>
  <c r="H32" i="34"/>
  <c r="I32" i="34" s="1"/>
  <c r="I31" i="18"/>
  <c r="I30" i="18"/>
  <c r="I61" i="18"/>
  <c r="I65" i="18"/>
  <c r="H65" i="34"/>
  <c r="I65" i="34" s="1"/>
  <c r="I59" i="18"/>
  <c r="H59" i="34"/>
  <c r="I59" i="34" s="1"/>
  <c r="I54" i="18"/>
  <c r="H54" i="34"/>
  <c r="I54" i="34" s="1"/>
  <c r="I52" i="18"/>
  <c r="H52" i="34"/>
  <c r="I52" i="34" s="1"/>
  <c r="I41" i="18"/>
  <c r="H41" i="34"/>
  <c r="I41" i="34" s="1"/>
  <c r="I49" i="18"/>
  <c r="H49" i="34"/>
  <c r="I49" i="34" s="1"/>
  <c r="I50" i="18"/>
  <c r="H50" i="34"/>
  <c r="I50" i="34" s="1"/>
  <c r="I67" i="18"/>
  <c r="H67" i="34"/>
  <c r="I67" i="34" s="1"/>
  <c r="I66" i="18"/>
  <c r="H66" i="34"/>
  <c r="I66" i="34" s="1"/>
  <c r="H48" i="34"/>
  <c r="I48" i="34" s="1"/>
  <c r="I48" i="18"/>
  <c r="I43" i="18"/>
  <c r="H43" i="34"/>
  <c r="I43" i="34" s="1"/>
  <c r="I63" i="18"/>
  <c r="H63" i="34"/>
  <c r="I63" i="34" s="1"/>
  <c r="H56" i="34"/>
  <c r="I56" i="34" s="1"/>
  <c r="I56" i="18"/>
  <c r="H46" i="34"/>
  <c r="I46" i="34" s="1"/>
  <c r="I46" i="18"/>
  <c r="I39" i="18"/>
  <c r="H39" i="34"/>
  <c r="I39" i="34" s="1"/>
  <c r="I25" i="18"/>
  <c r="H25" i="34"/>
  <c r="I25" i="34" s="1"/>
  <c r="H57" i="34"/>
  <c r="I57" i="34" s="1"/>
  <c r="I57" i="18"/>
  <c r="H18" i="34"/>
  <c r="I18" i="34" s="1"/>
  <c r="I18" i="18"/>
  <c r="H15" i="34"/>
  <c r="I15" i="34" s="1"/>
  <c r="I15" i="18"/>
  <c r="I37" i="18"/>
  <c r="H37" i="34"/>
  <c r="I37" i="34" s="1"/>
  <c r="I33" i="18"/>
  <c r="H33" i="34"/>
  <c r="I33" i="34" s="1"/>
  <c r="H2" i="18"/>
  <c r="I2" i="18" s="1"/>
  <c r="E2" i="18"/>
  <c r="F2" i="18" s="1"/>
  <c r="H29" i="34"/>
  <c r="I29" i="34" s="1"/>
  <c r="I29" i="18"/>
  <c r="I27" i="18"/>
  <c r="H27" i="34"/>
  <c r="I27" i="34" s="1"/>
  <c r="H40" i="34"/>
  <c r="I40" i="34" s="1"/>
  <c r="I40" i="18"/>
  <c r="H2" i="34" l="1"/>
  <c r="I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<sst xmlns="http://schemas.openxmlformats.org/spreadsheetml/2006/main" count="1531" uniqueCount="584">
  <si>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</si>
  <si>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</si>
  <si>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</si>
  <si>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</si>
  <si>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</si>
  <si>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</si>
  <si>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</si>
  <si>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</si>
  <si>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</si>
  <si>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</si>
  <si>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</si>
  <si>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</si>
  <si>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</si>
  <si>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</si>
  <si>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</si>
  <si>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</si>
  <si>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</si>
  <si>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</si>
  <si>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</si>
  <si>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</si>
  <si>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</si>
  <si>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</si>
  <si>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N/A</t>
  </si>
  <si>
    <t>1.Inverter tripped offline at 12:25PM on 01/20 due to Asymetrical Array fault and back online on 01/21.</t>
  </si>
  <si>
    <t>1.SR094211</t>
  </si>
  <si>
    <t xml:space="preserve">1.Inverters 7 and 8 are offline from 12/03, due to Grid contactor Open fault and after reset done by technician inverter 7 was back online at 14:25 and inverter 8 was back online at 15:40 on 01/31/25. 
2.Inverter 4 tripped offline from 13:35 on 12/30, due to Grid contactor Open fault through out the month.
</t>
  </si>
  <si>
    <t>1.SR093917, SR096145
2.SR095177</t>
  </si>
  <si>
    <t>SR096145</t>
  </si>
  <si>
    <t>SR095177</t>
  </si>
  <si>
    <t>1.Low generation due to weather/snow.</t>
  </si>
  <si>
    <t>1.Inverter was offline on 01/22 and back online on 01/23.</t>
  </si>
  <si>
    <t>1.SR095860</t>
  </si>
  <si>
    <t>1.Inverter started late for its production at 12:15PM on 01/17 due to Idle State fault.</t>
  </si>
  <si>
    <t>1.SR095654</t>
  </si>
  <si>
    <t>1. Site tripped offline at 09:30am from 08/12/24, due to system removal for roof repair and to start rebuilding the roof.</t>
  </si>
  <si>
    <t>1.SR093440,SR093861</t>
  </si>
  <si>
    <t>SR093861</t>
  </si>
  <si>
    <t>1. Site tripped offline at 09:05Am on 08/17/24  due to roof replacement and back online at 14:25 on 01/09/25 after technician site walkthrough.
2. Inverter 7 tripped offline at 15:20 from 01/10.
Inverter 8 was offline due to Internal hardware “Error E018” fault till date.
Inverter 20 was offline from 07/22/24 due to Internal Error -E018 fault.
Inverter 21 was tripped offline at 09:05Am on 08/17/24 due to Internal Error - E018 fault.</t>
  </si>
  <si>
    <t>1.SR089189
2.SR095623,SR078720 &amp;SR087994</t>
  </si>
  <si>
    <t>SR095623</t>
  </si>
  <si>
    <t>SR078720</t>
  </si>
  <si>
    <t>SR087994</t>
  </si>
  <si>
    <t>1.Site was offline on 01/30,  01/31 technician checked-in and confirmed that cell modem is offline due to error and need to be replaced.</t>
  </si>
  <si>
    <t>1.SR093127</t>
  </si>
  <si>
    <t>1. Inverter 1 is still not communicating, and as of 01/27/25, production is not being recorded at the meter. It may be offline due to the need for a new MOXA device</t>
  </si>
  <si>
    <t>1. SR089763</t>
  </si>
  <si>
    <t xml:space="preserve">1. Inverter 2 Pad B back online at 12:50 on 01/02/25 after the technician replaced the faulty capacitors.
2. Inverter 1 Pad A started production late at 11:10 AM on 01/30/25 due to an AC overvoltage fault.
</t>
  </si>
  <si>
    <t>1. SR089669
2. SR096157</t>
  </si>
  <si>
    <t>SR096157</t>
  </si>
  <si>
    <t>1.Meter reporting half of inverter production since 6/11/22 further repairs are requried.</t>
  </si>
  <si>
    <t>1. SR094440</t>
  </si>
  <si>
    <t>1. Site back communication at  9:15AM on 12/30/2024 and  Inverter remains offline because of Inverter down hard - Power supply critical failure. 
2. Weather station began reporting erroneous values on 12/30/2024, and the POA sensor needed to be replaced along with additional repairs.</t>
  </si>
  <si>
    <t>1. SR092023, SR089707
2. SR093065</t>
  </si>
  <si>
    <t>SR089707</t>
  </si>
  <si>
    <t>SR093065</t>
  </si>
  <si>
    <t>1.No communication to DAS, need a replacement for meter and modem.</t>
  </si>
  <si>
    <t>1.SR089464, SR093180, SR093174 &amp; SR095356</t>
  </si>
  <si>
    <t>SR093180</t>
  </si>
  <si>
    <t>SR093174</t>
  </si>
  <si>
    <t>SR095356</t>
  </si>
  <si>
    <t>1. Inverter 3 is offline on 01/01/25 and back online on 01/02, again tripped offline at 8:10AM on 01/05/25 and came back online on 01/06/25 due to a fan 5 and asymmetrical array fault beacuse of  array is covered with damaged DC equipment.</t>
  </si>
  <si>
    <t>1. SR095083</t>
  </si>
  <si>
    <t>1.Inverters 3 &amp; 8 are offline through out the month due to additional parts needed.</t>
  </si>
  <si>
    <t>1. SR089461, SR090375</t>
  </si>
  <si>
    <t>SR090375</t>
  </si>
  <si>
    <t>1. Weather station is not communicating through out the month because the entire station needs to be replaced.</t>
  </si>
  <si>
    <t>1. SR092276</t>
  </si>
  <si>
    <t>1. Weather station is not communicating through out the month because the entire station needs to be replaced.
2. Pad 1 inverter 1 is offline through the month due to cantacted bold and Pad 1 inverter 2  regained its communication at 10:50 on 01/10/25 and pad 2 the inverter 1 is not communicating but production is at the meter because of  bold on possible comms card issues.</t>
  </si>
  <si>
    <t xml:space="preserve">1. SR085968
2. SR092256, SR090090 &amp; SR095592  </t>
  </si>
  <si>
    <t>SR092256</t>
  </si>
  <si>
    <t>SR090090</t>
  </si>
  <si>
    <t>SR095592</t>
  </si>
  <si>
    <t>1. Weather station is not communicating through out the month, It was found that the pyranometer is not installed on-site. The installation of a new pyranometer will be required.</t>
  </si>
  <si>
    <t>1. SR089470, SR092603</t>
  </si>
  <si>
    <t>SR092603</t>
  </si>
  <si>
    <t>1. Inverters A back online on 01/03/25 after the technician replacement of 2 badpower supplies and ac surge protectors found MOXA is not working. 24v being supplied but moxa needs to be replaced. also wire managed low hanging wires.
2. Meter B regulary capturing data from 7:20AM to 10:00AM rescpective with Inverter B, but Inverter B capturing data from 10:05AM to 4:45PM due to MOXA is not working.</t>
  </si>
  <si>
    <t>1.SR089612, SR095339
2. SR089612</t>
  </si>
  <si>
    <t>SR095339</t>
  </si>
  <si>
    <t>SR089612</t>
  </si>
  <si>
    <t>1. Site back online on 01/09/25 after the technician re-energized it, we cannot confirm as silicon ranch only has access to site.
2.Inverter 3 was back online on 11/15/2024 but we cannot confirm through SCADA since site is not communicating
3.Pyranometer has been giving bad readings. Prior to 9/25, the pyranometer read at most 450 W/m2. Since then, readings are between 950 and 400 W/m2</t>
  </si>
  <si>
    <t>1. SR092166
2. SR086220
3. SR091312</t>
  </si>
  <si>
    <t>SR086220</t>
  </si>
  <si>
    <t>SR091312</t>
  </si>
  <si>
    <t>1. Weather station is reporting 0w/m2</t>
  </si>
  <si>
    <t>1. SR090370</t>
  </si>
  <si>
    <t xml:space="preserve">1. Inverter 1 is tripped offline at 16:05 on 12/30/2024 and back online at 10:00AM on 01/06/25 after the technician power-cycled the inverter. </t>
  </si>
  <si>
    <t>1. SR095191</t>
  </si>
  <si>
    <t>1.Inverter trips on and offline  through out the month frequently due to company chip replacement needed and Wires are all hanging and in poor condition.</t>
  </si>
  <si>
    <t>1.SR090965, SR094547
&amp; SR094545</t>
  </si>
  <si>
    <t>SR094547</t>
  </si>
  <si>
    <t>SR094545</t>
  </si>
  <si>
    <t>1. 23 Modules need to be replace.</t>
  </si>
  <si>
    <t>1. SR090734</t>
  </si>
  <si>
    <t>1. Weather station does not report irradiance during the day. Likely a faulty pyranometer through out the month.</t>
  </si>
  <si>
    <t>1. SR090293, SR095854</t>
  </si>
  <si>
    <t>SR095854</t>
  </si>
  <si>
    <t>1.Inverters 3, 7, 10, 11, 14, and 21 are offline. Inverter 2 may have a string down through out the month and parts are needed to bring these inverters back online.</t>
  </si>
  <si>
    <t>1. SR095449, SR089474, SR090381 &amp; SR090380</t>
  </si>
  <si>
    <t>SR089474</t>
  </si>
  <si>
    <t>SR090381</t>
  </si>
  <si>
    <t>SR090380</t>
  </si>
  <si>
    <t>1.Inverter 3 back online at 10:15AM on 01/27/25 and again offline on 01/28/25, remaind offline through out the month due to additional parts needed.
2. Inverter 7 is offline through out the month and parts needed to bring these inverter back online.
3. Inverter 12 is back online on 01/27/25 after technician tightening the terminals and but remained offline again from 01/30/25 and parts are needed to bring these inverter back online.</t>
  </si>
  <si>
    <t>1. SR089477
2. SR089477
3. SR089477</t>
  </si>
  <si>
    <t>SR089477</t>
  </si>
  <si>
    <t>1.Inverter 2 is offline and parts needed to bring these inverter back online.</t>
  </si>
  <si>
    <t>1. SR089732, SR094323</t>
  </si>
  <si>
    <t>SR094323</t>
  </si>
  <si>
    <t>1. Inverter 1 is offline on 01/19/25 due to AE Solaron Fault Coolant Flow and back online on 01/20/25.
2. Inverter 1 production is being affected in the morning hours due to stuck trackers.</t>
  </si>
  <si>
    <t>1. SR095705
2. SR092170, SR092456</t>
  </si>
  <si>
    <t>SR092170</t>
  </si>
  <si>
    <t>SR092456</t>
  </si>
  <si>
    <t>1. Inverter 2's production being affected in the afternoon hours possibly due to stuck trackers.
2. Inverter 1 is underperforming and needs to have its surge protectors replaced.</t>
  </si>
  <si>
    <t xml:space="preserve">1. SR092171, SR092455
2. SR090296  </t>
  </si>
  <si>
    <t>SR092455</t>
  </si>
  <si>
    <t>SR090296</t>
  </si>
  <si>
    <t>1. Inverter A.02.08 tripped offline at 10:00AM on 01/30/25 and remained offline throught the month.</t>
  </si>
  <si>
    <t>1. SR096146</t>
  </si>
  <si>
    <t>February Actual v. Expected</t>
  </si>
  <si>
    <t>February Actual v. Forecasted</t>
  </si>
  <si>
    <t>1. Low generation due to weather/snow.</t>
  </si>
  <si>
    <t>1.Inverter was offline on 02/20 due to Asymmetrical Array fault and back online on 02/21.</t>
  </si>
  <si>
    <t>1.SR097572</t>
  </si>
  <si>
    <t>1.Site stopped communicating on 02/01 at 2:55 AM and remained throughout the month due to a faulty modem, which needs to be replaced</t>
  </si>
  <si>
    <t xml:space="preserve">1.SR093917, SR096145 </t>
  </si>
  <si>
    <t xml:space="preserve">1.Inverter 7 tripped offline at 1:20 on 01/10 and powerfactors was onsite on 02/19 RMA'd inverer 21 got inverter 7 back online at 14:50 on 02/19.
   Inverter 8 was offline due to Internal hardware “Error E018” fault till date.
   Inverter 20 was offline from 07/22/24 due to Internal Error -E018 fault.
   Inverter 21 was tripped offline at 09:05Am on 08/17/24 due to Internal Error - E018 fault and was being RMA'd.
   Inverter 10 was offline from 02/04 due to Standby mode fault and back online at 11:55 on 02/20 after technician check-in.
</t>
  </si>
  <si>
    <t xml:space="preserve">1.SR095623
</t>
  </si>
  <si>
    <t>1. Meter reporting no production since 02/17, required health check.</t>
  </si>
  <si>
    <t>1. SR097907</t>
  </si>
  <si>
    <t>1. Inverter PAD 1 was still not communicating, and as of 01/27/25, production is not being recorded at the meter. The issue may be due to the need for a new MOXA device, and serial port 2 of the data logger is malfunctioning. To restore functionality, the data logger needs to be replaced, or an Nport 2 device can be installed to isolate this equipment from the data logger.</t>
  </si>
  <si>
    <t>1.SR089763</t>
  </si>
  <si>
    <t>1.Meter reporting half of inverter production since 6/11/22 waiting for client approval for investigation</t>
  </si>
  <si>
    <t>1. SR095163, SR092023 &amp; SR089707
2. SR093065</t>
  </si>
  <si>
    <t>SR092023</t>
  </si>
  <si>
    <t>1. Site came back online at 09:40 AM on 02/11/25 after the technician replaced four air filters in the central inverter. Meter replacement is required.
2. Site has been offline since 02/13/25 and the site was under water may not self-resolve. On 02/28/25, the technician found the inverter displaying a 0020 fault code (Delta High Temp Warning). The manual advises contacting the manufacturer for this code. Emailed Bold Renewables for guidance and will update once they respond with a solution.</t>
  </si>
  <si>
    <t>1.SR089464, SR093180, SR093174 &amp; SR095356
2. SR096916</t>
  </si>
  <si>
    <t>SR096916</t>
  </si>
  <si>
    <t>1. Inverter 2 was taken offline from 09:15 AM to 12:25 PM on 02/05/25. The technician met with a BOLD technician to refill the coolant.
2. Inverter 1 was taken offline from 08:45 AM to 11:30 AM on 02/06/25. The technician met with a BOLD technician to refill the coolant, and all other inverters have been filled to normal limits
3. Inverter 2 was derating by 50kW due to two non-working fans. On 02/28/25, the technician restored expected production by replacing fans 6 and 9.
4. 43 Damaged (Thermal) SF 290-36-P Modules onsite, needed replacement.</t>
  </si>
  <si>
    <t>1. SR092739
2. SR092739
3. SR096514
4. SR092753</t>
  </si>
  <si>
    <t>SR092739</t>
  </si>
  <si>
    <t>SR096514</t>
  </si>
  <si>
    <t xml:space="preserve">1. Inverters 3 &amp; 8 are offline through out the month due to additional parts needed. On 02/26/25, FIMER tested replacement logic boards, but they failed their internal bench tests. They have not been able to address our needs, and no ETA is available yet.
2. Inverter 9 has been offline since 02/25.
</t>
  </si>
  <si>
    <t>1. SR089461, SR090375
2. SR098018</t>
  </si>
  <si>
    <t>SR098018</t>
  </si>
  <si>
    <t>1. Weather station was not communicating through out the month because the entire station needs to be replaced. Waiting for approval to dispatch.</t>
  </si>
  <si>
    <t>1. Weather station was not communicating through out the month because the entire station needs to be replaced.
2. Pad 1 inverter 1 was offline through the month and pad 2 the inverter 1 is not communicating but production is at the meter. Waiting for approval to dive into auxiliary equipment installed and fault logs with BOLD.
3. Site was taken offline from 09:00 AM to 12:55 PM on 02/26/25. The technician worked on the PM and confirmed that we cannot gather data normally. We will need to perform a deep dive with BOLD on the power flow through the distribution card.</t>
  </si>
  <si>
    <t>1. SR085968
2. SR092256, SR090090 &amp; SR095592  
3. SR095592</t>
  </si>
  <si>
    <t>1. Inverter A and Meter A have faulty MOXAs, which need to be replaced. Additionally, the low-hanging wires were managed and secured.
2. Meter B regulary capturing data from 7:20AM to 10:00AM respective with Inverter B, but Inverter B capturing data from 10:05AM to 4:45PM due to MOXA is not working.</t>
  </si>
  <si>
    <t>1.SR089612, SR095339 &amp; SR095385, SR097012
2. SR089612, SR095385</t>
  </si>
  <si>
    <t>SR095385</t>
  </si>
  <si>
    <t>SR097012</t>
  </si>
  <si>
    <t>1. SR092166, SR097558
2. SR086220
3. SR091312</t>
  </si>
  <si>
    <t>SR097558</t>
  </si>
  <si>
    <t>1. Inverter 1 has been offline since 02/27/25 due to an watchdog timer fault and remained offline through out the month.</t>
  </si>
  <si>
    <t>1. SR097912</t>
  </si>
  <si>
    <t>1. Inverter trips on and offline  through out the month frequently due to company chip replacement needed and Wires are all hanging and in poor condition.</t>
  </si>
  <si>
    <t>1. Weather station does not report irradiance during the day. Likely a faulty pyranometer through out the month. Waiting for approval</t>
  </si>
  <si>
    <t>1. SR095449, SR093474, SR089474, SR090381 &amp; SR090380</t>
  </si>
  <si>
    <t>SR093474</t>
  </si>
  <si>
    <t>1.Inverter 3 has been offline since 01/28/25, remained offline through out the month due to additional parts needed.
2. Inverter 7 was offline through out the month and parts needed to bring these inverter back online.
3. Inverter 12 has been offline since 01/30/25, remaind offline through out the month and parts are needed to bring these inverter back online.</t>
  </si>
  <si>
    <t>1. SR089477, SR096348
2. SR089477, SR096348
3. SR089477, SR096348</t>
  </si>
  <si>
    <t>SR096348</t>
  </si>
  <si>
    <t>1. Inverter 2 was brought back online at 11:20 AM on 02/21/25 after the technician replaced 5 filters inside the inverter and swapped the logic board with a new one received from Bold.</t>
  </si>
  <si>
    <t>1. Site has been offline since 07:40 AM on 02/25/25 and may remain offline throughout the month, possibly due to issues with the arrays at the switchgear.
2. Inverter 1 production is being affected in the morning hours due to stuck trackers.</t>
  </si>
  <si>
    <t>1. SR097774
2. SR092170, SR092456</t>
  </si>
  <si>
    <t>1. Inverter 2's production being affected in the afternoon hours possibly due to stuck trackers.
2. Inverter 1 was underperforming and needs to have its surge protectors replaced.</t>
  </si>
  <si>
    <t>1. Inverter A.02.08 back online at 14:10 on 02/03/25, after technician Re-energized the inverter by closing the Combiner handle.</t>
  </si>
  <si>
    <t>March Actual v. Expected</t>
  </si>
  <si>
    <t>March Actual v. Forecasted</t>
  </si>
  <si>
    <t>1. Site has been intermittently communicating throught the month and later data will backfill, due to a faulty modem, which needs replacement. The last update was on 03/30/25</t>
  </si>
  <si>
    <t>1. SR098590</t>
  </si>
  <si>
    <t>1. Inverter 4 is offline throught the month due to an  INV 4 was thermally damaged in the DC box.
2. Inverter 7 back online at 13:25 on 03/13/25, after the technician isolated the strings, reset the system, and conducted a thorough inspection using thermal imaging, addressing any visible issues, which led to the inverter being brought back online.
3. Inverter 5 derating to about 19kw, most operating around 22Kw since 03/11/25.</t>
  </si>
  <si>
    <t>1. SR096145, SR096237
2. SR095177, SR096145
3. SR095177</t>
  </si>
  <si>
    <t>SR096237</t>
  </si>
  <si>
    <t>1. Inverter 8 was offline due to Internal hardware “Error E018” fault till date.
   Inverter 20 was offline from 07/22/24 due to Internal Error -E018 fault.
   Inverter 21 was tripped offline at 09:05Am on 08/17/24 due to Internal Error - E018 fault and was being RMA'd.
2. Site was offline from 03/05/25 due to a defective DAS mini transformer and blown in-line fuses. On 03/10/25, the technician temporarily powered the DAS for site visibility but required a quote for the replacement transformer and fuses. The site was brought back online at 13:20 the same day. It went offline again on 03/17/25 at 19:50, came back online on 03/19/25, went offline on 03/20/25, returned on 03/24/25, and went offline again on 03/27/25, remaining offline throughout the rest of the month.</t>
  </si>
  <si>
    <t>1. SR095623
2. SR098185</t>
  </si>
  <si>
    <t>SR098185</t>
  </si>
  <si>
    <t>1. Meter has been reporting no production since 02/17/25. On 03/03/25, the technician power-cycled the inverter to restore production, but communication was not regained. However, the meter regained communication and confirmed production.</t>
  </si>
  <si>
    <t>1. Meter lost communication on 03/25/25 but production confirmed at Inverter level.</t>
  </si>
  <si>
    <t>1. SR098973</t>
  </si>
  <si>
    <t>1. Inverter PAD 1 was still not communicating, but as of 13:20 on 03/03/25, production is being recorded at the meter. The issue may be related to the need for a new MOXA device to restore communication with the inverter.</t>
  </si>
  <si>
    <t>1. 1.SR089763</t>
  </si>
  <si>
    <t>1. Site production was low on 03/06, 03/13, 03/14, 03/17,  due to rain.</t>
  </si>
  <si>
    <t>1. Inverter 1 meter has been down for a while. On 03/14, the technician replaced the modem and power cable but faced issues requiring GPM IT escalation. Further meter investigation is scheduled for 04/04/25.</t>
  </si>
  <si>
    <t>1. SR092298</t>
  </si>
  <si>
    <t>1. Meter reporting zero from 03/30, production can be confirmed at inverter level.</t>
  </si>
  <si>
    <t>1. SR099206</t>
  </si>
  <si>
    <t>1. Site came back online at 09:40 AM on 02/11/25 after the technician replaced four air filters in the central inverter. Meter replacement is required.
2. Site has been offline since 02/13/25 and the site was under water may not self-resolve. On 02/28/25, the technician found the inverter displaying a 0020 fault code (Delta High Temp Warning). The manual advises contacting the manufacturer for this code. Emailed Bold Renewables for guidance and will update once they respond with a solution and remained offline throught the month.</t>
  </si>
  <si>
    <t>1. Inverter 1 tripped offline on 03/02/25 due to an "Asymetrical Array Fault" and back online on 03/03/25.
2. Inverter 3 has been  offline since 03/13/25 due to an "Asymetrical Array Fault" and self resolved on 03/17/25.
3. Inverter 2 has been offline since 03/14/25 due to an "Ground Overcurrent Fault" and self resolved at 10:05AM on 03/17/25.
4. 43 Damaged (Thermal) SF 290-36-P Modules onsite are needed for replacement.</t>
  </si>
  <si>
    <t>1. SR097976
2. SR098524
3. SR098586
4. SR092753</t>
  </si>
  <si>
    <t>SR098524</t>
  </si>
  <si>
    <t>SR098586</t>
  </si>
  <si>
    <t>SR092753</t>
  </si>
  <si>
    <t>1. Site production was low on 03/12 to 03/14 and 03/17 due to rain.</t>
  </si>
  <si>
    <t>1. Inverters 3 &amp; 8 are offline through out the month due to additional parts needed. On 02/26/25, FIMER tested replacement logic boards, but they failed their internal bench tests. They have not been able to address our needs, and no ETA is available yet.
2. Inverter 9 has been offline since 02/25/25, remaind offline through out the month and parts are needed to bring these inverter back online.</t>
  </si>
  <si>
    <t xml:space="preserve">1. SR089461, SR090375
2. SR098018
</t>
  </si>
  <si>
    <t>1. Weather station was not communicating through out the month because the entire station needs to be replaced.
2. Pad 1 Inverter 1 was offline throughout the month, and on Pad 2, Inverter 1 is not communicating, although production data is being captured at the meter. On 03/13/25, it was approved to investigate the auxiliary equipment installed and the fault logs, with BOLD.</t>
  </si>
  <si>
    <t xml:space="preserve">1. SR085968
2. SR092256, SR090090 &amp; SR095592  
</t>
  </si>
  <si>
    <t>1. Inverter A and Meter A have faulty MOXAs, which need to be replaced. Additionally, the low-hanging wires were managed and secured.
2. Meter B is regularly capturing data from 7:20 AM to 10:00 AM, in sync with Inverter B. However, Inverter B is capturing data from 10:05 AM to 4:45 PM due to the MOXA not functioning. On 04/01/25, the technician installed the MOXA (datalogger), but the communication failed, and additional troubleshooting is required..</t>
  </si>
  <si>
    <t>1. Inverter 1 is not communicating, and according to the meter data, it is offline due to a breaker issue. A case was raised on 03/24/25 to request support for the breaker replacement.</t>
  </si>
  <si>
    <t>1. SR098397</t>
  </si>
  <si>
    <t>1. Meter loses communications intermittently. Inverter is reporting production
2. Weather station is reporting 0w/m2</t>
  </si>
  <si>
    <t>1. SR098178
2. SR090370</t>
  </si>
  <si>
    <t>SR090370</t>
  </si>
  <si>
    <t xml:space="preserve">1. Inverter 1 was back online at 12:55 on 03/04/25 after the technician pulled log files. It tripped offline again on 03/18/25 due to a watchdog timer fault and remained offline for the rest of the month.
2. Inverter 3 tripped offline at 13:45 on 03/04/25 during repairs for a burnt feeder cable, with a power distribution card failure. It was down until 03/09/25, then tripped offline again at 09:55 on 03/10/25, and was back online on 03/11/25.
</t>
  </si>
  <si>
    <t xml:space="preserve">1. SR097912, SR098713
2. SR097912, SR098177
</t>
  </si>
  <si>
    <t>SR098713</t>
  </si>
  <si>
    <t>SR097912</t>
  </si>
  <si>
    <t>SR098177</t>
  </si>
  <si>
    <t>1. Site production was low on 03/05, 03/12 to 03/14, 03/17 and 03/31 due to rain.</t>
  </si>
  <si>
    <t>1.Inverter trips frequently. On 03/17/25, the technician replaced the comms card at 11:30, connected to the inverter, and pulled log files. The manufacturer requires a full day of operation to diagnose the issue. The inverter was back online by 13:05 but lost communication. Production can be verified at the meter, and further troubleshooting is needed to restore communication and resolve the intermittent tripping</t>
  </si>
  <si>
    <t>1. SR094545</t>
  </si>
  <si>
    <t>1. Site production was low on 03/05 and 03/11 due to rain.</t>
  </si>
  <si>
    <t>1. 23 modules need replacement; quote declined by client on 11/07/24</t>
  </si>
  <si>
    <t>1. Inverter 1 offline from 10:20 to 12:35 on 03/17 for surge trap replacement by technician</t>
  </si>
  <si>
    <t>1. SR095418</t>
  </si>
  <si>
    <t>1. Weather station does not report irradiance during the day. Likely a faulty pyranometer through out the month. Waiting for approval
2. Inverter 1 tripped offline at 13:15 on 03/31 due to a Xantrex fault (state 592: "contactor open") and remained offline for the rest of the month.</t>
  </si>
  <si>
    <t>1. SR090293, SR095854
2. SR099225</t>
  </si>
  <si>
    <t>SR099225</t>
  </si>
  <si>
    <t>1. SR098183, SR095449, SR093474, SR090380 &amp; SR089474.</t>
  </si>
  <si>
    <t>SR095449</t>
  </si>
  <si>
    <t>1. Inverter 1 has been underperforming by 90kW since 11:40 on 08/21/24. During the Annual Preventative Maintenance on 03/24/25, the technician found poor filters and a potential hazard with the AC switch. New filters are needed to restore performance.
2. Site was offline from 09:35 to 13:15 on 03/24/25 for the Full Annual Preventative Maintenance Inspection.</t>
  </si>
  <si>
    <t>1. SR098826, PM11103
2. PM11103</t>
  </si>
  <si>
    <t xml:space="preserve">1. SR089477, SR096348
2. SR089477, SR096348
3. SR089477, SR096348
</t>
  </si>
  <si>
    <t xml:space="preserve">1. Metering Energy values are much lower than expected vs meter Power. </t>
  </si>
  <si>
    <t>1. SR097948</t>
  </si>
  <si>
    <t>1. Meter was not communicating production at the inverters. so we considered inverter productionas site production.</t>
  </si>
  <si>
    <t>1. SR095559</t>
  </si>
  <si>
    <t>1. Site was back online at 14:00 on 03/03/25 after the technician reset the breaker
2. Inverter 1 production is being affected in the morning hours due to stuck trackers.
3. Site was taken offline from 07:40 on 03/25/25 for generator testing and was brought back online at 09:30 on 03/27/25 after the technician re-energized it.</t>
  </si>
  <si>
    <t>1. SR097774
2. SR092170, SR092456
3. SR098476, SR096410</t>
  </si>
  <si>
    <t>SR098476</t>
  </si>
  <si>
    <t>SR096410</t>
  </si>
  <si>
    <t>1. Inverter 2's production being affected in the afternoon hours possibly due to stuck trackers.
2. Inverter 1's production increased slightly on 03/18/25 after the technician replaced the faulty surge protectors with new ones.
3. Inverter 2 tripped offline at 09:15 AM on 03/17/25 due to a FAN 5 FAULT and returned online at 07:45 AM on 03/18/25. It tripped again at 10:50 AM and came back online at 12:20 PM after the technician cleared the fault. The inverter continued to trip offline on 03/28, 03/29,03/30 and 03/31 around 09:00 AM due to the same issue. FAN 5 needs to be replaced to restore expected production.
4. Inverter 3 is underperforming by approximately 200 kW. On 03/27/25, the technician found two faulty fuses and burnt negative homeruns at combiner box 3.3. These were isolated, and the inverter was power-cycled and brought back online at 14:15. Additional troubleshooting is required to restore expected production.</t>
  </si>
  <si>
    <t>1.SR092171, SR092455
2. SR090296 
3. SR098666
4. SR098778</t>
  </si>
  <si>
    <t>SR098666</t>
  </si>
  <si>
    <t>SR098778</t>
  </si>
  <si>
    <t>1. Inverter 1 has been offline since 03/08/25 due to a watchdog timer fault and remained offline throughout the month.</t>
  </si>
  <si>
    <t>1. SR098343</t>
  </si>
  <si>
    <t>1. The site experienced an outages on 03/02/25 from 08:00AM to 03:30PM, On 03/10/25 from 02:00PM to 04:30PM due to PG&amp;E curtailments.
2. Block A01 tripped offline at 7:20 AM on 03/11/25. On 03/12/25, the technician found that transformer 1 had a blown B-phase bayonet fuse. After replacing the fuse, all equipment on Pad 1 was restored at 08:50AM the same day.
3. The technician inspected the transformer 2, took a DGA sample for testing, and confirmed all gauges are within the acceptable range. The transformer appears to be in great condition.</t>
  </si>
  <si>
    <t>1.SR097960, SR098350
2.SR098382 
3.SR098434</t>
  </si>
  <si>
    <t>SR098350</t>
  </si>
  <si>
    <t>SR098382</t>
  </si>
  <si>
    <t>SR098434</t>
  </si>
  <si>
    <t>April Actual v. Expected</t>
  </si>
  <si>
    <t>April Actual v. Forecasted</t>
  </si>
  <si>
    <t>1. Site has communicated intermittently throughout the month due to a faulty modem, with data expected to backfill later. On 04/17/2024, the technician found the inverter online and producing, but the cell modem's indicator lights were not flashing, indicating no data transmission. DAS was power cycled with no change. Multiple attempts to contact Green Power Monitor for support went unanswered. The modem had been previously replaced and updated with a new IP address, suggesting a possible SIM card or data issue. The site last update was on 04/24/25.</t>
  </si>
  <si>
    <t>1.SR098590</t>
  </si>
  <si>
    <t>1. Inverter 4 is offline throught the month due to an  INV 4 was thermally damaged in the DC box.
2. Inverter 5 derating to about 19kw, most operating around 22Kw since 03/11/25.</t>
  </si>
  <si>
    <t>1.SR096145, SR096237
2. SR095177</t>
  </si>
  <si>
    <t>1. Inverter 1 tripped offline at 10:50 AM on 04/29/25 due to an "Sleep state" fault and remained offline throught the month.</t>
  </si>
  <si>
    <t>1. SR100632</t>
  </si>
  <si>
    <t>1. Low production/generation due to rain on 04/05,04/08,04/10,04/11 &amp; 04/21</t>
  </si>
  <si>
    <t>1. Low production/generation due to rain on 04/01,04/05,04/08 &amp; 04/10</t>
  </si>
  <si>
    <t>1. Low production/generation due to rain on 04/11,04/12 &amp; 04/27</t>
  </si>
  <si>
    <t xml:space="preserve">1. Site was brought back online at 12:00 PM on 04/17/25 after Power Factor crew completed testing and energization. On 04/18/25, technician accessed the rooftop with Power Factor crew, confirmed the string with broken panels was left disconnected with the fuse holder open in the combiner box, and verified the site is online
</t>
  </si>
  <si>
    <t>1. SR093861, SR100060</t>
  </si>
  <si>
    <t>SR100060</t>
  </si>
  <si>
    <t xml:space="preserve">1. Inverter 8 was offline due to Internal hardware “Error E018” fault till date.
     Inverter 20 was offline from 07/22/24 due to Internal Error -E018 fault.
     Inverter 21 was tripped offline at 09:05Am on 08/17/24 due to Internal Error - E018 fault and was being RMA'd.
2. Site back online on 04/01/25 after the technician replaced the mini auxiliary power transformer. Due to layout incompatibility, the tech reconfigured the strut, used flex conduit, and pulled new conductors to the transformer and DAS.
3. Site communication at 12:05 PM on 04/05/25 and was restored at 7:25 AM on 04/08/25. On 04/09, the technician found the Radlepoint modem had no signal lights. Tech reseated all connections, antennas, and moved the SIM card from slot 1 to slot 2. Signal was restored.
</t>
  </si>
  <si>
    <t xml:space="preserve">1. SR095623
2. SR098185
3. SR099451
</t>
  </si>
  <si>
    <t>SR099451</t>
  </si>
  <si>
    <t>1. Meter regained communication on 03/29/25.</t>
  </si>
  <si>
    <t>1. 	SR098973</t>
  </si>
  <si>
    <t>1. Inverter 2 went offline on 04/03/25 due to a hardware fault and DPCB ISO +5V fault. On 04/04/25, the technician cleared the faults and re-energized the inverter at 2:55 PM.</t>
  </si>
  <si>
    <t>1. SR099380</t>
  </si>
  <si>
    <t xml:space="preserve">1. Pad 1 - inverters 1, 2  tripped offline at 6:20PM on 04/17/25 and remained offline throught the month pending for schedule queue.
</t>
  </si>
  <si>
    <t>1. SR100011</t>
  </si>
  <si>
    <t>1. Inverter  Pad 1 was brought back online at 15:10 on 04/30/25 after a restart limit fault was found. Technician pulled log files to send to Bold Renewables the next day and power cycled the inverter.</t>
  </si>
  <si>
    <t xml:space="preserve">1. SR100743,  SR092112 &amp; SR089763
</t>
  </si>
  <si>
    <t>SR092112</t>
  </si>
  <si>
    <t>SR089763</t>
  </si>
  <si>
    <t>1. Inverter 4 (Pad 2 Inv 2) was underproducing by ~20kW, showing 26kW vs. 43kW from peer inverter (Pad A Inv 1) since 01/02/25 at 12:50. On 04/15/25, technician found two strings disconnected due to broken MC4 connectors and open fuses in Combiner 1. Replaced MC4s, reconnected strings, closed fuses, and restored production to over 40kW by 11:40 AM
2. Inverter 1 ( Pad 1) has been offline since 04/27/25 due to an "Pre-Charge fault" and remained offline throught the month.</t>
  </si>
  <si>
    <t>1. SR099725
2. SR100459</t>
  </si>
  <si>
    <t>SR100459</t>
  </si>
  <si>
    <t>1. Low production/generation due to rain on 04/26 &amp; 04/27</t>
  </si>
  <si>
    <t xml:space="preserve">1. Inverter 1 meter has been down for some time. On 04/30/25, technician worked with GPM support to connect to the modem and data logger but was unsuccessful. GPM is escalating the comms issue; return visit needed. Inverter is on and producing.
</t>
  </si>
  <si>
    <t>1. SR092298, 	SR099912</t>
  </si>
  <si>
    <t>SR099912</t>
  </si>
  <si>
    <t>1. Meter reporting zero from 03/30, later from 04/06 at 13:30 meter reading its production but issue has been occurring intermittently, production can be confirmed at inverter level.</t>
  </si>
  <si>
    <t>1. Site came back online at 09:40 AM on 02/11/25 after the technician replaced four air filters in the central inverter. Meter replacement is required.
2. Site has been offline since 02/13/25 and the site was under water may not self-resolve. On 02/28/25, the technician found the inverter displaying a 0020 fault code (Delta High Temp Warning). The manual advises contacting the manufacturer for this code. Emailed Bold Renewables for guidance and will update once they respond with a solution and remained offline throught the month.
3. Meter communications have dropped onsite 04/27/25</t>
  </si>
  <si>
    <t>1.SR089464, SR093180, SR093174 &amp; SR095356
2. SR096916
3. SR100537</t>
  </si>
  <si>
    <t>SR100537</t>
  </si>
  <si>
    <t xml:space="preserve">1. 43 Damaged (Thermal) SF 290-36-P Modules onsite are needed for replacement
</t>
  </si>
  <si>
    <t xml:space="preserve">1. SR092753
</t>
  </si>
  <si>
    <t>1. Low production/generation due to rain on 04/26</t>
  </si>
  <si>
    <t>1. Inverters 3 &amp; 8 have been offline throughout the month due to parts delays. On 02/26/25, FIMER tested replacement logic boards, but they failed bench tests. As of 04/10/25, remanufactured boards are still failing functional tests. FIMER is working with the repair center and engineering team in Italy, but no ETA is available.
2. Inverter 9 has been offline since 02/25/25, remaind offline through out the month and parts are needed to bring these inverter back online.</t>
  </si>
  <si>
    <t>1. SR090375, SR089461
2. SR098018</t>
  </si>
  <si>
    <t>SR089461</t>
  </si>
  <si>
    <t>1. SR085968
2. SR092256, SR090090 &amp; SR095592</t>
  </si>
  <si>
    <t xml:space="preserve">1. SR089470, SR092603
</t>
  </si>
  <si>
    <t>1. Inverter A and Meter A resumed communication on 04/07/25 at 7:00 AM. On 04/08/25, technician swapped red and blue Ethernet cables and confirmed with ROC that data was reporting
2. Meter B is regularly capturing data from 7:20 AM to 10:00 AM, in sync with Inverter B. However, Inverter B is capturing data from 10:05 AM to 4:45 PM due to the MOXA not functioning. On 04/01/25, the technician installed the MOXA (datalogger), but the communication failed. On 04/09,04/10 Inverter and meter are interfered due sharing ports and both lost communication at 17:40 on 04/10/25 due to faulty dataloggers, and additional troubleshooting is required.
3. Inverter 2 pad C intermittently tripping during high irradiance; possibly due to overheating.</t>
  </si>
  <si>
    <t>1.SR089612, SR095339 &amp; SR095385, SR097012
2. SR089612, SR095385
3. SR099766</t>
  </si>
  <si>
    <t>SR099766</t>
  </si>
  <si>
    <t>1. Site back online on 01/09/25 after the technician re-energized it, we cannot confirm as silicon ranch only has access to site.
2.Inverter 3 was back online on 11/15/2024 but we cannot confirm through SCADA since site is not communicating
3.Pyranometer has been giving bad readings. Prior to 9/25, the pyranometer read at most 450 W/m2. Since then, readings are between 950 and 400 W/m2.</t>
  </si>
  <si>
    <t>1. SR092166, SR097558, SR098717
2. SR086220, SR098717
3. SR091312</t>
  </si>
  <si>
    <t>SR098717</t>
  </si>
  <si>
    <t>1. Meter experiences intermittent communication loss, but inverter continues reporting production. Meter communication has been consistent since 04/01/25, as confirmed by inverter data
2. Weather station is reporting 0w/m2. Waiting for appoval</t>
  </si>
  <si>
    <t>1. Inverter 1 was brought online at 11:35 on 04/10/25 after the technician re-energized it and completed PM inspection. It tripped offline again at 18:25 on 04/12/25 due to a watchdog timer fault and remained offline for the rest of the month.</t>
  </si>
  <si>
    <t>1. SR099747, PM10476, SR099540
2. SR098177</t>
  </si>
  <si>
    <t>SR099540</t>
  </si>
  <si>
    <t>1. Inverter 2 went offline on 04/21/25 due to system, latching, RTC, and restart limit faults. On 04/22/25 at 12:10 PM, technician found a Restart Limit fault, verified AC/DC voltages and fuses (all good), and cleaned out heavy dust. A power supply error was noted, indicating potential failure. Event logs were pulled and a ticket was submitted to Bold Renewables. Inverter was restarted and is online pending further support</t>
  </si>
  <si>
    <t>1. SR100064, SR100858</t>
  </si>
  <si>
    <t>SR100858</t>
  </si>
  <si>
    <t>1. Inverter has been tripping frequently. On 04/28/25, technician power cycled DAS equipment and inverter, tested Cat5 (checked good), but comms were not restored. Contacted Bold, sent photos of the comms card, and opened a case. Bold recommended replacing the comms and comm max boards. Awaiting parts quote; further troubleshooting is needed to restore communication and resolve tripping</t>
  </si>
  <si>
    <t>1. SR094545, SR100842</t>
  </si>
  <si>
    <t>SR100842</t>
  </si>
  <si>
    <t>1. Site production was low on 04/26 and 04/27 due to bad weather.</t>
  </si>
  <si>
    <t xml:space="preserve">1. 23 modules need replacement; quote declined by client on 11/07/24
</t>
  </si>
  <si>
    <t xml:space="preserve">1. SR090734
</t>
  </si>
  <si>
    <t>1. Weather station is started reporting from 03/31/25.
1. Inverter 1 tripped offline at 13:15 on 03/31 due to a Xantrex fault (state 592: ""contactor open"") and remained offline for the rest of the month.</t>
  </si>
  <si>
    <t>1. Inverters 3, 7, 10, 14, and 21 are offline through out the month and parts are needed to bring these inverters back online.
2. Inverter 11 was brought online at 10:45 AM on 04/14/25 after replacing the AC GFCI and re-terminating wires. It tripped offline again at 10:00 AM on 04/24/25 and remained down; additional parts are needed. For Inverter 2, technician verified LOTO, removed two broken/burned fuse holders, installed new parts with two Ameresco 15A fuses, and removed LOTO the same day.</t>
  </si>
  <si>
    <t>1. SR098183, SR095449, SR093474, SR090380 &amp; SR089474.
2. SR098183</t>
  </si>
  <si>
    <t>SR098183</t>
  </si>
  <si>
    <t xml:space="preserve">1. Inverter 1 has been underperforming by 90kW since 11:40 on 08/21/24. During the Annual Preventative Maintenance on 04/02/25, the technician found poor filters and a potential hazard with the AC switch. New filters are needed to restore performance.
2. Inverter 1 went offline at 11:30 AM on 04/01/25, followed by Inverter 2 at 12:45 PM. The meter still shows voltage. Inverter 1 has a status code of 1,314 (FAULT, WARNING, MPP, AUTO START), while Inverter 2 shows 1,792 (MPP, SLEEP, AUTO START). On 04/04/25, the technician confirmed that the site would remain offline due to ongoing contractor activity. Additional information from the Kohls team indicated that large-scale electrical work was being carried out inside the facility. As a safety measure, the utility feed was disconnected at 09:10 AM on the same day. The site has remained offline throughout the month due to continued electrical work.
</t>
  </si>
  <si>
    <t>1. SR098826, PM11103
2. SR099327, PM11103</t>
  </si>
  <si>
    <t>SR099327</t>
  </si>
  <si>
    <t>1. Metering Energy values are much lower than expected vs meter Power.</t>
  </si>
  <si>
    <t>1. Meter was not communicating production at the inverters. so we considered inverter productionas site production.
2. Inverter A stopped communicating since at 11:15 AM on 04/08/25 due to a loss of communication with the meter. Production cannot be confirmed and the inverter may be offline.</t>
  </si>
  <si>
    <t>1.SR095559, SR099641
2. SR099641</t>
  </si>
  <si>
    <t>SR099641</t>
  </si>
  <si>
    <t>1. Inverter 1 production is being affected in the morning hours due to stuck trackers. but expected production restored from 04/11/25.
2. Site has been not communicating from 12:50PM on 04/08/25 to 10:05AM on 04/09/25, energy has not backfilled.</t>
  </si>
  <si>
    <t>1. SR092170, SR092456
2. SR101007</t>
  </si>
  <si>
    <t>SR101007</t>
  </si>
  <si>
    <t>1. Inverter 2's production being affected in the afternoon hours possibly due to stuck trackers.
2. Inverter 2 tripped offline at 09:35 AM on 04/09/25 due to a FAN 5 fault. The onsite technician confirmed the issue and requested a quote from BOLD. It was restored at 06:45 AM on 04/10/25. The inverter tripped again at 09:25 AM on 04/16/25 and came back online at 06:50 AM on 04/17/25. It went offline at 12:10 PM on 04/24/25 due to an Asymmetrical Array Fault and was restored at 06:40 AM on 04/25/25. Further trips occurred on 04/26/25 and 04/27/25 due to the FAN 5 fault, with recovery on 04/28/25 and again tripped offline at 07:50AM on 04/30 . FAN 5 needs replacement to restore expected production.
3. Inverter 3 is underperforming by approximately 200 kW and It has been offline since at 11:30AM on 04/29/25, remaind offline through out the month and parts are needed to bring these inverter back online.
4. Site tripped offline at 12:30 PM on 04/07/25 and was brought back online at 09:25 AM on 04/09/25 after the technician closed the breaker at the switchgear and repaired the malfunctioning trackers</t>
  </si>
  <si>
    <t>1. SR092171, SR092455
2. SR099609
3. SR098778
4. 	SR099493</t>
  </si>
  <si>
    <t>SR099609</t>
  </si>
  <si>
    <t>SR099493</t>
  </si>
  <si>
    <t>1. Inverter 1 back online at 11:00AM on 04/16/25 after technician performed all tests and reenergised it but it requires new Air filter.</t>
  </si>
  <si>
    <t>1. SR098343, PM10928</t>
  </si>
  <si>
    <t xml:space="preserve">1. Site Curtailed to 5.2MW from 17:11PM to 17:18 PM. No production was impacted during the curtailment event as the on-site production production was around 1.5MW which is much lower than the curtailed command power (5.2MW). </t>
  </si>
  <si>
    <t>1. SR097960</t>
  </si>
  <si>
    <t>May Actual v. Expected</t>
  </si>
  <si>
    <t>May Actual v. Forecasted</t>
  </si>
  <si>
    <t>1. Low production/generation due to rain on 05/05, 05/09 &amp; 05/22.</t>
  </si>
  <si>
    <t>1. Low production/generation due to rain on 05/03, 05/04, 05/07 &amp; 05/09.</t>
  </si>
  <si>
    <t>1. Site has communicated intermittently throughout the month due to a faulty modem, with data expected to backfill later. On 04/17/2024, the technician found the inverter online and producing, but the cell modem's indicator lights were not flashing, indicating no data transmission. DAS was power cycled with no change. Multiple attempts to contact Green Power Monitor for support went unanswered. The modem had been previously replaced and updated with a new IP address, suggesting a possible SIM card or data issue. The site last update was on 04/24/25. On 05/08/25  need to dispatch to power cycle as well as provide the modems nameplate to GPM.</t>
  </si>
  <si>
    <t xml:space="preserve">1. Inverter tripped offline at 09:45 On 05/06/25 due to "GFI device fault" and back online at 07:50 on 05/11/25 self resoved and again tripped offline at 09:55 the same day and back online at 08:45 on 05/13/25,  Technician found the fault, and rebooted it. Troubleshooting with Bold Renewables revealed the "tickle" wire needed a second loop through the GFI device. Adding a wire splice and looping it again increased current flow, extending the device’s life and resolving the issue.
</t>
  </si>
  <si>
    <t>1.SR101056</t>
  </si>
  <si>
    <t>1. Inverter 4 is offline throught the month due to an  INV 4 was thermally damaged in the DC box.
2. Inverter 5 derating to about 19kW, most operating around 22kW since 03/11/25.</t>
  </si>
  <si>
    <t>1. Inverter 1 tripped offline at 10:50 AM on 04/29/25 due to a "Sleep state" fault. On 05/01/25, a technician found all equipment manually shut down by non-Ameresco personnel; main disconnect was locked (not tagged), and meter, DAS, and inverter disconnects were off. On 05/09/25, a technician cut the lock on the AC disconnect, restored power, and brought the inverter back online at 09:25 AM. Inverter is now operating but shows an active DC surge warning; surge protectors need replacement. Advance Energy (Bold Renewables) was contacted, and a callback is pending.</t>
  </si>
  <si>
    <t>1. Inverter 1 tripped offline at 14:50 on 05/26/25 due to "Fan 7 fault" and back online at 08:25 on 05/27/25.</t>
  </si>
  <si>
    <t>1. SR101939</t>
  </si>
  <si>
    <t>1. Low production/generation due to rain on 05/13, 05/21 &amp; 05/28</t>
  </si>
  <si>
    <t>1. Low production/generation due to rain on 05/13, 05/14 &amp; 05/21</t>
  </si>
  <si>
    <t>1. Low production/generation due to rain on 05/03, 05/22, 05/23 &amp; 05/24</t>
  </si>
  <si>
    <t>1. Low production/generation due to rain on 05/04, 05/09 &amp; 05/22.</t>
  </si>
  <si>
    <t>1. Low production/generation due to rain on 05/04, 05/05 &amp; 05/09.</t>
  </si>
  <si>
    <t>1. Low production/generation due to rain on 05/04, 05/09 &amp; 05/31.</t>
  </si>
  <si>
    <t>1. Low production/generation due to rain on 05/04, 05/05, 05/09 &amp; 05/22</t>
  </si>
  <si>
    <t>1. Low production/generation due to rain on 05/13 &amp; 05/28.</t>
  </si>
  <si>
    <t>1. Inverter 01 tripped on 05/02/25 due to an "Ambient temperature fault" and self-resolved on 05/03/25. Multiple trips occurred starting 05/10/25. On 05/13/25, a technician found an "Aux Supply" fault after pulling logs and restarting the inverter. Bold Renewables identified aging IDC connectors as the issue and further multiple tripes occured on 05/20, 05/22 &amp; 05/23 and tripped at 12:35 on 05/24/25 and remained offline through the month, in order to bring inverter online ICD connectors are need to be replaced.</t>
  </si>
  <si>
    <t>1. SR100937, SR101331</t>
  </si>
  <si>
    <t>SR101331</t>
  </si>
  <si>
    <t xml:space="preserve">1. 5 faulty Modules and one faulty fuse are need to be replaced.
</t>
  </si>
  <si>
    <t>1. SR100060, SR093440, PM4000</t>
  </si>
  <si>
    <t>SR093440</t>
  </si>
  <si>
    <t>1. Inverter 8 was offline due to Internal hardware “Error E018” fault till date.
     Inverter 20 was offline from 07/22/24 due to Internal Error -E018 fault.
     Inverter 21 was tripped offline at 09:05 on 08/17/24 due to Internal Error -             E018 fault and was being RMA'd.
    Inverter 10 was offline from 03/05/25 due stuck in "Stand by mode".</t>
  </si>
  <si>
    <t>1. SR102013, SR095623</t>
  </si>
  <si>
    <t>1. Site tripped offline at 16:00 on 05/05/25 and was brought back online at 11:00 on 05/08/25 after the technician after resetting site.</t>
  </si>
  <si>
    <t>1. SR101039</t>
  </si>
  <si>
    <t>1. Pad 1 - inverters 1, 2 were brought back online at 11:25 on 05/12/25 after the technician closed both inverters' AC/DC disconnects.
2. Weather station has intermittent comms losses since 05/12/25. It frequently loses comms for 15 minutes to 1 hour several times a day.
3. Pad 2 - inverter 1 tripped offline at 12:00 on 05/22/25 due to an overcurrent fault and remained offline throught the month pending for schedule queue.</t>
  </si>
  <si>
    <t>1. SR100011
2. SR101440
3. SR101862</t>
  </si>
  <si>
    <t>SR101440</t>
  </si>
  <si>
    <t>SR101862</t>
  </si>
  <si>
    <t xml:space="preserve">1. Inverter 1 Pad 1 tripped offline at 08:50 on 05/02/25 and remained offline through the month. Pending approval for a Comm Card replacement.
</t>
  </si>
  <si>
    <t>1. SR100743</t>
  </si>
  <si>
    <t>1. Inverter 1 ( Pad 1) has been offline since 04/27/25 due to an "Pre-Charge fault". On 05/12/25, the technician  inverter had DC contactor fault and swapped contactor with AC contactor. Inverter began producing at 10:25 the same day and was left to run. Fault has now followed to AC contactor so will need to replace contactor. Quote is pending.
2. Pad A Inverter 2 has been intermittently tripping online/offline. Status 128, Fault 0: 96, Fault 1: 5. It tripped offline at 5:55 PM on 05/07/25. On 05/12/25, the technician removed the AC contactor and found worn contacts replacement needed. A P10 power supply fault was also found; BOLD recommends replacing the power distribution card. Inverter was power cycled and brought back online at 10:20. and again tripped offline at 18:25 on 05/19/25.
3. Inverter 1 (Pad B) tripping on and offline multiple times on 05/28/25, 05/29/25 and resolved on 05/30/25.</t>
  </si>
  <si>
    <t>1. SR100459
2. SR101131
3. SR102150</t>
  </si>
  <si>
    <t>SR101131</t>
  </si>
  <si>
    <t>SR102150</t>
  </si>
  <si>
    <t>1. Site production was low on 05/04 and 05/13 due to cloudy weather.</t>
  </si>
  <si>
    <t xml:space="preserve">1. Inverter 1 meter has been down for some time. On 04/30/25, technician worked with GPM support to connect to the modem and data logger but was unsuccessful. GPM is escalating the comms issue; return visit needed. 
</t>
  </si>
  <si>
    <t>1. SR099912</t>
  </si>
  <si>
    <t>1. 	SR099206</t>
  </si>
  <si>
    <t>1. Site back communication at  9:15 on 12/30/2024 and  Inverter remains offline because of Inverter down hard - Power supply critical failure. 
2. Weather station began reporting erroneous values on 12/30/2024, and the POA sensor needed to be replaced along with additional repairs.</t>
  </si>
  <si>
    <t>1. SR095163
2. SR093065</t>
  </si>
  <si>
    <t>1. Site came back online at 09:40  on 02/11/25 after the technician replaced four air filters in the central inverter. Meter replacement is required.
2. Site has been offline since 02/13/25 and the site was under water may not self-resolve. On 02/28/25, the technician found the inverter displaying a 0020 fault code (Delta High Temp Warning). The manual advises contacting the manufacturer for this code. Emailed Bold Renewables for guidance and will update once they respond with a solution and remained offline throught the month.
3. Meter communications have dropped onsite 04/27/25</t>
  </si>
  <si>
    <t>1. 43 Damaged (Thermal) SF 290-36-P Modules onsite are needed for replacement</t>
  </si>
  <si>
    <t>1. SR092753</t>
  </si>
  <si>
    <t xml:space="preserve">1. Site tripped offline from 15:00 to 19:55 on 05/10/25 </t>
  </si>
  <si>
    <t>1. Inverters 3 &amp; 8 have been offline throughout the month due to parts delays. On 02/26/25, FIMER tested replacement logic boards, but they failed bench tests. As of 04/10/25, remanufactured boards are still failing functional tests. FIMER is working with the repair center and engineering team in Italy, but no ETA is available.
2. Inverter 9 back online at 14:45 on 05/06/25, after technician swapped Breaker from Inverter 8 which is offline for RMA to Inverter 9.
3.  Inverters 2 and 5 are underperforming, likely due to soiling. Inverter 2  is down 1 kW, and inverter 5 is down 3 kW and also inverter 9 down a string from 05/15/25.</t>
  </si>
  <si>
    <t>1. SR090375, SR089461
2. SR098018
3. SR101562, SR101561</t>
  </si>
  <si>
    <t>SR101562</t>
  </si>
  <si>
    <t>SR101561</t>
  </si>
  <si>
    <t>1.  SR092276</t>
  </si>
  <si>
    <t>1. Weather station was not communicating through out the month because the entire station needs to be replaced.
2. Pad 1 Inverter 1 was offline throughout the month, and on Pad 2, Inverter 1 is not communicating, although production data is being captured at the meter. On 03/13/25, it was approved to investigate the auxiliary equipment installed and the fault logs, with BOLD.
3. Pad 1 Inverter 2 went offline at 12:05 on 05/05. The technician power-cycled Inverters 1 and 2; both came back online briefly but tripped offline again. The technician contacted Bold Renewables for further troubleshooting. Currently, Inverters 1 and 2 remain offline, while Inverter 3 is online and producing.</t>
  </si>
  <si>
    <t>1. SR085968
2. SR092256, SR090090 &amp; SR095592
3. SR095592, PM9954</t>
  </si>
  <si>
    <t>1. Site was taken offline from 08:40 to 10:35 on 05/27/25 to work on Preventative Maintenance.
2. Weather station is not communicating through out the month, It was found that the pyranometer is not installed on-site. The installation of a new pyranometer will be required.</t>
  </si>
  <si>
    <t>1. PM11514
2. SR089470, SR092603</t>
  </si>
  <si>
    <t>1. Meter B is regularly capturing data from 7:20  to 10:00 , in sync with Inverter B. However, Inverter B is capturing data from 10:05  to 4:45  due to the MOXA not functioning. On 04/01/25, the technician installed the MOXA (datalogger), but the communication failed. On 05/03/25, 05/09/25 and 05/20/25 meter communiting intermitently and on 05/22/25 stopped communication both  at 11:15  due to faulty dataloggers, and additional troubleshooting is required.
2. Inverter 2 (Pad C) is intermittently tripping during high irradiance, possibly due to overheating. On 05/20/25, tech contacted SMA no immediate response. SMA later advised checking AC and DC voltages. AC wire was found improperly stripped and was corrected. SMA suspects unstable incoming AC power. Awaiting their follow-up on voltage readings
3. Weather station reporting zero from 16:20 on 05/20/25. Will nvestigate after the bulk production work is completed onsite.</t>
  </si>
  <si>
    <t>1. SR089612, SR095385 &amp; SR102060
2. SR099766</t>
  </si>
  <si>
    <t>SR102060</t>
  </si>
  <si>
    <t>1. Inverter 1 is not communicating, and according to the meter data, it is offline due to a breaker issue. A case was raised on 03/24/25 to request support for the breaker replacement.
2. Site was taken offline from 10:20 to 12:20 on 05/14/25, to work on inverter 1 and tracker troubleshooting. Additionally, working on wire management.</t>
  </si>
  <si>
    <t>1. SR098397
2. SR098397</t>
  </si>
  <si>
    <t>SR098397</t>
  </si>
  <si>
    <t>1. Inverter 1 was brought online at 10:05 on 05/21/25 after technician reopened doors to check voltages for an AC Contactor Restart Limit Current Imbalance fault. No loose wires found. Logs pulled; Bold advised replacing Power Distribution Cards.  and it again tripped offline at 13:50 on 05/29/25 and remained offline throught the month. 
2. Inverter 2 has been frequently tripping offline this month due to fault code 21: Peak Power Tracking. On 05/21/25, the technician shut down the inverter from 08:30 to 09:25 to pull logs, then brought it back online. Logs were sent to Bold Renewables,  the Power Distribution Card are need to be replaced and it again tripped offline at 19:45 on 05/24/25 due to an "watch dog timer fault". and remained offline throught the month.</t>
  </si>
  <si>
    <t>1. SR101829, PM10476 
2. SR101132</t>
  </si>
  <si>
    <t>SR101132</t>
  </si>
  <si>
    <t>1. Inverter 2 went offline on 05/16/25 due to system, latching  faults, remaind offline through out the month and parts are needed to bring these inverter back online.</t>
  </si>
  <si>
    <t>1. SR100858</t>
  </si>
  <si>
    <t xml:space="preserve">1. SR094545, SR100842
</t>
  </si>
  <si>
    <t>1. Site production was low on 0/04 &amp; 05/05 due to cloudy weather.</t>
  </si>
  <si>
    <t>1. 23 modules need replacement; quote declined by client on 11/07/24
2. Site was offline from 08:20 to 18:20 05/03/25.</t>
  </si>
  <si>
    <t>1. SR080516
2. SR100976</t>
  </si>
  <si>
    <t>SR100976</t>
  </si>
  <si>
    <t>1. Site production was low on 05/04 to 05/06 due to bad weather.</t>
  </si>
  <si>
    <t>1. Inverters 3, 7, 10, 14, and 21 are offline through out the month and parts are needed to bring these inverters back online.
2. Inverter 11 was brought online at 10:45  on 04/14/25 after replacing the AC GFCI and re-terminating wires. It tripped offline again at 10:00 on 04/24/25 and remained down; additional parts are needed. For Inverter 2, technician verified LOTO, removed two broken/burned fuse holders, installed new parts with two Ameresco 15A fuses, and removed LOTO the same day.
3. Inverter 16 offline since 05/20/25 due to "Standby" fault and remained offline throught out the month.</t>
  </si>
  <si>
    <t xml:space="preserve">1. SR098183, SR095449, SR093474, SR090380 &amp; SR089474.
2. SR098183
3. SR101740
</t>
  </si>
  <si>
    <t>SR101740</t>
  </si>
  <si>
    <t xml:space="preserve">1. Inverter 1 has been underperforming by 90kW since 11:40 on 08/21/24. During the Annual Preventative Maintenance on 04/02/25, the technician found poor filters and a potential hazard with the AC switch. New filters are needed to restore performance.
2. Inverter 1 went offline at 11:30 on 04/01/25, followed by Inverter 2 at 12:45. The meter still shows voltage. Inverter 1 has a status code of 1,314 (FAULT, WARNING, MPP, AUTO START), while Inverter 2 shows 1,792 (MPP, SLEEP, AUTO START). On 04/04/25, the technician confirmed that the site would remain offline due to ongoing contractor activity. Additional information from the Kohls team indicated that large-scale electrical work was being carried out inside the facility. As a safety measure, the utility feed was disconnected at 09:10 on the same day. The site has remained offline throughout the month due to continued electrical work.
</t>
  </si>
  <si>
    <t xml:space="preserve">1. SR098826, SR099338, PM11103
2. SR099327, PM11103,  &amp; 	SR102082
</t>
  </si>
  <si>
    <t>SR099338</t>
  </si>
  <si>
    <t>SR102082</t>
  </si>
  <si>
    <t>1. Inverter 3 has been offline since 01/28/25. on 05/27/25, the technician replaced the old circuit breaker and a broken AC disconnect switch and brought back online at 10:45.
2. Inverter 7 was offline through out the month and parts needed to bring these inverter back online.
3. Inverter 12 has been offline since 01/30/25, remaind offline through out the month and parts are needed to bring these inverter back online.
4. Inverter 2 was offline from 05/11/25 to 05/27/25 due to tripped local circuit breakers. It was shut down and inspected. String isolation and system tests found no issues and brought back online at 10:45 by closing breaker and again offline from 05/29/25, remained offline throught the month.
5. Inverter 4 tripped offline at 14:00 on 05/27/25 and remained offline throught the month.</t>
  </si>
  <si>
    <t>1. SR089477, SR096348 &amp; SR101285
2. SR089477, SR096348
3. SR089477, SR096348
4. SR102153, SR101285
5. SR102153</t>
  </si>
  <si>
    <t>SR101285</t>
  </si>
  <si>
    <t>SR102153</t>
  </si>
  <si>
    <t>1. Meter was not communicating production at the inverters. So we considered inverter productionas site production.
2. Inverter A stopped communicating since at 11:15 on 04/08/25 due to a loss of communication with the meter. Production cannot be confirmed and the inverter may be offline.</t>
  </si>
  <si>
    <t>1. Site tripped offline at 12:00AM on 05/16/25 and was brought back online at 11:40 AM on 05/17/25 after the technician closed the breaker at the switchgear.</t>
  </si>
  <si>
    <t>1.SR101606</t>
  </si>
  <si>
    <t>1. Inverter 2's production being affected in the afternoon hours possibly due to stuck trackers.
2. Inverter 2 back online at 06:20 on 05/01/25, then tripped again at 07:30 on 05/02/25 and recovered at 06:50 on 05/03/25. It went offline from 11:00 to 11:55 on 05/06/25 due to an Asymmetrical Array Fault. It tripped again at 11:55 on 05/15/25 due to a FAN 5 fault and came back online on 05/16/25. FAN 5 replacement is required to restore expected production.
3. Inverter 3 has been underperforming by 200 kW and went offline at 11:30 on 04/29/25. On 05/06/25, the technician replaced the filters with new ones from Bold Renewables, but the inverter remained offline through the month. Combiner fuses are needed to bring it back online.</t>
  </si>
  <si>
    <t>1. SR092171, SR092455
2. SR101475
3. SR098778</t>
  </si>
  <si>
    <t>SR101475</t>
  </si>
  <si>
    <t>1. Inverter 1 tripped offline at 7:40 on 05/15/25 due to faulty air filters and remained offline through the month.</t>
  </si>
  <si>
    <t>1. SR101624</t>
  </si>
  <si>
    <t>1. Site taken offline from 08:20 to 9:20 and 11:45 to 12:30 on 05/02/25 due to technician worked on  Re-Pressurizing Sealed Transformer with Nitrogen (XMFR B03).
2. Inverter A.02.15 tripped offline at 08:35 on 05/23/25 due to islanding and remained offline through the month. On 05/27, a technician identified a thermal relay failure as the cause. Sungrow was contacted, and a replacement was RMA’d.</t>
  </si>
  <si>
    <t>1. SR100820, PM8852
2. SR101886</t>
  </si>
  <si>
    <t>SR101886</t>
  </si>
  <si>
    <t>June Actual v. Expected</t>
  </si>
  <si>
    <t>June Actual v. Forecasted</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</si>
  <si>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</si>
  <si>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</si>
  <si>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</si>
  <si>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</si>
  <si>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</si>
  <si>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</si>
  <si>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</si>
  <si>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</si>
  <si>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</si>
  <si>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</si>
  <si>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</si>
  <si>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</si>
  <si>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 xml:space="preserve"> </t>
  </si>
  <si>
    <t>Portfolio:</t>
  </si>
  <si>
    <t>Silicon Ranch</t>
  </si>
  <si>
    <t>Site DAS Name</t>
  </si>
  <si>
    <t>Column1</t>
  </si>
  <si>
    <t>DAS</t>
  </si>
  <si>
    <t>zz.Iron Mountain - Windsor</t>
  </si>
  <si>
    <t>Iron Mountain - Windsor</t>
  </si>
  <si>
    <t>CT</t>
  </si>
  <si>
    <t>AF</t>
  </si>
  <si>
    <t>Green Power Monitor</t>
  </si>
  <si>
    <t>zz.Kohls - Auburn</t>
  </si>
  <si>
    <t>Kohls - Auburn</t>
  </si>
  <si>
    <t>NY</t>
  </si>
  <si>
    <t>zz.Kohls - Bensalem</t>
  </si>
  <si>
    <t>Kohls - Bensalem</t>
  </si>
  <si>
    <t>PA</t>
  </si>
  <si>
    <t>zz.Kohls - Brick</t>
  </si>
  <si>
    <t>Kohls - Brick</t>
  </si>
  <si>
    <t>NJ</t>
  </si>
  <si>
    <t>zz.Kohls - Buffalo</t>
  </si>
  <si>
    <t>Kohls - Buffalo</t>
  </si>
  <si>
    <t>zz.Kohls - Canton</t>
  </si>
  <si>
    <t>Kohls - Canton</t>
  </si>
  <si>
    <t>zz.Kohls - East Amherst</t>
  </si>
  <si>
    <t>Kohls - East Amherst</t>
  </si>
  <si>
    <t>zz.Kohls - East Brunswick</t>
  </si>
  <si>
    <t>Kohls - East Brunswick</t>
  </si>
  <si>
    <t>zz.Kohls - Edgewood</t>
  </si>
  <si>
    <t>Kohls - Edgewood</t>
  </si>
  <si>
    <t>MD</t>
  </si>
  <si>
    <t>zz.Kohls - Granite Run</t>
  </si>
  <si>
    <t>Kohls - Granite Run</t>
  </si>
  <si>
    <t>zz.Kohls - Greece</t>
  </si>
  <si>
    <t>Kohls - Greece</t>
  </si>
  <si>
    <t>zz.Kohls - Hanover</t>
  </si>
  <si>
    <t>Kohls - Hanover</t>
  </si>
  <si>
    <t>zz.Kohls - Horsehead</t>
  </si>
  <si>
    <t>Kohls - Horsehead</t>
  </si>
  <si>
    <t>zz.Kohls - Hudson</t>
  </si>
  <si>
    <t>Kohls - Hudson</t>
  </si>
  <si>
    <t>zz.Kohls - Ithaca</t>
  </si>
  <si>
    <t>Kohls - Ithaca</t>
  </si>
  <si>
    <t>zz.Kohls - Kingston</t>
  </si>
  <si>
    <t>Kohls - Kingston</t>
  </si>
  <si>
    <t>zz.Kohls - Mechanicsburg</t>
  </si>
  <si>
    <t>Kohls - Mechanicsburg</t>
  </si>
  <si>
    <t>zz.Kohls - Middletown</t>
  </si>
  <si>
    <t>Kohls - Middletown</t>
  </si>
  <si>
    <t>zz.Kohls - North Amherst</t>
  </si>
  <si>
    <t>Kohls - North Amherst</t>
  </si>
  <si>
    <t>zz.Kohls - Staten Island</t>
  </si>
  <si>
    <t>Kohls - Staten Island</t>
  </si>
  <si>
    <t>zz.Kohls - Warminster</t>
  </si>
  <si>
    <t>Kohls - Warminster</t>
  </si>
  <si>
    <t xml:space="preserve">zz.Kohls - Waterbury </t>
  </si>
  <si>
    <t xml:space="preserve">Kohls - Waterbury </t>
  </si>
  <si>
    <t>zz.Mojave Water Agency - Headquarters</t>
  </si>
  <si>
    <t>Mojave Water Agency - Headquarters</t>
  </si>
  <si>
    <t>CA</t>
  </si>
  <si>
    <t>zz.CSU - Bakersfield</t>
  </si>
  <si>
    <t>CSU - Bakersfield</t>
  </si>
  <si>
    <t>zz.Greenfield USD - Fairfield ES</t>
  </si>
  <si>
    <t>Greenfield USD - Fairfield ES</t>
  </si>
  <si>
    <t>zz.Greenfield USD - Granite Point ES</t>
  </si>
  <si>
    <t>Greenfield USD - Granite Point ES</t>
  </si>
  <si>
    <t>zz.Greenfield USD - Greenfield MS</t>
  </si>
  <si>
    <t>Greenfield USD - Greenfield MS</t>
  </si>
  <si>
    <t>zz.Greenfield USD - Horizon ES</t>
  </si>
  <si>
    <t>Greenfield USD - Horizon ES</t>
  </si>
  <si>
    <t>zz.Greenfield USD - McKee MS</t>
  </si>
  <si>
    <t>Greenfield USD - McKee MS</t>
  </si>
  <si>
    <t>zz.Greenfield USD - Plantation ES</t>
  </si>
  <si>
    <t>Greenfield USD - Plantation ES</t>
  </si>
  <si>
    <t>zz.Greenfield USD - Planz ES</t>
  </si>
  <si>
    <t>Greenfield USD - Planz ES</t>
  </si>
  <si>
    <t>zz.Greenfield USD - Raffaello Palla ES</t>
  </si>
  <si>
    <t>Greenfield USD - Raffaello Palla ES</t>
  </si>
  <si>
    <t>zz.Greenfield USD - Valle Verde ES</t>
  </si>
  <si>
    <t>Greenfield USD - Valle Verde ES</t>
  </si>
  <si>
    <t>zz.Greenfield USD - W.A. Kendrick ES</t>
  </si>
  <si>
    <t>Greenfield USD - W.A. Kendrick ES</t>
  </si>
  <si>
    <t>zz.Muroc Joint USD - Boron HS</t>
  </si>
  <si>
    <t>Muroc Joint USD - Boron HS</t>
  </si>
  <si>
    <t>zz.Muroc Joint USD - W. Boron ES</t>
  </si>
  <si>
    <t>Muroc Joint USD - W. Boron ES</t>
  </si>
  <si>
    <t>zz.Colusa - WTP</t>
  </si>
  <si>
    <t>Colusa - WTP</t>
  </si>
  <si>
    <t>zz.CDCR-North Kern State Prision</t>
  </si>
  <si>
    <t>CDCR-North Kern State Prision</t>
  </si>
  <si>
    <t>zz.Muroc Joint USD - District Office</t>
  </si>
  <si>
    <t>Muroc Joint USD - District Office</t>
  </si>
  <si>
    <t>zz.Whole Foods - Manhattan Beach</t>
  </si>
  <si>
    <t>Whole Foods - Manhattan Beach</t>
  </si>
  <si>
    <t>zz.Pioneer USD - Frontier ES</t>
  </si>
  <si>
    <t>Pioneer USD - Frontier ES</t>
  </si>
  <si>
    <t>zz.Pioneer USD - Pioneer ES</t>
  </si>
  <si>
    <t>Pioneer USD - Pioneer ES</t>
  </si>
  <si>
    <t>zz.Pioneer USD - Pioneer MS</t>
  </si>
  <si>
    <t>Pioneer USD - Pioneer MS</t>
  </si>
  <si>
    <t>zz.Kingsburg Joint UHSD - Kingsburg HS</t>
  </si>
  <si>
    <t>Kingsburg Joint UHSD - Kingsburg HS</t>
  </si>
  <si>
    <t>CADRB</t>
  </si>
  <si>
    <t>zz.CDCR-CA State Prison LA County</t>
  </si>
  <si>
    <t>CDCR-CA State Prison LA County</t>
  </si>
  <si>
    <t>zz.Central USD Akers ES</t>
  </si>
  <si>
    <t>Central USD Akers ES</t>
  </si>
  <si>
    <t>zz.CUSD - District Office</t>
  </si>
  <si>
    <t>CUSD - District Office</t>
  </si>
  <si>
    <t>zz.Parlier - WTP</t>
  </si>
  <si>
    <t>Parlier - WTP</t>
  </si>
  <si>
    <t>zz.Snowline SD - Quail Valley MS</t>
  </si>
  <si>
    <t>Snowline SD - Quail Valley MS</t>
  </si>
  <si>
    <t>zz.Snowline SD - Serrano HS - Middle Lot</t>
  </si>
  <si>
    <t>Snowline SD - Serrano HS - Middle Lot</t>
  </si>
  <si>
    <t>zz.Snowline SD - Pinon Hills ES</t>
  </si>
  <si>
    <t>Snowline SD - Pinon Hills ES</t>
  </si>
  <si>
    <t>zz.Ramona - Santa Maria WTP</t>
  </si>
  <si>
    <t>Ramona - Santa Maria WTP</t>
  </si>
  <si>
    <t>zz.Kohls - Redding</t>
  </si>
  <si>
    <t>Kohls - Redding</t>
  </si>
  <si>
    <t>zz.Kohls - Salinas</t>
  </si>
  <si>
    <t>Kohls - Salinas</t>
  </si>
  <si>
    <t>zz.Kohls - San Bernardino - Central</t>
  </si>
  <si>
    <t>Kohls - San Bernardino - Central</t>
  </si>
  <si>
    <t>zz.Kohls - Sonora</t>
  </si>
  <si>
    <t>Kohls - Sonora</t>
  </si>
  <si>
    <t>zz.CUSD - Stratford ES</t>
  </si>
  <si>
    <t>CUSD - Stratford ES</t>
  </si>
  <si>
    <t>zz.Taft - City Hall</t>
  </si>
  <si>
    <t>Taft - City Hall</t>
  </si>
  <si>
    <t>zz.Taft - Federal Prison</t>
  </si>
  <si>
    <t>Taft - Federal Prison</t>
  </si>
  <si>
    <t>zz.Taft - Police Department</t>
  </si>
  <si>
    <t>Taft - Police Department</t>
  </si>
  <si>
    <t>Taft - WTP</t>
  </si>
  <si>
    <t>zz.CDCR - CA Correctional Institution</t>
  </si>
  <si>
    <t>CDCR - CA Correctional Institution</t>
  </si>
  <si>
    <t>zz.CDCR - CA Correctional Institution II</t>
  </si>
  <si>
    <t>CDCR - CA Correctional Institution II</t>
  </si>
  <si>
    <t>zz.Snowline SD - Vista Verde ES</t>
  </si>
  <si>
    <t>Snowline SD - Vista Verde ES</t>
  </si>
  <si>
    <t>North Stonington - 450 Providence-New London Tpk</t>
  </si>
  <si>
    <t>North Stonington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</si>
</sst>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6">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color theme="1"/>
      <name val="Calibri Light"/>
      <family val="2"/>
      <scheme val="major"/>
    </font>
    <font>
      <sz val="11"/>
      <color rgb="FF000000"/>
      <name val="Aptos Narrow"/>
      <family val="2"/>
    </font>
    <font>
      <sz val="8"/>
      <name val="Arial"/>
      <family val="2"/>
    </font>
    <font>
      <sz val="11"/>
      <name val="Calibri"/>
      <family val="2"/>
      <scheme val="minor"/>
    </font>
    <font>
      <sz val="11"/>
      <color rgb="FF000000"/>
      <name val="Calibri"/>
      <family val="2"/>
      <scheme val="minor"/>
    </font>
    <font>
      <sz val="12"/>
      <color theme="1"/>
      <name val="Calibri"/>
      <family val="2"/>
      <scheme val="minor"/>
    </font>
    <font>
      <sz val="12"/>
      <color rgb="FF000000"/>
      <name val="Calibri"/>
      <family val="2"/>
      <scheme val="minor"/>
    </font>
    <font>
      <sz val="10"/>
      <name val="Calibri"/>
      <family val="2"/>
      <scheme val="minor"/>
    </font>
    <font>
      <sz val="11"/>
      <color rgb="FF242424"/>
      <name val="Calibri"/>
      <family val="2"/>
      <scheme val="minor"/>
    </font>
    <font>
      <u/>
      <sz val="10"/>
      <color theme="10"/>
      <name val="Arial"/>
      <family val="2"/>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45" fillId="0" borderId="0" applyNumberFormat="0" applyFill="0" applyBorder="0" applyAlignment="0" applyProtection="0"/>
  </cellStyleXfs>
  <cellXfs count="123">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0" fillId="2" borderId="1" xfId="0" applyFont="1" applyFill="1" applyBorder="1" applyAlignment="1">
      <alignment horizontal="center" vertical="center" wrapText="1"/>
    </xf>
    <xf numFmtId="49" fontId="29" fillId="40" borderId="0" xfId="0" applyNumberFormat="1" applyFont="1" applyFill="1" applyAlignment="1">
      <alignment horizontal="center" vertical="center"/>
    </xf>
    <xf numFmtId="49" fontId="29" fillId="0" borderId="0" xfId="0" applyNumberFormat="1" applyFont="1" applyAlignment="1">
      <alignment horizontal="center" vertical="center"/>
    </xf>
    <xf numFmtId="164" fontId="29" fillId="0" borderId="0" xfId="1" applyNumberFormat="1" applyFont="1" applyBorder="1" applyAlignment="1">
      <alignment horizontal="center" vertical="center"/>
    </xf>
    <xf numFmtId="49" fontId="28" fillId="40" borderId="0" xfId="0" applyNumberFormat="1" applyFont="1" applyFill="1" applyAlignment="1">
      <alignment horizontal="center" vertical="center"/>
    </xf>
    <xf numFmtId="3" fontId="31" fillId="3" borderId="0" xfId="0" applyNumberFormat="1" applyFont="1" applyFill="1" applyAlignment="1">
      <alignment horizontal="right" vertical="center"/>
    </xf>
    <xf numFmtId="9" fontId="31" fillId="3" borderId="0" xfId="2" applyFont="1" applyFill="1" applyBorder="1" applyAlignment="1">
      <alignment horizontal="center" vertical="center"/>
    </xf>
    <xf numFmtId="3" fontId="31" fillId="4" borderId="0" xfId="1" applyNumberFormat="1" applyFont="1" applyFill="1" applyBorder="1" applyAlignment="1">
      <alignment vertical="center"/>
    </xf>
    <xf numFmtId="9" fontId="31" fillId="37" borderId="0" xfId="2" applyFont="1" applyFill="1" applyBorder="1" applyAlignment="1">
      <alignment horizontal="center" vertical="center"/>
    </xf>
    <xf numFmtId="49" fontId="28" fillId="0" borderId="0" xfId="0" applyNumberFormat="1" applyFont="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30" fillId="43" borderId="1" xfId="0" applyFont="1" applyFill="1" applyBorder="1" applyAlignment="1">
      <alignment horizontal="center" vertical="center" wrapText="1"/>
    </xf>
    <xf numFmtId="164" fontId="29"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9" fillId="40" borderId="0" xfId="0" applyFont="1" applyFill="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5" fillId="40" borderId="0" xfId="0" applyFont="1" applyFill="1" applyAlignment="1">
      <alignment horizontal="center"/>
    </xf>
    <xf numFmtId="0" fontId="31" fillId="0" borderId="0" xfId="0" applyFont="1"/>
    <xf numFmtId="0" fontId="26" fillId="0" borderId="0" xfId="0" applyFont="1"/>
    <xf numFmtId="0" fontId="25" fillId="41" borderId="1" xfId="0" applyFont="1" applyFill="1" applyBorder="1" applyAlignment="1">
      <alignment horizontal="center" vertical="center" wrapText="1"/>
    </xf>
    <xf numFmtId="9" fontId="25" fillId="41" borderId="1" xfId="2" applyFont="1" applyFill="1" applyBorder="1" applyAlignment="1">
      <alignment horizontal="center" vertical="center" wrapText="1"/>
    </xf>
    <xf numFmtId="0" fontId="25" fillId="42" borderId="1" xfId="0" applyFont="1" applyFill="1" applyBorder="1" applyAlignment="1">
      <alignment horizontal="center"/>
    </xf>
    <xf numFmtId="0" fontId="25" fillId="42" borderId="1" xfId="0" applyFont="1" applyFill="1" applyBorder="1" applyAlignment="1">
      <alignment horizontal="center" vertical="center" wrapText="1"/>
    </xf>
    <xf numFmtId="9" fontId="25" fillId="42" borderId="1" xfId="2" applyFont="1" applyFill="1" applyBorder="1" applyAlignment="1">
      <alignment horizontal="center" vertical="center" wrapText="1"/>
    </xf>
    <xf numFmtId="0" fontId="25" fillId="42" borderId="1" xfId="0" applyFont="1" applyFill="1" applyBorder="1" applyAlignment="1">
      <alignment horizontal="center" vertical="center"/>
    </xf>
    <xf numFmtId="49" fontId="31" fillId="38" borderId="0" xfId="2" applyNumberFormat="1" applyFont="1" applyFill="1" applyBorder="1" applyAlignment="1">
      <alignment vertical="top" wrapText="1"/>
    </xf>
    <xf numFmtId="49" fontId="29" fillId="0" borderId="0" xfId="0" applyNumberFormat="1" applyFont="1" applyAlignment="1">
      <alignment vertical="center" wrapText="1"/>
    </xf>
    <xf numFmtId="49" fontId="28" fillId="0" borderId="0" xfId="0" applyNumberFormat="1" applyFont="1" applyAlignment="1">
      <alignment vertical="center" wrapText="1"/>
    </xf>
    <xf numFmtId="0" fontId="0" fillId="0" borderId="0" xfId="0" applyAlignment="1">
      <alignment horizontal="center" wrapText="1"/>
    </xf>
    <xf numFmtId="0" fontId="0" fillId="0" borderId="0" xfId="0" applyAlignment="1">
      <alignment horizontal="right" wrapText="1"/>
    </xf>
    <xf numFmtId="0" fontId="0" fillId="0" borderId="0" xfId="0" applyAlignment="1">
      <alignment horizontal="center" vertical="center"/>
    </xf>
    <xf numFmtId="0" fontId="23" fillId="0" borderId="0" xfId="43" applyFont="1" applyAlignment="1">
      <alignment horizontal="center" vertical="center"/>
    </xf>
    <xf numFmtId="49" fontId="28" fillId="40" borderId="0" xfId="0" applyNumberFormat="1" applyFont="1" applyFill="1" applyAlignment="1">
      <alignment horizontal="left" vertical="center"/>
    </xf>
    <xf numFmtId="49" fontId="28" fillId="0" borderId="0" xfId="0" applyNumberFormat="1" applyFont="1" applyAlignment="1">
      <alignment horizontal="left" vertical="center"/>
    </xf>
    <xf numFmtId="0" fontId="0" fillId="0" borderId="0" xfId="0" applyAlignment="1">
      <alignment horizontal="left" wrapText="1"/>
    </xf>
    <xf numFmtId="0" fontId="35" fillId="40" borderId="0" xfId="0" applyFont="1" applyFill="1" applyAlignment="1">
      <alignment horizontal="left"/>
    </xf>
    <xf numFmtId="0" fontId="28" fillId="0" borderId="0" xfId="0" applyFont="1" applyAlignment="1">
      <alignment horizontal="left" vertical="center"/>
    </xf>
    <xf numFmtId="0" fontId="28" fillId="40" borderId="0" xfId="0" applyFont="1" applyFill="1" applyAlignment="1">
      <alignment horizontal="left" vertical="center"/>
    </xf>
    <xf numFmtId="49" fontId="29" fillId="0" borderId="0" xfId="0" applyNumberFormat="1" applyFont="1" applyAlignment="1">
      <alignment vertical="top" wrapText="1"/>
    </xf>
    <xf numFmtId="49" fontId="29" fillId="0" borderId="0" xfId="0" applyNumberFormat="1" applyFont="1" applyAlignment="1">
      <alignment horizontal="left" vertical="top" wrapText="1"/>
    </xf>
    <xf numFmtId="49" fontId="36" fillId="0" borderId="0" xfId="0" applyNumberFormat="1" applyFont="1" applyAlignment="1">
      <alignment vertical="center" wrapText="1"/>
    </xf>
    <xf numFmtId="49" fontId="31" fillId="38" borderId="0" xfId="2" applyNumberFormat="1" applyFont="1" applyFill="1" applyBorder="1" applyAlignment="1">
      <alignment horizontal="left" vertical="top" wrapText="1"/>
    </xf>
    <xf numFmtId="49" fontId="28" fillId="0" borderId="0" xfId="0" applyNumberFormat="1" applyFont="1" applyAlignment="1">
      <alignment horizontal="left" vertical="top" wrapText="1"/>
    </xf>
    <xf numFmtId="49" fontId="29" fillId="0" borderId="0" xfId="0" applyNumberFormat="1" applyFont="1" applyAlignment="1">
      <alignment horizontal="left" vertical="center" wrapText="1"/>
    </xf>
    <xf numFmtId="49" fontId="28" fillId="0" borderId="0" xfId="0" applyNumberFormat="1" applyFont="1" applyAlignment="1">
      <alignment horizontal="left" vertical="center" wrapText="1"/>
    </xf>
    <xf numFmtId="49" fontId="28" fillId="0" borderId="0" xfId="0" applyNumberFormat="1" applyFont="1" applyAlignment="1">
      <alignment vertical="top" wrapText="1"/>
    </xf>
    <xf numFmtId="9" fontId="31" fillId="3" borderId="0" xfId="2" applyFont="1" applyFill="1" applyAlignment="1">
      <alignment horizontal="center" vertical="center"/>
    </xf>
    <xf numFmtId="3" fontId="31" fillId="0" borderId="0" xfId="1" applyNumberFormat="1" applyFont="1" applyAlignment="1">
      <alignment vertical="center"/>
    </xf>
    <xf numFmtId="3" fontId="31" fillId="4" borderId="0" xfId="1" applyNumberFormat="1" applyFont="1" applyFill="1" applyAlignment="1">
      <alignment vertical="center"/>
    </xf>
    <xf numFmtId="164" fontId="29" fillId="44" borderId="0" xfId="1" applyNumberFormat="1" applyFont="1" applyFill="1" applyAlignment="1">
      <alignment horizontal="center" vertical="center"/>
    </xf>
    <xf numFmtId="49" fontId="31" fillId="38" borderId="0" xfId="2" applyNumberFormat="1" applyFont="1" applyFill="1" applyAlignment="1">
      <alignment vertical="top" wrapText="1"/>
    </xf>
    <xf numFmtId="164" fontId="29" fillId="0" borderId="0" xfId="1" applyNumberFormat="1" applyFont="1" applyAlignment="1">
      <alignment horizontal="center" vertical="center"/>
    </xf>
    <xf numFmtId="3" fontId="31" fillId="0" borderId="0" xfId="1" applyNumberFormat="1" applyFont="1" applyAlignment="1">
      <alignment horizontal="center" vertical="center"/>
    </xf>
    <xf numFmtId="3" fontId="31" fillId="0" borderId="0" xfId="1" applyNumberFormat="1" applyFont="1" applyAlignment="1">
      <alignment vertical="center" wrapText="1"/>
    </xf>
    <xf numFmtId="3" fontId="31" fillId="0" borderId="0" xfId="1" applyNumberFormat="1" applyFont="1" applyAlignment="1">
      <alignment horizontal="left" vertical="top" wrapText="1"/>
    </xf>
    <xf numFmtId="0" fontId="30" fillId="2" borderId="1" xfId="0" applyFont="1" applyFill="1" applyBorder="1" applyAlignment="1">
      <alignment horizontal="left" vertical="center" wrapText="1" indent="2"/>
    </xf>
    <xf numFmtId="0" fontId="29" fillId="40" borderId="0" xfId="0" applyFont="1" applyFill="1" applyAlignment="1">
      <alignment horizontal="left" vertical="center" indent="2"/>
    </xf>
    <xf numFmtId="0" fontId="29" fillId="0" borderId="0" xfId="0" applyFont="1" applyAlignment="1">
      <alignment horizontal="left" vertical="center" indent="2"/>
    </xf>
    <xf numFmtId="3" fontId="31" fillId="0" borderId="0" xfId="1" applyNumberFormat="1" applyFont="1" applyAlignment="1">
      <alignment horizontal="left" vertical="center" indent="2"/>
    </xf>
    <xf numFmtId="0" fontId="31" fillId="0" borderId="0" xfId="0" applyFont="1" applyAlignment="1">
      <alignment horizontal="left" indent="2"/>
    </xf>
    <xf numFmtId="0" fontId="26" fillId="0" borderId="0" xfId="0" applyFont="1" applyAlignment="1">
      <alignment horizontal="left" indent="2"/>
    </xf>
    <xf numFmtId="0" fontId="39" fillId="0" borderId="0" xfId="0" applyFont="1"/>
    <xf numFmtId="49" fontId="24" fillId="0" borderId="0" xfId="0" applyNumberFormat="1" applyFont="1" applyAlignment="1">
      <alignment vertical="center" wrapText="1"/>
    </xf>
    <xf numFmtId="3" fontId="31" fillId="0" borderId="0" xfId="1" applyNumberFormat="1" applyFont="1" applyAlignment="1">
      <alignment vertical="top"/>
    </xf>
    <xf numFmtId="49" fontId="41" fillId="0" borderId="0" xfId="0" applyNumberFormat="1" applyFont="1" applyAlignment="1">
      <alignment horizontal="left" vertical="top" wrapText="1"/>
    </xf>
    <xf numFmtId="49" fontId="42" fillId="0" borderId="0" xfId="0" applyNumberFormat="1" applyFont="1" applyAlignment="1">
      <alignment horizontal="left" vertical="top" wrapText="1"/>
    </xf>
    <xf numFmtId="0" fontId="43" fillId="0" borderId="0" xfId="0" applyFont="1" applyAlignment="1">
      <alignment horizontal="left" vertical="top"/>
    </xf>
    <xf numFmtId="49" fontId="40" fillId="0" borderId="0" xfId="0" applyNumberFormat="1" applyFont="1" applyAlignment="1">
      <alignment horizontal="left" vertical="top" wrapText="1"/>
    </xf>
    <xf numFmtId="0" fontId="44" fillId="0" borderId="0" xfId="0" applyFont="1" applyAlignment="1">
      <alignment horizontal="left" vertical="top"/>
    </xf>
    <xf numFmtId="49" fontId="39" fillId="38" borderId="0" xfId="2" applyNumberFormat="1" applyFont="1" applyFill="1" applyBorder="1" applyAlignment="1">
      <alignment horizontal="left" vertical="top" wrapText="1"/>
    </xf>
    <xf numFmtId="0" fontId="44" fillId="0" borderId="0" xfId="0" applyFont="1" applyAlignment="1">
      <alignment horizontal="left" vertical="top" wrapText="1"/>
    </xf>
    <xf numFmtId="2" fontId="2" fillId="0" borderId="0" xfId="43" applyNumberFormat="1" applyAlignment="1">
      <alignment wrapText="1"/>
    </xf>
    <xf numFmtId="49" fontId="29" fillId="0" borderId="0" xfId="0" applyNumberFormat="1" applyFont="1" applyAlignment="1">
      <alignment horizontal="left" wrapText="1"/>
    </xf>
    <xf numFmtId="0" fontId="0" fillId="0" borderId="0" xfId="0" applyAlignment="1">
      <alignment wrapText="1"/>
    </xf>
    <xf numFmtId="0" fontId="0" fillId="0" borderId="0" xfId="0" applyAlignment="1">
      <alignment horizontal="right" vertical="center" wrapText="1"/>
    </xf>
    <xf numFmtId="3" fontId="31" fillId="4" borderId="0" xfId="1" applyNumberFormat="1" applyFont="1" applyFill="1" applyBorder="1" applyAlignment="1">
      <alignment horizontal="right" vertical="center"/>
    </xf>
    <xf numFmtId="3" fontId="31" fillId="0" borderId="0" xfId="1" applyNumberFormat="1" applyFont="1" applyFill="1" applyBorder="1" applyAlignment="1">
      <alignment horizontal="right" vertical="center"/>
    </xf>
    <xf numFmtId="3" fontId="26" fillId="36" borderId="1" xfId="1" applyNumberFormat="1" applyFont="1" applyFill="1" applyBorder="1" applyAlignment="1">
      <alignment horizontal="right" vertical="center"/>
    </xf>
    <xf numFmtId="0" fontId="25" fillId="42" borderId="1" xfId="0" applyFont="1" applyFill="1" applyBorder="1" applyAlignment="1">
      <alignment horizontal="right" vertical="center" wrapText="1"/>
    </xf>
    <xf numFmtId="0" fontId="33" fillId="0" borderId="0" xfId="0" applyFont="1" applyAlignment="1">
      <alignment horizontal="right" vertical="center"/>
    </xf>
    <xf numFmtId="0" fontId="0" fillId="0" borderId="0" xfId="0" applyAlignment="1">
      <alignment horizontal="right" vertical="center"/>
    </xf>
    <xf numFmtId="49" fontId="31" fillId="38" borderId="0" xfId="2" applyNumberFormat="1" applyFont="1" applyFill="1" applyAlignment="1">
      <alignment horizontal="left" vertical="top" wrapText="1"/>
    </xf>
    <xf numFmtId="49" fontId="45" fillId="0" borderId="0" xfId="45" applyNumberFormat="1" applyAlignment="1">
      <alignment vertical="top" wrapText="1"/>
    </xf>
    <xf numFmtId="49" fontId="45" fillId="38" borderId="0" xfId="45" applyNumberFormat="1" applyFill="1" applyBorder="1" applyAlignment="1">
      <alignment vertical="top" wrapText="1"/>
    </xf>
    <xf numFmtId="0" fontId="45" fillId="0" borderId="0" xfId="45"/>
    <xf numFmtId="49" fontId="45" fillId="0" borderId="0" xfId="45" applyNumberFormat="1" applyAlignment="1">
      <alignment horizontal="left" vertical="top" wrapText="1"/>
    </xf>
    <xf numFmtId="49" fontId="45" fillId="38" borderId="0" xfId="45" applyNumberFormat="1" applyFill="1" applyBorder="1" applyAlignment="1">
      <alignment horizontal="left" vertical="top" wrapText="1"/>
    </xf>
    <xf numFmtId="49" fontId="45" fillId="0" borderId="0" xfId="45" applyNumberFormat="1" applyAlignment="1">
      <alignment vertical="center" wrapText="1"/>
    </xf>
    <xf numFmtId="0" fontId="45" fillId="0" borderId="0" xfId="45" applyAlignment="1">
      <alignment horizontal="left" vertical="top" wrapText="1"/>
    </xf>
    <xf numFmtId="49" fontId="31" fillId="38" borderId="0" xfId="2" applyNumberFormat="1" applyFont="1" applyFill="1" applyBorder="1" applyAlignment="1">
      <alignment horizontal="left" wrapText="1"/>
    </xf>
    <xf numFmtId="49" fontId="45" fillId="0" borderId="0" xfId="45" applyNumberFormat="1" applyAlignment="1">
      <alignment horizontal="left" wrapText="1"/>
    </xf>
    <xf numFmtId="49" fontId="45" fillId="38" borderId="0" xfId="45" applyNumberFormat="1" applyFill="1" applyAlignment="1">
      <alignment horizontal="left" vertical="top" wrapText="1"/>
    </xf>
    <xf numFmtId="0" fontId="23" fillId="0" borderId="0" xfId="43" applyFont="1" applyAlignment="1">
      <alignment horizontal="left" wrapText="1"/>
    </xf>
    <xf numFmtId="0" fontId="23" fillId="0" borderId="0" xfId="43" applyFont="1"/>
    <xf numFmtId="9" fontId="31" fillId="0" borderId="0" xfId="2" applyFont="1" applyAlignment="1">
      <alignment horizontal="center" vertical="center"/>
    </xf>
    <xf numFmtId="0" fontId="0" fillId="0" borderId="0" xfId="0" applyAlignment="1">
      <alignment horizontal="left" vertical="top"/>
    </xf>
    <xf numFmtId="0" fontId="45" fillId="0" borderId="0" xfId="45" applyAlignment="1">
      <alignment horizontal="left" vertical="top"/>
    </xf>
    <xf numFmtId="0" fontId="37" fillId="0" borderId="0" xfId="0" applyFont="1" applyAlignment="1">
      <alignment horizontal="left" vertical="top" wrapText="1"/>
    </xf>
    <xf numFmtId="49" fontId="1" fillId="0" borderId="0" xfId="0" applyNumberFormat="1" applyFont="1" applyAlignment="1">
      <alignment horizontal="left" vertical="top" wrapText="1"/>
    </xf>
    <xf numFmtId="164" fontId="0" fillId="0" borderId="0" xfId="0" applyNumberFormat="1"/>
    <xf numFmtId="0" fontId="24" fillId="0" borderId="0" xfId="0" applyFont="1"/>
    <xf numFmtId="49" fontId="24" fillId="0" borderId="0" xfId="0" applyNumberFormat="1" applyFont="1" applyAlignment="1">
      <alignment vertical="top" wrapText="1"/>
    </xf>
    <xf numFmtId="49" fontId="39" fillId="38" borderId="0" xfId="2" applyNumberFormat="1" applyFont="1" applyFill="1" applyAlignment="1">
      <alignment horizontal="left" vertical="top" wrapText="1"/>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61">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69" totalsRowShown="0">
  <autoFilter ref="A3:E69"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Column1"/>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3" Type="http://schemas.openxmlformats.org/officeDocument/2006/relationships/hyperlink" Target="https://us3.assetplanner.com/service_request?ID=093127" TargetMode="External"/><Relationship Id="rId18" Type="http://schemas.openxmlformats.org/officeDocument/2006/relationships/hyperlink" Target="https://us3.assetplanner.com/service_request?ID=092023" TargetMode="External"/><Relationship Id="rId26" Type="http://schemas.openxmlformats.org/officeDocument/2006/relationships/hyperlink" Target="https://us3.assetplanner.com/service_request?ID=089461" TargetMode="External"/><Relationship Id="rId39" Type="http://schemas.openxmlformats.org/officeDocument/2006/relationships/hyperlink" Target="https://us3.assetplanner.com/service_request?ID=086220" TargetMode="External"/><Relationship Id="rId21" Type="http://schemas.openxmlformats.org/officeDocument/2006/relationships/hyperlink" Target="https://us3.assetplanner.com/service_request?ID=089464" TargetMode="External"/><Relationship Id="rId34" Type="http://schemas.openxmlformats.org/officeDocument/2006/relationships/hyperlink" Target="https://us3.assetplanner.com/service_request?ID=092603" TargetMode="External"/><Relationship Id="rId42" Type="http://schemas.openxmlformats.org/officeDocument/2006/relationships/hyperlink" Target="https://us3.assetplanner.com/service_request?ID=095191" TargetMode="External"/><Relationship Id="rId47" Type="http://schemas.openxmlformats.org/officeDocument/2006/relationships/hyperlink" Target="https://us3.assetplanner.com/service_request?ID=090293" TargetMode="External"/><Relationship Id="rId50" Type="http://schemas.openxmlformats.org/officeDocument/2006/relationships/hyperlink" Target="https://us3.assetplanner.com/service_request?ID=089474" TargetMode="External"/><Relationship Id="rId55" Type="http://schemas.openxmlformats.org/officeDocument/2006/relationships/hyperlink" Target="https://us3.assetplanner.com/service_request?ID=089477" TargetMode="External"/><Relationship Id="rId63" Type="http://schemas.openxmlformats.org/officeDocument/2006/relationships/hyperlink" Target="https://us3.assetplanner.com/service_request?ID=090296" TargetMode="External"/><Relationship Id="rId7" Type="http://schemas.openxmlformats.org/officeDocument/2006/relationships/hyperlink" Target="https://us3.assetplanner.com/service_request?ID=093440" TargetMode="External"/><Relationship Id="rId2" Type="http://schemas.openxmlformats.org/officeDocument/2006/relationships/hyperlink" Target="https://us3.assetplanner.com/service_request?ID=093917" TargetMode="External"/><Relationship Id="rId16" Type="http://schemas.openxmlformats.org/officeDocument/2006/relationships/hyperlink" Target="https://us3.assetplanner.com/service_request?ID=096157" TargetMode="External"/><Relationship Id="rId29" Type="http://schemas.openxmlformats.org/officeDocument/2006/relationships/hyperlink" Target="https://us3.assetplanner.com/service_request?ID=085968" TargetMode="External"/><Relationship Id="rId11" Type="http://schemas.openxmlformats.org/officeDocument/2006/relationships/hyperlink" Target="https://us3.assetplanner.com/service_request?ID=078720" TargetMode="External"/><Relationship Id="rId24" Type="http://schemas.openxmlformats.org/officeDocument/2006/relationships/hyperlink" Target="https://us3.assetplanner.com/service_request?ID=095356" TargetMode="External"/><Relationship Id="rId32" Type="http://schemas.openxmlformats.org/officeDocument/2006/relationships/hyperlink" Target="https://us3.assetplanner.com/service_request?ID=095592" TargetMode="External"/><Relationship Id="rId37" Type="http://schemas.openxmlformats.org/officeDocument/2006/relationships/hyperlink" Target="https://us3.assetplanner.com/service_request?ID=089612" TargetMode="External"/><Relationship Id="rId40" Type="http://schemas.openxmlformats.org/officeDocument/2006/relationships/hyperlink" Target="https://us3.assetplanner.com/service_request?ID=091312" TargetMode="External"/><Relationship Id="rId45" Type="http://schemas.openxmlformats.org/officeDocument/2006/relationships/hyperlink" Target="https://us3.assetplanner.com/service_request?ID=094545" TargetMode="External"/><Relationship Id="rId53" Type="http://schemas.openxmlformats.org/officeDocument/2006/relationships/hyperlink" Target="https://us3.assetplanner.com/service_request?ID=089477" TargetMode="External"/><Relationship Id="rId58" Type="http://schemas.openxmlformats.org/officeDocument/2006/relationships/hyperlink" Target="https://us3.assetplanner.com/service_request?ID=095705" TargetMode="External"/><Relationship Id="rId5" Type="http://schemas.openxmlformats.org/officeDocument/2006/relationships/hyperlink" Target="https://us3.assetplanner.com/service_request?ID=095860" TargetMode="External"/><Relationship Id="rId61" Type="http://schemas.openxmlformats.org/officeDocument/2006/relationships/hyperlink" Target="https://us3.assetplanner.com/service_request?ID=092171" TargetMode="External"/><Relationship Id="rId19" Type="http://schemas.openxmlformats.org/officeDocument/2006/relationships/hyperlink" Target="https://us3.assetplanner.com/service_request?ID=089707" TargetMode="External"/><Relationship Id="rId14" Type="http://schemas.openxmlformats.org/officeDocument/2006/relationships/hyperlink" Target="https://us3.assetplanner.com/service_request?ID=089763" TargetMode="External"/><Relationship Id="rId22" Type="http://schemas.openxmlformats.org/officeDocument/2006/relationships/hyperlink" Target="https://us3.assetplanner.com/service_request?ID=093180" TargetMode="External"/><Relationship Id="rId27" Type="http://schemas.openxmlformats.org/officeDocument/2006/relationships/hyperlink" Target="https://us3.assetplanner.com/service_request?ID=090375" TargetMode="External"/><Relationship Id="rId30" Type="http://schemas.openxmlformats.org/officeDocument/2006/relationships/hyperlink" Target="https://us3.assetplanner.com/service_request?ID=092256" TargetMode="External"/><Relationship Id="rId35" Type="http://schemas.openxmlformats.org/officeDocument/2006/relationships/hyperlink" Target="https://us3.assetplanner.com/service_request?ID=089612" TargetMode="External"/><Relationship Id="rId43" Type="http://schemas.openxmlformats.org/officeDocument/2006/relationships/hyperlink" Target="https://us3.assetplanner.com/service_request?ID=090965" TargetMode="External"/><Relationship Id="rId48" Type="http://schemas.openxmlformats.org/officeDocument/2006/relationships/hyperlink" Target="https://us3.assetplanner.com/service_request?ID=095854" TargetMode="External"/><Relationship Id="rId56" Type="http://schemas.openxmlformats.org/officeDocument/2006/relationships/hyperlink" Target="https://us3.assetplanner.com/service_request?ID=089732" TargetMode="External"/><Relationship Id="rId64" Type="http://schemas.openxmlformats.org/officeDocument/2006/relationships/printerSettings" Target="../printerSettings/printerSettings3.bin"/><Relationship Id="rId8" Type="http://schemas.openxmlformats.org/officeDocument/2006/relationships/hyperlink" Target="https://us3.assetplanner.com/service_request?ID=093861" TargetMode="External"/><Relationship Id="rId51" Type="http://schemas.openxmlformats.org/officeDocument/2006/relationships/hyperlink" Target="https://us3.assetplanner.com/service_request?ID=090381" TargetMode="External"/><Relationship Id="rId3" Type="http://schemas.openxmlformats.org/officeDocument/2006/relationships/hyperlink" Target="https://us3.assetplanner.com/service_request?ID=096145" TargetMode="External"/><Relationship Id="rId12" Type="http://schemas.openxmlformats.org/officeDocument/2006/relationships/hyperlink" Target="https://us3.assetplanner.com/service_request?ID=087994" TargetMode="External"/><Relationship Id="rId17" Type="http://schemas.openxmlformats.org/officeDocument/2006/relationships/hyperlink" Target="https://us3.assetplanner.com/service_request?ID=094440" TargetMode="External"/><Relationship Id="rId25" Type="http://schemas.openxmlformats.org/officeDocument/2006/relationships/hyperlink" Target="https://us3.assetplanner.com/service_request?ID=095083" TargetMode="External"/><Relationship Id="rId33" Type="http://schemas.openxmlformats.org/officeDocument/2006/relationships/hyperlink" Target="https://us3.assetplanner.com/service_request?ID=089470" TargetMode="External"/><Relationship Id="rId38" Type="http://schemas.openxmlformats.org/officeDocument/2006/relationships/hyperlink" Target="https://us3.assetplanner.com/service_request?ID=092166" TargetMode="External"/><Relationship Id="rId46" Type="http://schemas.openxmlformats.org/officeDocument/2006/relationships/hyperlink" Target="https://us3.assetplanner.com/service_request?ID=090734" TargetMode="External"/><Relationship Id="rId59" Type="http://schemas.openxmlformats.org/officeDocument/2006/relationships/hyperlink" Target="https://us3.assetplanner.com/service_request?ID=092170" TargetMode="External"/><Relationship Id="rId20" Type="http://schemas.openxmlformats.org/officeDocument/2006/relationships/hyperlink" Target="https://us3.assetplanner.com/service_request?ID=093065" TargetMode="External"/><Relationship Id="rId41" Type="http://schemas.openxmlformats.org/officeDocument/2006/relationships/hyperlink" Target="https://us3.assetplanner.com/service_request?ID=090370" TargetMode="External"/><Relationship Id="rId54" Type="http://schemas.openxmlformats.org/officeDocument/2006/relationships/hyperlink" Target="https://us3.assetplanner.com/service_request?ID=089477" TargetMode="External"/><Relationship Id="rId62" Type="http://schemas.openxmlformats.org/officeDocument/2006/relationships/hyperlink" Target="https://us3.assetplanner.com/service_request?ID=092455" TargetMode="External"/><Relationship Id="rId1" Type="http://schemas.openxmlformats.org/officeDocument/2006/relationships/hyperlink" Target="https://us3.assetplanner.com/service_request?ID=094211" TargetMode="External"/><Relationship Id="rId6" Type="http://schemas.openxmlformats.org/officeDocument/2006/relationships/hyperlink" Target="https://us3.assetplanner.com/service_request?ID=095654" TargetMode="External"/><Relationship Id="rId15" Type="http://schemas.openxmlformats.org/officeDocument/2006/relationships/hyperlink" Target="https://us3.assetplanner.com/service_request?ID=089669" TargetMode="External"/><Relationship Id="rId23" Type="http://schemas.openxmlformats.org/officeDocument/2006/relationships/hyperlink" Target="https://us3.assetplanner.com/service_request?ID=093174" TargetMode="External"/><Relationship Id="rId28" Type="http://schemas.openxmlformats.org/officeDocument/2006/relationships/hyperlink" Target="https://us3.assetplanner.com/service_request?ID=092276" TargetMode="External"/><Relationship Id="rId36" Type="http://schemas.openxmlformats.org/officeDocument/2006/relationships/hyperlink" Target="https://us3.assetplanner.com/service_request?ID=095339" TargetMode="External"/><Relationship Id="rId49" Type="http://schemas.openxmlformats.org/officeDocument/2006/relationships/hyperlink" Target="https://us3.assetplanner.com/service_request?ID=095449" TargetMode="External"/><Relationship Id="rId57" Type="http://schemas.openxmlformats.org/officeDocument/2006/relationships/hyperlink" Target="https://us3.assetplanner.com/service_request?ID=094323" TargetMode="External"/><Relationship Id="rId10" Type="http://schemas.openxmlformats.org/officeDocument/2006/relationships/hyperlink" Target="https://us3.assetplanner.com/service_request?ID=095623" TargetMode="External"/><Relationship Id="rId31" Type="http://schemas.openxmlformats.org/officeDocument/2006/relationships/hyperlink" Target="https://us3.assetplanner.com/service_request?ID=090090" TargetMode="External"/><Relationship Id="rId44" Type="http://schemas.openxmlformats.org/officeDocument/2006/relationships/hyperlink" Target="https://us3.assetplanner.com/service_request?ID=094547" TargetMode="External"/><Relationship Id="rId52" Type="http://schemas.openxmlformats.org/officeDocument/2006/relationships/hyperlink" Target="https://us3.assetplanner.com/service_request?ID=090380" TargetMode="External"/><Relationship Id="rId60" Type="http://schemas.openxmlformats.org/officeDocument/2006/relationships/hyperlink" Target="https://us3.assetplanner.com/service_request?ID=092456" TargetMode="External"/><Relationship Id="rId4" Type="http://schemas.openxmlformats.org/officeDocument/2006/relationships/hyperlink" Target="https://us3.assetplanner.com/service_request?ID=095177" TargetMode="External"/><Relationship Id="rId9" Type="http://schemas.openxmlformats.org/officeDocument/2006/relationships/hyperlink" Target="https://us3.assetplanner.com/service_request?ID=089189" TargetMode="External"/></Relationships>
</file>

<file path=xl/worksheets/_rels/sheet7.xml.rels><?xml version="1.0" encoding="UTF-8" standalone="yes"?>
<Relationships xmlns="http://schemas.openxmlformats.org/package/2006/relationships"><Relationship Id="rId26" Type="http://schemas.openxmlformats.org/officeDocument/2006/relationships/hyperlink" Target="https://us3.assetplanner.com/service_request?ID=092171" TargetMode="External"/><Relationship Id="rId21" Type="http://schemas.openxmlformats.org/officeDocument/2006/relationships/hyperlink" Target="https://us3.assetplanner.com/service_request?ID=090293" TargetMode="External"/><Relationship Id="rId42" Type="http://schemas.openxmlformats.org/officeDocument/2006/relationships/hyperlink" Target="https://us3.assetplanner.com/service_request?ID=095592" TargetMode="External"/><Relationship Id="rId47" Type="http://schemas.openxmlformats.org/officeDocument/2006/relationships/hyperlink" Target="https://us3.assetplanner.com/service_request?ID=097012" TargetMode="External"/><Relationship Id="rId63" Type="http://schemas.openxmlformats.org/officeDocument/2006/relationships/hyperlink" Target="https://us3.assetplanner.com/service_request?ID=089477" TargetMode="External"/><Relationship Id="rId68" Type="http://schemas.openxmlformats.org/officeDocument/2006/relationships/hyperlink" Target="https://us3.assetplanner.com/service_request?ID=092455" TargetMode="External"/><Relationship Id="rId7" Type="http://schemas.openxmlformats.org/officeDocument/2006/relationships/hyperlink" Target="https://us3.assetplanner.com/service_request?ID=094440" TargetMode="External"/><Relationship Id="rId2" Type="http://schemas.openxmlformats.org/officeDocument/2006/relationships/hyperlink" Target="https://us3.assetplanner.com/service_request?ID=093917" TargetMode="External"/><Relationship Id="rId16" Type="http://schemas.openxmlformats.org/officeDocument/2006/relationships/hyperlink" Target="https://us3.assetplanner.com/service_request?ID=092166" TargetMode="External"/><Relationship Id="rId29" Type="http://schemas.openxmlformats.org/officeDocument/2006/relationships/hyperlink" Target="https://us3.assetplanner.com/service_request?ID=092023" TargetMode="External"/><Relationship Id="rId11" Type="http://schemas.openxmlformats.org/officeDocument/2006/relationships/hyperlink" Target="https://us3.assetplanner.com/service_request?ID=089461" TargetMode="External"/><Relationship Id="rId24" Type="http://schemas.openxmlformats.org/officeDocument/2006/relationships/hyperlink" Target="https://us3.assetplanner.com/service_request?ID=089732" TargetMode="External"/><Relationship Id="rId32" Type="http://schemas.openxmlformats.org/officeDocument/2006/relationships/hyperlink" Target="https://us3.assetplanner.com/service_request?ID=093180" TargetMode="External"/><Relationship Id="rId37" Type="http://schemas.openxmlformats.org/officeDocument/2006/relationships/hyperlink" Target="https://us3.assetplanner.com/service_request?ID=096514" TargetMode="External"/><Relationship Id="rId40" Type="http://schemas.openxmlformats.org/officeDocument/2006/relationships/hyperlink" Target="https://us3.assetplanner.com/service_request?ID=092256" TargetMode="External"/><Relationship Id="rId45" Type="http://schemas.openxmlformats.org/officeDocument/2006/relationships/hyperlink" Target="https://us3.assetplanner.com/service_request?ID=095339" TargetMode="External"/><Relationship Id="rId53" Type="http://schemas.openxmlformats.org/officeDocument/2006/relationships/hyperlink" Target="https://us3.assetplanner.com/service_request?ID=094547" TargetMode="External"/><Relationship Id="rId58" Type="http://schemas.openxmlformats.org/officeDocument/2006/relationships/hyperlink" Target="https://us3.assetplanner.com/service_request?ID=090381" TargetMode="External"/><Relationship Id="rId66" Type="http://schemas.openxmlformats.org/officeDocument/2006/relationships/hyperlink" Target="https://us3.assetplanner.com/service_request?ID=092170" TargetMode="External"/><Relationship Id="rId5" Type="http://schemas.openxmlformats.org/officeDocument/2006/relationships/hyperlink" Target="https://us3.assetplanner.com/service_request?ID=097907" TargetMode="External"/><Relationship Id="rId61" Type="http://schemas.openxmlformats.org/officeDocument/2006/relationships/hyperlink" Target="https://us3.assetplanner.com/service_request?ID=089477" TargetMode="External"/><Relationship Id="rId19" Type="http://schemas.openxmlformats.org/officeDocument/2006/relationships/hyperlink" Target="https://us3.assetplanner.com/service_request?ID=090965" TargetMode="External"/><Relationship Id="rId14" Type="http://schemas.openxmlformats.org/officeDocument/2006/relationships/hyperlink" Target="https://us3.assetplanner.com/service_request?ID=089470" TargetMode="External"/><Relationship Id="rId22" Type="http://schemas.openxmlformats.org/officeDocument/2006/relationships/hyperlink" Target="https://us3.assetplanner.com/service_request?ID=095449" TargetMode="External"/><Relationship Id="rId27" Type="http://schemas.openxmlformats.org/officeDocument/2006/relationships/hyperlink" Target="https://us3.assetplanner.com/service_request?ID=096145" TargetMode="External"/><Relationship Id="rId30" Type="http://schemas.openxmlformats.org/officeDocument/2006/relationships/hyperlink" Target="https://us3.assetplanner.com/service_request?ID=089707" TargetMode="External"/><Relationship Id="rId35" Type="http://schemas.openxmlformats.org/officeDocument/2006/relationships/hyperlink" Target="https://us3.assetplanner.com/service_request?ID=096916" TargetMode="External"/><Relationship Id="rId43" Type="http://schemas.openxmlformats.org/officeDocument/2006/relationships/hyperlink" Target="https://us3.assetplanner.com/service_request?ID=095592" TargetMode="External"/><Relationship Id="rId48" Type="http://schemas.openxmlformats.org/officeDocument/2006/relationships/hyperlink" Target="https://us3.assetplanner.com/service_request?ID=089612" TargetMode="External"/><Relationship Id="rId56" Type="http://schemas.openxmlformats.org/officeDocument/2006/relationships/hyperlink" Target="https://us3.assetplanner.com/service_request?ID=093474" TargetMode="External"/><Relationship Id="rId64" Type="http://schemas.openxmlformats.org/officeDocument/2006/relationships/hyperlink" Target="https://us3.assetplanner.com/service_request?ID=096348" TargetMode="External"/><Relationship Id="rId69" Type="http://schemas.openxmlformats.org/officeDocument/2006/relationships/hyperlink" Target="https://us3.assetplanner.com/service_request?ID=090296" TargetMode="External"/><Relationship Id="rId8" Type="http://schemas.openxmlformats.org/officeDocument/2006/relationships/hyperlink" Target="https://us3.assetplanner.com/service_request?ID=095163" TargetMode="External"/><Relationship Id="rId51" Type="http://schemas.openxmlformats.org/officeDocument/2006/relationships/hyperlink" Target="https://us3.assetplanner.com/service_request?ID=086220" TargetMode="External"/><Relationship Id="rId3" Type="http://schemas.openxmlformats.org/officeDocument/2006/relationships/hyperlink" Target="https://us3.assetplanner.com/service_request?ID=093440" TargetMode="External"/><Relationship Id="rId12" Type="http://schemas.openxmlformats.org/officeDocument/2006/relationships/hyperlink" Target="https://us3.assetplanner.com/service_request?ID=092276" TargetMode="External"/><Relationship Id="rId17" Type="http://schemas.openxmlformats.org/officeDocument/2006/relationships/hyperlink" Target="https://us3.assetplanner.com/service_request?ID=090370" TargetMode="External"/><Relationship Id="rId25" Type="http://schemas.openxmlformats.org/officeDocument/2006/relationships/hyperlink" Target="https://us3.assetplanner.com/service_request?ID=097774" TargetMode="External"/><Relationship Id="rId33" Type="http://schemas.openxmlformats.org/officeDocument/2006/relationships/hyperlink" Target="https://us3.assetplanner.com/service_request?ID=093174" TargetMode="External"/><Relationship Id="rId38" Type="http://schemas.openxmlformats.org/officeDocument/2006/relationships/hyperlink" Target="https://us3.assetplanner.com/service_request?ID=090375" TargetMode="External"/><Relationship Id="rId46" Type="http://schemas.openxmlformats.org/officeDocument/2006/relationships/hyperlink" Target="https://us3.assetplanner.com/service_request?ID=095385" TargetMode="External"/><Relationship Id="rId59" Type="http://schemas.openxmlformats.org/officeDocument/2006/relationships/hyperlink" Target="https://us3.assetplanner.com/service_request?ID=090380" TargetMode="External"/><Relationship Id="rId67" Type="http://schemas.openxmlformats.org/officeDocument/2006/relationships/hyperlink" Target="https://us3.assetplanner.com/service_request?ID=092456" TargetMode="External"/><Relationship Id="rId20" Type="http://schemas.openxmlformats.org/officeDocument/2006/relationships/hyperlink" Target="https://us3.assetplanner.com/service_request?ID=090734" TargetMode="External"/><Relationship Id="rId41" Type="http://schemas.openxmlformats.org/officeDocument/2006/relationships/hyperlink" Target="https://us3.assetplanner.com/service_request?ID=090090" TargetMode="External"/><Relationship Id="rId54" Type="http://schemas.openxmlformats.org/officeDocument/2006/relationships/hyperlink" Target="https://us3.assetplanner.com/service_request?ID=094545" TargetMode="External"/><Relationship Id="rId62" Type="http://schemas.openxmlformats.org/officeDocument/2006/relationships/hyperlink" Target="https://us3.assetplanner.com/service_request?ID=096348" TargetMode="External"/><Relationship Id="rId1" Type="http://schemas.openxmlformats.org/officeDocument/2006/relationships/hyperlink" Target="https://us3.assetplanner.com/service_request?ID=097572" TargetMode="External"/><Relationship Id="rId6" Type="http://schemas.openxmlformats.org/officeDocument/2006/relationships/hyperlink" Target="https://us3.assetplanner.com/service_request?ID=089763" TargetMode="External"/><Relationship Id="rId15" Type="http://schemas.openxmlformats.org/officeDocument/2006/relationships/hyperlink" Target="https://us3.assetplanner.com/service_request?ID=089612" TargetMode="External"/><Relationship Id="rId23" Type="http://schemas.openxmlformats.org/officeDocument/2006/relationships/hyperlink" Target="https://us3.assetplanner.com/service_request?ID=089477" TargetMode="External"/><Relationship Id="rId28" Type="http://schemas.openxmlformats.org/officeDocument/2006/relationships/hyperlink" Target="https://us3.assetplanner.com/service_request?ID=093861" TargetMode="External"/><Relationship Id="rId36" Type="http://schemas.openxmlformats.org/officeDocument/2006/relationships/hyperlink" Target="https://us3.assetplanner.com/service_request?ID=092739" TargetMode="External"/><Relationship Id="rId49" Type="http://schemas.openxmlformats.org/officeDocument/2006/relationships/hyperlink" Target="https://us3.assetplanner.com/service_request?ID=095385" TargetMode="External"/><Relationship Id="rId57" Type="http://schemas.openxmlformats.org/officeDocument/2006/relationships/hyperlink" Target="https://us3.assetplanner.com/service_request?ID=089474" TargetMode="External"/><Relationship Id="rId10" Type="http://schemas.openxmlformats.org/officeDocument/2006/relationships/hyperlink" Target="https://us3.assetplanner.com/service_request?ID=092739" TargetMode="External"/><Relationship Id="rId31" Type="http://schemas.openxmlformats.org/officeDocument/2006/relationships/hyperlink" Target="https://us3.assetplanner.com/service_request?ID=093065" TargetMode="External"/><Relationship Id="rId44" Type="http://schemas.openxmlformats.org/officeDocument/2006/relationships/hyperlink" Target="https://us3.assetplanner.com/service_request?ID=092603" TargetMode="External"/><Relationship Id="rId52" Type="http://schemas.openxmlformats.org/officeDocument/2006/relationships/hyperlink" Target="https://us3.assetplanner.com/service_request?ID=091312" TargetMode="External"/><Relationship Id="rId60" Type="http://schemas.openxmlformats.org/officeDocument/2006/relationships/hyperlink" Target="https://us3.assetplanner.com/service_request?ID=096348" TargetMode="External"/><Relationship Id="rId65" Type="http://schemas.openxmlformats.org/officeDocument/2006/relationships/hyperlink" Target="https://us3.assetplanner.com/service_request?ID=094323" TargetMode="External"/><Relationship Id="rId4" Type="http://schemas.openxmlformats.org/officeDocument/2006/relationships/hyperlink" Target="https://us3.assetplanner.com/service_request?ID=095623" TargetMode="External"/><Relationship Id="rId9" Type="http://schemas.openxmlformats.org/officeDocument/2006/relationships/hyperlink" Target="https://us3.assetplanner.com/service_request?ID=089464" TargetMode="External"/><Relationship Id="rId13" Type="http://schemas.openxmlformats.org/officeDocument/2006/relationships/hyperlink" Target="https://us3.assetplanner.com/service_request?ID=085968" TargetMode="External"/><Relationship Id="rId18" Type="http://schemas.openxmlformats.org/officeDocument/2006/relationships/hyperlink" Target="https://us3.assetplanner.com/service_request?ID=097912" TargetMode="External"/><Relationship Id="rId39" Type="http://schemas.openxmlformats.org/officeDocument/2006/relationships/hyperlink" Target="https://us3.assetplanner.com/service_request?ID=098018" TargetMode="External"/><Relationship Id="rId34" Type="http://schemas.openxmlformats.org/officeDocument/2006/relationships/hyperlink" Target="https://us3.assetplanner.com/service_request?ID=095356" TargetMode="External"/><Relationship Id="rId50" Type="http://schemas.openxmlformats.org/officeDocument/2006/relationships/hyperlink" Target="https://us3.assetplanner.com/service_request?ID=097558" TargetMode="External"/><Relationship Id="rId55" Type="http://schemas.openxmlformats.org/officeDocument/2006/relationships/hyperlink" Target="https://us3.assetplanner.com/service_request?ID=095854" TargetMode="External"/></Relationships>
</file>

<file path=xl/worksheets/_rels/sheet8.xml.rels><?xml version="1.0" encoding="UTF-8" standalone="yes"?>
<Relationships xmlns="http://schemas.openxmlformats.org/package/2006/relationships"><Relationship Id="rId26" Type="http://schemas.openxmlformats.org/officeDocument/2006/relationships/hyperlink" Target="https://us3.assetplanner.com/service_request?ID=098524" TargetMode="External"/><Relationship Id="rId21" Type="http://schemas.openxmlformats.org/officeDocument/2006/relationships/hyperlink" Target="https://us3.assetplanner.com/service_request?ID=093180" TargetMode="External"/><Relationship Id="rId42" Type="http://schemas.openxmlformats.org/officeDocument/2006/relationships/hyperlink" Target="https://us3.assetplanner.com/service_request?ID=097012" TargetMode="External"/><Relationship Id="rId47" Type="http://schemas.openxmlformats.org/officeDocument/2006/relationships/hyperlink" Target="https://us3.assetplanner.com/service_request?ID=086220" TargetMode="External"/><Relationship Id="rId63" Type="http://schemas.openxmlformats.org/officeDocument/2006/relationships/hyperlink" Target="https://us3.assetplanner.com/service_request?ID=095449" TargetMode="External"/><Relationship Id="rId68" Type="http://schemas.openxmlformats.org/officeDocument/2006/relationships/hyperlink" Target="https://us3.assetplanner.com/service_request?ID=089477" TargetMode="External"/><Relationship Id="rId84" Type="http://schemas.openxmlformats.org/officeDocument/2006/relationships/hyperlink" Target="https://us3.assetplanner.com/service_request?ID=098666" TargetMode="External"/><Relationship Id="rId89" Type="http://schemas.openxmlformats.org/officeDocument/2006/relationships/hyperlink" Target="https://us3.assetplanner.com/service_request?ID=098382" TargetMode="External"/><Relationship Id="rId16" Type="http://schemas.openxmlformats.org/officeDocument/2006/relationships/hyperlink" Target="https://us3.assetplanner.com/service_request?ID=095163" TargetMode="External"/><Relationship Id="rId11" Type="http://schemas.openxmlformats.org/officeDocument/2006/relationships/hyperlink" Target="https://us3.assetplanner.com/service_request?ID=097907" TargetMode="External"/><Relationship Id="rId32" Type="http://schemas.openxmlformats.org/officeDocument/2006/relationships/hyperlink" Target="https://us3.assetplanner.com/service_request?ID=092276" TargetMode="External"/><Relationship Id="rId37" Type="http://schemas.openxmlformats.org/officeDocument/2006/relationships/hyperlink" Target="https://us3.assetplanner.com/service_request?ID=089470" TargetMode="External"/><Relationship Id="rId53" Type="http://schemas.openxmlformats.org/officeDocument/2006/relationships/hyperlink" Target="https://us3.assetplanner.com/service_request?ID=098713" TargetMode="External"/><Relationship Id="rId58" Type="http://schemas.openxmlformats.org/officeDocument/2006/relationships/hyperlink" Target="https://us3.assetplanner.com/service_request?ID=095418" TargetMode="External"/><Relationship Id="rId74" Type="http://schemas.openxmlformats.org/officeDocument/2006/relationships/hyperlink" Target="https://us3.assetplanner.com/service_request?ID=097948" TargetMode="External"/><Relationship Id="rId79" Type="http://schemas.openxmlformats.org/officeDocument/2006/relationships/hyperlink" Target="https://us3.assetplanner.com/service_request?ID=098476" TargetMode="External"/><Relationship Id="rId5" Type="http://schemas.openxmlformats.org/officeDocument/2006/relationships/hyperlink" Target="https://us3.assetplanner.com/service_request?ID=096145" TargetMode="External"/><Relationship Id="rId90" Type="http://schemas.openxmlformats.org/officeDocument/2006/relationships/hyperlink" Target="https://us3.assetplanner.com/service_request?ID=098434" TargetMode="External"/><Relationship Id="rId14" Type="http://schemas.openxmlformats.org/officeDocument/2006/relationships/hyperlink" Target="https://us3.assetplanner.com/service_request?ID=092298" TargetMode="External"/><Relationship Id="rId22" Type="http://schemas.openxmlformats.org/officeDocument/2006/relationships/hyperlink" Target="https://us3.assetplanner.com/service_request?ID=093174" TargetMode="External"/><Relationship Id="rId27" Type="http://schemas.openxmlformats.org/officeDocument/2006/relationships/hyperlink" Target="https://us3.assetplanner.com/service_request?ID=098586" TargetMode="External"/><Relationship Id="rId30" Type="http://schemas.openxmlformats.org/officeDocument/2006/relationships/hyperlink" Target="https://us3.assetplanner.com/service_request?ID=090375" TargetMode="External"/><Relationship Id="rId35" Type="http://schemas.openxmlformats.org/officeDocument/2006/relationships/hyperlink" Target="https://us3.assetplanner.com/service_request?ID=090090" TargetMode="External"/><Relationship Id="rId43" Type="http://schemas.openxmlformats.org/officeDocument/2006/relationships/hyperlink" Target="https://us3.assetplanner.com/service_request?ID=089612" TargetMode="External"/><Relationship Id="rId48" Type="http://schemas.openxmlformats.org/officeDocument/2006/relationships/hyperlink" Target="https://us3.assetplanner.com/service_request?ID=091312" TargetMode="External"/><Relationship Id="rId56" Type="http://schemas.openxmlformats.org/officeDocument/2006/relationships/hyperlink" Target="https://us3.assetplanner.com/service_request?ID=094545" TargetMode="External"/><Relationship Id="rId64" Type="http://schemas.openxmlformats.org/officeDocument/2006/relationships/hyperlink" Target="https://us3.assetplanner.com/service_request?ID=093474" TargetMode="External"/><Relationship Id="rId69" Type="http://schemas.openxmlformats.org/officeDocument/2006/relationships/hyperlink" Target="https://us3.assetplanner.com/service_request?ID=096348" TargetMode="External"/><Relationship Id="rId77" Type="http://schemas.openxmlformats.org/officeDocument/2006/relationships/hyperlink" Target="https://us3.assetplanner.com/service_request?ID=092170" TargetMode="External"/><Relationship Id="rId8" Type="http://schemas.openxmlformats.org/officeDocument/2006/relationships/hyperlink" Target="https://us3.assetplanner.com/service_request?ID=093861" TargetMode="External"/><Relationship Id="rId51" Type="http://schemas.openxmlformats.org/officeDocument/2006/relationships/hyperlink" Target="https://us3.assetplanner.com/service_request?ID=090370" TargetMode="External"/><Relationship Id="rId72" Type="http://schemas.openxmlformats.org/officeDocument/2006/relationships/hyperlink" Target="https://us3.assetplanner.com/service_request?ID=089477" TargetMode="External"/><Relationship Id="rId80" Type="http://schemas.openxmlformats.org/officeDocument/2006/relationships/hyperlink" Target="https://us3.assetplanner.com/service_request?ID=096410" TargetMode="External"/><Relationship Id="rId85" Type="http://schemas.openxmlformats.org/officeDocument/2006/relationships/hyperlink" Target="https://us3.assetplanner.com/service_request?ID=098778" TargetMode="External"/><Relationship Id="rId3" Type="http://schemas.openxmlformats.org/officeDocument/2006/relationships/hyperlink" Target="https://us3.assetplanner.com/service_request?ID=096237" TargetMode="External"/><Relationship Id="rId12" Type="http://schemas.openxmlformats.org/officeDocument/2006/relationships/hyperlink" Target="https://us3.assetplanner.com/service_request?ID=098973" TargetMode="External"/><Relationship Id="rId17" Type="http://schemas.openxmlformats.org/officeDocument/2006/relationships/hyperlink" Target="https://us3.assetplanner.com/service_request?ID=092023" TargetMode="External"/><Relationship Id="rId25" Type="http://schemas.openxmlformats.org/officeDocument/2006/relationships/hyperlink" Target="https://us3.assetplanner.com/service_request?ID=097976" TargetMode="External"/><Relationship Id="rId33" Type="http://schemas.openxmlformats.org/officeDocument/2006/relationships/hyperlink" Target="https://us3.assetplanner.com/service_request?ID=085968" TargetMode="External"/><Relationship Id="rId38" Type="http://schemas.openxmlformats.org/officeDocument/2006/relationships/hyperlink" Target="https://us3.assetplanner.com/service_request?ID=092603" TargetMode="External"/><Relationship Id="rId46" Type="http://schemas.openxmlformats.org/officeDocument/2006/relationships/hyperlink" Target="https://us3.assetplanner.com/service_request?ID=097558" TargetMode="External"/><Relationship Id="rId59" Type="http://schemas.openxmlformats.org/officeDocument/2006/relationships/hyperlink" Target="https://us3.assetplanner.com/service_request?ID=090293" TargetMode="External"/><Relationship Id="rId67" Type="http://schemas.openxmlformats.org/officeDocument/2006/relationships/hyperlink" Target="https://us3.assetplanner.com/service_request?ID=098826" TargetMode="External"/><Relationship Id="rId20" Type="http://schemas.openxmlformats.org/officeDocument/2006/relationships/hyperlink" Target="https://us3.assetplanner.com/service_request?ID=089464" TargetMode="External"/><Relationship Id="rId41" Type="http://schemas.openxmlformats.org/officeDocument/2006/relationships/hyperlink" Target="https://us3.assetplanner.com/service_request?ID=095385" TargetMode="External"/><Relationship Id="rId54" Type="http://schemas.openxmlformats.org/officeDocument/2006/relationships/hyperlink" Target="https://us3.assetplanner.com/service_request?ID=097912" TargetMode="External"/><Relationship Id="rId62" Type="http://schemas.openxmlformats.org/officeDocument/2006/relationships/hyperlink" Target="https://us3.assetplanner.com/service_request?ID=098183" TargetMode="External"/><Relationship Id="rId70" Type="http://schemas.openxmlformats.org/officeDocument/2006/relationships/hyperlink" Target="https://us3.assetplanner.com/service_request?ID=089477" TargetMode="External"/><Relationship Id="rId75" Type="http://schemas.openxmlformats.org/officeDocument/2006/relationships/hyperlink" Target="https://us3.assetplanner.com/service_request?ID=095559" TargetMode="External"/><Relationship Id="rId83" Type="http://schemas.openxmlformats.org/officeDocument/2006/relationships/hyperlink" Target="https://us3.assetplanner.com/service_request?ID=090296" TargetMode="External"/><Relationship Id="rId88" Type="http://schemas.openxmlformats.org/officeDocument/2006/relationships/hyperlink" Target="https://us3.assetplanner.com/service_request?ID=098350" TargetMode="External"/><Relationship Id="rId91" Type="http://schemas.openxmlformats.org/officeDocument/2006/relationships/hyperlink" Target="http://us3.assetplanner.com/service_request?FindQS=RepID%3D397%26DateField%3DCREATED%26DateRange%3D0%26FacilityID%3D41931%26FacilityStatus%3DActive%26Find%3D1&amp;ID=99206" TargetMode="External"/><Relationship Id="rId1" Type="http://schemas.openxmlformats.org/officeDocument/2006/relationships/hyperlink" Target="https://us3.assetplanner.com/service_request?ID=096237" TargetMode="External"/><Relationship Id="rId6" Type="http://schemas.openxmlformats.org/officeDocument/2006/relationships/hyperlink" Target="https://us3.assetplanner.com/service_request?ID=095177" TargetMode="External"/><Relationship Id="rId15" Type="http://schemas.openxmlformats.org/officeDocument/2006/relationships/hyperlink" Target="https://us3.assetplanner.com/service_request?ID=094440" TargetMode="External"/><Relationship Id="rId23" Type="http://schemas.openxmlformats.org/officeDocument/2006/relationships/hyperlink" Target="https://us3.assetplanner.com/service_request?ID=095356" TargetMode="External"/><Relationship Id="rId28" Type="http://schemas.openxmlformats.org/officeDocument/2006/relationships/hyperlink" Target="https://us3.assetplanner.com/service_request?ID=092753" TargetMode="External"/><Relationship Id="rId36" Type="http://schemas.openxmlformats.org/officeDocument/2006/relationships/hyperlink" Target="https://us3.assetplanner.com/service_request?ID=095592" TargetMode="External"/><Relationship Id="rId49" Type="http://schemas.openxmlformats.org/officeDocument/2006/relationships/hyperlink" Target="https://us3.assetplanner.com/service_request?ID=098397" TargetMode="External"/><Relationship Id="rId57" Type="http://schemas.openxmlformats.org/officeDocument/2006/relationships/hyperlink" Target="https://us3.assetplanner.com/service_request?ID=090734" TargetMode="External"/><Relationship Id="rId10" Type="http://schemas.openxmlformats.org/officeDocument/2006/relationships/hyperlink" Target="https://us3.assetplanner.com/service_request?ID=098185" TargetMode="External"/><Relationship Id="rId31" Type="http://schemas.openxmlformats.org/officeDocument/2006/relationships/hyperlink" Target="https://us3.assetplanner.com/service_request?ID=098018" TargetMode="External"/><Relationship Id="rId44" Type="http://schemas.openxmlformats.org/officeDocument/2006/relationships/hyperlink" Target="https://us3.assetplanner.com/service_request?ID=095385" TargetMode="External"/><Relationship Id="rId52" Type="http://schemas.openxmlformats.org/officeDocument/2006/relationships/hyperlink" Target="https://us3.assetplanner.com/service_request?ID=097912" TargetMode="External"/><Relationship Id="rId60" Type="http://schemas.openxmlformats.org/officeDocument/2006/relationships/hyperlink" Target="https://us3.assetplanner.com/service_request?ID=095854" TargetMode="External"/><Relationship Id="rId65" Type="http://schemas.openxmlformats.org/officeDocument/2006/relationships/hyperlink" Target="https://us3.assetplanner.com/service_request?ID=090380" TargetMode="External"/><Relationship Id="rId73" Type="http://schemas.openxmlformats.org/officeDocument/2006/relationships/hyperlink" Target="https://us3.assetplanner.com/service_request?ID=096348" TargetMode="External"/><Relationship Id="rId78" Type="http://schemas.openxmlformats.org/officeDocument/2006/relationships/hyperlink" Target="https://us3.assetplanner.com/service_request?ID=092456" TargetMode="External"/><Relationship Id="rId81" Type="http://schemas.openxmlformats.org/officeDocument/2006/relationships/hyperlink" Target="https://us3.assetplanner.com/service_request?ID=092171" TargetMode="External"/><Relationship Id="rId86" Type="http://schemas.openxmlformats.org/officeDocument/2006/relationships/hyperlink" Target="https://us3.assetplanner.com/service_request?ID=098343" TargetMode="External"/><Relationship Id="rId4" Type="http://schemas.openxmlformats.org/officeDocument/2006/relationships/hyperlink" Target="https://us3.assetplanner.com/service_request?ID=095177" TargetMode="External"/><Relationship Id="rId9" Type="http://schemas.openxmlformats.org/officeDocument/2006/relationships/hyperlink" Target="https://us3.assetplanner.com/service_request?ID=095623" TargetMode="External"/><Relationship Id="rId13" Type="http://schemas.openxmlformats.org/officeDocument/2006/relationships/hyperlink" Target="https://us3.assetplanner.com/service_request?ID=089763" TargetMode="External"/><Relationship Id="rId18" Type="http://schemas.openxmlformats.org/officeDocument/2006/relationships/hyperlink" Target="https://us3.assetplanner.com/service_request?ID=089707" TargetMode="External"/><Relationship Id="rId39" Type="http://schemas.openxmlformats.org/officeDocument/2006/relationships/hyperlink" Target="https://us3.assetplanner.com/service_request?ID=089612" TargetMode="External"/><Relationship Id="rId34" Type="http://schemas.openxmlformats.org/officeDocument/2006/relationships/hyperlink" Target="https://us3.assetplanner.com/service_request?ID=092256" TargetMode="External"/><Relationship Id="rId50" Type="http://schemas.openxmlformats.org/officeDocument/2006/relationships/hyperlink" Target="https://us3.assetplanner.com/service_request?ID=098178" TargetMode="External"/><Relationship Id="rId55" Type="http://schemas.openxmlformats.org/officeDocument/2006/relationships/hyperlink" Target="https://us3.assetplanner.com/service_request?ID=098177" TargetMode="External"/><Relationship Id="rId76" Type="http://schemas.openxmlformats.org/officeDocument/2006/relationships/hyperlink" Target="https://us3.assetplanner.com/service_request?ID=097774" TargetMode="External"/><Relationship Id="rId7" Type="http://schemas.openxmlformats.org/officeDocument/2006/relationships/hyperlink" Target="https://us3.assetplanner.com/service_request?ID=093440" TargetMode="External"/><Relationship Id="rId71" Type="http://schemas.openxmlformats.org/officeDocument/2006/relationships/hyperlink" Target="https://us3.assetplanner.com/service_request?ID=096348" TargetMode="External"/><Relationship Id="rId2" Type="http://schemas.openxmlformats.org/officeDocument/2006/relationships/hyperlink" Target="https://us3.assetplanner.com/service_request?ID=096145" TargetMode="External"/><Relationship Id="rId29" Type="http://schemas.openxmlformats.org/officeDocument/2006/relationships/hyperlink" Target="https://us3.assetplanner.com/service_request?ID=089461" TargetMode="External"/><Relationship Id="rId24" Type="http://schemas.openxmlformats.org/officeDocument/2006/relationships/hyperlink" Target="https://us3.assetplanner.com/service_request?ID=096916" TargetMode="External"/><Relationship Id="rId40" Type="http://schemas.openxmlformats.org/officeDocument/2006/relationships/hyperlink" Target="https://us3.assetplanner.com/service_request?ID=095339" TargetMode="External"/><Relationship Id="rId45" Type="http://schemas.openxmlformats.org/officeDocument/2006/relationships/hyperlink" Target="https://us3.assetplanner.com/service_request?ID=092166" TargetMode="External"/><Relationship Id="rId66" Type="http://schemas.openxmlformats.org/officeDocument/2006/relationships/hyperlink" Target="https://us3.assetplanner.com/service_request?ID=089474" TargetMode="External"/><Relationship Id="rId87" Type="http://schemas.openxmlformats.org/officeDocument/2006/relationships/hyperlink" Target="https://us3.assetplanner.com/service_request?ID=097960" TargetMode="External"/><Relationship Id="rId61" Type="http://schemas.openxmlformats.org/officeDocument/2006/relationships/hyperlink" Target="https://us3.assetplanner.com/service_request?ID=099225" TargetMode="External"/><Relationship Id="rId82" Type="http://schemas.openxmlformats.org/officeDocument/2006/relationships/hyperlink" Target="https://us3.assetplanner.com/service_request?ID=092455" TargetMode="External"/><Relationship Id="rId19" Type="http://schemas.openxmlformats.org/officeDocument/2006/relationships/hyperlink" Target="https://us3.assetplanner.com/service_request?ID=093065" TargetMode="External"/></Relationships>
</file>

<file path=xl/worksheets/_rels/sheet9.xml.rels><?xml version="1.0" encoding="UTF-8" standalone="yes"?>
<Relationships xmlns="http://schemas.openxmlformats.org/package/2006/relationships"><Relationship Id="rId26" Type="http://schemas.openxmlformats.org/officeDocument/2006/relationships/hyperlink" Target="https://us3.assetplanner.com/service_request?ID=093065" TargetMode="External"/><Relationship Id="rId21" Type="http://schemas.openxmlformats.org/officeDocument/2006/relationships/hyperlink" Target="https://us3.assetplanner.com/service_request?ID=099206" TargetMode="External"/><Relationship Id="rId42" Type="http://schemas.openxmlformats.org/officeDocument/2006/relationships/hyperlink" Target="https://us3.assetplanner.com/service_request?ID=089470" TargetMode="External"/><Relationship Id="rId47" Type="http://schemas.openxmlformats.org/officeDocument/2006/relationships/hyperlink" Target="https://us3.assetplanner.com/service_request?ID=097012" TargetMode="External"/><Relationship Id="rId63" Type="http://schemas.openxmlformats.org/officeDocument/2006/relationships/hyperlink" Target="https://us3.assetplanner.com/service_request?ID=100064" TargetMode="External"/><Relationship Id="rId68" Type="http://schemas.openxmlformats.org/officeDocument/2006/relationships/hyperlink" Target="https://us3.assetplanner.com/service_request?ID=090293" TargetMode="External"/><Relationship Id="rId84" Type="http://schemas.openxmlformats.org/officeDocument/2006/relationships/hyperlink" Target="https://us3.assetplanner.com/service_request?ID=096348" TargetMode="External"/><Relationship Id="rId89" Type="http://schemas.openxmlformats.org/officeDocument/2006/relationships/hyperlink" Target="https://us3.assetplanner.com/service_request?ID=092456" TargetMode="External"/><Relationship Id="rId16" Type="http://schemas.openxmlformats.org/officeDocument/2006/relationships/hyperlink" Target="https://us3.assetplanner.com/service_request?ID=089763" TargetMode="External"/><Relationship Id="rId11" Type="http://schemas.openxmlformats.org/officeDocument/2006/relationships/hyperlink" Target="https://us3.assetplanner.com/service_request?ID=098973" TargetMode="External"/><Relationship Id="rId32" Type="http://schemas.openxmlformats.org/officeDocument/2006/relationships/hyperlink" Target="https://us3.assetplanner.com/service_request?ID=100537" TargetMode="External"/><Relationship Id="rId37" Type="http://schemas.openxmlformats.org/officeDocument/2006/relationships/hyperlink" Target="https://us3.assetplanner.com/service_request?ID=092276" TargetMode="External"/><Relationship Id="rId53" Type="http://schemas.openxmlformats.org/officeDocument/2006/relationships/hyperlink" Target="https://us3.assetplanner.com/service_request?ID=098717" TargetMode="External"/><Relationship Id="rId58" Type="http://schemas.openxmlformats.org/officeDocument/2006/relationships/hyperlink" Target="https://us3.assetplanner.com/service_request?ID=098178" TargetMode="External"/><Relationship Id="rId74" Type="http://schemas.openxmlformats.org/officeDocument/2006/relationships/hyperlink" Target="https://us3.assetplanner.com/service_request?ID=090380" TargetMode="External"/><Relationship Id="rId79" Type="http://schemas.openxmlformats.org/officeDocument/2006/relationships/hyperlink" Target="https://us3.assetplanner.com/service_request?ID=089477" TargetMode="External"/><Relationship Id="rId5" Type="http://schemas.openxmlformats.org/officeDocument/2006/relationships/hyperlink" Target="https://us3.assetplanner.com/service_request?ID=100632" TargetMode="External"/><Relationship Id="rId90" Type="http://schemas.openxmlformats.org/officeDocument/2006/relationships/hyperlink" Target="https://us3.assetplanner.com/service_request?ID=101007" TargetMode="External"/><Relationship Id="rId95" Type="http://schemas.openxmlformats.org/officeDocument/2006/relationships/hyperlink" Target="https://us3.assetplanner.com/service_request?ID=099493" TargetMode="External"/><Relationship Id="rId22" Type="http://schemas.openxmlformats.org/officeDocument/2006/relationships/hyperlink" Target="https://us3.assetplanner.com/service_request?ID=094440" TargetMode="External"/><Relationship Id="rId27" Type="http://schemas.openxmlformats.org/officeDocument/2006/relationships/hyperlink" Target="https://us3.assetplanner.com/service_request?ID=089464" TargetMode="External"/><Relationship Id="rId43" Type="http://schemas.openxmlformats.org/officeDocument/2006/relationships/hyperlink" Target="https://us3.assetplanner.com/service_request?ID=092603" TargetMode="External"/><Relationship Id="rId48" Type="http://schemas.openxmlformats.org/officeDocument/2006/relationships/hyperlink" Target="https://us3.assetplanner.com/service_request?ID=089612" TargetMode="External"/><Relationship Id="rId64" Type="http://schemas.openxmlformats.org/officeDocument/2006/relationships/hyperlink" Target="https://us3.assetplanner.com/service_request?ID=100858" TargetMode="External"/><Relationship Id="rId69" Type="http://schemas.openxmlformats.org/officeDocument/2006/relationships/hyperlink" Target="https://us3.assetplanner.com/service_request?ID=095854" TargetMode="External"/><Relationship Id="rId80" Type="http://schemas.openxmlformats.org/officeDocument/2006/relationships/hyperlink" Target="https://us3.assetplanner.com/service_request?ID=096348" TargetMode="External"/><Relationship Id="rId85" Type="http://schemas.openxmlformats.org/officeDocument/2006/relationships/hyperlink" Target="https://us3.assetplanner.com/service_request?ID=095559" TargetMode="External"/><Relationship Id="rId3" Type="http://schemas.openxmlformats.org/officeDocument/2006/relationships/hyperlink" Target="https://us3.assetplanner.com/service_request?ID=096237" TargetMode="External"/><Relationship Id="rId12" Type="http://schemas.openxmlformats.org/officeDocument/2006/relationships/hyperlink" Target="https://us3.assetplanner.com/service_request?ID=099380" TargetMode="External"/><Relationship Id="rId17" Type="http://schemas.openxmlformats.org/officeDocument/2006/relationships/hyperlink" Target="https://us3.assetplanner.com/service_request?ID=099725" TargetMode="External"/><Relationship Id="rId25" Type="http://schemas.openxmlformats.org/officeDocument/2006/relationships/hyperlink" Target="https://us3.assetplanner.com/service_request?ID=089707" TargetMode="External"/><Relationship Id="rId33" Type="http://schemas.openxmlformats.org/officeDocument/2006/relationships/hyperlink" Target="https://us3.assetplanner.com/service_request?ID=092753" TargetMode="External"/><Relationship Id="rId38" Type="http://schemas.openxmlformats.org/officeDocument/2006/relationships/hyperlink" Target="https://us3.assetplanner.com/service_request?ID=085968" TargetMode="External"/><Relationship Id="rId46" Type="http://schemas.openxmlformats.org/officeDocument/2006/relationships/hyperlink" Target="https://us3.assetplanner.com/service_request?ID=095385" TargetMode="External"/><Relationship Id="rId59" Type="http://schemas.openxmlformats.org/officeDocument/2006/relationships/hyperlink" Target="https://us3.assetplanner.com/service_request?ID=090370" TargetMode="External"/><Relationship Id="rId67" Type="http://schemas.openxmlformats.org/officeDocument/2006/relationships/hyperlink" Target="https://us3.assetplanner.com/service_request?ID=090734" TargetMode="External"/><Relationship Id="rId20" Type="http://schemas.openxmlformats.org/officeDocument/2006/relationships/hyperlink" Target="https://us3.assetplanner.com/service_request?ID=099912" TargetMode="External"/><Relationship Id="rId41" Type="http://schemas.openxmlformats.org/officeDocument/2006/relationships/hyperlink" Target="https://us3.assetplanner.com/service_request?ID=095592" TargetMode="External"/><Relationship Id="rId54" Type="http://schemas.openxmlformats.org/officeDocument/2006/relationships/hyperlink" Target="https://us3.assetplanner.com/service_request?ID=086220" TargetMode="External"/><Relationship Id="rId62" Type="http://schemas.openxmlformats.org/officeDocument/2006/relationships/hyperlink" Target="https://us3.assetplanner.com/service_request?ID=098177" TargetMode="External"/><Relationship Id="rId70" Type="http://schemas.openxmlformats.org/officeDocument/2006/relationships/hyperlink" Target="https://us3.assetplanner.com/service_request?ID=099225" TargetMode="External"/><Relationship Id="rId75" Type="http://schemas.openxmlformats.org/officeDocument/2006/relationships/hyperlink" Target="https://us3.assetplanner.com/service_request?ID=089474" TargetMode="External"/><Relationship Id="rId83" Type="http://schemas.openxmlformats.org/officeDocument/2006/relationships/hyperlink" Target="https://us3.assetplanner.com/service_request?ID=089477" TargetMode="External"/><Relationship Id="rId88" Type="http://schemas.openxmlformats.org/officeDocument/2006/relationships/hyperlink" Target="https://us3.assetplanner.com/service_request?ID=092170" TargetMode="External"/><Relationship Id="rId91" Type="http://schemas.openxmlformats.org/officeDocument/2006/relationships/hyperlink" Target="https://us3.assetplanner.com/service_request?ID=092171" TargetMode="External"/><Relationship Id="rId96" Type="http://schemas.openxmlformats.org/officeDocument/2006/relationships/hyperlink" Target="https://us3.assetplanner.com/service_request?ID=098343" TargetMode="External"/><Relationship Id="rId1" Type="http://schemas.openxmlformats.org/officeDocument/2006/relationships/hyperlink" Target="https://us3.assetplanner.com/service_request?ID=098590" TargetMode="External"/><Relationship Id="rId6" Type="http://schemas.openxmlformats.org/officeDocument/2006/relationships/hyperlink" Target="https://us3.assetplanner.com/service_request?ID=093861" TargetMode="External"/><Relationship Id="rId15" Type="http://schemas.openxmlformats.org/officeDocument/2006/relationships/hyperlink" Target="https://us3.assetplanner.com/service_request?ID=092112" TargetMode="External"/><Relationship Id="rId23" Type="http://schemas.openxmlformats.org/officeDocument/2006/relationships/hyperlink" Target="https://us3.assetplanner.com/service_request?ID=095163" TargetMode="External"/><Relationship Id="rId28" Type="http://schemas.openxmlformats.org/officeDocument/2006/relationships/hyperlink" Target="https://us3.assetplanner.com/service_request?ID=093180" TargetMode="External"/><Relationship Id="rId36" Type="http://schemas.openxmlformats.org/officeDocument/2006/relationships/hyperlink" Target="https://us3.assetplanner.com/service_request?ID=098018" TargetMode="External"/><Relationship Id="rId49" Type="http://schemas.openxmlformats.org/officeDocument/2006/relationships/hyperlink" Target="https://us3.assetplanner.com/service_request?ID=095385" TargetMode="External"/><Relationship Id="rId57" Type="http://schemas.openxmlformats.org/officeDocument/2006/relationships/hyperlink" Target="https://us3.assetplanner.com/service_request?ID=098397" TargetMode="External"/><Relationship Id="rId10" Type="http://schemas.openxmlformats.org/officeDocument/2006/relationships/hyperlink" Target="https://us3.assetplanner.com/service_request?ID=099451" TargetMode="External"/><Relationship Id="rId31" Type="http://schemas.openxmlformats.org/officeDocument/2006/relationships/hyperlink" Target="https://us3.assetplanner.com/service_request?ID=096916" TargetMode="External"/><Relationship Id="rId44" Type="http://schemas.openxmlformats.org/officeDocument/2006/relationships/hyperlink" Target="https://us3.assetplanner.com/service_request?ID=089612" TargetMode="External"/><Relationship Id="rId52" Type="http://schemas.openxmlformats.org/officeDocument/2006/relationships/hyperlink" Target="https://us3.assetplanner.com/service_request?ID=097558" TargetMode="External"/><Relationship Id="rId60" Type="http://schemas.openxmlformats.org/officeDocument/2006/relationships/hyperlink" Target="https://us3.assetplanner.com/service_request?ID=099747" TargetMode="External"/><Relationship Id="rId65" Type="http://schemas.openxmlformats.org/officeDocument/2006/relationships/hyperlink" Target="https://us3.assetplanner.com/service_request?ID=094545" TargetMode="External"/><Relationship Id="rId73" Type="http://schemas.openxmlformats.org/officeDocument/2006/relationships/hyperlink" Target="https://us3.assetplanner.com/service_request?ID=093474" TargetMode="External"/><Relationship Id="rId78" Type="http://schemas.openxmlformats.org/officeDocument/2006/relationships/hyperlink" Target="https://us3.assetplanner.com/service_request?ID=099327" TargetMode="External"/><Relationship Id="rId81" Type="http://schemas.openxmlformats.org/officeDocument/2006/relationships/hyperlink" Target="https://us3.assetplanner.com/service_request?ID=089477" TargetMode="External"/><Relationship Id="rId86" Type="http://schemas.openxmlformats.org/officeDocument/2006/relationships/hyperlink" Target="https://us3.assetplanner.com/service_request?ID=099641" TargetMode="External"/><Relationship Id="rId94" Type="http://schemas.openxmlformats.org/officeDocument/2006/relationships/hyperlink" Target="https://us3.assetplanner.com/service_request?ID=098778" TargetMode="External"/><Relationship Id="rId4" Type="http://schemas.openxmlformats.org/officeDocument/2006/relationships/hyperlink" Target="https://us3.assetplanner.com/service_request?ID=095177" TargetMode="External"/><Relationship Id="rId9" Type="http://schemas.openxmlformats.org/officeDocument/2006/relationships/hyperlink" Target="https://us3.assetplanner.com/service_request?ID=098185" TargetMode="External"/><Relationship Id="rId13" Type="http://schemas.openxmlformats.org/officeDocument/2006/relationships/hyperlink" Target="https://us3.assetplanner.com/service_request?ID=100011" TargetMode="External"/><Relationship Id="rId18" Type="http://schemas.openxmlformats.org/officeDocument/2006/relationships/hyperlink" Target="https://us3.assetplanner.com/service_request?ID=100459" TargetMode="External"/><Relationship Id="rId39" Type="http://schemas.openxmlformats.org/officeDocument/2006/relationships/hyperlink" Target="https://us3.assetplanner.com/service_request?ID=092256" TargetMode="External"/><Relationship Id="rId34" Type="http://schemas.openxmlformats.org/officeDocument/2006/relationships/hyperlink" Target="https://us3.assetplanner.com/service_request?ID=090375" TargetMode="External"/><Relationship Id="rId50" Type="http://schemas.openxmlformats.org/officeDocument/2006/relationships/hyperlink" Target="https://us3.assetplanner.com/service_request?ID=099766" TargetMode="External"/><Relationship Id="rId55" Type="http://schemas.openxmlformats.org/officeDocument/2006/relationships/hyperlink" Target="https://us3.assetplanner.com/service_request?ID=098717" TargetMode="External"/><Relationship Id="rId76" Type="http://schemas.openxmlformats.org/officeDocument/2006/relationships/hyperlink" Target="https://us3.assetplanner.com/service_request?ID=098183" TargetMode="External"/><Relationship Id="rId97" Type="http://schemas.openxmlformats.org/officeDocument/2006/relationships/hyperlink" Target="https://us3.assetplanner.com/service_request?ID=097960" TargetMode="External"/><Relationship Id="rId7" Type="http://schemas.openxmlformats.org/officeDocument/2006/relationships/hyperlink" Target="https://us3.assetplanner.com/service_request?ID=100060" TargetMode="External"/><Relationship Id="rId71" Type="http://schemas.openxmlformats.org/officeDocument/2006/relationships/hyperlink" Target="https://us3.assetplanner.com/service_request?ID=098183" TargetMode="External"/><Relationship Id="rId92" Type="http://schemas.openxmlformats.org/officeDocument/2006/relationships/hyperlink" Target="https://us3.assetplanner.com/service_request?ID=092455" TargetMode="External"/><Relationship Id="rId2" Type="http://schemas.openxmlformats.org/officeDocument/2006/relationships/hyperlink" Target="https://us3.assetplanner.com/service_request?ID=096145" TargetMode="External"/><Relationship Id="rId29" Type="http://schemas.openxmlformats.org/officeDocument/2006/relationships/hyperlink" Target="https://us3.assetplanner.com/service_request?ID=093174" TargetMode="External"/><Relationship Id="rId24" Type="http://schemas.openxmlformats.org/officeDocument/2006/relationships/hyperlink" Target="https://us3.assetplanner.com/service_request?ID=092023" TargetMode="External"/><Relationship Id="rId40" Type="http://schemas.openxmlformats.org/officeDocument/2006/relationships/hyperlink" Target="https://us3.assetplanner.com/service_request?ID=090090" TargetMode="External"/><Relationship Id="rId45" Type="http://schemas.openxmlformats.org/officeDocument/2006/relationships/hyperlink" Target="https://us3.assetplanner.com/service_request?ID=095339" TargetMode="External"/><Relationship Id="rId66" Type="http://schemas.openxmlformats.org/officeDocument/2006/relationships/hyperlink" Target="https://us3.assetplanner.com/service_request?ID=100842" TargetMode="External"/><Relationship Id="rId87" Type="http://schemas.openxmlformats.org/officeDocument/2006/relationships/hyperlink" Target="https://us3.assetplanner.com/service_request?ID=099641" TargetMode="External"/><Relationship Id="rId61" Type="http://schemas.openxmlformats.org/officeDocument/2006/relationships/hyperlink" Target="https://us3.assetplanner.com/service_request?ID=099540" TargetMode="External"/><Relationship Id="rId82" Type="http://schemas.openxmlformats.org/officeDocument/2006/relationships/hyperlink" Target="https://us3.assetplanner.com/service_request?ID=096348" TargetMode="External"/><Relationship Id="rId19" Type="http://schemas.openxmlformats.org/officeDocument/2006/relationships/hyperlink" Target="https://us3.assetplanner.com/service_request?ID=092298" TargetMode="External"/><Relationship Id="rId14" Type="http://schemas.openxmlformats.org/officeDocument/2006/relationships/hyperlink" Target="https://us3.assetplanner.com/service_request?ID=100743" TargetMode="External"/><Relationship Id="rId30" Type="http://schemas.openxmlformats.org/officeDocument/2006/relationships/hyperlink" Target="https://us3.assetplanner.com/service_request?ID=095356" TargetMode="External"/><Relationship Id="rId35" Type="http://schemas.openxmlformats.org/officeDocument/2006/relationships/hyperlink" Target="https://us3.assetplanner.com/service_request?ID=089461" TargetMode="External"/><Relationship Id="rId56" Type="http://schemas.openxmlformats.org/officeDocument/2006/relationships/hyperlink" Target="https://us3.assetplanner.com/service_request?ID=091312" TargetMode="External"/><Relationship Id="rId77" Type="http://schemas.openxmlformats.org/officeDocument/2006/relationships/hyperlink" Target="https://us3.assetplanner.com/service_request?ID=098826" TargetMode="External"/><Relationship Id="rId8" Type="http://schemas.openxmlformats.org/officeDocument/2006/relationships/hyperlink" Target="https://us3.assetplanner.com/service_request?ID=095623" TargetMode="External"/><Relationship Id="rId51" Type="http://schemas.openxmlformats.org/officeDocument/2006/relationships/hyperlink" Target="https://us3.assetplanner.com/service_request?ID=092166" TargetMode="External"/><Relationship Id="rId72" Type="http://schemas.openxmlformats.org/officeDocument/2006/relationships/hyperlink" Target="https://us3.assetplanner.com/service_request?ID=095449" TargetMode="External"/><Relationship Id="rId93" Type="http://schemas.openxmlformats.org/officeDocument/2006/relationships/hyperlink" Target="https://us3.assetplanner.com/service_request?ID=099609" TargetMode="External"/></Relationships>
</file>

<file path=xl/worksheets/_rels/sheet10.xml.rels><?xml version="1.0" encoding="UTF-8" standalone="yes"?>
<Relationships xmlns="http://schemas.openxmlformats.org/package/2006/relationships"><Relationship Id="rId26" Type="http://schemas.openxmlformats.org/officeDocument/2006/relationships/hyperlink" Target="https://us3.assetplanner.com/service_request?ID=093065" TargetMode="External"/><Relationship Id="rId21" Type="http://schemas.openxmlformats.org/officeDocument/2006/relationships/hyperlink" Target="https://us3.assetplanner.com/service_request?ID=102150" TargetMode="External"/><Relationship Id="rId42" Type="http://schemas.openxmlformats.org/officeDocument/2006/relationships/hyperlink" Target="https://us3.assetplanner.com/service_request?ID=090090" TargetMode="External"/><Relationship Id="rId47" Type="http://schemas.openxmlformats.org/officeDocument/2006/relationships/hyperlink" Target="https://us3.assetplanner.com/service_request?ID=089612" TargetMode="External"/><Relationship Id="rId63" Type="http://schemas.openxmlformats.org/officeDocument/2006/relationships/hyperlink" Target="https://us3.assetplanner.com/service_request?ID=100842" TargetMode="External"/><Relationship Id="rId68" Type="http://schemas.openxmlformats.org/officeDocument/2006/relationships/hyperlink" Target="https://us3.assetplanner.com/service_request?ID=093474" TargetMode="External"/><Relationship Id="rId84" Type="http://schemas.openxmlformats.org/officeDocument/2006/relationships/hyperlink" Target="https://us3.assetplanner.com/service_request?ID=102153" TargetMode="External"/><Relationship Id="rId89" Type="http://schemas.openxmlformats.org/officeDocument/2006/relationships/hyperlink" Target="https://us3.assetplanner.com/service_request?ID=099641" TargetMode="External"/><Relationship Id="rId16" Type="http://schemas.openxmlformats.org/officeDocument/2006/relationships/hyperlink" Target="https://us3.assetplanner.com/service_request?ID=101440" TargetMode="External"/><Relationship Id="rId11" Type="http://schemas.openxmlformats.org/officeDocument/2006/relationships/hyperlink" Target="https://us3.assetplanner.com/service_request?ID=093440" TargetMode="External"/><Relationship Id="rId32" Type="http://schemas.openxmlformats.org/officeDocument/2006/relationships/hyperlink" Target="https://us3.assetplanner.com/service_request?ID=100537" TargetMode="External"/><Relationship Id="rId37" Type="http://schemas.openxmlformats.org/officeDocument/2006/relationships/hyperlink" Target="https://us3.assetplanner.com/service_request?ID=101562" TargetMode="External"/><Relationship Id="rId53" Type="http://schemas.openxmlformats.org/officeDocument/2006/relationships/hyperlink" Target="https://us3.assetplanner.com/service_request?ID=098717" TargetMode="External"/><Relationship Id="rId58" Type="http://schemas.openxmlformats.org/officeDocument/2006/relationships/hyperlink" Target="https://us3.assetplanner.com/service_request?ID=098397" TargetMode="External"/><Relationship Id="rId74" Type="http://schemas.openxmlformats.org/officeDocument/2006/relationships/hyperlink" Target="https://us3.assetplanner.com/service_request?ID=099338" TargetMode="External"/><Relationship Id="rId79" Type="http://schemas.openxmlformats.org/officeDocument/2006/relationships/hyperlink" Target="https://us3.assetplanner.com/service_request?ID=101285" TargetMode="External"/><Relationship Id="rId5" Type="http://schemas.openxmlformats.org/officeDocument/2006/relationships/hyperlink" Target="https://us3.assetplanner.com/service_request?ID=095177" TargetMode="External"/><Relationship Id="rId90" Type="http://schemas.openxmlformats.org/officeDocument/2006/relationships/hyperlink" Target="https://us3.assetplanner.com/service_request?ID=099641" TargetMode="External"/><Relationship Id="rId95" Type="http://schemas.openxmlformats.org/officeDocument/2006/relationships/hyperlink" Target="https://us3.assetplanner.com/service_request?ID=098778" TargetMode="External"/><Relationship Id="rId22" Type="http://schemas.openxmlformats.org/officeDocument/2006/relationships/hyperlink" Target="https://us3.assetplanner.com/service_request?ID=099912" TargetMode="External"/><Relationship Id="rId27" Type="http://schemas.openxmlformats.org/officeDocument/2006/relationships/hyperlink" Target="https://us3.assetplanner.com/service_request?ID=089464" TargetMode="External"/><Relationship Id="rId43" Type="http://schemas.openxmlformats.org/officeDocument/2006/relationships/hyperlink" Target="https://us3.assetplanner.com/service_request?ID=095592" TargetMode="External"/><Relationship Id="rId48" Type="http://schemas.openxmlformats.org/officeDocument/2006/relationships/hyperlink" Target="https://us3.assetplanner.com/service_request?ID=095385" TargetMode="External"/><Relationship Id="rId64" Type="http://schemas.openxmlformats.org/officeDocument/2006/relationships/hyperlink" Target="https://us3.assetplanner.com/service_request?ID=080516" TargetMode="External"/><Relationship Id="rId69" Type="http://schemas.openxmlformats.org/officeDocument/2006/relationships/hyperlink" Target="https://us3.assetplanner.com/service_request?ID=090380" TargetMode="External"/><Relationship Id="rId80" Type="http://schemas.openxmlformats.org/officeDocument/2006/relationships/hyperlink" Target="https://us3.assetplanner.com/service_request?ID=089477" TargetMode="External"/><Relationship Id="rId85" Type="http://schemas.openxmlformats.org/officeDocument/2006/relationships/hyperlink" Target="https://us3.assetplanner.com/service_request?ID=101285" TargetMode="External"/><Relationship Id="rId3" Type="http://schemas.openxmlformats.org/officeDocument/2006/relationships/hyperlink" Target="https://us3.assetplanner.com/service_request?ID=096145" TargetMode="External"/><Relationship Id="rId12" Type="http://schemas.openxmlformats.org/officeDocument/2006/relationships/hyperlink" Target="https://us3.assetplanner.com/service_request?ID=102013" TargetMode="External"/><Relationship Id="rId17" Type="http://schemas.openxmlformats.org/officeDocument/2006/relationships/hyperlink" Target="https://us3.assetplanner.com/service_request?ID=101862" TargetMode="External"/><Relationship Id="rId25" Type="http://schemas.openxmlformats.org/officeDocument/2006/relationships/hyperlink" Target="https://us3.assetplanner.com/service_request?ID=095163" TargetMode="External"/><Relationship Id="rId33" Type="http://schemas.openxmlformats.org/officeDocument/2006/relationships/hyperlink" Target="https://us3.assetplanner.com/service_request?ID=092753" TargetMode="External"/><Relationship Id="rId38" Type="http://schemas.openxmlformats.org/officeDocument/2006/relationships/hyperlink" Target="https://us3.assetplanner.com/service_request?ID=101561" TargetMode="External"/><Relationship Id="rId46" Type="http://schemas.openxmlformats.org/officeDocument/2006/relationships/hyperlink" Target="https://us3.assetplanner.com/service_request?ID=092603" TargetMode="External"/><Relationship Id="rId59" Type="http://schemas.openxmlformats.org/officeDocument/2006/relationships/hyperlink" Target="https://us3.assetplanner.com/service_request?ID=101829" TargetMode="External"/><Relationship Id="rId67" Type="http://schemas.openxmlformats.org/officeDocument/2006/relationships/hyperlink" Target="https://us3.assetplanner.com/service_request?ID=095449" TargetMode="External"/><Relationship Id="rId20" Type="http://schemas.openxmlformats.org/officeDocument/2006/relationships/hyperlink" Target="https://us3.assetplanner.com/service_request?ID=101131" TargetMode="External"/><Relationship Id="rId41" Type="http://schemas.openxmlformats.org/officeDocument/2006/relationships/hyperlink" Target="https://us3.assetplanner.com/service_request?ID=092256" TargetMode="External"/><Relationship Id="rId54" Type="http://schemas.openxmlformats.org/officeDocument/2006/relationships/hyperlink" Target="https://us3.assetplanner.com/service_request?ID=086220" TargetMode="External"/><Relationship Id="rId62" Type="http://schemas.openxmlformats.org/officeDocument/2006/relationships/hyperlink" Target="https://us3.assetplanner.com/service_request?ID=094545" TargetMode="External"/><Relationship Id="rId70" Type="http://schemas.openxmlformats.org/officeDocument/2006/relationships/hyperlink" Target="https://us3.assetplanner.com/service_request?ID=089474" TargetMode="External"/><Relationship Id="rId75" Type="http://schemas.openxmlformats.org/officeDocument/2006/relationships/hyperlink" Target="https://us3.assetplanner.com/service_request?ID=099327" TargetMode="External"/><Relationship Id="rId83" Type="http://schemas.openxmlformats.org/officeDocument/2006/relationships/hyperlink" Target="https://us3.assetplanner.com/service_request?ID=096348" TargetMode="External"/><Relationship Id="rId88" Type="http://schemas.openxmlformats.org/officeDocument/2006/relationships/hyperlink" Target="https://us3.assetplanner.com/service_request?ID=095559" TargetMode="External"/><Relationship Id="rId91" Type="http://schemas.openxmlformats.org/officeDocument/2006/relationships/hyperlink" Target="https://us3.assetplanner.com/service_request?ID=101606" TargetMode="External"/><Relationship Id="rId96" Type="http://schemas.openxmlformats.org/officeDocument/2006/relationships/hyperlink" Target="https://us3.assetplanner.com/service_request?ID=101624" TargetMode="External"/><Relationship Id="rId1" Type="http://schemas.openxmlformats.org/officeDocument/2006/relationships/hyperlink" Target="https://us3.assetplanner.com/service_request?ID=098590" TargetMode="External"/><Relationship Id="rId6" Type="http://schemas.openxmlformats.org/officeDocument/2006/relationships/hyperlink" Target="https://us3.assetplanner.com/service_request?ID=100632" TargetMode="External"/><Relationship Id="rId15" Type="http://schemas.openxmlformats.org/officeDocument/2006/relationships/hyperlink" Target="https://us3.assetplanner.com/service_request?ID=100011" TargetMode="External"/><Relationship Id="rId23" Type="http://schemas.openxmlformats.org/officeDocument/2006/relationships/hyperlink" Target="https://us3.assetplanner.com/service_request?ID=099206" TargetMode="External"/><Relationship Id="rId28" Type="http://schemas.openxmlformats.org/officeDocument/2006/relationships/hyperlink" Target="https://us3.assetplanner.com/service_request?ID=093180" TargetMode="External"/><Relationship Id="rId36" Type="http://schemas.openxmlformats.org/officeDocument/2006/relationships/hyperlink" Target="https://us3.assetplanner.com/service_request?ID=098018" TargetMode="External"/><Relationship Id="rId49" Type="http://schemas.openxmlformats.org/officeDocument/2006/relationships/hyperlink" Target="https://us3.assetplanner.com/service_request?ID=102060" TargetMode="External"/><Relationship Id="rId57" Type="http://schemas.openxmlformats.org/officeDocument/2006/relationships/hyperlink" Target="https://us3.assetplanner.com/service_request?ID=098397" TargetMode="External"/><Relationship Id="rId10" Type="http://schemas.openxmlformats.org/officeDocument/2006/relationships/hyperlink" Target="https://us3.assetplanner.com/service_request?ID=100060" TargetMode="External"/><Relationship Id="rId31" Type="http://schemas.openxmlformats.org/officeDocument/2006/relationships/hyperlink" Target="https://us3.assetplanner.com/service_request?ID=096916" TargetMode="External"/><Relationship Id="rId44" Type="http://schemas.openxmlformats.org/officeDocument/2006/relationships/hyperlink" Target="https://us3.assetplanner.com/service_request?ID=095592" TargetMode="External"/><Relationship Id="rId52" Type="http://schemas.openxmlformats.org/officeDocument/2006/relationships/hyperlink" Target="https://us3.assetplanner.com/service_request?ID=097558" TargetMode="External"/><Relationship Id="rId60" Type="http://schemas.openxmlformats.org/officeDocument/2006/relationships/hyperlink" Target="https://us3.assetplanner.com/service_request?ID=101132" TargetMode="External"/><Relationship Id="rId65" Type="http://schemas.openxmlformats.org/officeDocument/2006/relationships/hyperlink" Target="https://us3.assetplanner.com/service_request?ID=100976" TargetMode="External"/><Relationship Id="rId73" Type="http://schemas.openxmlformats.org/officeDocument/2006/relationships/hyperlink" Target="https://us3.assetplanner.com/service_request?ID=098826" TargetMode="External"/><Relationship Id="rId78" Type="http://schemas.openxmlformats.org/officeDocument/2006/relationships/hyperlink" Target="https://us3.assetplanner.com/service_request?ID=096348" TargetMode="External"/><Relationship Id="rId81" Type="http://schemas.openxmlformats.org/officeDocument/2006/relationships/hyperlink" Target="https://us3.assetplanner.com/service_request?ID=096348" TargetMode="External"/><Relationship Id="rId86" Type="http://schemas.openxmlformats.org/officeDocument/2006/relationships/hyperlink" Target="https://us3.assetplanner.com/service_request?ID=102153" TargetMode="External"/><Relationship Id="rId94" Type="http://schemas.openxmlformats.org/officeDocument/2006/relationships/hyperlink" Target="https://us3.assetplanner.com/service_request?ID=101475" TargetMode="External"/><Relationship Id="rId4" Type="http://schemas.openxmlformats.org/officeDocument/2006/relationships/hyperlink" Target="https://us3.assetplanner.com/service_request?ID=096237" TargetMode="External"/><Relationship Id="rId9" Type="http://schemas.openxmlformats.org/officeDocument/2006/relationships/hyperlink" Target="https://us3.assetplanner.com/service_request?ID=101331" TargetMode="External"/><Relationship Id="rId13" Type="http://schemas.openxmlformats.org/officeDocument/2006/relationships/hyperlink" Target="https://us3.assetplanner.com/service_request?ID=095623" TargetMode="External"/><Relationship Id="rId18" Type="http://schemas.openxmlformats.org/officeDocument/2006/relationships/hyperlink" Target="https://us3.assetplanner.com/service_request?ID=100743" TargetMode="External"/><Relationship Id="rId39" Type="http://schemas.openxmlformats.org/officeDocument/2006/relationships/hyperlink" Target="https://us3.assetplanner.com/service_request?ID=092276" TargetMode="External"/><Relationship Id="rId34" Type="http://schemas.openxmlformats.org/officeDocument/2006/relationships/hyperlink" Target="https://us3.assetplanner.com/service_request?ID=090375" TargetMode="External"/><Relationship Id="rId50" Type="http://schemas.openxmlformats.org/officeDocument/2006/relationships/hyperlink" Target="https://us3.assetplanner.com/service_request?ID=099766" TargetMode="External"/><Relationship Id="rId55" Type="http://schemas.openxmlformats.org/officeDocument/2006/relationships/hyperlink" Target="https://us3.assetplanner.com/service_request?ID=098717" TargetMode="External"/><Relationship Id="rId76" Type="http://schemas.openxmlformats.org/officeDocument/2006/relationships/hyperlink" Target="https://us3.assetplanner.com/service_request?ID=102082" TargetMode="External"/><Relationship Id="rId97" Type="http://schemas.openxmlformats.org/officeDocument/2006/relationships/hyperlink" Target="https://us3.assetplanner.com/service_request?ID=100820" TargetMode="External"/><Relationship Id="rId7" Type="http://schemas.openxmlformats.org/officeDocument/2006/relationships/hyperlink" Target="https://us3.assetplanner.com/service_request?ID=101939" TargetMode="External"/><Relationship Id="rId71" Type="http://schemas.openxmlformats.org/officeDocument/2006/relationships/hyperlink" Target="https://us3.assetplanner.com/service_request?ID=098183" TargetMode="External"/><Relationship Id="rId92" Type="http://schemas.openxmlformats.org/officeDocument/2006/relationships/hyperlink" Target="https://us3.assetplanner.com/service_request?ID=092171" TargetMode="External"/><Relationship Id="rId2" Type="http://schemas.openxmlformats.org/officeDocument/2006/relationships/hyperlink" Target="https://us3.assetplanner.com/service_request?ID=101056" TargetMode="External"/><Relationship Id="rId29" Type="http://schemas.openxmlformats.org/officeDocument/2006/relationships/hyperlink" Target="https://us3.assetplanner.com/service_request?ID=093174" TargetMode="External"/><Relationship Id="rId24" Type="http://schemas.openxmlformats.org/officeDocument/2006/relationships/hyperlink" Target="https://us3.assetplanner.com/service_request?ID=094440" TargetMode="External"/><Relationship Id="rId40" Type="http://schemas.openxmlformats.org/officeDocument/2006/relationships/hyperlink" Target="https://us3.assetplanner.com/service_request?ID=085968" TargetMode="External"/><Relationship Id="rId45" Type="http://schemas.openxmlformats.org/officeDocument/2006/relationships/hyperlink" Target="https://us3.assetplanner.com/service_request?ID=089470" TargetMode="External"/><Relationship Id="rId66" Type="http://schemas.openxmlformats.org/officeDocument/2006/relationships/hyperlink" Target="https://us3.assetplanner.com/service_request?ID=098183" TargetMode="External"/><Relationship Id="rId87" Type="http://schemas.openxmlformats.org/officeDocument/2006/relationships/hyperlink" Target="https://us3.assetplanner.com/service_request?ID=097948" TargetMode="External"/><Relationship Id="rId61" Type="http://schemas.openxmlformats.org/officeDocument/2006/relationships/hyperlink" Target="https://us3.assetplanner.com/service_request?ID=100858" TargetMode="External"/><Relationship Id="rId82" Type="http://schemas.openxmlformats.org/officeDocument/2006/relationships/hyperlink" Target="https://us3.assetplanner.com/service_request?ID=089477" TargetMode="External"/><Relationship Id="rId19" Type="http://schemas.openxmlformats.org/officeDocument/2006/relationships/hyperlink" Target="https://us3.assetplanner.com/service_request?ID=100459" TargetMode="External"/><Relationship Id="rId14" Type="http://schemas.openxmlformats.org/officeDocument/2006/relationships/hyperlink" Target="https://us3.assetplanner.com/service_request?ID=101039" TargetMode="External"/><Relationship Id="rId30" Type="http://schemas.openxmlformats.org/officeDocument/2006/relationships/hyperlink" Target="https://us3.assetplanner.com/service_request?ID=095356" TargetMode="External"/><Relationship Id="rId35" Type="http://schemas.openxmlformats.org/officeDocument/2006/relationships/hyperlink" Target="https://us3.assetplanner.com/service_request?ID=089461" TargetMode="External"/><Relationship Id="rId56" Type="http://schemas.openxmlformats.org/officeDocument/2006/relationships/hyperlink" Target="https://us3.assetplanner.com/service_request?ID=091312" TargetMode="External"/><Relationship Id="rId77" Type="http://schemas.openxmlformats.org/officeDocument/2006/relationships/hyperlink" Target="https://us3.assetplanner.com/service_request?ID=089477" TargetMode="External"/><Relationship Id="rId8" Type="http://schemas.openxmlformats.org/officeDocument/2006/relationships/hyperlink" Target="https://us3.assetplanner.com/service_request?ID=100937" TargetMode="External"/><Relationship Id="rId51" Type="http://schemas.openxmlformats.org/officeDocument/2006/relationships/hyperlink" Target="https://us3.assetplanner.com/service_request?ID=092166" TargetMode="External"/><Relationship Id="rId72" Type="http://schemas.openxmlformats.org/officeDocument/2006/relationships/hyperlink" Target="https://us3.assetplanner.com/service_request?ID=101740" TargetMode="External"/><Relationship Id="rId93" Type="http://schemas.openxmlformats.org/officeDocument/2006/relationships/hyperlink" Target="https://us3.assetplanner.com/service_request?ID=092455" TargetMode="External"/><Relationship Id="rId98" Type="http://schemas.openxmlformats.org/officeDocument/2006/relationships/hyperlink" Target="https://us3.assetplanner.com/service_request?ID=101886"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K342"/>
  <sheetViews>
    <sheetView zoomScale="90" zoomScaleNormal="90" workbookViewId="0">
      <pane xSplit="2" ySplit="3" topLeftCell="C47" activePane="bottomRight" state="frozen"/>
      <selection pane="bottomRight" activeCell="H48" sqref="H48"/>
      <selection pane="bottomLeft"/>
      <selection pane="topRight"/>
    </sheetView>
  </sheetViews>
  <sheetFormatPr defaultRowHeight="12.6"/>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 min="11" max="11" width="11.140625" bestFit="1" customWidth="1"/>
  </cols>
  <sheetData>
    <row r="1" spans="1:11" ht="19.5" customHeight="1">
      <c r="A1" s="120" t="str" cm="1">
        <f t="array" ref="A1">portfolio</f>
        <v>Silicon Ranch</v>
      </c>
      <c r="B1" s="120"/>
      <c r="C1" s="120"/>
      <c r="D1" s="121" t="s">
        <v>0</v>
      </c>
      <c r="E1" s="121"/>
      <c r="F1" s="121"/>
      <c r="G1" s="119" t="s">
        <v>1</v>
      </c>
      <c r="H1" s="119"/>
      <c r="I1" s="119"/>
    </row>
    <row r="2" spans="1:11" ht="19.5" customHeight="1">
      <c r="A2" s="122" t="s">
        <v>2</v>
      </c>
      <c r="B2" s="122"/>
      <c r="C2" s="5">
        <f>SUM(C4:C100)</f>
        <v>17424280</v>
      </c>
      <c r="D2" s="5">
        <f>SUM(D4:D100)</f>
        <v>0</v>
      </c>
      <c r="E2" s="5">
        <f>C2-D2</f>
        <v>17424280</v>
      </c>
      <c r="F2" s="6">
        <f>IFERROR(E2/D2, 0)</f>
        <v>0</v>
      </c>
      <c r="G2" s="5">
        <f>SUM(G4:G100)</f>
        <v>18478443.098999999</v>
      </c>
      <c r="H2" s="7">
        <f>C2-G2</f>
        <v>-1054163.0989999995</v>
      </c>
      <c r="I2" s="6">
        <f>IFERROR(H2/G2, 0)</f>
        <v>-5.7048263933937582E-2</v>
      </c>
    </row>
    <row r="3" spans="1:11" ht="14.25" customHeight="1">
      <c r="A3" s="8" t="s">
        <v>3</v>
      </c>
      <c r="B3" s="8" t="s">
        <v>4</v>
      </c>
      <c r="C3" s="23" t="s">
        <v>5</v>
      </c>
      <c r="D3" s="35" t="s">
        <v>6</v>
      </c>
      <c r="E3" s="35" t="s">
        <v>7</v>
      </c>
      <c r="F3" s="36" t="s">
        <v>8</v>
      </c>
      <c r="G3" s="37" t="s">
        <v>9</v>
      </c>
      <c r="H3" s="38" t="s">
        <v>7</v>
      </c>
      <c r="I3" s="39" t="s">
        <v>8</v>
      </c>
    </row>
    <row r="4" spans="1:11" ht="15.6">
      <c r="A4" s="51" t="str" cm="1">
        <f t="array" ref="A4:A69">Sites[Site]</f>
        <v>Iron Mountain - Windsor</v>
      </c>
      <c r="B4" s="32" t="str" cm="1">
        <f t="array" ref="B4:B69">Sites[State]</f>
        <v>CT</v>
      </c>
      <c r="C4" s="24">
        <f>SUM('1st Qtr'!C4, '2nd Qtr'!C4, '3rd Qtr'!C4, '4th Qtr'!C4)</f>
        <v>110135</v>
      </c>
      <c r="D4" s="13">
        <f>SUM('1st Qtr'!D4, '2nd Qtr'!D4, '3rd Qtr'!D4, '4th Qtr'!D4)</f>
        <v>0</v>
      </c>
      <c r="E4" s="13">
        <f>IF(AND(ISNUMBER(C4),ISNUMBER(D4)), C4-D4, "")</f>
        <v>110135</v>
      </c>
      <c r="F4" s="14" t="str">
        <f>IFERROR(E4/D4, "")</f>
        <v/>
      </c>
      <c r="G4" s="15">
        <f>SUM('1st Qtr'!G4, '2nd Qtr'!G4, '3rd Qtr'!G4, '4th Qtr'!G4)</f>
        <v>119898.04999999999</v>
      </c>
      <c r="H4" s="15">
        <f>SUM('1st Qtr'!H4, '2nd Qtr'!H4, '3rd Qtr'!H4, '4th Qtr'!H4)</f>
        <v>-9763.0499999999956</v>
      </c>
      <c r="I4" s="16">
        <f>IFERROR(H4/G4, "")</f>
        <v>-8.1427929812036115E-2</v>
      </c>
      <c r="K4" s="115">
        <f>C4-G4</f>
        <v>-9763.0499999999884</v>
      </c>
    </row>
    <row r="5" spans="1:11" ht="15.6">
      <c r="A5" s="52" t="str">
        <v>Kohls - Auburn</v>
      </c>
      <c r="B5" s="30" t="str">
        <v>NY</v>
      </c>
      <c r="C5" s="11">
        <f>SUM('1st Qtr'!C5, '2nd Qtr'!C5, '3rd Qtr'!C5, '4th Qtr'!C5)</f>
        <v>101947</v>
      </c>
      <c r="D5" s="18">
        <f>SUM('1st Qtr'!D5, '2nd Qtr'!D5, '3rd Qtr'!D5, '4th Qtr'!D5)</f>
        <v>0</v>
      </c>
      <c r="E5" s="18">
        <f t="shared" ref="E5:E15" si="0">IF(AND(ISNUMBER(C5),ISNUMBER(D5)), C5-D5, "")</f>
        <v>101947</v>
      </c>
      <c r="F5" s="19" t="str">
        <f>IFERROR(E5/D5, "")</f>
        <v/>
      </c>
      <c r="G5" s="20">
        <f>SUM('1st Qtr'!G5, '2nd Qtr'!G5, '3rd Qtr'!G5, '4th Qtr'!G5)</f>
        <v>118676.2</v>
      </c>
      <c r="H5" s="20">
        <f>SUM('1st Qtr'!H5, '2nd Qtr'!H5, '3rd Qtr'!H5, '4th Qtr'!H5)</f>
        <v>-16729.2</v>
      </c>
      <c r="I5" s="19">
        <f>IFERROR(H5/G5, "")</f>
        <v>-0.14096507977168127</v>
      </c>
      <c r="K5" s="115">
        <f t="shared" ref="K5:K68" si="1">C5-G5</f>
        <v>-16729.199999999997</v>
      </c>
    </row>
    <row r="6" spans="1:11" ht="15.6">
      <c r="A6" s="53" t="str">
        <v>Kohls - Bensalem</v>
      </c>
      <c r="B6" s="28" t="str">
        <v>PA</v>
      </c>
      <c r="C6" s="24">
        <f>SUM('1st Qtr'!C6, '2nd Qtr'!C6, '3rd Qtr'!C6, '4th Qtr'!C6)</f>
        <v>97605</v>
      </c>
      <c r="D6" s="13">
        <f>SUM('1st Qtr'!D6, '2nd Qtr'!D6, '3rd Qtr'!D6, '4th Qtr'!D6)</f>
        <v>0</v>
      </c>
      <c r="E6" s="13">
        <f t="shared" si="0"/>
        <v>97605</v>
      </c>
      <c r="F6" s="14" t="str">
        <f t="shared" ref="F6:F15" si="2">IFERROR(E6/D6, "")</f>
        <v/>
      </c>
      <c r="G6" s="15">
        <f>SUM('1st Qtr'!G6, '2nd Qtr'!G6, '3rd Qtr'!G6, '4th Qtr'!G6)</f>
        <v>136689.67000000001</v>
      </c>
      <c r="H6" s="15">
        <f>SUM('1st Qtr'!H6, '2nd Qtr'!H6, '3rd Qtr'!H6, '4th Qtr'!H6)</f>
        <v>-39084.67</v>
      </c>
      <c r="I6" s="16">
        <f t="shared" ref="I6:I15" si="3">IFERROR(H6/G6, "")</f>
        <v>-0.28593726212083176</v>
      </c>
      <c r="K6" s="115">
        <f t="shared" si="1"/>
        <v>-39084.670000000013</v>
      </c>
    </row>
    <row r="7" spans="1:11" ht="15.6">
      <c r="A7" s="52" t="str">
        <v>Kohls - Brick</v>
      </c>
      <c r="B7" s="30" t="str">
        <v>NJ</v>
      </c>
      <c r="C7" s="11">
        <f>SUM('1st Qtr'!C7, '2nd Qtr'!C7, '3rd Qtr'!C7, '4th Qtr'!C7)</f>
        <v>166782</v>
      </c>
      <c r="D7" s="18">
        <f>SUM('1st Qtr'!D7, '2nd Qtr'!D7, '3rd Qtr'!D7, '4th Qtr'!D7)</f>
        <v>0</v>
      </c>
      <c r="E7" s="18">
        <f t="shared" si="0"/>
        <v>166782</v>
      </c>
      <c r="F7" s="19" t="str">
        <f t="shared" si="2"/>
        <v/>
      </c>
      <c r="G7" s="20">
        <f>SUM('1st Qtr'!G7, '2nd Qtr'!G7, '3rd Qtr'!G7, '4th Qtr'!G7)</f>
        <v>161992.53</v>
      </c>
      <c r="H7" s="20">
        <f>SUM('1st Qtr'!H7, '2nd Qtr'!H7, '3rd Qtr'!H7, '4th Qtr'!H7)</f>
        <v>4789.4700000000012</v>
      </c>
      <c r="I7" s="19">
        <f t="shared" si="3"/>
        <v>2.9565992950415683E-2</v>
      </c>
      <c r="K7" s="115">
        <f t="shared" si="1"/>
        <v>4789.4700000000012</v>
      </c>
    </row>
    <row r="8" spans="1:11" ht="15.6">
      <c r="A8" s="53" t="str">
        <v>Kohls - Buffalo</v>
      </c>
      <c r="B8" s="28" t="str">
        <v>NY</v>
      </c>
      <c r="C8" s="24">
        <f>SUM('1st Qtr'!C8, '2nd Qtr'!C8, '3rd Qtr'!C8, '4th Qtr'!C8)</f>
        <v>103069</v>
      </c>
      <c r="D8" s="13">
        <f>SUM('1st Qtr'!D8, '2nd Qtr'!D8, '3rd Qtr'!D8, '4th Qtr'!D8)</f>
        <v>0</v>
      </c>
      <c r="E8" s="13">
        <f t="shared" si="0"/>
        <v>103069</v>
      </c>
      <c r="F8" s="14" t="str">
        <f t="shared" si="2"/>
        <v/>
      </c>
      <c r="G8" s="15">
        <f>SUM('1st Qtr'!G8, '2nd Qtr'!G8, '3rd Qtr'!G8, '4th Qtr'!G8)</f>
        <v>149314.85999999999</v>
      </c>
      <c r="H8" s="15">
        <f>SUM('1st Qtr'!H8, '2nd Qtr'!H8, '3rd Qtr'!H8, '4th Qtr'!H8)</f>
        <v>-46245.86</v>
      </c>
      <c r="I8" s="16">
        <f t="shared" si="3"/>
        <v>-0.30972041228850233</v>
      </c>
      <c r="K8" s="115">
        <f t="shared" si="1"/>
        <v>-46245.859999999986</v>
      </c>
    </row>
    <row r="9" spans="1:11" ht="15.6">
      <c r="A9" s="52" t="str">
        <v>Kohls - Canton</v>
      </c>
      <c r="B9" s="30" t="str">
        <v>CT</v>
      </c>
      <c r="C9" s="11">
        <f>SUM('1st Qtr'!C9, '2nd Qtr'!C9, '3rd Qtr'!C9, '4th Qtr'!C9)</f>
        <v>52679</v>
      </c>
      <c r="D9" s="18">
        <f>SUM('1st Qtr'!D9, '2nd Qtr'!D9, '3rd Qtr'!D9, '4th Qtr'!D9)</f>
        <v>0</v>
      </c>
      <c r="E9" s="18">
        <f t="shared" si="0"/>
        <v>52679</v>
      </c>
      <c r="F9" s="19" t="str">
        <f t="shared" si="2"/>
        <v/>
      </c>
      <c r="G9" s="20">
        <f>SUM('1st Qtr'!G9, '2nd Qtr'!G9, '3rd Qtr'!G9, '4th Qtr'!G9)</f>
        <v>52814.55</v>
      </c>
      <c r="H9" s="20">
        <f>SUM('1st Qtr'!H9, '2nd Qtr'!H9, '3rd Qtr'!H9, '4th Qtr'!H9)</f>
        <v>-135.55000000000018</v>
      </c>
      <c r="I9" s="19">
        <f t="shared" si="3"/>
        <v>-2.5665275951418723E-3</v>
      </c>
      <c r="K9" s="115">
        <f t="shared" si="1"/>
        <v>-135.55000000000291</v>
      </c>
    </row>
    <row r="10" spans="1:11" ht="15.6">
      <c r="A10" s="53" t="str">
        <v>Kohls - East Amherst</v>
      </c>
      <c r="B10" s="28" t="str">
        <v>NY</v>
      </c>
      <c r="C10" s="24">
        <f>SUM('1st Qtr'!C10, '2nd Qtr'!C10, '3rd Qtr'!C10, '4th Qtr'!C10)</f>
        <v>99552</v>
      </c>
      <c r="D10" s="13">
        <f>SUM('1st Qtr'!D10, '2nd Qtr'!D10, '3rd Qtr'!D10, '4th Qtr'!D10)</f>
        <v>0</v>
      </c>
      <c r="E10" s="13">
        <f t="shared" si="0"/>
        <v>99552</v>
      </c>
      <c r="F10" s="14" t="str">
        <f t="shared" si="2"/>
        <v/>
      </c>
      <c r="G10" s="15">
        <f>SUM('1st Qtr'!G10, '2nd Qtr'!G10, '3rd Qtr'!G10, '4th Qtr'!G10)</f>
        <v>135606.15</v>
      </c>
      <c r="H10" s="15">
        <f>SUM('1st Qtr'!H10, '2nd Qtr'!H10, '3rd Qtr'!H10, '4th Qtr'!H10)</f>
        <v>-36054.15</v>
      </c>
      <c r="I10" s="16">
        <f t="shared" si="3"/>
        <v>-0.26587400350205359</v>
      </c>
      <c r="K10" s="115">
        <f t="shared" si="1"/>
        <v>-36054.149999999994</v>
      </c>
    </row>
    <row r="11" spans="1:11" ht="15.6">
      <c r="A11" s="52" t="str">
        <v>Kohls - East Brunswick</v>
      </c>
      <c r="B11" s="30" t="str">
        <v>NJ</v>
      </c>
      <c r="C11" s="11">
        <f>SUM('1st Qtr'!C11, '2nd Qtr'!C11, '3rd Qtr'!C11, '4th Qtr'!C11)</f>
        <v>202435</v>
      </c>
      <c r="D11" s="18">
        <f>SUM('1st Qtr'!D11, '2nd Qtr'!D11, '3rd Qtr'!D11, '4th Qtr'!D11)</f>
        <v>0</v>
      </c>
      <c r="E11" s="18">
        <f t="shared" si="0"/>
        <v>202435</v>
      </c>
      <c r="F11" s="19" t="str">
        <f t="shared" si="2"/>
        <v/>
      </c>
      <c r="G11" s="20">
        <f>SUM('1st Qtr'!G11, '2nd Qtr'!G11, '3rd Qtr'!G11, '4th Qtr'!G11)</f>
        <v>211440.19</v>
      </c>
      <c r="H11" s="20">
        <f>SUM('1st Qtr'!H11, '2nd Qtr'!H11, '3rd Qtr'!H11, '4th Qtr'!H11)</f>
        <v>-9005.1899999999914</v>
      </c>
      <c r="I11" s="19">
        <f t="shared" si="3"/>
        <v>-4.2589774441651754E-2</v>
      </c>
      <c r="K11" s="115">
        <f t="shared" si="1"/>
        <v>-9005.1900000000023</v>
      </c>
    </row>
    <row r="12" spans="1:11" ht="15.6">
      <c r="A12" s="53" t="str">
        <v>Kohls - Edgewood</v>
      </c>
      <c r="B12" s="28" t="str">
        <v>MD</v>
      </c>
      <c r="C12" s="24">
        <f>SUM('1st Qtr'!C12, '2nd Qtr'!C12, '3rd Qtr'!C12, '4th Qtr'!C12)</f>
        <v>1017494</v>
      </c>
      <c r="D12" s="13">
        <f>SUM('1st Qtr'!D12, '2nd Qtr'!D12, '3rd Qtr'!D12, '4th Qtr'!D12)</f>
        <v>0</v>
      </c>
      <c r="E12" s="13">
        <f t="shared" si="0"/>
        <v>1017494</v>
      </c>
      <c r="F12" s="14" t="str">
        <f t="shared" si="2"/>
        <v/>
      </c>
      <c r="G12" s="15">
        <f>SUM('1st Qtr'!G12, '2nd Qtr'!G12, '3rd Qtr'!G12, '4th Qtr'!G12)</f>
        <v>1132860.26</v>
      </c>
      <c r="H12" s="15">
        <f>SUM('1st Qtr'!H12, '2nd Qtr'!H12, '3rd Qtr'!H12, '4th Qtr'!H12)</f>
        <v>-115366.26000000001</v>
      </c>
      <c r="I12" s="16">
        <f t="shared" si="3"/>
        <v>-0.10183626707851859</v>
      </c>
      <c r="K12" s="115">
        <f t="shared" si="1"/>
        <v>-115366.26000000001</v>
      </c>
    </row>
    <row r="13" spans="1:11" ht="15.6">
      <c r="A13" s="52" t="str">
        <v>Kohls - Granite Run</v>
      </c>
      <c r="B13" s="30" t="str">
        <v>PA</v>
      </c>
      <c r="C13" s="11">
        <f>SUM('1st Qtr'!C13, '2nd Qtr'!C13, '3rd Qtr'!C13, '4th Qtr'!C13)</f>
        <v>131940</v>
      </c>
      <c r="D13" s="18">
        <f>SUM('1st Qtr'!D13, '2nd Qtr'!D13, '3rd Qtr'!D13, '4th Qtr'!D13)</f>
        <v>0</v>
      </c>
      <c r="E13" s="18">
        <f t="shared" si="0"/>
        <v>131940</v>
      </c>
      <c r="F13" s="19" t="str">
        <f t="shared" si="2"/>
        <v/>
      </c>
      <c r="G13" s="20">
        <f>SUM('1st Qtr'!G13, '2nd Qtr'!G13, '3rd Qtr'!G13, '4th Qtr'!G13)</f>
        <v>136753.66999999998</v>
      </c>
      <c r="H13" s="20">
        <f>SUM('1st Qtr'!H13, '2nd Qtr'!H13, '3rd Qtr'!H13, '4th Qtr'!H13)</f>
        <v>-4813.6699999999964</v>
      </c>
      <c r="I13" s="19">
        <f t="shared" si="3"/>
        <v>-3.5199567221852232E-2</v>
      </c>
      <c r="K13" s="115">
        <f t="shared" si="1"/>
        <v>-4813.6699999999837</v>
      </c>
    </row>
    <row r="14" spans="1:11" ht="15.6">
      <c r="A14" s="53" t="str">
        <v>Kohls - Greece</v>
      </c>
      <c r="B14" s="28" t="str">
        <v>NY</v>
      </c>
      <c r="C14" s="24">
        <f>SUM('1st Qtr'!C14, '2nd Qtr'!C14, '3rd Qtr'!C14, '4th Qtr'!C14)</f>
        <v>96208</v>
      </c>
      <c r="D14" s="13">
        <f>SUM('1st Qtr'!D14, '2nd Qtr'!D14, '3rd Qtr'!D14, '4th Qtr'!D14)</f>
        <v>0</v>
      </c>
      <c r="E14" s="13">
        <f t="shared" si="0"/>
        <v>96208</v>
      </c>
      <c r="F14" s="14" t="str">
        <f t="shared" si="2"/>
        <v/>
      </c>
      <c r="G14" s="15">
        <f>SUM('1st Qtr'!G14, '2nd Qtr'!G14, '3rd Qtr'!G14, '4th Qtr'!G14)</f>
        <v>142798.37</v>
      </c>
      <c r="H14" s="15">
        <f>SUM('1st Qtr'!H14, '2nd Qtr'!H14, '3rd Qtr'!H14, '4th Qtr'!H14)</f>
        <v>-46590.369999999995</v>
      </c>
      <c r="I14" s="16">
        <f t="shared" si="3"/>
        <v>-0.32626681943218255</v>
      </c>
      <c r="K14" s="115">
        <f t="shared" si="1"/>
        <v>-46590.369999999995</v>
      </c>
    </row>
    <row r="15" spans="1:11" ht="15.6">
      <c r="A15" s="52" t="str">
        <v>Kohls - Hanover</v>
      </c>
      <c r="B15" s="30" t="str">
        <v>PA</v>
      </c>
      <c r="C15" s="11">
        <f>SUM('1st Qtr'!C15, '2nd Qtr'!C15, '3rd Qtr'!C15, '4th Qtr'!C15)</f>
        <v>153399</v>
      </c>
      <c r="D15" s="18">
        <f>SUM('1st Qtr'!D15, '2nd Qtr'!D15, '3rd Qtr'!D15, '4th Qtr'!D15)</f>
        <v>0</v>
      </c>
      <c r="E15" s="18">
        <f t="shared" si="0"/>
        <v>153399</v>
      </c>
      <c r="F15" s="19" t="str">
        <f t="shared" si="2"/>
        <v/>
      </c>
      <c r="G15" s="20">
        <f>SUM('1st Qtr'!G15, '2nd Qtr'!G15, '3rd Qtr'!G15, '4th Qtr'!G15)</f>
        <v>154246.26</v>
      </c>
      <c r="H15" s="20">
        <f>SUM('1st Qtr'!H15, '2nd Qtr'!H15, '3rd Qtr'!H15, '4th Qtr'!H15)</f>
        <v>-847.2599999999984</v>
      </c>
      <c r="I15" s="19">
        <f t="shared" si="3"/>
        <v>-5.4929046577855333E-3</v>
      </c>
      <c r="K15" s="115">
        <f t="shared" si="1"/>
        <v>-847.26000000000931</v>
      </c>
    </row>
    <row r="16" spans="1:11" ht="15.6">
      <c r="A16" s="53" t="str">
        <v>Kohls - Horsehead</v>
      </c>
      <c r="B16" s="28" t="str">
        <v>NY</v>
      </c>
      <c r="C16" s="24">
        <f>SUM('1st Qtr'!C16, '2nd Qtr'!C16, '3rd Qtr'!C16, '4th Qtr'!C16)</f>
        <v>100447</v>
      </c>
      <c r="D16" s="13">
        <f>SUM('1st Qtr'!D16, '2nd Qtr'!D16, '3rd Qtr'!D16, '4th Qtr'!D16)</f>
        <v>0</v>
      </c>
      <c r="E16" s="13">
        <f t="shared" ref="E16:E19" si="4">IF(AND(ISNUMBER(C16),ISNUMBER(D16)), C16-D16, "")</f>
        <v>100447</v>
      </c>
      <c r="F16" s="14" t="str">
        <f t="shared" ref="F16:F19" si="5">IFERROR(E16/D16, "")</f>
        <v/>
      </c>
      <c r="G16" s="15">
        <f>SUM('1st Qtr'!G16, '2nd Qtr'!G16, '3rd Qtr'!G16, '4th Qtr'!G16)</f>
        <v>117833.88</v>
      </c>
      <c r="H16" s="15">
        <f>SUM('1st Qtr'!H16, '2nd Qtr'!H16, '3rd Qtr'!H16, '4th Qtr'!H16)</f>
        <v>-17386.88</v>
      </c>
      <c r="I16" s="16">
        <f t="shared" ref="I16:I19" si="6">IFERROR(H16/G16, "")</f>
        <v>-0.14755416693399218</v>
      </c>
      <c r="K16" s="115">
        <f t="shared" si="1"/>
        <v>-17386.880000000005</v>
      </c>
    </row>
    <row r="17" spans="1:11" ht="15.6">
      <c r="A17" s="52" t="str">
        <v>Kohls - Hudson</v>
      </c>
      <c r="B17" s="30" t="str">
        <v>NY</v>
      </c>
      <c r="C17" s="11">
        <f>SUM('1st Qtr'!C17, '2nd Qtr'!C17, '3rd Qtr'!C17, '4th Qtr'!C17)</f>
        <v>119099</v>
      </c>
      <c r="D17" s="18">
        <f>SUM('1st Qtr'!D17, '2nd Qtr'!D17, '3rd Qtr'!D17, '4th Qtr'!D17)</f>
        <v>0</v>
      </c>
      <c r="E17" s="18">
        <f t="shared" si="4"/>
        <v>119099</v>
      </c>
      <c r="F17" s="19" t="str">
        <f t="shared" si="5"/>
        <v/>
      </c>
      <c r="G17" s="20">
        <f>SUM('1st Qtr'!G17, '2nd Qtr'!G17, '3rd Qtr'!G17, '4th Qtr'!G17)</f>
        <v>129191.45</v>
      </c>
      <c r="H17" s="20">
        <f>SUM('1st Qtr'!H17, '2nd Qtr'!H17, '3rd Qtr'!H17, '4th Qtr'!H17)</f>
        <v>-10092.450000000003</v>
      </c>
      <c r="I17" s="19">
        <f t="shared" si="6"/>
        <v>-7.8120107793511126E-2</v>
      </c>
      <c r="K17" s="115">
        <f t="shared" si="1"/>
        <v>-10092.449999999997</v>
      </c>
    </row>
    <row r="18" spans="1:11" ht="12.75" customHeight="1">
      <c r="A18" s="53" t="str">
        <v>Kohls - Ithaca</v>
      </c>
      <c r="B18" s="28" t="str">
        <v>NY</v>
      </c>
      <c r="C18" s="24">
        <f>SUM('1st Qtr'!C18, '2nd Qtr'!C18, '3rd Qtr'!C18, '4th Qtr'!C18)</f>
        <v>101027</v>
      </c>
      <c r="D18" s="13">
        <f>SUM('1st Qtr'!D18, '2nd Qtr'!D18, '3rd Qtr'!D18, '4th Qtr'!D18)</f>
        <v>0</v>
      </c>
      <c r="E18" s="13">
        <f t="shared" si="4"/>
        <v>101027</v>
      </c>
      <c r="F18" s="14" t="str">
        <f t="shared" si="5"/>
        <v/>
      </c>
      <c r="G18" s="15">
        <f>SUM('1st Qtr'!G18, '2nd Qtr'!G18, '3rd Qtr'!G18, '4th Qtr'!G18)</f>
        <v>131949.87</v>
      </c>
      <c r="H18" s="15">
        <f>SUM('1st Qtr'!H18, '2nd Qtr'!H18, '3rd Qtr'!H18, '4th Qtr'!H18)</f>
        <v>-30922.870000000003</v>
      </c>
      <c r="I18" s="16">
        <f t="shared" si="6"/>
        <v>-0.23435316760827429</v>
      </c>
      <c r="K18" s="115">
        <f t="shared" si="1"/>
        <v>-30922.869999999995</v>
      </c>
    </row>
    <row r="19" spans="1:11" ht="15.6">
      <c r="A19" s="52" t="str">
        <v>Kohls - Kingston</v>
      </c>
      <c r="B19" s="30" t="str">
        <v>NY</v>
      </c>
      <c r="C19" s="11">
        <f>SUM('1st Qtr'!C19, '2nd Qtr'!C19, '3rd Qtr'!C19, '4th Qtr'!C19)</f>
        <v>155674</v>
      </c>
      <c r="D19" s="18">
        <f>SUM('1st Qtr'!D19, '2nd Qtr'!D19, '3rd Qtr'!D19, '4th Qtr'!D19)</f>
        <v>0</v>
      </c>
      <c r="E19" s="18">
        <f t="shared" si="4"/>
        <v>155674</v>
      </c>
      <c r="F19" s="19" t="str">
        <f t="shared" si="5"/>
        <v/>
      </c>
      <c r="G19" s="20">
        <f>SUM('1st Qtr'!G19, '2nd Qtr'!G19, '3rd Qtr'!G19, '4th Qtr'!G19)</f>
        <v>200437.91999999998</v>
      </c>
      <c r="H19" s="20">
        <f>SUM('1st Qtr'!H19, '2nd Qtr'!H19, '3rd Qtr'!H19, '4th Qtr'!H19)</f>
        <v>-44763.92</v>
      </c>
      <c r="I19" s="19">
        <f t="shared" si="6"/>
        <v>-0.2233305953284688</v>
      </c>
      <c r="K19" s="115">
        <f t="shared" si="1"/>
        <v>-44763.919999999984</v>
      </c>
    </row>
    <row r="20" spans="1:11" ht="15.6">
      <c r="A20" s="53" t="str">
        <v>Kohls - Mechanicsburg</v>
      </c>
      <c r="B20" s="28" t="str">
        <v>PA</v>
      </c>
      <c r="C20" s="24">
        <f>SUM('1st Qtr'!C20, '2nd Qtr'!C20, '3rd Qtr'!C20, '4th Qtr'!C20)</f>
        <v>174150</v>
      </c>
      <c r="D20" s="13">
        <f>SUM('1st Qtr'!D20, '2nd Qtr'!D20, '3rd Qtr'!D20, '4th Qtr'!D20)</f>
        <v>0</v>
      </c>
      <c r="E20" s="13">
        <f t="shared" ref="E20:E25" si="7">IF(AND(ISNUMBER(C20),ISNUMBER(D20)), C20-D20, "")</f>
        <v>174150</v>
      </c>
      <c r="F20" s="14" t="str">
        <f t="shared" ref="F20:F25" si="8">IFERROR(E20/D20, "")</f>
        <v/>
      </c>
      <c r="G20" s="15">
        <f>SUM('1st Qtr'!G20, '2nd Qtr'!G20, '3rd Qtr'!G20, '4th Qtr'!G20)</f>
        <v>178481.84</v>
      </c>
      <c r="H20" s="15">
        <f>SUM('1st Qtr'!H20, '2nd Qtr'!H20, '3rd Qtr'!H20, '4th Qtr'!H20)</f>
        <v>-4331.8399999999965</v>
      </c>
      <c r="I20" s="16">
        <f t="shared" ref="I20:I25" si="9">IFERROR(H20/G20, "")</f>
        <v>-2.4270480402936213E-2</v>
      </c>
      <c r="K20" s="115">
        <f t="shared" si="1"/>
        <v>-4331.8399999999965</v>
      </c>
    </row>
    <row r="21" spans="1:11" ht="15.6">
      <c r="A21" s="52" t="str">
        <v>Kohls - Middletown</v>
      </c>
      <c r="B21" s="30" t="str">
        <v>NJ</v>
      </c>
      <c r="C21" s="11">
        <f>SUM('1st Qtr'!C21, '2nd Qtr'!C21, '3rd Qtr'!C21, '4th Qtr'!C21)</f>
        <v>242476</v>
      </c>
      <c r="D21" s="18">
        <f>SUM('1st Qtr'!D21, '2nd Qtr'!D21, '3rd Qtr'!D21, '4th Qtr'!D21)</f>
        <v>0</v>
      </c>
      <c r="E21" s="18">
        <f t="shared" si="7"/>
        <v>242476</v>
      </c>
      <c r="F21" s="19" t="str">
        <f t="shared" si="8"/>
        <v/>
      </c>
      <c r="G21" s="20">
        <f>SUM('1st Qtr'!G21, '2nd Qtr'!G21, '3rd Qtr'!G21, '4th Qtr'!G21)</f>
        <v>250887.31</v>
      </c>
      <c r="H21" s="20">
        <f>SUM('1st Qtr'!H21, '2nd Qtr'!H21, '3rd Qtr'!H21, '4th Qtr'!H21)</f>
        <v>-8411.3100000000013</v>
      </c>
      <c r="I21" s="19">
        <f t="shared" si="9"/>
        <v>-3.3526247302025761E-2</v>
      </c>
      <c r="K21" s="115">
        <f t="shared" si="1"/>
        <v>-8411.3099999999977</v>
      </c>
    </row>
    <row r="22" spans="1:11" ht="15.6">
      <c r="A22" s="53" t="str">
        <v>Kohls - North Amherst</v>
      </c>
      <c r="B22" s="28" t="str">
        <v>NY</v>
      </c>
      <c r="C22" s="24">
        <f>SUM('1st Qtr'!C22, '2nd Qtr'!C22, '3rd Qtr'!C22, '4th Qtr'!C22)</f>
        <v>41056</v>
      </c>
      <c r="D22" s="13">
        <f>SUM('1st Qtr'!D22, '2nd Qtr'!D22, '3rd Qtr'!D22, '4th Qtr'!D22)</f>
        <v>0</v>
      </c>
      <c r="E22" s="13">
        <f t="shared" si="7"/>
        <v>41056</v>
      </c>
      <c r="F22" s="14" t="str">
        <f t="shared" si="8"/>
        <v/>
      </c>
      <c r="G22" s="15">
        <f>SUM('1st Qtr'!G22, '2nd Qtr'!G22, '3rd Qtr'!G22, '4th Qtr'!G22)</f>
        <v>125238.98</v>
      </c>
      <c r="H22" s="15">
        <f>SUM('1st Qtr'!H22, '2nd Qtr'!H22, '3rd Qtr'!H22, '4th Qtr'!H22)</f>
        <v>-84182.98000000001</v>
      </c>
      <c r="I22" s="16">
        <f t="shared" si="9"/>
        <v>-0.67217874179428816</v>
      </c>
      <c r="K22" s="115">
        <f t="shared" si="1"/>
        <v>-84182.98</v>
      </c>
    </row>
    <row r="23" spans="1:11" ht="15.6">
      <c r="A23" s="52" t="str">
        <v>Kohls - Staten Island</v>
      </c>
      <c r="B23" s="30" t="str">
        <v>NY</v>
      </c>
      <c r="C23" s="11">
        <f>SUM('1st Qtr'!C23, '2nd Qtr'!C23, '3rd Qtr'!C23, '4th Qtr'!C23)</f>
        <v>113101</v>
      </c>
      <c r="D23" s="18">
        <f>SUM('1st Qtr'!D23, '2nd Qtr'!D23, '3rd Qtr'!D23, '4th Qtr'!D23)</f>
        <v>0</v>
      </c>
      <c r="E23" s="18">
        <f t="shared" si="7"/>
        <v>113101</v>
      </c>
      <c r="F23" s="19" t="str">
        <f t="shared" si="8"/>
        <v/>
      </c>
      <c r="G23" s="20">
        <f>SUM('1st Qtr'!G23, '2nd Qtr'!G23, '3rd Qtr'!G23, '4th Qtr'!G23)</f>
        <v>150805.08000000002</v>
      </c>
      <c r="H23" s="20">
        <f>SUM('1st Qtr'!H23, '2nd Qtr'!H23, '3rd Qtr'!H23, '4th Qtr'!H23)</f>
        <v>-33192.46</v>
      </c>
      <c r="I23" s="19">
        <f t="shared" si="9"/>
        <v>-0.22010173662584839</v>
      </c>
      <c r="K23" s="115">
        <f t="shared" si="1"/>
        <v>-37704.080000000016</v>
      </c>
    </row>
    <row r="24" spans="1:11" ht="15.6">
      <c r="A24" s="53" t="str">
        <v>Kohls - Warminster</v>
      </c>
      <c r="B24" s="28" t="str">
        <v>PA</v>
      </c>
      <c r="C24" s="24">
        <f>SUM('1st Qtr'!C24, '2nd Qtr'!C24, '3rd Qtr'!C24, '4th Qtr'!C24)</f>
        <v>174579</v>
      </c>
      <c r="D24" s="13">
        <f>SUM('1st Qtr'!D24, '2nd Qtr'!D24, '3rd Qtr'!D24, '4th Qtr'!D24)</f>
        <v>0</v>
      </c>
      <c r="E24" s="13">
        <f t="shared" si="7"/>
        <v>174579</v>
      </c>
      <c r="F24" s="14" t="str">
        <f t="shared" si="8"/>
        <v/>
      </c>
      <c r="G24" s="15">
        <f>SUM('1st Qtr'!G24, '2nd Qtr'!G24, '3rd Qtr'!G24, '4th Qtr'!G24)</f>
        <v>159439.71000000002</v>
      </c>
      <c r="H24" s="15">
        <f>SUM('1st Qtr'!H24, '2nd Qtr'!H24, '3rd Qtr'!H24, '4th Qtr'!H24)</f>
        <v>7179.2600000000057</v>
      </c>
      <c r="I24" s="16">
        <f t="shared" si="9"/>
        <v>4.5028054805167451E-2</v>
      </c>
      <c r="K24" s="115">
        <f t="shared" si="1"/>
        <v>15139.289999999979</v>
      </c>
    </row>
    <row r="25" spans="1:11" ht="15.6">
      <c r="A25" s="52" t="str">
        <v xml:space="preserve">Kohls - Waterbury </v>
      </c>
      <c r="B25" s="30" t="str">
        <v>CT</v>
      </c>
      <c r="C25" s="11">
        <f>SUM('1st Qtr'!C25, '2nd Qtr'!C25, '3rd Qtr'!C25, '4th Qtr'!C25)</f>
        <v>124415</v>
      </c>
      <c r="D25" s="18">
        <f>SUM('1st Qtr'!D25, '2nd Qtr'!D25, '3rd Qtr'!D25, '4th Qtr'!D25)</f>
        <v>0</v>
      </c>
      <c r="E25" s="18">
        <f t="shared" si="7"/>
        <v>124415</v>
      </c>
      <c r="F25" s="19" t="str">
        <f t="shared" si="8"/>
        <v/>
      </c>
      <c r="G25" s="20">
        <f>SUM('1st Qtr'!G25, '2nd Qtr'!G25, '3rd Qtr'!G25, '4th Qtr'!G25)</f>
        <v>141927.72999999998</v>
      </c>
      <c r="H25" s="20">
        <f>SUM('1st Qtr'!H25, '2nd Qtr'!H25, '3rd Qtr'!H25, '4th Qtr'!H25)</f>
        <v>-17512.729999999996</v>
      </c>
      <c r="I25" s="19">
        <f t="shared" si="9"/>
        <v>-0.12339188402435521</v>
      </c>
      <c r="K25" s="115">
        <f t="shared" si="1"/>
        <v>-17512.729999999981</v>
      </c>
    </row>
    <row r="26" spans="1:11" ht="15.6">
      <c r="A26" s="53" t="str">
        <v>Mojave Water Agency - Headquarters</v>
      </c>
      <c r="B26" s="28" t="str">
        <v>CA</v>
      </c>
      <c r="C26" s="24">
        <f>SUM('1st Qtr'!C26, '2nd Qtr'!C26, '3rd Qtr'!C26, '4th Qtr'!C26)</f>
        <v>191375</v>
      </c>
      <c r="D26" s="13">
        <f>SUM('1st Qtr'!D26, '2nd Qtr'!D26, '3rd Qtr'!D26, '4th Qtr'!D26)</f>
        <v>0</v>
      </c>
      <c r="E26" s="13">
        <f t="shared" ref="E26:E69" si="10">IF(AND(ISNUMBER(C26),ISNUMBER(D26)), C26-D26, "")</f>
        <v>191375</v>
      </c>
      <c r="F26" s="14" t="str">
        <f t="shared" ref="F26:F68" si="11">IFERROR(E26/D26, "")</f>
        <v/>
      </c>
      <c r="G26" s="15">
        <f>SUM('1st Qtr'!G26, '2nd Qtr'!G26, '3rd Qtr'!G26, '4th Qtr'!G26)</f>
        <v>248029.33</v>
      </c>
      <c r="H26" s="15">
        <f>SUM('1st Qtr'!H26, '2nd Qtr'!H26, '3rd Qtr'!H26, '4th Qtr'!H26)</f>
        <v>26479.53</v>
      </c>
      <c r="I26" s="16">
        <f t="shared" ref="I26:I69" si="12">IFERROR(H26/G26, "")</f>
        <v>0.10675967233391309</v>
      </c>
      <c r="K26" s="115">
        <f t="shared" si="1"/>
        <v>-56654.329999999987</v>
      </c>
    </row>
    <row r="27" spans="1:11" ht="15.6">
      <c r="A27" s="52" t="str">
        <v>CSU - Bakersfield</v>
      </c>
      <c r="B27" s="30" t="str">
        <v>CA</v>
      </c>
      <c r="C27" s="11">
        <f>SUM('1st Qtr'!C27, '2nd Qtr'!C27, '3rd Qtr'!C27, '4th Qtr'!C27)</f>
        <v>626692</v>
      </c>
      <c r="D27" s="18">
        <f>SUM('1st Qtr'!D27, '2nd Qtr'!D27, '3rd Qtr'!D27, '4th Qtr'!D27)</f>
        <v>0</v>
      </c>
      <c r="E27" s="18">
        <f t="shared" si="10"/>
        <v>626692</v>
      </c>
      <c r="F27" s="19" t="str">
        <f t="shared" si="11"/>
        <v/>
      </c>
      <c r="G27" s="20">
        <f>SUM('1st Qtr'!G27, '2nd Qtr'!G27, '3rd Qtr'!G27, '4th Qtr'!G27)</f>
        <v>575095.42999999993</v>
      </c>
      <c r="H27" s="20">
        <f>SUM('1st Qtr'!H27, '2nd Qtr'!H27, '3rd Qtr'!H27, '4th Qtr'!H27)</f>
        <v>51596.569999999992</v>
      </c>
      <c r="I27" s="19">
        <f t="shared" si="12"/>
        <v>8.9718275104359632E-2</v>
      </c>
      <c r="K27" s="115">
        <f t="shared" si="1"/>
        <v>51596.570000000065</v>
      </c>
    </row>
    <row r="28" spans="1:11" ht="15.6">
      <c r="A28" s="53" t="str">
        <v>Greenfield USD - Fairfield ES</v>
      </c>
      <c r="B28" s="28" t="str">
        <v>CA</v>
      </c>
      <c r="C28" s="24">
        <f>SUM('1st Qtr'!C28, '2nd Qtr'!C28, '3rd Qtr'!C28, '4th Qtr'!C28)</f>
        <v>59459</v>
      </c>
      <c r="D28" s="13">
        <f>SUM('1st Qtr'!D28, '2nd Qtr'!D28, '3rd Qtr'!D28, '4th Qtr'!D28)</f>
        <v>0</v>
      </c>
      <c r="E28" s="13">
        <f t="shared" si="10"/>
        <v>59459</v>
      </c>
      <c r="F28" s="14" t="str">
        <f t="shared" si="11"/>
        <v/>
      </c>
      <c r="G28" s="15">
        <f>SUM('1st Qtr'!G28, '2nd Qtr'!G28, '3rd Qtr'!G28, '4th Qtr'!G28)</f>
        <v>75836.55</v>
      </c>
      <c r="H28" s="15">
        <f>SUM('1st Qtr'!H28, '2nd Qtr'!H28, '3rd Qtr'!H28, '4th Qtr'!H28)</f>
        <v>1817.220000000003</v>
      </c>
      <c r="I28" s="16">
        <f t="shared" si="12"/>
        <v>2.3962324235477523E-2</v>
      </c>
      <c r="K28" s="115">
        <f t="shared" si="1"/>
        <v>-16377.550000000003</v>
      </c>
    </row>
    <row r="29" spans="1:11" ht="15.6">
      <c r="A29" s="52" t="str">
        <v>Greenfield USD - Granite Point ES</v>
      </c>
      <c r="B29" s="30" t="str">
        <v>CA</v>
      </c>
      <c r="C29" s="11">
        <f>SUM('1st Qtr'!C29, '2nd Qtr'!C29, '3rd Qtr'!C29, '4th Qtr'!C29)</f>
        <v>138932</v>
      </c>
      <c r="D29" s="18">
        <f>SUM('1st Qtr'!D29, '2nd Qtr'!D29, '3rd Qtr'!D29, '4th Qtr'!D29)</f>
        <v>0</v>
      </c>
      <c r="E29" s="18">
        <f t="shared" si="10"/>
        <v>138932</v>
      </c>
      <c r="F29" s="19" t="str">
        <f t="shared" si="11"/>
        <v/>
      </c>
      <c r="G29" s="20">
        <f>SUM('1st Qtr'!G29, '2nd Qtr'!G29, '3rd Qtr'!G29, '4th Qtr'!G29)</f>
        <v>151886.95000000001</v>
      </c>
      <c r="H29" s="20">
        <f>SUM('1st Qtr'!H29, '2nd Qtr'!H29, '3rd Qtr'!H29, '4th Qtr'!H29)</f>
        <v>-12954.95</v>
      </c>
      <c r="I29" s="19">
        <f t="shared" si="12"/>
        <v>-8.5293371155323081E-2</v>
      </c>
      <c r="K29" s="115">
        <f t="shared" si="1"/>
        <v>-12954.950000000012</v>
      </c>
    </row>
    <row r="30" spans="1:11" ht="15.6">
      <c r="A30" s="53" t="str">
        <v>Greenfield USD - Greenfield MS</v>
      </c>
      <c r="B30" s="28" t="str">
        <v>CA</v>
      </c>
      <c r="C30" s="24">
        <f>SUM('1st Qtr'!C30, '2nd Qtr'!C30, '3rd Qtr'!C30, '4th Qtr'!C30)</f>
        <v>87514</v>
      </c>
      <c r="D30" s="13">
        <f>SUM('1st Qtr'!D30, '2nd Qtr'!D30, '3rd Qtr'!D30, '4th Qtr'!D30)</f>
        <v>0</v>
      </c>
      <c r="E30" s="13">
        <f t="shared" si="10"/>
        <v>87514</v>
      </c>
      <c r="F30" s="14" t="str">
        <f t="shared" si="11"/>
        <v/>
      </c>
      <c r="G30" s="15">
        <f>SUM('1st Qtr'!G30, '2nd Qtr'!G30, '3rd Qtr'!G30, '4th Qtr'!G30)</f>
        <v>105731.359</v>
      </c>
      <c r="H30" s="15">
        <f>SUM('1st Qtr'!H30, '2nd Qtr'!H30, '3rd Qtr'!H30, '4th Qtr'!H30)</f>
        <v>-8115.7970000000023</v>
      </c>
      <c r="I30" s="16">
        <f t="shared" si="12"/>
        <v>-7.6758655868596204E-2</v>
      </c>
      <c r="K30" s="115">
        <f t="shared" si="1"/>
        <v>-18217.358999999997</v>
      </c>
    </row>
    <row r="31" spans="1:11" ht="15.6">
      <c r="A31" s="52" t="str">
        <v>Greenfield USD - Horizon ES</v>
      </c>
      <c r="B31" s="30" t="str">
        <v>CA</v>
      </c>
      <c r="C31" s="11">
        <f>SUM('1st Qtr'!C31, '2nd Qtr'!C31, '3rd Qtr'!C31, '4th Qtr'!C31)</f>
        <v>148520</v>
      </c>
      <c r="D31" s="18">
        <f>SUM('1st Qtr'!D31, '2nd Qtr'!D31, '3rd Qtr'!D31, '4th Qtr'!D31)</f>
        <v>0</v>
      </c>
      <c r="E31" s="18">
        <f t="shared" si="10"/>
        <v>148520</v>
      </c>
      <c r="F31" s="19" t="str">
        <f t="shared" si="11"/>
        <v/>
      </c>
      <c r="G31" s="20">
        <f>SUM('1st Qtr'!G31, '2nd Qtr'!G31, '3rd Qtr'!G31, '4th Qtr'!G31)</f>
        <v>156575.35999999999</v>
      </c>
      <c r="H31" s="20">
        <f>SUM('1st Qtr'!H31, '2nd Qtr'!H31, '3rd Qtr'!H31, '4th Qtr'!H31)</f>
        <v>-8055.3600000000006</v>
      </c>
      <c r="I31" s="19">
        <f t="shared" si="12"/>
        <v>-5.1447175340998748E-2</v>
      </c>
      <c r="K31" s="115">
        <f t="shared" si="1"/>
        <v>-8055.359999999986</v>
      </c>
    </row>
    <row r="32" spans="1:11" ht="15.6">
      <c r="A32" s="53" t="str">
        <v>Greenfield USD - McKee MS</v>
      </c>
      <c r="B32" s="28" t="str">
        <v>CA</v>
      </c>
      <c r="C32" s="24">
        <f>SUM('1st Qtr'!C32, '2nd Qtr'!C32, '3rd Qtr'!C32, '4th Qtr'!C32)</f>
        <v>75747</v>
      </c>
      <c r="D32" s="13">
        <f>SUM('1st Qtr'!D32, '2nd Qtr'!D32, '3rd Qtr'!D32, '4th Qtr'!D32)</f>
        <v>0</v>
      </c>
      <c r="E32" s="13">
        <f t="shared" si="10"/>
        <v>75747</v>
      </c>
      <c r="F32" s="14" t="str">
        <f t="shared" si="11"/>
        <v/>
      </c>
      <c r="G32" s="15">
        <f>SUM('1st Qtr'!G32, '2nd Qtr'!G32, '3rd Qtr'!G32, '4th Qtr'!G32)</f>
        <v>90457.62</v>
      </c>
      <c r="H32" s="15">
        <f>SUM('1st Qtr'!H32, '2nd Qtr'!H32, '3rd Qtr'!H32, '4th Qtr'!H32)</f>
        <v>-19959.03</v>
      </c>
      <c r="I32" s="16">
        <f t="shared" si="12"/>
        <v>-0.22064509324919226</v>
      </c>
      <c r="K32" s="115">
        <f t="shared" si="1"/>
        <v>-14710.619999999995</v>
      </c>
    </row>
    <row r="33" spans="1:11" ht="15.6">
      <c r="A33" s="52" t="str">
        <v>Greenfield USD - Plantation ES</v>
      </c>
      <c r="B33" s="30" t="str">
        <v>CA</v>
      </c>
      <c r="C33" s="11">
        <f>SUM('1st Qtr'!C33, '2nd Qtr'!C33, '3rd Qtr'!C33, '4th Qtr'!C33)</f>
        <v>72329</v>
      </c>
      <c r="D33" s="18">
        <f>SUM('1st Qtr'!D33, '2nd Qtr'!D33, '3rd Qtr'!D33, '4th Qtr'!D33)</f>
        <v>0</v>
      </c>
      <c r="E33" s="18">
        <f t="shared" si="10"/>
        <v>72329</v>
      </c>
      <c r="F33" s="19" t="str">
        <f t="shared" si="11"/>
        <v/>
      </c>
      <c r="G33" s="20">
        <f>SUM('1st Qtr'!G33, '2nd Qtr'!G33, '3rd Qtr'!G33, '4th Qtr'!G33)</f>
        <v>68421.97</v>
      </c>
      <c r="H33" s="20">
        <f>SUM('1st Qtr'!H33, '2nd Qtr'!H33, '3rd Qtr'!H33, '4th Qtr'!H33)</f>
        <v>3907.0299999999988</v>
      </c>
      <c r="I33" s="19">
        <f t="shared" si="12"/>
        <v>5.7101980548060788E-2</v>
      </c>
      <c r="K33" s="115">
        <f t="shared" si="1"/>
        <v>3907.0299999999988</v>
      </c>
    </row>
    <row r="34" spans="1:11" ht="15.6">
      <c r="A34" s="53" t="str">
        <v>Greenfield USD - Planz ES</v>
      </c>
      <c r="B34" s="28" t="str">
        <v>CA</v>
      </c>
      <c r="C34" s="24">
        <f>SUM('1st Qtr'!C34, '2nd Qtr'!C34, '3rd Qtr'!C34, '4th Qtr'!C34)</f>
        <v>28237</v>
      </c>
      <c r="D34" s="13">
        <f>SUM('1st Qtr'!D34, '2nd Qtr'!D34, '3rd Qtr'!D34, '4th Qtr'!D34)</f>
        <v>0</v>
      </c>
      <c r="E34" s="13">
        <f t="shared" si="10"/>
        <v>28237</v>
      </c>
      <c r="F34" s="14" t="str">
        <f t="shared" si="11"/>
        <v/>
      </c>
      <c r="G34" s="15">
        <f>SUM('1st Qtr'!G34, '2nd Qtr'!G34, '3rd Qtr'!G34, '4th Qtr'!G34)</f>
        <v>96159.01999999999</v>
      </c>
      <c r="H34" s="15">
        <f>SUM('1st Qtr'!H34, '2nd Qtr'!H34, '3rd Qtr'!H34, '4th Qtr'!H34)</f>
        <v>-49805.38</v>
      </c>
      <c r="I34" s="16">
        <f t="shared" si="12"/>
        <v>-0.51794808224959032</v>
      </c>
      <c r="K34" s="115">
        <f t="shared" si="1"/>
        <v>-67922.01999999999</v>
      </c>
    </row>
    <row r="35" spans="1:11" ht="15.6">
      <c r="A35" s="52" t="str">
        <v>Greenfield USD - Raffaello Palla ES</v>
      </c>
      <c r="B35" s="30" t="str">
        <v>CA</v>
      </c>
      <c r="C35" s="11">
        <f>SUM('1st Qtr'!C35, '2nd Qtr'!C35, '3rd Qtr'!C35, '4th Qtr'!C35)</f>
        <v>131102</v>
      </c>
      <c r="D35" s="18">
        <f>SUM('1st Qtr'!D35, '2nd Qtr'!D35, '3rd Qtr'!D35, '4th Qtr'!D35)</f>
        <v>0</v>
      </c>
      <c r="E35" s="18">
        <f t="shared" si="10"/>
        <v>131102</v>
      </c>
      <c r="F35" s="19" t="str">
        <f t="shared" si="11"/>
        <v/>
      </c>
      <c r="G35" s="20">
        <f>SUM('1st Qtr'!G35, '2nd Qtr'!G35, '3rd Qtr'!G35, '4th Qtr'!G35)</f>
        <v>170256.61000000002</v>
      </c>
      <c r="H35" s="20">
        <f>SUM('1st Qtr'!H35, '2nd Qtr'!H35, '3rd Qtr'!H35, '4th Qtr'!H35)</f>
        <v>-39154.61</v>
      </c>
      <c r="I35" s="19">
        <f t="shared" si="12"/>
        <v>-0.22997409615990824</v>
      </c>
      <c r="K35" s="115">
        <f t="shared" si="1"/>
        <v>-39154.610000000015</v>
      </c>
    </row>
    <row r="36" spans="1:11" ht="15.6">
      <c r="A36" s="53" t="str">
        <v>Greenfield USD - Valle Verde ES</v>
      </c>
      <c r="B36" s="28" t="str">
        <v>CA</v>
      </c>
      <c r="C36" s="24">
        <f>SUM('1st Qtr'!C36, '2nd Qtr'!C36, '3rd Qtr'!C36, '4th Qtr'!C36)</f>
        <v>182198</v>
      </c>
      <c r="D36" s="13">
        <f>SUM('1st Qtr'!D36, '2nd Qtr'!D36, '3rd Qtr'!D36, '4th Qtr'!D36)</f>
        <v>0</v>
      </c>
      <c r="E36" s="13">
        <f t="shared" si="10"/>
        <v>182198</v>
      </c>
      <c r="F36" s="14" t="str">
        <f t="shared" si="11"/>
        <v/>
      </c>
      <c r="G36" s="15">
        <f>SUM('1st Qtr'!G36, '2nd Qtr'!G36, '3rd Qtr'!G36, '4th Qtr'!G36)</f>
        <v>140366.84</v>
      </c>
      <c r="H36" s="15">
        <f>SUM('1st Qtr'!H36, '2nd Qtr'!H36, '3rd Qtr'!H36, '4th Qtr'!H36)</f>
        <v>22914.849999999995</v>
      </c>
      <c r="I36" s="16">
        <f t="shared" si="12"/>
        <v>0.16324973904093015</v>
      </c>
      <c r="K36" s="115">
        <f t="shared" si="1"/>
        <v>41831.160000000003</v>
      </c>
    </row>
    <row r="37" spans="1:11" ht="15.6">
      <c r="A37" s="52" t="str">
        <v>Greenfield USD - W.A. Kendrick ES</v>
      </c>
      <c r="B37" s="30" t="str">
        <v>CA</v>
      </c>
      <c r="C37" s="11">
        <f>SUM('1st Qtr'!C37, '2nd Qtr'!C37, '3rd Qtr'!C37, '4th Qtr'!C37)</f>
        <v>15461</v>
      </c>
      <c r="D37" s="18">
        <f>SUM('1st Qtr'!D37, '2nd Qtr'!D37, '3rd Qtr'!D37, '4th Qtr'!D37)</f>
        <v>0</v>
      </c>
      <c r="E37" s="18">
        <f t="shared" si="10"/>
        <v>15461</v>
      </c>
      <c r="F37" s="19" t="str">
        <f t="shared" si="11"/>
        <v/>
      </c>
      <c r="G37" s="20">
        <f>SUM('1st Qtr'!G37, '2nd Qtr'!G37, '3rd Qtr'!G37, '4th Qtr'!G37)</f>
        <v>61404.319999999992</v>
      </c>
      <c r="H37" s="20">
        <f>SUM('1st Qtr'!H37, '2nd Qtr'!H37, '3rd Qtr'!H37, '4th Qtr'!H37)</f>
        <v>-45943.319999999992</v>
      </c>
      <c r="I37" s="19">
        <f t="shared" si="12"/>
        <v>-0.74820989793551984</v>
      </c>
      <c r="K37" s="115">
        <f t="shared" si="1"/>
        <v>-45943.319999999992</v>
      </c>
    </row>
    <row r="38" spans="1:11" ht="15.6">
      <c r="A38" s="53" t="str">
        <v>Muroc Joint USD - Boron HS</v>
      </c>
      <c r="B38" s="28" t="str">
        <v>CA</v>
      </c>
      <c r="C38" s="24">
        <f>SUM('1st Qtr'!C38, '2nd Qtr'!C38, '3rd Qtr'!C38, '4th Qtr'!C38)</f>
        <v>0</v>
      </c>
      <c r="D38" s="13">
        <f>SUM('1st Qtr'!D38, '2nd Qtr'!D38, '3rd Qtr'!D38, '4th Qtr'!D38)</f>
        <v>0</v>
      </c>
      <c r="E38" s="13">
        <f t="shared" si="10"/>
        <v>0</v>
      </c>
      <c r="F38" s="14" t="str">
        <f t="shared" si="11"/>
        <v/>
      </c>
      <c r="G38" s="15">
        <f>SUM('1st Qtr'!G38, '2nd Qtr'!G38, '3rd Qtr'!G38, '4th Qtr'!G38)</f>
        <v>138954.41999999998</v>
      </c>
      <c r="H38" s="15">
        <f>SUM('1st Qtr'!H38, '2nd Qtr'!H38, '3rd Qtr'!H38, '4th Qtr'!H38)</f>
        <v>-161192.28999999998</v>
      </c>
      <c r="I38" s="16">
        <f t="shared" si="12"/>
        <v>-1.160037154629554</v>
      </c>
      <c r="K38" s="115">
        <f t="shared" si="1"/>
        <v>-138954.41999999998</v>
      </c>
    </row>
    <row r="39" spans="1:11" ht="15.6">
      <c r="A39" s="52" t="str">
        <v>Muroc Joint USD - W. Boron ES</v>
      </c>
      <c r="B39" s="30" t="str">
        <v>CA</v>
      </c>
      <c r="C39" s="11">
        <f>SUM('1st Qtr'!C39, '2nd Qtr'!C39, '3rd Qtr'!C39, '4th Qtr'!C39)</f>
        <v>59814</v>
      </c>
      <c r="D39" s="18">
        <f>SUM('1st Qtr'!D39, '2nd Qtr'!D39, '3rd Qtr'!D39, '4th Qtr'!D39)</f>
        <v>0</v>
      </c>
      <c r="E39" s="18">
        <f t="shared" si="10"/>
        <v>59814</v>
      </c>
      <c r="F39" s="19" t="str">
        <f t="shared" si="11"/>
        <v/>
      </c>
      <c r="G39" s="20">
        <f>SUM('1st Qtr'!G39, '2nd Qtr'!G39, '3rd Qtr'!G39, '4th Qtr'!G39)</f>
        <v>59540.55</v>
      </c>
      <c r="H39" s="20">
        <f>SUM('1st Qtr'!H39, '2nd Qtr'!H39, '3rd Qtr'!H39, '4th Qtr'!H39)</f>
        <v>273.44999999999709</v>
      </c>
      <c r="I39" s="19">
        <f t="shared" si="12"/>
        <v>4.5926683579509608E-3</v>
      </c>
      <c r="K39" s="115">
        <f t="shared" si="1"/>
        <v>273.44999999999709</v>
      </c>
    </row>
    <row r="40" spans="1:11" ht="15.6">
      <c r="A40" s="53" t="str">
        <v>Colusa - WTP</v>
      </c>
      <c r="B40" s="28" t="str">
        <v>CA</v>
      </c>
      <c r="C40" s="24">
        <f>SUM('1st Qtr'!C40, '2nd Qtr'!C40, '3rd Qtr'!C40, '4th Qtr'!C40)</f>
        <v>0</v>
      </c>
      <c r="D40" s="13">
        <f>SUM('1st Qtr'!D40, '2nd Qtr'!D40, '3rd Qtr'!D40, '4th Qtr'!D40)</f>
        <v>0</v>
      </c>
      <c r="E40" s="13">
        <f t="shared" si="10"/>
        <v>0</v>
      </c>
      <c r="F40" s="14" t="str">
        <f t="shared" si="11"/>
        <v/>
      </c>
      <c r="G40" s="15">
        <f>SUM('1st Qtr'!G40, '2nd Qtr'!G40, '3rd Qtr'!G40, '4th Qtr'!G40)</f>
        <v>238604.72</v>
      </c>
      <c r="H40" s="15">
        <f>SUM('1st Qtr'!H40, '2nd Qtr'!H40, '3rd Qtr'!H40, '4th Qtr'!H40)</f>
        <v>-201000.43</v>
      </c>
      <c r="I40" s="16">
        <f t="shared" si="12"/>
        <v>-0.84239921993160904</v>
      </c>
      <c r="K40" s="115">
        <f t="shared" si="1"/>
        <v>-238604.72</v>
      </c>
    </row>
    <row r="41" spans="1:11" ht="15.6">
      <c r="A41" s="52" t="str">
        <v>CDCR-North Kern State Prision</v>
      </c>
      <c r="B41" s="30" t="str">
        <v>CA</v>
      </c>
      <c r="C41" s="11">
        <f>SUM('1st Qtr'!C41, '2nd Qtr'!C41, '3rd Qtr'!C41, '4th Qtr'!C41)</f>
        <v>464828</v>
      </c>
      <c r="D41" s="18">
        <f>SUM('1st Qtr'!D41, '2nd Qtr'!D41, '3rd Qtr'!D41, '4th Qtr'!D41)</f>
        <v>0</v>
      </c>
      <c r="E41" s="18">
        <f t="shared" si="10"/>
        <v>464828</v>
      </c>
      <c r="F41" s="19" t="str">
        <f t="shared" si="11"/>
        <v/>
      </c>
      <c r="G41" s="20">
        <f>SUM('1st Qtr'!G41, '2nd Qtr'!G41, '3rd Qtr'!G41, '4th Qtr'!G41)</f>
        <v>730180.48</v>
      </c>
      <c r="H41" s="20">
        <f>SUM('1st Qtr'!H41, '2nd Qtr'!H41, '3rd Qtr'!H41, '4th Qtr'!H41)</f>
        <v>-265352.48000000004</v>
      </c>
      <c r="I41" s="19">
        <f t="shared" si="12"/>
        <v>-0.36340670186088792</v>
      </c>
      <c r="K41" s="115">
        <f t="shared" si="1"/>
        <v>-265352.48</v>
      </c>
    </row>
    <row r="42" spans="1:11" ht="15.6">
      <c r="A42" s="53" t="str">
        <v>Muroc Joint USD - District Office</v>
      </c>
      <c r="B42" s="28" t="str">
        <v>CA</v>
      </c>
      <c r="C42" s="24">
        <f>SUM('1st Qtr'!C42, '2nd Qtr'!C42, '3rd Qtr'!C42, '4th Qtr'!C42)</f>
        <v>30031</v>
      </c>
      <c r="D42" s="13">
        <f>SUM('1st Qtr'!D42, '2nd Qtr'!D42, '3rd Qtr'!D42, '4th Qtr'!D42)</f>
        <v>0</v>
      </c>
      <c r="E42" s="13">
        <f t="shared" si="10"/>
        <v>30031</v>
      </c>
      <c r="F42" s="14" t="str">
        <f t="shared" si="11"/>
        <v/>
      </c>
      <c r="G42" s="15">
        <f>SUM('1st Qtr'!G42, '2nd Qtr'!G42, '3rd Qtr'!G42, '4th Qtr'!G42)</f>
        <v>52000.53</v>
      </c>
      <c r="H42" s="15">
        <f>SUM('1st Qtr'!H42, '2nd Qtr'!H42, '3rd Qtr'!H42, '4th Qtr'!H42)</f>
        <v>-11936.65</v>
      </c>
      <c r="I42" s="16">
        <f t="shared" si="12"/>
        <v>-0.22954862190827671</v>
      </c>
      <c r="K42" s="115">
        <f t="shared" si="1"/>
        <v>-21969.53</v>
      </c>
    </row>
    <row r="43" spans="1:11" ht="15.6">
      <c r="A43" s="52" t="str">
        <v>Whole Foods - Manhattan Beach</v>
      </c>
      <c r="B43" s="30" t="str">
        <v>CA</v>
      </c>
      <c r="C43" s="11">
        <f>SUM('1st Qtr'!C43, '2nd Qtr'!C43, '3rd Qtr'!C43, '4th Qtr'!C43)</f>
        <v>72746</v>
      </c>
      <c r="D43" s="18">
        <f>SUM('1st Qtr'!D43, '2nd Qtr'!D43, '3rd Qtr'!D43, '4th Qtr'!D43)</f>
        <v>0</v>
      </c>
      <c r="E43" s="18">
        <f t="shared" si="10"/>
        <v>72746</v>
      </c>
      <c r="F43" s="19" t="str">
        <f t="shared" si="11"/>
        <v/>
      </c>
      <c r="G43" s="20">
        <f>SUM('1st Qtr'!G43, '2nd Qtr'!G43, '3rd Qtr'!G43, '4th Qtr'!G43)</f>
        <v>93110.9</v>
      </c>
      <c r="H43" s="20">
        <f>SUM('1st Qtr'!H43, '2nd Qtr'!H43, '3rd Qtr'!H43, '4th Qtr'!H43)</f>
        <v>-20364.899999999998</v>
      </c>
      <c r="I43" s="19">
        <f t="shared" si="12"/>
        <v>-0.21871660568204151</v>
      </c>
      <c r="K43" s="115">
        <f t="shared" si="1"/>
        <v>-20364.899999999994</v>
      </c>
    </row>
    <row r="44" spans="1:11" ht="15.6">
      <c r="A44" s="53" t="str">
        <v>Pioneer USD - Frontier ES</v>
      </c>
      <c r="B44" s="28" t="str">
        <v>CA</v>
      </c>
      <c r="C44" s="24">
        <f>SUM('1st Qtr'!C44, '2nd Qtr'!C44, '3rd Qtr'!C44, '4th Qtr'!C44)</f>
        <v>133038</v>
      </c>
      <c r="D44" s="13">
        <f>SUM('1st Qtr'!D44, '2nd Qtr'!D44, '3rd Qtr'!D44, '4th Qtr'!D44)</f>
        <v>0</v>
      </c>
      <c r="E44" s="13">
        <f t="shared" si="10"/>
        <v>133038</v>
      </c>
      <c r="F44" s="14" t="str">
        <f t="shared" si="11"/>
        <v/>
      </c>
      <c r="G44" s="15">
        <f>SUM('1st Qtr'!G44, '2nd Qtr'!G44, '3rd Qtr'!G44, '4th Qtr'!G44)</f>
        <v>136158.02000000002</v>
      </c>
      <c r="H44" s="15">
        <f>SUM('1st Qtr'!H44, '2nd Qtr'!H44, '3rd Qtr'!H44, '4th Qtr'!H44)</f>
        <v>-2329.820000000007</v>
      </c>
      <c r="I44" s="16">
        <f t="shared" si="12"/>
        <v>-1.711114776786565E-2</v>
      </c>
      <c r="K44" s="115">
        <f t="shared" si="1"/>
        <v>-3120.0200000000186</v>
      </c>
    </row>
    <row r="45" spans="1:11" ht="15.6">
      <c r="A45" s="52" t="str">
        <v>Pioneer USD - Pioneer ES</v>
      </c>
      <c r="B45" s="30" t="str">
        <v>CA</v>
      </c>
      <c r="C45" s="11">
        <f>SUM('1st Qtr'!C45, '2nd Qtr'!C45, '3rd Qtr'!C45, '4th Qtr'!C45)</f>
        <v>70068</v>
      </c>
      <c r="D45" s="18">
        <f>SUM('1st Qtr'!D45, '2nd Qtr'!D45, '3rd Qtr'!D45, '4th Qtr'!D45)</f>
        <v>0</v>
      </c>
      <c r="E45" s="18">
        <f t="shared" si="10"/>
        <v>70068</v>
      </c>
      <c r="F45" s="19" t="str">
        <f t="shared" si="11"/>
        <v/>
      </c>
      <c r="G45" s="20">
        <f>SUM('1st Qtr'!G45, '2nd Qtr'!G45, '3rd Qtr'!G45, '4th Qtr'!G45)</f>
        <v>137813.1</v>
      </c>
      <c r="H45" s="20">
        <f>SUM('1st Qtr'!H45, '2nd Qtr'!H45, '3rd Qtr'!H45, '4th Qtr'!H45)</f>
        <v>-67745.100000000006</v>
      </c>
      <c r="I45" s="19">
        <f t="shared" si="12"/>
        <v>-0.49157228159006655</v>
      </c>
      <c r="K45" s="115">
        <f t="shared" si="1"/>
        <v>-67745.100000000006</v>
      </c>
    </row>
    <row r="46" spans="1:11" ht="15.6">
      <c r="A46" s="53" t="str">
        <v>Pioneer USD - Pioneer MS</v>
      </c>
      <c r="B46" s="28" t="str">
        <v>CA</v>
      </c>
      <c r="C46" s="24">
        <f>SUM('1st Qtr'!C46, '2nd Qtr'!C46, '3rd Qtr'!C46, '4th Qtr'!C46)</f>
        <v>185153</v>
      </c>
      <c r="D46" s="13">
        <f>SUM('1st Qtr'!D46, '2nd Qtr'!D46, '3rd Qtr'!D46, '4th Qtr'!D46)</f>
        <v>0</v>
      </c>
      <c r="E46" s="13">
        <f t="shared" si="10"/>
        <v>185153</v>
      </c>
      <c r="F46" s="14" t="str">
        <f t="shared" si="11"/>
        <v/>
      </c>
      <c r="G46" s="15">
        <f>SUM('1st Qtr'!G46, '2nd Qtr'!G46, '3rd Qtr'!G46, '4th Qtr'!G46)</f>
        <v>203108</v>
      </c>
      <c r="H46" s="15">
        <f>SUM('1st Qtr'!H46, '2nd Qtr'!H46, '3rd Qtr'!H46, '4th Qtr'!H46)</f>
        <v>-262.48999999999796</v>
      </c>
      <c r="I46" s="16">
        <f t="shared" si="12"/>
        <v>-1.2923666226834884E-3</v>
      </c>
      <c r="K46" s="115">
        <f t="shared" si="1"/>
        <v>-17955</v>
      </c>
    </row>
    <row r="47" spans="1:11" ht="15.6">
      <c r="A47" s="52" t="str">
        <v>Kingsburg Joint UHSD - Kingsburg HS</v>
      </c>
      <c r="B47" s="30" t="str">
        <v>CA</v>
      </c>
      <c r="C47" s="11">
        <f>SUM('1st Qtr'!C47, '2nd Qtr'!C47, '3rd Qtr'!C47, '4th Qtr'!C47)</f>
        <v>269028</v>
      </c>
      <c r="D47" s="18">
        <f>SUM('1st Qtr'!D47, '2nd Qtr'!D47, '3rd Qtr'!D47, '4th Qtr'!D47)</f>
        <v>0</v>
      </c>
      <c r="E47" s="18">
        <f t="shared" si="10"/>
        <v>269028</v>
      </c>
      <c r="F47" s="19" t="str">
        <f t="shared" si="11"/>
        <v/>
      </c>
      <c r="G47" s="20">
        <f>SUM('1st Qtr'!G47, '2nd Qtr'!G47, '3rd Qtr'!G47, '4th Qtr'!G47)</f>
        <v>322215.12</v>
      </c>
      <c r="H47" s="20">
        <f>SUM('1st Qtr'!H47, '2nd Qtr'!H47, '3rd Qtr'!H47, '4th Qtr'!H47)</f>
        <v>-53187.12</v>
      </c>
      <c r="I47" s="19">
        <f t="shared" si="12"/>
        <v>-0.16506711416894404</v>
      </c>
      <c r="K47" s="115">
        <f t="shared" si="1"/>
        <v>-53187.119999999995</v>
      </c>
    </row>
    <row r="48" spans="1:11" ht="15.6">
      <c r="A48" s="53" t="str">
        <v>CADRB</v>
      </c>
      <c r="B48" s="28" t="str">
        <v>CA</v>
      </c>
      <c r="C48" s="24">
        <f>SUM('1st Qtr'!C48, '2nd Qtr'!C48, '3rd Qtr'!C48, '4th Qtr'!C48)</f>
        <v>0</v>
      </c>
      <c r="D48" s="13">
        <f>SUM('1st Qtr'!D48, '2nd Qtr'!D48, '3rd Qtr'!D48, '4th Qtr'!D48)</f>
        <v>0</v>
      </c>
      <c r="E48" s="13">
        <f t="shared" si="10"/>
        <v>0</v>
      </c>
      <c r="F48" s="14" t="str">
        <f t="shared" si="11"/>
        <v/>
      </c>
      <c r="G48" s="15">
        <f>SUM('1st Qtr'!G48, '2nd Qtr'!G48, '3rd Qtr'!G48, '4th Qtr'!G48)</f>
        <v>2963693.7800000003</v>
      </c>
      <c r="H48" s="15">
        <f>SUM('1st Qtr'!H48, '2nd Qtr'!H48, '3rd Qtr'!H48, '4th Qtr'!H48)</f>
        <v>-3249459</v>
      </c>
      <c r="I48" s="16">
        <f t="shared" si="12"/>
        <v>-1.0964219791965146</v>
      </c>
      <c r="K48" s="115">
        <f t="shared" si="1"/>
        <v>-2963693.7800000003</v>
      </c>
    </row>
    <row r="49" spans="1:11" ht="15.6">
      <c r="A49" s="52" t="str">
        <v>CDCR-CA State Prison LA County</v>
      </c>
      <c r="B49" s="30" t="str">
        <v>CA</v>
      </c>
      <c r="C49" s="11">
        <f>SUM('1st Qtr'!C49, '2nd Qtr'!C49, '3rd Qtr'!C49, '4th Qtr'!C49)</f>
        <v>1211402</v>
      </c>
      <c r="D49" s="18">
        <f>SUM('1st Qtr'!D49, '2nd Qtr'!D49, '3rd Qtr'!D49, '4th Qtr'!D49)</f>
        <v>0</v>
      </c>
      <c r="E49" s="18">
        <f t="shared" si="10"/>
        <v>1211402</v>
      </c>
      <c r="F49" s="19" t="str">
        <f t="shared" si="11"/>
        <v/>
      </c>
      <c r="G49" s="20">
        <f>SUM('1st Qtr'!G49, '2nd Qtr'!G49, '3rd Qtr'!G49, '4th Qtr'!G49)</f>
        <v>2030515.2300000002</v>
      </c>
      <c r="H49" s="20">
        <f>SUM('1st Qtr'!H49, '2nd Qtr'!H49, '3rd Qtr'!H49, '4th Qtr'!H49)</f>
        <v>-819113.23</v>
      </c>
      <c r="I49" s="19">
        <f t="shared" si="12"/>
        <v>-0.40340166766441832</v>
      </c>
      <c r="K49" s="115">
        <f t="shared" si="1"/>
        <v>-819113.23000000021</v>
      </c>
    </row>
    <row r="50" spans="1:11" ht="15.6">
      <c r="A50" s="53" t="str">
        <v>Central USD Akers ES</v>
      </c>
      <c r="B50" s="28" t="str">
        <v>CA</v>
      </c>
      <c r="C50" s="24">
        <f>SUM('1st Qtr'!C50, '2nd Qtr'!C50, '3rd Qtr'!C50, '4th Qtr'!C50)</f>
        <v>211099</v>
      </c>
      <c r="D50" s="13">
        <f>SUM('1st Qtr'!D50, '2nd Qtr'!D50, '3rd Qtr'!D50, '4th Qtr'!D50)</f>
        <v>0</v>
      </c>
      <c r="E50" s="13">
        <f t="shared" si="10"/>
        <v>211099</v>
      </c>
      <c r="F50" s="14" t="str">
        <f t="shared" si="11"/>
        <v/>
      </c>
      <c r="G50" s="15">
        <f>SUM('1st Qtr'!G50, '2nd Qtr'!G50, '3rd Qtr'!G50, '4th Qtr'!G50)</f>
        <v>141602.6</v>
      </c>
      <c r="H50" s="15">
        <f>SUM('1st Qtr'!H50, '2nd Qtr'!H50, '3rd Qtr'!H50, '4th Qtr'!H50)</f>
        <v>62434.639999999985</v>
      </c>
      <c r="I50" s="16">
        <f t="shared" si="12"/>
        <v>0.44091450298228974</v>
      </c>
      <c r="K50" s="115">
        <f t="shared" si="1"/>
        <v>69496.399999999994</v>
      </c>
    </row>
    <row r="51" spans="1:11" ht="15.6">
      <c r="A51" s="52" t="str">
        <v>CUSD - District Office</v>
      </c>
      <c r="B51" s="30" t="str">
        <v>CA</v>
      </c>
      <c r="C51" s="11">
        <f>SUM('1st Qtr'!C51, '2nd Qtr'!C51, '3rd Qtr'!C51, '4th Qtr'!C51)</f>
        <v>94586</v>
      </c>
      <c r="D51" s="18">
        <f>SUM('1st Qtr'!D51, '2nd Qtr'!D51, '3rd Qtr'!D51, '4th Qtr'!D51)</f>
        <v>0</v>
      </c>
      <c r="E51" s="18">
        <f t="shared" si="10"/>
        <v>94586</v>
      </c>
      <c r="F51" s="19" t="str">
        <f t="shared" si="11"/>
        <v/>
      </c>
      <c r="G51" s="20">
        <f>SUM('1st Qtr'!G51, '2nd Qtr'!G51, '3rd Qtr'!G51, '4th Qtr'!G51)</f>
        <v>120503.73</v>
      </c>
      <c r="H51" s="20">
        <f>SUM('1st Qtr'!H51, '2nd Qtr'!H51, '3rd Qtr'!H51, '4th Qtr'!H51)</f>
        <v>-25917.729999999996</v>
      </c>
      <c r="I51" s="19">
        <f t="shared" si="12"/>
        <v>-0.21507823865701084</v>
      </c>
      <c r="K51" s="115">
        <f t="shared" si="1"/>
        <v>-25917.729999999996</v>
      </c>
    </row>
    <row r="52" spans="1:11" ht="15.6">
      <c r="A52" s="53" t="str">
        <v>Parlier - WTP</v>
      </c>
      <c r="B52" s="28" t="str">
        <v>CA</v>
      </c>
      <c r="C52" s="24">
        <f>SUM('1st Qtr'!C52, '2nd Qtr'!C52, '3rd Qtr'!C52, '4th Qtr'!C52)</f>
        <v>194813</v>
      </c>
      <c r="D52" s="13">
        <f>SUM('1st Qtr'!D52, '2nd Qtr'!D52, '3rd Qtr'!D52, '4th Qtr'!D52)</f>
        <v>0</v>
      </c>
      <c r="E52" s="13">
        <f t="shared" si="10"/>
        <v>194813</v>
      </c>
      <c r="F52" s="14" t="str">
        <f t="shared" si="11"/>
        <v/>
      </c>
      <c r="G52" s="15">
        <f>SUM('1st Qtr'!G52, '2nd Qtr'!G52, '3rd Qtr'!G52, '4th Qtr'!G52)</f>
        <v>299509.08999999997</v>
      </c>
      <c r="H52" s="15">
        <f>SUM('1st Qtr'!H52, '2nd Qtr'!H52, '3rd Qtr'!H52, '4th Qtr'!H52)</f>
        <v>-133953.51</v>
      </c>
      <c r="I52" s="16">
        <f t="shared" si="12"/>
        <v>-0.44724355444437436</v>
      </c>
      <c r="K52" s="115">
        <f t="shared" si="1"/>
        <v>-104696.08999999997</v>
      </c>
    </row>
    <row r="53" spans="1:11" ht="15.6">
      <c r="A53" s="52" t="str">
        <v>Snowline SD - Quail Valley MS</v>
      </c>
      <c r="B53" s="30" t="str">
        <v>CA</v>
      </c>
      <c r="C53" s="11">
        <f>SUM('1st Qtr'!C53, '2nd Qtr'!C53, '3rd Qtr'!C53, '4th Qtr'!C53)</f>
        <v>155091</v>
      </c>
      <c r="D53" s="18">
        <f>SUM('1st Qtr'!D53, '2nd Qtr'!D53, '3rd Qtr'!D53, '4th Qtr'!D53)</f>
        <v>0</v>
      </c>
      <c r="E53" s="18">
        <f t="shared" si="10"/>
        <v>155091</v>
      </c>
      <c r="F53" s="19" t="str">
        <f t="shared" si="11"/>
        <v/>
      </c>
      <c r="G53" s="20">
        <f>SUM('1st Qtr'!G53, '2nd Qtr'!G53, '3rd Qtr'!G53, '4th Qtr'!G53)</f>
        <v>178857.71000000002</v>
      </c>
      <c r="H53" s="20">
        <f>SUM('1st Qtr'!H53, '2nd Qtr'!H53, '3rd Qtr'!H53, '4th Qtr'!H53)</f>
        <v>-23766.710000000006</v>
      </c>
      <c r="I53" s="19">
        <f t="shared" si="12"/>
        <v>-0.13288054509923003</v>
      </c>
      <c r="K53" s="115">
        <f t="shared" si="1"/>
        <v>-23766.710000000021</v>
      </c>
    </row>
    <row r="54" spans="1:11" ht="15.6">
      <c r="A54" s="53" t="str">
        <v>Snowline SD - Serrano HS - Middle Lot</v>
      </c>
      <c r="B54" s="28" t="str">
        <v>CA</v>
      </c>
      <c r="C54" s="24">
        <f>SUM('1st Qtr'!C54, '2nd Qtr'!C54, '3rd Qtr'!C54, '4th Qtr'!C54)</f>
        <v>140299</v>
      </c>
      <c r="D54" s="13">
        <f>SUM('1st Qtr'!D54, '2nd Qtr'!D54, '3rd Qtr'!D54, '4th Qtr'!D54)</f>
        <v>0</v>
      </c>
      <c r="E54" s="13">
        <f t="shared" si="10"/>
        <v>140299</v>
      </c>
      <c r="F54" s="14" t="str">
        <f t="shared" si="11"/>
        <v/>
      </c>
      <c r="G54" s="15">
        <f>SUM('1st Qtr'!G54, '2nd Qtr'!G54, '3rd Qtr'!G54, '4th Qtr'!G54)</f>
        <v>195214.67</v>
      </c>
      <c r="H54" s="15">
        <f>SUM('1st Qtr'!H54, '2nd Qtr'!H54, '3rd Qtr'!H54, '4th Qtr'!H54)</f>
        <v>-77779.44</v>
      </c>
      <c r="I54" s="16">
        <f t="shared" si="12"/>
        <v>-0.39843030239479438</v>
      </c>
      <c r="K54" s="115">
        <f t="shared" si="1"/>
        <v>-54915.670000000013</v>
      </c>
    </row>
    <row r="55" spans="1:11" ht="15.6">
      <c r="A55" s="52" t="str">
        <v>Snowline SD - Pinon Hills ES</v>
      </c>
      <c r="B55" s="30" t="str">
        <v>CA</v>
      </c>
      <c r="C55" s="11">
        <f>SUM('1st Qtr'!C55, '2nd Qtr'!C55, '3rd Qtr'!C55, '4th Qtr'!C55)</f>
        <v>56207</v>
      </c>
      <c r="D55" s="18">
        <f>SUM('1st Qtr'!D55, '2nd Qtr'!D55, '3rd Qtr'!D55, '4th Qtr'!D55)</f>
        <v>0</v>
      </c>
      <c r="E55" s="18">
        <f t="shared" si="10"/>
        <v>56207</v>
      </c>
      <c r="F55" s="19" t="str">
        <f t="shared" si="11"/>
        <v/>
      </c>
      <c r="G55" s="20">
        <f>SUM('1st Qtr'!G55, '2nd Qtr'!G55, '3rd Qtr'!G55, '4th Qtr'!G55)</f>
        <v>104628.83</v>
      </c>
      <c r="H55" s="20">
        <f>SUM('1st Qtr'!H55, '2nd Qtr'!H55, '3rd Qtr'!H55, '4th Qtr'!H55)</f>
        <v>-48421.83</v>
      </c>
      <c r="I55" s="19">
        <f t="shared" si="12"/>
        <v>-0.46279624841451444</v>
      </c>
      <c r="K55" s="115">
        <f t="shared" si="1"/>
        <v>-48421.83</v>
      </c>
    </row>
    <row r="56" spans="1:11" ht="15.6">
      <c r="A56" s="53" t="str">
        <v>Ramona - Santa Maria WTP</v>
      </c>
      <c r="B56" s="28" t="str">
        <v>CA</v>
      </c>
      <c r="C56" s="24">
        <f>SUM('1st Qtr'!C56, '2nd Qtr'!C56, '3rd Qtr'!C56, '4th Qtr'!C56)</f>
        <v>301023</v>
      </c>
      <c r="D56" s="13">
        <f>SUM('1st Qtr'!D56, '2nd Qtr'!D56, '3rd Qtr'!D56, '4th Qtr'!D56)</f>
        <v>0</v>
      </c>
      <c r="E56" s="13">
        <f t="shared" si="10"/>
        <v>301023</v>
      </c>
      <c r="F56" s="14" t="str">
        <f t="shared" si="11"/>
        <v/>
      </c>
      <c r="G56" s="15">
        <f>SUM('1st Qtr'!G56, '2nd Qtr'!G56, '3rd Qtr'!G56, '4th Qtr'!G56)</f>
        <v>306706.61</v>
      </c>
      <c r="H56" s="15">
        <f>SUM('1st Qtr'!H56, '2nd Qtr'!H56, '3rd Qtr'!H56, '4th Qtr'!H56)</f>
        <v>-51934.329999999987</v>
      </c>
      <c r="I56" s="16">
        <f t="shared" si="12"/>
        <v>-0.16932902098197358</v>
      </c>
      <c r="K56" s="115">
        <f t="shared" si="1"/>
        <v>-5683.609999999986</v>
      </c>
    </row>
    <row r="57" spans="1:11" ht="15.6">
      <c r="A57" s="52" t="str">
        <v>Kohls - Redding</v>
      </c>
      <c r="B57" s="30" t="str">
        <v>CA</v>
      </c>
      <c r="C57" s="11">
        <f>SUM('1st Qtr'!C57, '2nd Qtr'!C57, '3rd Qtr'!C57, '4th Qtr'!C57)</f>
        <v>101888</v>
      </c>
      <c r="D57" s="18">
        <f>SUM('1st Qtr'!D57, '2nd Qtr'!D57, '3rd Qtr'!D57, '4th Qtr'!D57)</f>
        <v>0</v>
      </c>
      <c r="E57" s="18">
        <f t="shared" si="10"/>
        <v>101888</v>
      </c>
      <c r="F57" s="19" t="str">
        <f t="shared" si="11"/>
        <v/>
      </c>
      <c r="G57" s="20">
        <f>SUM('1st Qtr'!G57, '2nd Qtr'!G57, '3rd Qtr'!G57, '4th Qtr'!G57)</f>
        <v>124543.03</v>
      </c>
      <c r="H57" s="20">
        <f>SUM('1st Qtr'!H57, '2nd Qtr'!H57, '3rd Qtr'!H57, '4th Qtr'!H57)</f>
        <v>-22655.03</v>
      </c>
      <c r="I57" s="19">
        <f t="shared" si="12"/>
        <v>-0.18190524190715449</v>
      </c>
      <c r="K57" s="115">
        <f t="shared" si="1"/>
        <v>-22655.03</v>
      </c>
    </row>
    <row r="58" spans="1:11" ht="15.6">
      <c r="A58" s="53" t="str">
        <v>Kohls - Salinas</v>
      </c>
      <c r="B58" s="28" t="str">
        <v>CA</v>
      </c>
      <c r="C58" s="24">
        <f>SUM('1st Qtr'!C58, '2nd Qtr'!C58, '3rd Qtr'!C58, '4th Qtr'!C58)</f>
        <v>154300</v>
      </c>
      <c r="D58" s="13">
        <f>SUM('1st Qtr'!D58, '2nd Qtr'!D58, '3rd Qtr'!D58, '4th Qtr'!D58)</f>
        <v>0</v>
      </c>
      <c r="E58" s="13">
        <f t="shared" si="10"/>
        <v>154300</v>
      </c>
      <c r="F58" s="14" t="str">
        <f t="shared" si="11"/>
        <v/>
      </c>
      <c r="G58" s="15">
        <f>SUM('1st Qtr'!G58, '2nd Qtr'!G58, '3rd Qtr'!G58, '4th Qtr'!G58)</f>
        <v>298931.88</v>
      </c>
      <c r="H58" s="15">
        <f>SUM('1st Qtr'!H58, '2nd Qtr'!H58, '3rd Qtr'!H58, '4th Qtr'!H58)</f>
        <v>-44845.14</v>
      </c>
      <c r="I58" s="16">
        <f t="shared" si="12"/>
        <v>-0.15001792381595433</v>
      </c>
      <c r="K58" s="115">
        <f t="shared" si="1"/>
        <v>-144631.88</v>
      </c>
    </row>
    <row r="59" spans="1:11" ht="15.6">
      <c r="A59" s="52" t="str">
        <v>Kohls - San Bernardino - Central</v>
      </c>
      <c r="B59" s="30" t="str">
        <v>CA</v>
      </c>
      <c r="C59" s="11">
        <f>SUM('1st Qtr'!C59, '2nd Qtr'!C59, '3rd Qtr'!C59, '4th Qtr'!C59)</f>
        <v>327158</v>
      </c>
      <c r="D59" s="18">
        <f>SUM('1st Qtr'!D59, '2nd Qtr'!D59, '3rd Qtr'!D59, '4th Qtr'!D59)</f>
        <v>0</v>
      </c>
      <c r="E59" s="18">
        <f t="shared" si="10"/>
        <v>327158</v>
      </c>
      <c r="F59" s="19" t="str">
        <f t="shared" si="11"/>
        <v/>
      </c>
      <c r="G59" s="20">
        <f>SUM('1st Qtr'!G59, '2nd Qtr'!G59, '3rd Qtr'!G59, '4th Qtr'!G59)</f>
        <v>686479.94000000006</v>
      </c>
      <c r="H59" s="20">
        <f>SUM('1st Qtr'!H59, '2nd Qtr'!H59, '3rd Qtr'!H59, '4th Qtr'!H59)</f>
        <v>-359321.94000000006</v>
      </c>
      <c r="I59" s="19">
        <f t="shared" si="12"/>
        <v>-0.52342671513460393</v>
      </c>
      <c r="K59" s="115">
        <f t="shared" si="1"/>
        <v>-359321.94000000006</v>
      </c>
    </row>
    <row r="60" spans="1:11" ht="15.6">
      <c r="A60" s="53" t="str">
        <v>Kohls - Sonora</v>
      </c>
      <c r="B60" s="28" t="str">
        <v>CA</v>
      </c>
      <c r="C60" s="24">
        <f>SUM('1st Qtr'!C60, '2nd Qtr'!C60, '3rd Qtr'!C60, '4th Qtr'!C60)</f>
        <v>119185</v>
      </c>
      <c r="D60" s="13">
        <f>SUM('1st Qtr'!D60, '2nd Qtr'!D60, '3rd Qtr'!D60, '4th Qtr'!D60)</f>
        <v>0</v>
      </c>
      <c r="E60" s="13">
        <f t="shared" si="10"/>
        <v>119185</v>
      </c>
      <c r="F60" s="14" t="str">
        <f t="shared" si="11"/>
        <v/>
      </c>
      <c r="G60" s="15">
        <f>SUM('1st Qtr'!G60, '2nd Qtr'!G60, '3rd Qtr'!G60, '4th Qtr'!G60)</f>
        <v>125433.12</v>
      </c>
      <c r="H60" s="15">
        <f>SUM('1st Qtr'!H60, '2nd Qtr'!H60, '3rd Qtr'!H60, '4th Qtr'!H60)</f>
        <v>-14316.509999999997</v>
      </c>
      <c r="I60" s="16">
        <f t="shared" si="12"/>
        <v>-0.11413660124215995</v>
      </c>
      <c r="K60" s="115">
        <f t="shared" si="1"/>
        <v>-6248.1199999999953</v>
      </c>
    </row>
    <row r="61" spans="1:11" ht="15.6">
      <c r="A61" s="52" t="str">
        <v>CUSD - Stratford ES</v>
      </c>
      <c r="B61" s="30" t="str">
        <v>CA</v>
      </c>
      <c r="C61" s="11">
        <f>SUM('1st Qtr'!C61, '2nd Qtr'!C61, '3rd Qtr'!C61, '4th Qtr'!C61)</f>
        <v>111839</v>
      </c>
      <c r="D61" s="18">
        <f>SUM('1st Qtr'!D61, '2nd Qtr'!D61, '3rd Qtr'!D61, '4th Qtr'!D61)</f>
        <v>0</v>
      </c>
      <c r="E61" s="18">
        <f t="shared" si="10"/>
        <v>111839</v>
      </c>
      <c r="F61" s="19" t="str">
        <f t="shared" si="11"/>
        <v/>
      </c>
      <c r="G61" s="20">
        <f>SUM('1st Qtr'!G61, '2nd Qtr'!G61, '3rd Qtr'!G61, '4th Qtr'!G61)</f>
        <v>94443.65</v>
      </c>
      <c r="H61" s="20">
        <f>SUM('1st Qtr'!H61, '2nd Qtr'!H61, '3rd Qtr'!H61, '4th Qtr'!H61)</f>
        <v>17395.349999999999</v>
      </c>
      <c r="I61" s="19">
        <f t="shared" si="12"/>
        <v>0.18418760816635105</v>
      </c>
      <c r="K61" s="115">
        <f t="shared" si="1"/>
        <v>17395.350000000006</v>
      </c>
    </row>
    <row r="62" spans="1:11" ht="15.6">
      <c r="A62" s="53" t="str">
        <v>Taft - City Hall</v>
      </c>
      <c r="B62" s="28" t="str">
        <v>CA</v>
      </c>
      <c r="C62" s="24">
        <f>SUM('1st Qtr'!C62, '2nd Qtr'!C62, '3rd Qtr'!C62, '4th Qtr'!C62)</f>
        <v>6704</v>
      </c>
      <c r="D62" s="13">
        <f>SUM('1st Qtr'!D62, '2nd Qtr'!D62, '3rd Qtr'!D62, '4th Qtr'!D62)</f>
        <v>0</v>
      </c>
      <c r="E62" s="13">
        <f t="shared" si="10"/>
        <v>6704</v>
      </c>
      <c r="F62" s="14" t="str">
        <f t="shared" si="11"/>
        <v/>
      </c>
      <c r="G62" s="15">
        <f>SUM('1st Qtr'!G62, '2nd Qtr'!G62, '3rd Qtr'!G62, '4th Qtr'!G62)</f>
        <v>41910.32</v>
      </c>
      <c r="H62" s="15">
        <f>SUM('1st Qtr'!H62, '2nd Qtr'!H62, '3rd Qtr'!H62, '4th Qtr'!H62)</f>
        <v>-30575.149999999998</v>
      </c>
      <c r="I62" s="16">
        <f t="shared" si="12"/>
        <v>-0.7295374981627436</v>
      </c>
      <c r="K62" s="115">
        <f t="shared" si="1"/>
        <v>-35206.32</v>
      </c>
    </row>
    <row r="63" spans="1:11" ht="15.6">
      <c r="A63" s="52" t="str">
        <v>Taft - Federal Prison</v>
      </c>
      <c r="B63" s="30" t="str">
        <v>CA</v>
      </c>
      <c r="C63" s="11">
        <f>SUM('1st Qtr'!C63, '2nd Qtr'!C63, '3rd Qtr'!C63, '4th Qtr'!C63)</f>
        <v>75287</v>
      </c>
      <c r="D63" s="18">
        <f>SUM('1st Qtr'!D63, '2nd Qtr'!D63, '3rd Qtr'!D63, '4th Qtr'!D63)</f>
        <v>0</v>
      </c>
      <c r="E63" s="18">
        <f t="shared" si="10"/>
        <v>75287</v>
      </c>
      <c r="F63" s="19" t="str">
        <f t="shared" si="11"/>
        <v/>
      </c>
      <c r="G63" s="20">
        <f>SUM('1st Qtr'!G63, '2nd Qtr'!G63, '3rd Qtr'!G63, '4th Qtr'!G63)</f>
        <v>60730.789999999994</v>
      </c>
      <c r="H63" s="20">
        <f>SUM('1st Qtr'!H63, '2nd Qtr'!H63, '3rd Qtr'!H63, '4th Qtr'!H63)</f>
        <v>14556.210000000003</v>
      </c>
      <c r="I63" s="19">
        <f t="shared" si="12"/>
        <v>0.23968418655512311</v>
      </c>
      <c r="K63" s="115">
        <f t="shared" si="1"/>
        <v>14556.210000000006</v>
      </c>
    </row>
    <row r="64" spans="1:11" ht="15.6">
      <c r="A64" s="53" t="str">
        <v>Taft - Police Department</v>
      </c>
      <c r="B64" s="28" t="str">
        <v>CA</v>
      </c>
      <c r="C64" s="24">
        <f>SUM('1st Qtr'!C64, '2nd Qtr'!C64, '3rd Qtr'!C64, '4th Qtr'!C64)</f>
        <v>50570</v>
      </c>
      <c r="D64" s="13">
        <f>SUM('1st Qtr'!D64, '2nd Qtr'!D64, '3rd Qtr'!D64, '4th Qtr'!D64)</f>
        <v>0</v>
      </c>
      <c r="E64" s="13">
        <f t="shared" si="10"/>
        <v>50570</v>
      </c>
      <c r="F64" s="14" t="str">
        <f t="shared" si="11"/>
        <v/>
      </c>
      <c r="G64" s="15">
        <f>SUM('1st Qtr'!G64, '2nd Qtr'!G64, '3rd Qtr'!G64, '4th Qtr'!G64)</f>
        <v>67146.399999999994</v>
      </c>
      <c r="H64" s="15">
        <f>SUM('1st Qtr'!H64, '2nd Qtr'!H64, '3rd Qtr'!H64, '4th Qtr'!H64)</f>
        <v>7850.29</v>
      </c>
      <c r="I64" s="16">
        <f t="shared" si="12"/>
        <v>0.11691304373726664</v>
      </c>
      <c r="K64" s="115">
        <f t="shared" si="1"/>
        <v>-16576.399999999994</v>
      </c>
    </row>
    <row r="65" spans="1:11" ht="15.6">
      <c r="A65" s="52" t="str">
        <v>Taft - WTP</v>
      </c>
      <c r="B65" s="30" t="str">
        <v>CA</v>
      </c>
      <c r="C65" s="11">
        <f>SUM('1st Qtr'!C65, '2nd Qtr'!C65, '3rd Qtr'!C65, '4th Qtr'!C65)</f>
        <v>97649</v>
      </c>
      <c r="D65" s="18">
        <f>SUM('1st Qtr'!D65, '2nd Qtr'!D65, '3rd Qtr'!D65, '4th Qtr'!D65)</f>
        <v>0</v>
      </c>
      <c r="E65" s="18">
        <f t="shared" si="10"/>
        <v>97649</v>
      </c>
      <c r="F65" s="19" t="str">
        <f t="shared" si="11"/>
        <v/>
      </c>
      <c r="G65" s="20">
        <f>SUM('1st Qtr'!G65, '2nd Qtr'!G65, '3rd Qtr'!G65, '4th Qtr'!G65)</f>
        <v>163235.38</v>
      </c>
      <c r="H65" s="20">
        <f>SUM('1st Qtr'!H65, '2nd Qtr'!H65, '3rd Qtr'!H65, '4th Qtr'!H65)</f>
        <v>-65586.38</v>
      </c>
      <c r="I65" s="19">
        <f t="shared" si="12"/>
        <v>-0.40179022464370162</v>
      </c>
      <c r="K65" s="115">
        <f t="shared" si="1"/>
        <v>-65586.38</v>
      </c>
    </row>
    <row r="66" spans="1:11" ht="15.6">
      <c r="A66" s="53" t="str">
        <v>CDCR - CA Correctional Institution</v>
      </c>
      <c r="B66" s="28" t="str">
        <v>CA</v>
      </c>
      <c r="C66" s="24">
        <f>SUM('1st Qtr'!C66, '2nd Qtr'!C66, '3rd Qtr'!C66, '4th Qtr'!C66)</f>
        <v>794537</v>
      </c>
      <c r="D66" s="13">
        <f>SUM('1st Qtr'!D66, '2nd Qtr'!D66, '3rd Qtr'!D66, '4th Qtr'!D66)</f>
        <v>0</v>
      </c>
      <c r="E66" s="13">
        <f t="shared" si="10"/>
        <v>794537</v>
      </c>
      <c r="F66" s="14" t="str">
        <f t="shared" si="11"/>
        <v/>
      </c>
      <c r="G66" s="15">
        <f>SUM('1st Qtr'!G66, '2nd Qtr'!G66, '3rd Qtr'!G66, '4th Qtr'!G66)</f>
        <v>865586.17999999993</v>
      </c>
      <c r="H66" s="15">
        <f>SUM('1st Qtr'!H66, '2nd Qtr'!H66, '3rd Qtr'!H66, '4th Qtr'!H66)</f>
        <v>-10967.98000000001</v>
      </c>
      <c r="I66" s="16">
        <f t="shared" si="12"/>
        <v>-1.2671158867162148E-2</v>
      </c>
      <c r="K66" s="115">
        <f t="shared" si="1"/>
        <v>-71049.179999999935</v>
      </c>
    </row>
    <row r="67" spans="1:11" ht="15.6">
      <c r="A67" s="52" t="str">
        <v>CDCR - CA Correctional Institution II</v>
      </c>
      <c r="B67" s="30" t="str">
        <v>CA</v>
      </c>
      <c r="C67" s="11">
        <f>SUM('1st Qtr'!C67, '2nd Qtr'!C67, '3rd Qtr'!C67, '4th Qtr'!C67)</f>
        <v>677338</v>
      </c>
      <c r="D67" s="18">
        <f>SUM('1st Qtr'!D67, '2nd Qtr'!D67, '3rd Qtr'!D67, '4th Qtr'!D67)</f>
        <v>0</v>
      </c>
      <c r="E67" s="18">
        <f t="shared" si="10"/>
        <v>677338</v>
      </c>
      <c r="F67" s="19" t="str">
        <f t="shared" si="11"/>
        <v/>
      </c>
      <c r="G67" s="20">
        <f>SUM('1st Qtr'!G67, '2nd Qtr'!G67, '3rd Qtr'!G67, '4th Qtr'!G67)</f>
        <v>1214438.6100000001</v>
      </c>
      <c r="H67" s="20">
        <f>SUM('1st Qtr'!H67, '2nd Qtr'!H67, '3rd Qtr'!H67, '4th Qtr'!H67)</f>
        <v>-537100.61</v>
      </c>
      <c r="I67" s="19">
        <f t="shared" si="12"/>
        <v>-0.4422624623240527</v>
      </c>
      <c r="K67" s="115">
        <f t="shared" si="1"/>
        <v>-537100.6100000001</v>
      </c>
    </row>
    <row r="68" spans="1:11" ht="15.6">
      <c r="A68" s="53" t="str">
        <v>Snowline SD - Vista Verde ES</v>
      </c>
      <c r="B68" s="28" t="str">
        <v>CA</v>
      </c>
      <c r="C68" s="24">
        <f>SUM('1st Qtr'!C68, '2nd Qtr'!C68, '3rd Qtr'!C68, '4th Qtr'!C68)</f>
        <v>74084</v>
      </c>
      <c r="D68" s="13">
        <f>SUM('1st Qtr'!D68, '2nd Qtr'!D68, '3rd Qtr'!D68, '4th Qtr'!D68)</f>
        <v>0</v>
      </c>
      <c r="E68" s="13">
        <f t="shared" si="10"/>
        <v>74084</v>
      </c>
      <c r="F68" s="14" t="str">
        <f t="shared" si="11"/>
        <v/>
      </c>
      <c r="G68" s="15">
        <f>SUM('1st Qtr'!G68, '2nd Qtr'!G68, '3rd Qtr'!G68, '4th Qtr'!G68)</f>
        <v>103139.82</v>
      </c>
      <c r="H68" s="15">
        <f>SUM('1st Qtr'!H68, '2nd Qtr'!H68, '3rd Qtr'!H68, '4th Qtr'!H68)</f>
        <v>-57157.73000000001</v>
      </c>
      <c r="I68" s="16">
        <f t="shared" si="12"/>
        <v>-0.5541771354652355</v>
      </c>
      <c r="K68" s="115">
        <f t="shared" si="1"/>
        <v>-29055.820000000007</v>
      </c>
    </row>
    <row r="69" spans="1:11" ht="15.6">
      <c r="A69" s="52" t="str">
        <v>North Stonington</v>
      </c>
      <c r="B69" s="30" t="str">
        <v>CT</v>
      </c>
      <c r="C69" s="11">
        <f>SUM('1st Qtr'!C69, '2nd Qtr'!C69, '3rd Qtr'!C69, '4th Qtr'!C69)</f>
        <v>5747680</v>
      </c>
      <c r="D69" s="18">
        <f>SUM('1st Qtr'!D69, '2nd Qtr'!D69, '3rd Qtr'!D69, '4th Qtr'!D69)</f>
        <v>0</v>
      </c>
      <c r="E69" s="18">
        <f t="shared" si="10"/>
        <v>5747680</v>
      </c>
      <c r="F69" s="19"/>
      <c r="G69" s="20">
        <f>SUM('1st Qtr'!G69, '2nd Qtr'!G69, '3rd Qtr'!G69, '4th Qtr'!G69)</f>
        <v>0</v>
      </c>
      <c r="H69" s="20">
        <f>SUM('1st Qtr'!H69, '2nd Qtr'!H69, '3rd Qtr'!H69, '4th Qtr'!H69)</f>
        <v>2918160</v>
      </c>
      <c r="I69" s="16" t="str">
        <f t="shared" si="12"/>
        <v/>
      </c>
    </row>
    <row r="70" spans="1:11" ht="12.95">
      <c r="A70" s="21"/>
      <c r="B70" s="21"/>
      <c r="C70" s="21"/>
      <c r="D70" s="21"/>
      <c r="E70" s="21"/>
      <c r="F70" s="22"/>
      <c r="G70" s="21"/>
      <c r="H70" s="21"/>
      <c r="I70" s="22"/>
    </row>
    <row r="71" spans="1:11" ht="12.95">
      <c r="A71" s="21"/>
      <c r="B71" s="21"/>
      <c r="C71" s="21"/>
      <c r="D71" s="21"/>
      <c r="E71" s="21"/>
      <c r="F71" s="22"/>
      <c r="G71" s="21"/>
      <c r="H71" s="21"/>
      <c r="I71" s="22"/>
    </row>
    <row r="72" spans="1:11" ht="12.95">
      <c r="A72" s="21"/>
      <c r="B72" s="21"/>
      <c r="C72" s="21"/>
      <c r="D72" s="21"/>
      <c r="E72" s="21"/>
      <c r="F72" s="22"/>
      <c r="G72" s="21"/>
      <c r="H72" s="21"/>
      <c r="I72" s="22"/>
    </row>
    <row r="73" spans="1:11" ht="12.95">
      <c r="A73" s="21"/>
      <c r="B73" s="21"/>
      <c r="C73" s="21"/>
      <c r="D73" s="21"/>
      <c r="E73" s="21"/>
      <c r="F73" s="22"/>
      <c r="G73" s="21"/>
      <c r="H73" s="21"/>
      <c r="I73" s="22"/>
    </row>
    <row r="74" spans="1:11" ht="12.95">
      <c r="A74" s="21"/>
      <c r="B74" s="21"/>
      <c r="C74" s="21"/>
      <c r="D74" s="21"/>
      <c r="E74" s="21"/>
      <c r="F74" s="22"/>
      <c r="G74" s="21"/>
      <c r="H74" s="21"/>
      <c r="I74" s="22"/>
    </row>
    <row r="75" spans="1:11" ht="12.95">
      <c r="A75" s="21"/>
      <c r="B75" s="21"/>
      <c r="C75" s="21"/>
      <c r="D75" s="21"/>
      <c r="E75" s="21"/>
      <c r="F75" s="22"/>
      <c r="G75" s="21"/>
      <c r="H75" s="21"/>
      <c r="I75" s="22"/>
    </row>
    <row r="76" spans="1:11" ht="12.95">
      <c r="A76" s="21"/>
      <c r="B76" s="21"/>
      <c r="C76" s="21"/>
      <c r="D76" s="21"/>
      <c r="E76" s="21"/>
      <c r="F76" s="22"/>
      <c r="G76" s="21"/>
      <c r="H76" s="21"/>
      <c r="I76" s="22"/>
    </row>
    <row r="77" spans="1:11" ht="12.95">
      <c r="A77" s="21"/>
      <c r="B77" s="21"/>
      <c r="C77" s="21"/>
      <c r="D77" s="21"/>
      <c r="E77" s="21"/>
      <c r="F77" s="22"/>
      <c r="G77" s="21"/>
      <c r="H77" s="21"/>
      <c r="I77" s="22"/>
    </row>
    <row r="78" spans="1:11" ht="12.95">
      <c r="A78" s="21"/>
      <c r="B78" s="21"/>
      <c r="C78" s="21"/>
      <c r="D78" s="21"/>
      <c r="E78" s="21"/>
      <c r="F78" s="22"/>
      <c r="G78" s="21"/>
      <c r="H78" s="21"/>
      <c r="I78" s="22"/>
    </row>
    <row r="79" spans="1:11" ht="12.95">
      <c r="A79" s="21"/>
      <c r="B79" s="21"/>
      <c r="C79" s="21"/>
      <c r="D79" s="21"/>
      <c r="E79" s="21"/>
      <c r="F79" s="22"/>
      <c r="G79" s="21"/>
      <c r="H79" s="21"/>
      <c r="I79" s="22"/>
    </row>
    <row r="80" spans="1:11" ht="12.95">
      <c r="A80" s="21"/>
      <c r="B80" s="21"/>
      <c r="C80" s="21"/>
      <c r="D80" s="21"/>
      <c r="E80" s="21"/>
      <c r="F80" s="22"/>
      <c r="G80" s="21"/>
      <c r="H80" s="21"/>
      <c r="I80" s="22"/>
    </row>
    <row r="81" spans="1:9" ht="12.95">
      <c r="A81" s="21"/>
      <c r="B81" s="21"/>
      <c r="C81" s="21"/>
      <c r="D81" s="21"/>
      <c r="E81" s="21"/>
      <c r="F81" s="22"/>
      <c r="G81" s="21"/>
      <c r="H81" s="21"/>
      <c r="I81" s="22"/>
    </row>
    <row r="82" spans="1:9" ht="12.95">
      <c r="A82" s="21"/>
      <c r="B82" s="21"/>
      <c r="C82" s="21"/>
      <c r="D82" s="21"/>
      <c r="E82" s="21"/>
      <c r="F82" s="22"/>
      <c r="G82" s="21"/>
      <c r="H82" s="21"/>
      <c r="I82" s="22"/>
    </row>
    <row r="83" spans="1:9" ht="12.95">
      <c r="A83" s="21"/>
      <c r="B83" s="21"/>
      <c r="C83" s="21"/>
      <c r="D83" s="21"/>
      <c r="E83" s="21"/>
      <c r="F83" s="22"/>
      <c r="G83" s="21"/>
      <c r="H83" s="21"/>
      <c r="I83" s="22"/>
    </row>
    <row r="84" spans="1:9" ht="12.95">
      <c r="A84" s="21"/>
      <c r="B84" s="21"/>
      <c r="C84" s="21"/>
      <c r="D84" s="21"/>
      <c r="E84" s="21"/>
      <c r="F84" s="22"/>
      <c r="G84" s="21"/>
      <c r="H84" s="21"/>
      <c r="I84" s="22"/>
    </row>
    <row r="85" spans="1:9" ht="12.95">
      <c r="A85" s="21"/>
      <c r="B85" s="21"/>
      <c r="C85" s="21"/>
      <c r="D85" s="21"/>
      <c r="E85" s="21"/>
      <c r="F85" s="22"/>
      <c r="G85" s="21"/>
      <c r="H85" s="21"/>
      <c r="I85" s="22"/>
    </row>
    <row r="86" spans="1:9" ht="12.95">
      <c r="A86" s="21"/>
      <c r="B86" s="21"/>
      <c r="C86" s="21"/>
      <c r="D86" s="21"/>
      <c r="E86" s="21"/>
      <c r="F86" s="22"/>
      <c r="G86" s="21"/>
      <c r="H86" s="21"/>
      <c r="I86" s="22"/>
    </row>
    <row r="87" spans="1:9" ht="12.95">
      <c r="A87" s="21"/>
      <c r="B87" s="21"/>
      <c r="C87" s="21"/>
      <c r="D87" s="21"/>
      <c r="E87" s="21"/>
      <c r="F87" s="22"/>
      <c r="G87" s="21"/>
      <c r="H87" s="21"/>
      <c r="I87" s="22"/>
    </row>
    <row r="88" spans="1:9" ht="12.95">
      <c r="A88" s="21"/>
      <c r="B88" s="21"/>
      <c r="C88" s="21"/>
      <c r="D88" s="21"/>
      <c r="E88" s="21"/>
      <c r="F88" s="22"/>
      <c r="G88" s="21"/>
      <c r="H88" s="21"/>
      <c r="I88" s="22"/>
    </row>
    <row r="89" spans="1:9" ht="12.95">
      <c r="A89" s="21"/>
      <c r="B89" s="21"/>
      <c r="C89" s="21"/>
      <c r="D89" s="21"/>
      <c r="E89" s="21"/>
      <c r="F89" s="22"/>
      <c r="G89" s="21"/>
      <c r="H89" s="21"/>
      <c r="I89" s="22"/>
    </row>
    <row r="90" spans="1:9" ht="12.95">
      <c r="A90" s="21"/>
      <c r="B90" s="21"/>
      <c r="C90" s="21"/>
      <c r="D90" s="21"/>
      <c r="E90" s="21"/>
      <c r="F90" s="22"/>
      <c r="G90" s="21"/>
      <c r="H90" s="21"/>
      <c r="I90" s="22"/>
    </row>
    <row r="91" spans="1:9" ht="12.95">
      <c r="A91" s="21"/>
      <c r="B91" s="21"/>
      <c r="C91" s="21"/>
      <c r="D91" s="21"/>
      <c r="E91" s="21"/>
      <c r="F91" s="22"/>
      <c r="G91" s="21"/>
      <c r="H91" s="21"/>
      <c r="I91" s="22"/>
    </row>
    <row r="92" spans="1:9" ht="12.95">
      <c r="A92" s="21"/>
      <c r="B92" s="21"/>
      <c r="C92" s="21"/>
      <c r="D92" s="21"/>
      <c r="E92" s="21"/>
      <c r="F92" s="22"/>
      <c r="G92" s="21"/>
      <c r="H92" s="21"/>
      <c r="I92" s="22"/>
    </row>
    <row r="93" spans="1:9" ht="12.95">
      <c r="A93" s="21"/>
      <c r="B93" s="21"/>
      <c r="C93" s="21"/>
      <c r="D93" s="21"/>
      <c r="E93" s="21"/>
      <c r="F93" s="22"/>
      <c r="G93" s="21"/>
      <c r="H93" s="21"/>
      <c r="I93" s="22"/>
    </row>
    <row r="94" spans="1:9" ht="12.95">
      <c r="A94" s="21"/>
      <c r="B94" s="21"/>
      <c r="C94" s="21"/>
      <c r="D94" s="21"/>
      <c r="E94" s="21"/>
      <c r="F94" s="22"/>
      <c r="G94" s="21"/>
      <c r="H94" s="21"/>
      <c r="I94" s="22"/>
    </row>
    <row r="95" spans="1:9" ht="12.95">
      <c r="A95" s="21"/>
      <c r="B95" s="21"/>
      <c r="C95" s="21"/>
      <c r="D95" s="21"/>
      <c r="E95" s="21"/>
      <c r="F95" s="22"/>
      <c r="G95" s="21"/>
      <c r="H95" s="21"/>
      <c r="I95" s="22"/>
    </row>
    <row r="96" spans="1:9" ht="12.95">
      <c r="A96" s="21"/>
      <c r="B96" s="21"/>
      <c r="C96" s="21"/>
      <c r="D96" s="21"/>
      <c r="E96" s="21"/>
      <c r="F96" s="22"/>
      <c r="G96" s="21"/>
      <c r="H96" s="21"/>
      <c r="I96" s="22"/>
    </row>
    <row r="97" spans="1:9" ht="12.95">
      <c r="A97" s="21"/>
      <c r="B97" s="21"/>
      <c r="C97" s="21"/>
      <c r="D97" s="21"/>
      <c r="E97" s="21"/>
      <c r="F97" s="22"/>
      <c r="G97" s="21"/>
      <c r="H97" s="21"/>
      <c r="I97" s="22"/>
    </row>
    <row r="98" spans="1:9" ht="12.95">
      <c r="A98" s="21"/>
      <c r="B98" s="21"/>
      <c r="C98" s="21"/>
      <c r="D98" s="21"/>
      <c r="E98" s="21"/>
      <c r="F98" s="22"/>
      <c r="G98" s="21"/>
      <c r="H98" s="21"/>
      <c r="I98" s="22"/>
    </row>
    <row r="99" spans="1:9" ht="12.95">
      <c r="A99" s="21"/>
      <c r="B99" s="21"/>
      <c r="C99" s="21"/>
      <c r="D99" s="21"/>
      <c r="E99" s="21"/>
      <c r="F99" s="22"/>
      <c r="G99" s="21"/>
      <c r="H99" s="21"/>
      <c r="I99" s="22"/>
    </row>
    <row r="100" spans="1:9" ht="12.95">
      <c r="A100" s="21"/>
      <c r="B100" s="21"/>
      <c r="C100" s="21"/>
      <c r="D100" s="21"/>
      <c r="E100" s="21"/>
      <c r="F100" s="22"/>
      <c r="G100" s="21"/>
      <c r="H100" s="21"/>
      <c r="I100" s="22"/>
    </row>
    <row r="101" spans="1:9" ht="12.95">
      <c r="A101" s="21"/>
      <c r="B101" s="21"/>
      <c r="C101" s="21"/>
      <c r="D101" s="21"/>
      <c r="E101" s="21"/>
      <c r="F101" s="22"/>
      <c r="G101" s="21"/>
      <c r="H101" s="21"/>
      <c r="I101" s="22"/>
    </row>
    <row r="102" spans="1:9" ht="12.95">
      <c r="A102" s="21"/>
      <c r="B102" s="21"/>
      <c r="C102" s="21"/>
      <c r="D102" s="21"/>
      <c r="E102" s="21"/>
      <c r="F102" s="22"/>
      <c r="G102" s="21"/>
      <c r="H102" s="21"/>
      <c r="I102" s="22"/>
    </row>
    <row r="103" spans="1:9" ht="12.95">
      <c r="A103" s="21"/>
      <c r="B103" s="21"/>
      <c r="C103" s="21"/>
      <c r="D103" s="21"/>
      <c r="E103" s="21"/>
      <c r="F103" s="22"/>
      <c r="G103" s="21"/>
      <c r="H103" s="21"/>
      <c r="I103" s="22"/>
    </row>
    <row r="104" spans="1:9" ht="12.95">
      <c r="A104" s="21"/>
      <c r="B104" s="21"/>
      <c r="C104" s="21"/>
      <c r="D104" s="21"/>
      <c r="E104" s="21"/>
      <c r="F104" s="22"/>
      <c r="G104" s="21"/>
      <c r="H104" s="21"/>
      <c r="I104" s="22"/>
    </row>
    <row r="105" spans="1:9" ht="12.95">
      <c r="A105" s="21"/>
      <c r="B105" s="21"/>
      <c r="C105" s="21"/>
      <c r="D105" s="21"/>
      <c r="E105" s="21"/>
      <c r="F105" s="22"/>
      <c r="G105" s="21"/>
      <c r="H105" s="21"/>
      <c r="I105" s="22"/>
    </row>
    <row r="106" spans="1:9" ht="12.95">
      <c r="A106" s="21"/>
      <c r="B106" s="21"/>
      <c r="C106" s="21"/>
      <c r="D106" s="21"/>
      <c r="E106" s="21"/>
      <c r="F106" s="22"/>
      <c r="G106" s="21"/>
      <c r="H106" s="21"/>
      <c r="I106" s="22"/>
    </row>
    <row r="107" spans="1:9" ht="12.95">
      <c r="A107" s="21"/>
      <c r="B107" s="21"/>
      <c r="C107" s="21"/>
      <c r="D107" s="21"/>
      <c r="E107" s="21"/>
      <c r="F107" s="22"/>
      <c r="G107" s="21"/>
      <c r="H107" s="21"/>
      <c r="I107" s="22"/>
    </row>
    <row r="108" spans="1:9" ht="12.95">
      <c r="A108" s="21"/>
      <c r="B108" s="21"/>
      <c r="C108" s="21"/>
      <c r="D108" s="21"/>
      <c r="E108" s="21"/>
      <c r="F108" s="22"/>
      <c r="G108" s="21"/>
      <c r="H108" s="21"/>
      <c r="I108" s="22"/>
    </row>
    <row r="109" spans="1:9" ht="12.95">
      <c r="A109" s="21"/>
      <c r="B109" s="21"/>
      <c r="C109" s="21"/>
      <c r="D109" s="21"/>
      <c r="E109" s="21"/>
      <c r="F109" s="22"/>
      <c r="G109" s="21"/>
      <c r="H109" s="21"/>
      <c r="I109" s="22"/>
    </row>
    <row r="110" spans="1:9" ht="12.95">
      <c r="A110" s="21"/>
      <c r="B110" s="21"/>
      <c r="C110" s="21"/>
      <c r="D110" s="21"/>
      <c r="E110" s="21"/>
      <c r="F110" s="22"/>
      <c r="G110" s="21"/>
      <c r="H110" s="21"/>
      <c r="I110" s="22"/>
    </row>
    <row r="111" spans="1:9" ht="12.95">
      <c r="A111" s="21"/>
      <c r="B111" s="21"/>
      <c r="C111" s="21"/>
      <c r="D111" s="21"/>
      <c r="E111" s="21"/>
      <c r="F111" s="22"/>
      <c r="G111" s="21"/>
      <c r="H111" s="21"/>
      <c r="I111" s="22"/>
    </row>
    <row r="112" spans="1:9" ht="12.95">
      <c r="A112" s="21"/>
      <c r="B112" s="21"/>
      <c r="C112" s="21"/>
      <c r="D112" s="21"/>
      <c r="E112" s="21"/>
      <c r="F112" s="22"/>
      <c r="G112" s="21"/>
      <c r="H112" s="21"/>
      <c r="I112" s="22"/>
    </row>
    <row r="113" spans="1:9" ht="12.95">
      <c r="A113" s="21"/>
      <c r="B113" s="21"/>
      <c r="C113" s="21"/>
      <c r="D113" s="21"/>
      <c r="E113" s="21"/>
      <c r="F113" s="22"/>
      <c r="G113" s="21"/>
      <c r="H113" s="21"/>
      <c r="I113" s="22"/>
    </row>
    <row r="114" spans="1:9" ht="12.95">
      <c r="A114" s="21"/>
      <c r="B114" s="21"/>
      <c r="C114" s="21"/>
      <c r="D114" s="21"/>
      <c r="E114" s="21"/>
      <c r="F114" s="22"/>
      <c r="G114" s="21"/>
      <c r="H114" s="21"/>
      <c r="I114" s="22"/>
    </row>
    <row r="115" spans="1:9" ht="12.95">
      <c r="A115" s="21"/>
      <c r="B115" s="21"/>
      <c r="C115" s="21"/>
      <c r="D115" s="21"/>
      <c r="E115" s="21"/>
      <c r="F115" s="22"/>
      <c r="G115" s="21"/>
      <c r="H115" s="21"/>
      <c r="I115" s="22"/>
    </row>
    <row r="116" spans="1:9" ht="12.95">
      <c r="A116" s="21"/>
      <c r="B116" s="21"/>
      <c r="C116" s="21"/>
      <c r="D116" s="21"/>
      <c r="E116" s="21"/>
      <c r="F116" s="22"/>
      <c r="G116" s="21"/>
      <c r="H116" s="21"/>
      <c r="I116" s="22"/>
    </row>
    <row r="117" spans="1:9" ht="12.95">
      <c r="A117" s="21"/>
      <c r="B117" s="21"/>
      <c r="C117" s="21"/>
      <c r="D117" s="21"/>
      <c r="E117" s="21"/>
      <c r="F117" s="22"/>
      <c r="G117" s="21"/>
      <c r="H117" s="21"/>
      <c r="I117" s="22"/>
    </row>
    <row r="118" spans="1:9" ht="12.95">
      <c r="A118" s="21"/>
      <c r="B118" s="21"/>
      <c r="C118" s="21"/>
      <c r="D118" s="21"/>
      <c r="E118" s="21"/>
      <c r="F118" s="22"/>
      <c r="G118" s="21"/>
      <c r="H118" s="21"/>
      <c r="I118" s="22"/>
    </row>
    <row r="119" spans="1:9" ht="12.95">
      <c r="A119" s="21"/>
      <c r="B119" s="21"/>
      <c r="C119" s="21"/>
      <c r="D119" s="21"/>
      <c r="E119" s="21"/>
      <c r="F119" s="22"/>
      <c r="G119" s="21"/>
      <c r="H119" s="21"/>
      <c r="I119" s="22"/>
    </row>
    <row r="120" spans="1:9" ht="12.95">
      <c r="A120" s="21"/>
      <c r="B120" s="21"/>
      <c r="C120" s="21"/>
      <c r="D120" s="21"/>
      <c r="E120" s="21"/>
      <c r="F120" s="22"/>
      <c r="G120" s="21"/>
      <c r="H120" s="21"/>
      <c r="I120" s="22"/>
    </row>
    <row r="121" spans="1:9" ht="12.95">
      <c r="A121" s="21"/>
      <c r="B121" s="21"/>
      <c r="C121" s="21"/>
      <c r="D121" s="21"/>
      <c r="E121" s="21"/>
      <c r="F121" s="22"/>
      <c r="G121" s="21"/>
      <c r="H121" s="21"/>
      <c r="I121" s="22"/>
    </row>
    <row r="122" spans="1:9" ht="12.95">
      <c r="A122" s="21"/>
      <c r="B122" s="21"/>
      <c r="C122" s="21"/>
      <c r="D122" s="21"/>
      <c r="E122" s="21"/>
      <c r="F122" s="22"/>
      <c r="G122" s="21"/>
      <c r="H122" s="21"/>
      <c r="I122" s="22"/>
    </row>
    <row r="123" spans="1:9" ht="12.95">
      <c r="A123" s="21"/>
      <c r="B123" s="21"/>
      <c r="C123" s="21"/>
      <c r="D123" s="21"/>
      <c r="E123" s="21"/>
      <c r="F123" s="22"/>
      <c r="G123" s="21"/>
      <c r="H123" s="21"/>
      <c r="I123" s="22"/>
    </row>
    <row r="124" spans="1:9" ht="12.95">
      <c r="A124" s="21"/>
      <c r="B124" s="21"/>
      <c r="C124" s="21"/>
      <c r="D124" s="21"/>
      <c r="E124" s="21"/>
      <c r="F124" s="22"/>
      <c r="G124" s="21"/>
      <c r="H124" s="21"/>
      <c r="I124" s="22"/>
    </row>
    <row r="125" spans="1:9" ht="12.95">
      <c r="A125" s="21"/>
      <c r="B125" s="21"/>
      <c r="C125" s="21"/>
      <c r="D125" s="21"/>
      <c r="E125" s="21"/>
      <c r="F125" s="22"/>
      <c r="G125" s="21"/>
      <c r="H125" s="21"/>
      <c r="I125" s="22"/>
    </row>
    <row r="126" spans="1:9" ht="12.95">
      <c r="A126" s="21"/>
      <c r="B126" s="21"/>
      <c r="C126" s="21"/>
      <c r="D126" s="21"/>
      <c r="E126" s="21"/>
      <c r="F126" s="22"/>
      <c r="G126" s="21"/>
      <c r="H126" s="21"/>
      <c r="I126" s="22"/>
    </row>
    <row r="127" spans="1:9" ht="12.95">
      <c r="A127" s="21"/>
      <c r="B127" s="21"/>
      <c r="C127" s="21"/>
      <c r="D127" s="21"/>
      <c r="E127" s="21"/>
      <c r="F127" s="22"/>
      <c r="G127" s="21"/>
      <c r="H127" s="21"/>
      <c r="I127" s="22"/>
    </row>
    <row r="128" spans="1:9" ht="12.95">
      <c r="A128" s="21"/>
      <c r="B128" s="21"/>
      <c r="C128" s="21"/>
      <c r="D128" s="21"/>
      <c r="E128" s="21"/>
      <c r="F128" s="22"/>
      <c r="G128" s="21"/>
      <c r="H128" s="21"/>
      <c r="I128" s="22"/>
    </row>
    <row r="129" spans="1:9" ht="12.95">
      <c r="A129" s="21"/>
      <c r="B129" s="21"/>
      <c r="C129" s="21"/>
      <c r="D129" s="21"/>
      <c r="E129" s="21"/>
      <c r="F129" s="22"/>
      <c r="G129" s="21"/>
      <c r="H129" s="21"/>
      <c r="I129" s="22"/>
    </row>
    <row r="130" spans="1:9" ht="12.95">
      <c r="A130" s="21"/>
      <c r="B130" s="21"/>
      <c r="C130" s="21"/>
      <c r="D130" s="21"/>
      <c r="E130" s="21"/>
      <c r="F130" s="22"/>
      <c r="G130" s="21"/>
      <c r="H130" s="21"/>
      <c r="I130" s="22"/>
    </row>
    <row r="131" spans="1:9" ht="12.95">
      <c r="A131" s="21"/>
      <c r="B131" s="21"/>
      <c r="C131" s="21"/>
      <c r="D131" s="21"/>
      <c r="E131" s="21"/>
      <c r="F131" s="22"/>
      <c r="G131" s="21"/>
      <c r="H131" s="21"/>
      <c r="I131" s="22"/>
    </row>
    <row r="132" spans="1:9" ht="12.95">
      <c r="A132" s="21"/>
      <c r="B132" s="21"/>
      <c r="C132" s="21"/>
      <c r="D132" s="21"/>
      <c r="E132" s="21"/>
      <c r="F132" s="22"/>
      <c r="G132" s="21"/>
      <c r="H132" s="21"/>
      <c r="I132" s="22"/>
    </row>
    <row r="133" spans="1:9" ht="12.95">
      <c r="A133" s="21"/>
      <c r="B133" s="21"/>
      <c r="C133" s="21"/>
      <c r="D133" s="21"/>
      <c r="E133" s="21"/>
      <c r="F133" s="22"/>
      <c r="G133" s="21"/>
      <c r="H133" s="21"/>
      <c r="I133" s="22"/>
    </row>
    <row r="134" spans="1:9" ht="12.95">
      <c r="A134" s="21"/>
      <c r="B134" s="21"/>
      <c r="C134" s="21"/>
      <c r="D134" s="21"/>
      <c r="E134" s="21"/>
      <c r="F134" s="22"/>
      <c r="G134" s="21"/>
      <c r="H134" s="21"/>
      <c r="I134" s="22"/>
    </row>
    <row r="135" spans="1:9" ht="12.95">
      <c r="A135" s="21"/>
      <c r="B135" s="21"/>
      <c r="C135" s="21"/>
      <c r="D135" s="21"/>
      <c r="E135" s="21"/>
      <c r="F135" s="22"/>
      <c r="G135" s="21"/>
      <c r="H135" s="21"/>
      <c r="I135" s="22"/>
    </row>
    <row r="136" spans="1:9" ht="12.95">
      <c r="A136" s="21"/>
      <c r="B136" s="21"/>
      <c r="C136" s="21"/>
      <c r="D136" s="21"/>
      <c r="E136" s="21"/>
      <c r="F136" s="22"/>
      <c r="G136" s="21"/>
      <c r="H136" s="21"/>
      <c r="I136" s="22"/>
    </row>
    <row r="137" spans="1:9" ht="12.95">
      <c r="A137" s="21"/>
      <c r="B137" s="21"/>
      <c r="C137" s="21"/>
      <c r="D137" s="21"/>
      <c r="E137" s="21"/>
      <c r="F137" s="22"/>
      <c r="G137" s="21"/>
      <c r="H137" s="21"/>
      <c r="I137" s="22"/>
    </row>
    <row r="138" spans="1:9" ht="12.95">
      <c r="A138" s="21"/>
      <c r="B138" s="21"/>
      <c r="C138" s="21"/>
      <c r="D138" s="21"/>
      <c r="E138" s="21"/>
      <c r="F138" s="22"/>
      <c r="G138" s="21"/>
      <c r="H138" s="21"/>
      <c r="I138" s="22"/>
    </row>
    <row r="139" spans="1:9" ht="12.95">
      <c r="A139" s="21"/>
      <c r="B139" s="21"/>
      <c r="C139" s="21"/>
      <c r="D139" s="21"/>
      <c r="E139" s="21"/>
      <c r="F139" s="22"/>
      <c r="G139" s="21"/>
      <c r="H139" s="21"/>
      <c r="I139" s="22"/>
    </row>
    <row r="140" spans="1:9" ht="12.95">
      <c r="A140" s="21"/>
      <c r="B140" s="21"/>
      <c r="C140" s="21"/>
      <c r="D140" s="21"/>
      <c r="E140" s="21"/>
      <c r="F140" s="22"/>
      <c r="G140" s="21"/>
      <c r="H140" s="21"/>
      <c r="I140" s="22"/>
    </row>
    <row r="141" spans="1:9" ht="12.95">
      <c r="A141" s="21"/>
      <c r="B141" s="21"/>
      <c r="C141" s="21"/>
      <c r="D141" s="21"/>
      <c r="E141" s="21"/>
      <c r="F141" s="22"/>
      <c r="G141" s="21"/>
      <c r="H141" s="21"/>
      <c r="I141" s="22"/>
    </row>
    <row r="142" spans="1:9" ht="12.95">
      <c r="A142" s="21"/>
      <c r="B142" s="21"/>
      <c r="C142" s="21"/>
      <c r="D142" s="21"/>
      <c r="E142" s="21"/>
      <c r="F142" s="22"/>
      <c r="G142" s="21"/>
      <c r="H142" s="21"/>
      <c r="I142" s="22"/>
    </row>
    <row r="143" spans="1:9" ht="12.95">
      <c r="A143" s="21"/>
      <c r="B143" s="21"/>
      <c r="C143" s="21"/>
      <c r="D143" s="21"/>
      <c r="E143" s="21"/>
      <c r="F143" s="22"/>
      <c r="G143" s="21"/>
      <c r="H143" s="21"/>
      <c r="I143" s="22"/>
    </row>
    <row r="144" spans="1:9" ht="12.95">
      <c r="A144" s="21"/>
      <c r="B144" s="21"/>
      <c r="C144" s="21"/>
      <c r="D144" s="21"/>
      <c r="E144" s="21"/>
      <c r="F144" s="22"/>
      <c r="G144" s="21"/>
      <c r="H144" s="21"/>
      <c r="I144" s="22"/>
    </row>
    <row r="145" spans="1:9" ht="12.95">
      <c r="A145" s="21"/>
      <c r="B145" s="21"/>
      <c r="C145" s="21"/>
      <c r="D145" s="21"/>
      <c r="E145" s="21"/>
      <c r="F145" s="22"/>
      <c r="G145" s="21"/>
      <c r="H145" s="21"/>
      <c r="I145" s="22"/>
    </row>
    <row r="146" spans="1:9" ht="12.95">
      <c r="A146" s="21"/>
      <c r="B146" s="21"/>
      <c r="C146" s="21"/>
      <c r="D146" s="21"/>
      <c r="E146" s="21"/>
      <c r="F146" s="22"/>
      <c r="G146" s="21"/>
      <c r="H146" s="21"/>
      <c r="I146" s="22"/>
    </row>
    <row r="147" spans="1:9" ht="12.95">
      <c r="A147" s="21"/>
      <c r="B147" s="21"/>
      <c r="C147" s="21"/>
      <c r="D147" s="21"/>
      <c r="E147" s="21"/>
      <c r="F147" s="22"/>
      <c r="G147" s="21"/>
      <c r="H147" s="21"/>
      <c r="I147" s="22"/>
    </row>
    <row r="148" spans="1:9" ht="12.95">
      <c r="A148" s="21"/>
      <c r="B148" s="21"/>
      <c r="C148" s="21"/>
      <c r="D148" s="21"/>
      <c r="E148" s="21"/>
      <c r="F148" s="22"/>
      <c r="G148" s="21"/>
      <c r="H148" s="21"/>
      <c r="I148" s="22"/>
    </row>
    <row r="149" spans="1:9" ht="12.95">
      <c r="A149" s="21"/>
      <c r="B149" s="21"/>
      <c r="C149" s="21"/>
      <c r="D149" s="21"/>
      <c r="E149" s="21"/>
      <c r="F149" s="22"/>
      <c r="G149" s="21"/>
      <c r="H149" s="21"/>
      <c r="I149" s="22"/>
    </row>
    <row r="150" spans="1:9" ht="12.95">
      <c r="A150" s="21"/>
      <c r="B150" s="21"/>
      <c r="C150" s="21"/>
      <c r="D150" s="21"/>
      <c r="E150" s="21"/>
      <c r="F150" s="22"/>
      <c r="G150" s="21"/>
      <c r="H150" s="21"/>
      <c r="I150" s="22"/>
    </row>
    <row r="151" spans="1:9" ht="12.95">
      <c r="A151" s="21"/>
      <c r="B151" s="21"/>
      <c r="C151" s="21"/>
      <c r="D151" s="21"/>
      <c r="E151" s="21"/>
      <c r="F151" s="22"/>
      <c r="G151" s="21"/>
      <c r="H151" s="21"/>
      <c r="I151" s="22"/>
    </row>
    <row r="152" spans="1:9" ht="12.95">
      <c r="A152" s="21"/>
      <c r="B152" s="21"/>
      <c r="C152" s="21"/>
      <c r="D152" s="21"/>
      <c r="E152" s="21"/>
      <c r="F152" s="22"/>
      <c r="G152" s="21"/>
      <c r="H152" s="21"/>
      <c r="I152" s="22"/>
    </row>
    <row r="153" spans="1:9" ht="12.95">
      <c r="A153" s="21"/>
      <c r="B153" s="21"/>
      <c r="C153" s="21"/>
      <c r="D153" s="21"/>
      <c r="E153" s="21"/>
      <c r="F153" s="22"/>
      <c r="G153" s="21"/>
      <c r="H153" s="21"/>
      <c r="I153" s="22"/>
    </row>
    <row r="154" spans="1:9" ht="12.95">
      <c r="A154" s="21"/>
      <c r="B154" s="21"/>
      <c r="C154" s="21"/>
      <c r="D154" s="21"/>
      <c r="E154" s="21"/>
      <c r="F154" s="22"/>
      <c r="G154" s="21"/>
      <c r="H154" s="21"/>
      <c r="I154" s="22"/>
    </row>
    <row r="155" spans="1:9" ht="12.95">
      <c r="A155" s="21"/>
      <c r="B155" s="21"/>
      <c r="C155" s="21"/>
      <c r="D155" s="21"/>
      <c r="E155" s="21"/>
      <c r="F155" s="22"/>
      <c r="G155" s="21"/>
      <c r="H155" s="21"/>
      <c r="I155" s="22"/>
    </row>
    <row r="156" spans="1:9" ht="12.95">
      <c r="A156" s="21"/>
      <c r="B156" s="21"/>
      <c r="C156" s="21"/>
      <c r="D156" s="21"/>
      <c r="E156" s="21"/>
      <c r="F156" s="22"/>
      <c r="G156" s="21"/>
      <c r="H156" s="21"/>
      <c r="I156" s="22"/>
    </row>
    <row r="157" spans="1:9" ht="12.95">
      <c r="A157" s="21"/>
      <c r="B157" s="21"/>
      <c r="C157" s="21"/>
      <c r="D157" s="21"/>
      <c r="E157" s="21"/>
      <c r="F157" s="22"/>
      <c r="G157" s="21"/>
      <c r="H157" s="21"/>
      <c r="I157" s="22"/>
    </row>
    <row r="158" spans="1:9" ht="12.95">
      <c r="A158" s="21"/>
      <c r="B158" s="21"/>
      <c r="C158" s="21"/>
      <c r="D158" s="21"/>
      <c r="E158" s="21"/>
      <c r="F158" s="22"/>
      <c r="G158" s="21"/>
      <c r="H158" s="21"/>
      <c r="I158" s="22"/>
    </row>
    <row r="159" spans="1:9" ht="12.95">
      <c r="A159" s="21"/>
      <c r="B159" s="21"/>
      <c r="C159" s="21"/>
      <c r="D159" s="21"/>
      <c r="E159" s="21"/>
      <c r="F159" s="22"/>
      <c r="G159" s="21"/>
      <c r="H159" s="21"/>
      <c r="I159" s="22"/>
    </row>
    <row r="160" spans="1:9" ht="12.95">
      <c r="A160" s="21"/>
      <c r="B160" s="21"/>
      <c r="C160" s="21"/>
      <c r="D160" s="21"/>
      <c r="E160" s="21"/>
      <c r="F160" s="22"/>
      <c r="G160" s="21"/>
      <c r="H160" s="21"/>
      <c r="I160" s="22"/>
    </row>
    <row r="161" spans="1:9" ht="12.95">
      <c r="A161" s="21"/>
      <c r="B161" s="21"/>
      <c r="C161" s="21"/>
      <c r="D161" s="21"/>
      <c r="E161" s="21"/>
      <c r="F161" s="22"/>
      <c r="G161" s="21"/>
      <c r="H161" s="21"/>
      <c r="I161" s="22"/>
    </row>
    <row r="162" spans="1:9" ht="12.95">
      <c r="A162" s="21"/>
      <c r="B162" s="21"/>
      <c r="C162" s="21"/>
      <c r="D162" s="21"/>
      <c r="E162" s="21"/>
      <c r="F162" s="22"/>
      <c r="G162" s="21"/>
      <c r="H162" s="21"/>
      <c r="I162" s="22"/>
    </row>
    <row r="163" spans="1:9" ht="12.95">
      <c r="A163" s="21"/>
      <c r="B163" s="21"/>
      <c r="C163" s="21"/>
      <c r="D163" s="21"/>
      <c r="E163" s="21"/>
      <c r="F163" s="22"/>
      <c r="G163" s="21"/>
      <c r="H163" s="21"/>
      <c r="I163" s="22"/>
    </row>
    <row r="164" spans="1:9" ht="12.95">
      <c r="A164" s="21"/>
      <c r="B164" s="21"/>
      <c r="C164" s="21"/>
      <c r="D164" s="21"/>
      <c r="E164" s="21"/>
      <c r="F164" s="22"/>
      <c r="G164" s="21"/>
      <c r="H164" s="21"/>
      <c r="I164" s="22"/>
    </row>
    <row r="165" spans="1:9" ht="12.95">
      <c r="A165" s="21"/>
      <c r="B165" s="21"/>
      <c r="C165" s="21"/>
      <c r="D165" s="21"/>
      <c r="E165" s="21"/>
      <c r="F165" s="22"/>
      <c r="G165" s="21"/>
      <c r="H165" s="21"/>
      <c r="I165" s="22"/>
    </row>
    <row r="166" spans="1:9" ht="12.95">
      <c r="A166" s="21"/>
      <c r="B166" s="21"/>
      <c r="C166" s="21"/>
      <c r="D166" s="21"/>
      <c r="E166" s="21"/>
      <c r="F166" s="22"/>
      <c r="G166" s="21"/>
      <c r="H166" s="21"/>
      <c r="I166" s="22"/>
    </row>
    <row r="167" spans="1:9" ht="12.95">
      <c r="A167" s="21"/>
      <c r="B167" s="21"/>
      <c r="C167" s="21"/>
      <c r="D167" s="21"/>
      <c r="E167" s="21"/>
      <c r="F167" s="22"/>
      <c r="G167" s="21"/>
      <c r="H167" s="21"/>
      <c r="I167" s="22"/>
    </row>
    <row r="168" spans="1:9" ht="12.95">
      <c r="A168" s="21"/>
      <c r="B168" s="21"/>
      <c r="C168" s="21"/>
      <c r="D168" s="21"/>
      <c r="E168" s="21"/>
      <c r="F168" s="22"/>
      <c r="G168" s="21"/>
      <c r="H168" s="21"/>
      <c r="I168" s="22"/>
    </row>
    <row r="169" spans="1:9" ht="12.95">
      <c r="A169" s="21"/>
      <c r="B169" s="21"/>
      <c r="C169" s="21"/>
      <c r="D169" s="21"/>
      <c r="E169" s="21"/>
      <c r="F169" s="22"/>
      <c r="G169" s="21"/>
      <c r="H169" s="21"/>
      <c r="I169" s="22"/>
    </row>
    <row r="170" spans="1:9" ht="12.95">
      <c r="A170" s="21"/>
      <c r="B170" s="21"/>
      <c r="C170" s="21"/>
      <c r="D170" s="21"/>
      <c r="E170" s="21"/>
      <c r="F170" s="22"/>
      <c r="G170" s="21"/>
      <c r="H170" s="21"/>
      <c r="I170" s="22"/>
    </row>
    <row r="171" spans="1:9" ht="12.95">
      <c r="A171" s="21"/>
      <c r="B171" s="21"/>
      <c r="C171" s="21"/>
      <c r="D171" s="21"/>
      <c r="E171" s="21"/>
      <c r="F171" s="22"/>
      <c r="G171" s="21"/>
      <c r="H171" s="21"/>
      <c r="I171" s="22"/>
    </row>
    <row r="172" spans="1:9" ht="12.95">
      <c r="A172" s="21"/>
      <c r="B172" s="21"/>
      <c r="C172" s="21"/>
      <c r="D172" s="21"/>
      <c r="E172" s="21"/>
      <c r="F172" s="22"/>
      <c r="G172" s="21"/>
      <c r="H172" s="21"/>
      <c r="I172" s="22"/>
    </row>
    <row r="173" spans="1:9" ht="12.95">
      <c r="A173" s="21"/>
      <c r="B173" s="21"/>
      <c r="C173" s="21"/>
      <c r="D173" s="21"/>
      <c r="E173" s="21"/>
      <c r="F173" s="22"/>
      <c r="G173" s="21"/>
      <c r="H173" s="21"/>
      <c r="I173" s="22"/>
    </row>
    <row r="174" spans="1:9" ht="12.95">
      <c r="A174" s="21"/>
      <c r="B174" s="21"/>
      <c r="C174" s="21"/>
      <c r="D174" s="21"/>
      <c r="E174" s="21"/>
      <c r="F174" s="22"/>
      <c r="G174" s="21"/>
      <c r="H174" s="21"/>
      <c r="I174" s="22"/>
    </row>
    <row r="175" spans="1:9" ht="12.95">
      <c r="A175" s="21"/>
      <c r="B175" s="21"/>
      <c r="C175" s="21"/>
      <c r="D175" s="21"/>
      <c r="E175" s="21"/>
      <c r="F175" s="22"/>
      <c r="G175" s="21"/>
      <c r="H175" s="21"/>
      <c r="I175" s="22"/>
    </row>
    <row r="176" spans="1:9" ht="12.95">
      <c r="A176" s="21"/>
      <c r="B176" s="21"/>
      <c r="C176" s="21"/>
      <c r="D176" s="21"/>
      <c r="E176" s="21"/>
      <c r="F176" s="22"/>
      <c r="G176" s="21"/>
      <c r="H176" s="21"/>
      <c r="I176" s="22"/>
    </row>
    <row r="177" spans="1:9" ht="12.95">
      <c r="A177" s="21"/>
      <c r="B177" s="21"/>
      <c r="C177" s="21"/>
      <c r="D177" s="21"/>
      <c r="E177" s="21"/>
      <c r="F177" s="22"/>
      <c r="G177" s="21"/>
      <c r="H177" s="21"/>
      <c r="I177" s="22"/>
    </row>
    <row r="178" spans="1:9" ht="12.95">
      <c r="A178" s="21"/>
      <c r="B178" s="21"/>
      <c r="C178" s="21"/>
      <c r="D178" s="21"/>
      <c r="E178" s="21"/>
      <c r="F178" s="22"/>
      <c r="G178" s="21"/>
      <c r="H178" s="21"/>
      <c r="I178" s="22"/>
    </row>
    <row r="179" spans="1:9" ht="12.95">
      <c r="A179" s="21"/>
      <c r="B179" s="21"/>
      <c r="C179" s="21"/>
      <c r="D179" s="21"/>
      <c r="E179" s="21"/>
      <c r="F179" s="22"/>
      <c r="G179" s="21"/>
      <c r="H179" s="21"/>
      <c r="I179" s="22"/>
    </row>
    <row r="180" spans="1:9" ht="12.95">
      <c r="A180" s="21"/>
      <c r="B180" s="21"/>
      <c r="C180" s="21"/>
      <c r="D180" s="21"/>
      <c r="E180" s="21"/>
      <c r="F180" s="22"/>
      <c r="G180" s="21"/>
      <c r="H180" s="21"/>
      <c r="I180" s="22"/>
    </row>
    <row r="181" spans="1:9" ht="12.95">
      <c r="A181" s="21"/>
      <c r="B181" s="21"/>
      <c r="C181" s="21"/>
      <c r="D181" s="21"/>
      <c r="E181" s="21"/>
      <c r="F181" s="22"/>
      <c r="G181" s="21"/>
      <c r="H181" s="21"/>
      <c r="I181" s="22"/>
    </row>
    <row r="182" spans="1:9" ht="12.95">
      <c r="A182" s="21"/>
      <c r="B182" s="21"/>
      <c r="C182" s="21"/>
      <c r="D182" s="21"/>
      <c r="E182" s="21"/>
      <c r="F182" s="22"/>
      <c r="G182" s="21"/>
      <c r="H182" s="21"/>
      <c r="I182" s="22"/>
    </row>
    <row r="183" spans="1:9" ht="12.95">
      <c r="A183" s="21"/>
      <c r="B183" s="21"/>
      <c r="C183" s="21"/>
      <c r="D183" s="21"/>
      <c r="E183" s="21"/>
      <c r="F183" s="22"/>
      <c r="G183" s="21"/>
      <c r="H183" s="21"/>
      <c r="I183" s="22"/>
    </row>
    <row r="184" spans="1:9" ht="12.95">
      <c r="A184" s="21"/>
      <c r="B184" s="21"/>
      <c r="C184" s="21"/>
      <c r="D184" s="21"/>
      <c r="E184" s="21"/>
      <c r="F184" s="22"/>
      <c r="G184" s="21"/>
      <c r="H184" s="21"/>
      <c r="I184" s="22"/>
    </row>
    <row r="185" spans="1:9" ht="12.95">
      <c r="A185" s="21"/>
      <c r="B185" s="21"/>
      <c r="C185" s="21"/>
      <c r="D185" s="21"/>
      <c r="E185" s="21"/>
      <c r="F185" s="22"/>
      <c r="G185" s="21"/>
      <c r="H185" s="21"/>
      <c r="I185" s="22"/>
    </row>
    <row r="186" spans="1:9" ht="12.95">
      <c r="A186" s="21"/>
      <c r="B186" s="21"/>
      <c r="C186" s="21"/>
      <c r="D186" s="21"/>
      <c r="E186" s="21"/>
      <c r="F186" s="22"/>
      <c r="G186" s="21"/>
      <c r="H186" s="21"/>
      <c r="I186" s="22"/>
    </row>
    <row r="187" spans="1:9" ht="12.95">
      <c r="A187" s="21"/>
      <c r="B187" s="21"/>
      <c r="C187" s="21"/>
      <c r="D187" s="21"/>
      <c r="E187" s="21"/>
      <c r="F187" s="22"/>
      <c r="G187" s="21"/>
      <c r="H187" s="21"/>
      <c r="I187" s="22"/>
    </row>
    <row r="188" spans="1:9" ht="12.95">
      <c r="A188" s="21"/>
      <c r="B188" s="21"/>
      <c r="C188" s="21"/>
      <c r="D188" s="21"/>
      <c r="E188" s="21"/>
      <c r="F188" s="22"/>
      <c r="G188" s="21"/>
      <c r="H188" s="21"/>
      <c r="I188" s="22"/>
    </row>
    <row r="189" spans="1:9" ht="12.95">
      <c r="A189" s="21"/>
      <c r="B189" s="21"/>
      <c r="C189" s="21"/>
      <c r="D189" s="21"/>
      <c r="E189" s="21"/>
      <c r="F189" s="22"/>
      <c r="G189" s="21"/>
      <c r="H189" s="21"/>
      <c r="I189" s="22"/>
    </row>
    <row r="190" spans="1:9" ht="12.95">
      <c r="A190" s="21"/>
      <c r="B190" s="21"/>
      <c r="C190" s="21"/>
      <c r="D190" s="21"/>
      <c r="E190" s="21"/>
      <c r="F190" s="22"/>
      <c r="G190" s="21"/>
      <c r="H190" s="21"/>
      <c r="I190" s="22"/>
    </row>
    <row r="191" spans="1:9" ht="12.95">
      <c r="A191" s="21"/>
      <c r="B191" s="21"/>
      <c r="C191" s="21"/>
      <c r="D191" s="21"/>
      <c r="E191" s="21"/>
      <c r="F191" s="22"/>
      <c r="G191" s="21"/>
      <c r="H191" s="21"/>
      <c r="I191" s="22"/>
    </row>
    <row r="192" spans="1:9" ht="12.95">
      <c r="A192" s="21"/>
      <c r="B192" s="21"/>
      <c r="C192" s="21"/>
      <c r="D192" s="21"/>
      <c r="E192" s="21"/>
      <c r="F192" s="22"/>
      <c r="G192" s="21"/>
      <c r="H192" s="21"/>
      <c r="I192" s="22"/>
    </row>
    <row r="193" spans="1:9" ht="12.95">
      <c r="A193" s="21"/>
      <c r="B193" s="21"/>
      <c r="C193" s="21"/>
      <c r="D193" s="21"/>
      <c r="E193" s="21"/>
      <c r="F193" s="22"/>
      <c r="G193" s="21"/>
      <c r="H193" s="21"/>
      <c r="I193" s="22"/>
    </row>
    <row r="194" spans="1:9" ht="12.95">
      <c r="A194" s="21"/>
      <c r="B194" s="21"/>
      <c r="C194" s="21"/>
      <c r="D194" s="21"/>
      <c r="E194" s="21"/>
      <c r="F194" s="22"/>
      <c r="G194" s="21"/>
      <c r="H194" s="21"/>
      <c r="I194" s="22"/>
    </row>
    <row r="195" spans="1:9" ht="12.95">
      <c r="A195" s="21"/>
      <c r="B195" s="21"/>
      <c r="C195" s="21"/>
      <c r="D195" s="21"/>
      <c r="E195" s="21"/>
      <c r="F195" s="22"/>
      <c r="G195" s="21"/>
      <c r="H195" s="21"/>
      <c r="I195" s="22"/>
    </row>
    <row r="196" spans="1:9" ht="12.95">
      <c r="A196" s="21"/>
      <c r="B196" s="21"/>
      <c r="C196" s="21"/>
      <c r="D196" s="21"/>
      <c r="E196" s="21"/>
      <c r="F196" s="22"/>
      <c r="G196" s="21"/>
      <c r="H196" s="21"/>
      <c r="I196" s="22"/>
    </row>
    <row r="197" spans="1:9" ht="12.95">
      <c r="A197" s="21"/>
      <c r="B197" s="21"/>
      <c r="C197" s="21"/>
      <c r="D197" s="21"/>
      <c r="E197" s="21"/>
      <c r="F197" s="22"/>
      <c r="G197" s="21"/>
      <c r="H197" s="21"/>
      <c r="I197" s="22"/>
    </row>
    <row r="198" spans="1:9" ht="12.95">
      <c r="A198" s="21"/>
      <c r="B198" s="21"/>
      <c r="C198" s="21"/>
      <c r="D198" s="21"/>
      <c r="E198" s="21"/>
      <c r="F198" s="22"/>
      <c r="G198" s="21"/>
      <c r="H198" s="21"/>
      <c r="I198" s="22"/>
    </row>
    <row r="199" spans="1:9" ht="12.95">
      <c r="A199" s="21"/>
      <c r="B199" s="21"/>
      <c r="C199" s="21"/>
      <c r="D199" s="21"/>
      <c r="E199" s="21"/>
      <c r="F199" s="22"/>
      <c r="G199" s="21"/>
      <c r="H199" s="21"/>
      <c r="I199" s="22"/>
    </row>
    <row r="200" spans="1:9" ht="12.95">
      <c r="A200" s="21"/>
      <c r="B200" s="21"/>
      <c r="C200" s="21"/>
      <c r="D200" s="21"/>
      <c r="E200" s="21"/>
      <c r="F200" s="22"/>
      <c r="G200" s="21"/>
      <c r="H200" s="21"/>
      <c r="I200" s="22"/>
    </row>
    <row r="201" spans="1:9" ht="12.95">
      <c r="A201" s="21"/>
      <c r="B201" s="21"/>
      <c r="C201" s="21"/>
      <c r="D201" s="21"/>
      <c r="E201" s="21"/>
      <c r="F201" s="22"/>
      <c r="G201" s="21"/>
      <c r="H201" s="21"/>
      <c r="I201" s="22"/>
    </row>
    <row r="202" spans="1:9" ht="12.95">
      <c r="A202" s="21"/>
      <c r="B202" s="21"/>
      <c r="C202" s="21"/>
      <c r="D202" s="21"/>
      <c r="E202" s="21"/>
      <c r="F202" s="22"/>
      <c r="G202" s="21"/>
      <c r="H202" s="21"/>
      <c r="I202" s="22"/>
    </row>
    <row r="203" spans="1:9" ht="12.95">
      <c r="A203" s="21"/>
      <c r="B203" s="21"/>
      <c r="C203" s="21"/>
      <c r="D203" s="21"/>
      <c r="E203" s="21"/>
      <c r="F203" s="22"/>
      <c r="G203" s="21"/>
      <c r="H203" s="21"/>
      <c r="I203" s="22"/>
    </row>
    <row r="204" spans="1:9" ht="12.95">
      <c r="A204" s="21"/>
      <c r="B204" s="21"/>
      <c r="C204" s="21"/>
      <c r="D204" s="21"/>
      <c r="E204" s="21"/>
      <c r="F204" s="22"/>
      <c r="G204" s="21"/>
      <c r="H204" s="21"/>
      <c r="I204" s="22"/>
    </row>
    <row r="205" spans="1:9" ht="12.95">
      <c r="A205" s="21"/>
      <c r="B205" s="21"/>
      <c r="C205" s="21"/>
      <c r="D205" s="21"/>
      <c r="E205" s="21"/>
      <c r="F205" s="22"/>
      <c r="G205" s="21"/>
      <c r="H205" s="21"/>
      <c r="I205" s="22"/>
    </row>
    <row r="206" spans="1:9" ht="12.95">
      <c r="A206" s="21"/>
      <c r="B206" s="21"/>
      <c r="C206" s="21"/>
      <c r="D206" s="21"/>
      <c r="E206" s="21"/>
      <c r="F206" s="22"/>
      <c r="G206" s="21"/>
      <c r="H206" s="21"/>
      <c r="I206" s="22"/>
    </row>
    <row r="207" spans="1:9" ht="12.95">
      <c r="A207" s="21"/>
      <c r="B207" s="21"/>
      <c r="C207" s="21"/>
      <c r="D207" s="21"/>
      <c r="E207" s="21"/>
      <c r="F207" s="22"/>
      <c r="G207" s="21"/>
      <c r="H207" s="21"/>
      <c r="I207" s="22"/>
    </row>
    <row r="208" spans="1:9" ht="12.95">
      <c r="A208" s="21"/>
      <c r="B208" s="21"/>
      <c r="C208" s="21"/>
      <c r="D208" s="21"/>
      <c r="E208" s="21"/>
      <c r="F208" s="22"/>
      <c r="G208" s="21"/>
      <c r="H208" s="21"/>
      <c r="I208" s="22"/>
    </row>
    <row r="209" spans="1:9" ht="12.95">
      <c r="A209" s="21"/>
      <c r="B209" s="21"/>
      <c r="C209" s="21"/>
      <c r="D209" s="21"/>
      <c r="E209" s="21"/>
      <c r="F209" s="22"/>
      <c r="G209" s="21"/>
      <c r="H209" s="21"/>
      <c r="I209" s="22"/>
    </row>
    <row r="210" spans="1:9" ht="12.95">
      <c r="A210" s="21"/>
      <c r="B210" s="21"/>
      <c r="C210" s="21"/>
      <c r="D210" s="21"/>
      <c r="E210" s="21"/>
      <c r="F210" s="22"/>
      <c r="G210" s="21"/>
      <c r="H210" s="21"/>
      <c r="I210" s="22"/>
    </row>
    <row r="211" spans="1:9" ht="12.95">
      <c r="A211" s="21"/>
      <c r="B211" s="21"/>
      <c r="C211" s="21"/>
      <c r="D211" s="21"/>
      <c r="E211" s="21"/>
      <c r="F211" s="22"/>
      <c r="G211" s="21"/>
      <c r="H211" s="21"/>
      <c r="I211" s="22"/>
    </row>
    <row r="212" spans="1:9" ht="12.95">
      <c r="A212" s="21"/>
      <c r="B212" s="21"/>
      <c r="C212" s="21"/>
      <c r="D212" s="21"/>
      <c r="E212" s="21"/>
      <c r="F212" s="22"/>
      <c r="G212" s="21"/>
      <c r="H212" s="21"/>
      <c r="I212" s="22"/>
    </row>
    <row r="213" spans="1:9" ht="12.95">
      <c r="A213" s="21"/>
      <c r="B213" s="21"/>
      <c r="C213" s="21"/>
      <c r="D213" s="21"/>
      <c r="E213" s="21"/>
      <c r="F213" s="22"/>
      <c r="G213" s="21"/>
      <c r="H213" s="21"/>
      <c r="I213" s="22"/>
    </row>
    <row r="214" spans="1:9" ht="12.95">
      <c r="A214" s="21"/>
      <c r="B214" s="21"/>
      <c r="C214" s="21"/>
      <c r="D214" s="21"/>
      <c r="E214" s="21"/>
      <c r="F214" s="22"/>
      <c r="G214" s="21"/>
      <c r="H214" s="21"/>
      <c r="I214" s="22"/>
    </row>
    <row r="215" spans="1:9" ht="12.95">
      <c r="A215" s="21"/>
      <c r="B215" s="21"/>
      <c r="C215" s="21"/>
      <c r="D215" s="21"/>
      <c r="E215" s="21"/>
      <c r="F215" s="22"/>
      <c r="G215" s="21"/>
      <c r="H215" s="21"/>
      <c r="I215" s="22"/>
    </row>
    <row r="216" spans="1:9" ht="12.95">
      <c r="A216" s="21"/>
      <c r="B216" s="21"/>
      <c r="C216" s="21"/>
      <c r="D216" s="21"/>
      <c r="E216" s="21"/>
      <c r="F216" s="22"/>
      <c r="G216" s="21"/>
      <c r="H216" s="21"/>
      <c r="I216" s="22"/>
    </row>
    <row r="217" spans="1:9" ht="12.95">
      <c r="A217" s="21"/>
      <c r="B217" s="21"/>
      <c r="C217" s="21"/>
      <c r="D217" s="21"/>
      <c r="E217" s="21"/>
      <c r="F217" s="22"/>
      <c r="G217" s="21"/>
      <c r="H217" s="21"/>
      <c r="I217" s="22"/>
    </row>
    <row r="218" spans="1:9" ht="12.95">
      <c r="A218" s="21"/>
      <c r="B218" s="21"/>
      <c r="C218" s="21"/>
      <c r="D218" s="21"/>
      <c r="E218" s="21"/>
      <c r="F218" s="22"/>
      <c r="G218" s="21"/>
      <c r="H218" s="21"/>
      <c r="I218" s="22"/>
    </row>
    <row r="219" spans="1:9" ht="12.95">
      <c r="A219" s="21"/>
      <c r="B219" s="21"/>
      <c r="C219" s="21"/>
      <c r="D219" s="21"/>
      <c r="E219" s="21"/>
      <c r="F219" s="22"/>
      <c r="G219" s="21"/>
      <c r="H219" s="21"/>
      <c r="I219" s="22"/>
    </row>
    <row r="220" spans="1:9" ht="12.95">
      <c r="A220" s="21"/>
      <c r="B220" s="21"/>
      <c r="C220" s="21"/>
      <c r="D220" s="21"/>
      <c r="E220" s="21"/>
      <c r="F220" s="22"/>
      <c r="G220" s="21"/>
      <c r="H220" s="21"/>
      <c r="I220" s="22"/>
    </row>
    <row r="221" spans="1:9" ht="12.95">
      <c r="A221" s="21"/>
      <c r="B221" s="21"/>
      <c r="C221" s="21"/>
      <c r="D221" s="21"/>
      <c r="E221" s="21"/>
      <c r="F221" s="22"/>
      <c r="G221" s="21"/>
      <c r="H221" s="21"/>
      <c r="I221" s="22"/>
    </row>
    <row r="222" spans="1:9" ht="12.95">
      <c r="A222" s="21"/>
      <c r="B222" s="21"/>
      <c r="C222" s="21"/>
      <c r="D222" s="21"/>
      <c r="E222" s="21"/>
      <c r="F222" s="22"/>
      <c r="G222" s="21"/>
      <c r="H222" s="21"/>
      <c r="I222" s="22"/>
    </row>
    <row r="223" spans="1:9" ht="12.95">
      <c r="A223" s="21"/>
      <c r="B223" s="21"/>
      <c r="C223" s="21"/>
      <c r="D223" s="21"/>
      <c r="E223" s="21"/>
      <c r="F223" s="22"/>
      <c r="G223" s="21"/>
      <c r="H223" s="21"/>
      <c r="I223" s="22"/>
    </row>
    <row r="224" spans="1:9" ht="12.95">
      <c r="A224" s="21"/>
      <c r="B224" s="21"/>
      <c r="C224" s="21"/>
      <c r="D224" s="21"/>
      <c r="E224" s="21"/>
      <c r="F224" s="22"/>
      <c r="G224" s="21"/>
      <c r="H224" s="21"/>
      <c r="I224" s="22"/>
    </row>
    <row r="225" spans="1:9" ht="12.95">
      <c r="A225" s="21"/>
      <c r="B225" s="21"/>
      <c r="C225" s="21"/>
      <c r="D225" s="21"/>
      <c r="E225" s="21"/>
      <c r="F225" s="22"/>
      <c r="G225" s="21"/>
      <c r="H225" s="21"/>
      <c r="I225" s="22"/>
    </row>
    <row r="226" spans="1:9" ht="12.95">
      <c r="A226" s="21"/>
      <c r="B226" s="21"/>
      <c r="C226" s="21"/>
      <c r="D226" s="21"/>
      <c r="E226" s="21"/>
      <c r="F226" s="22"/>
      <c r="G226" s="21"/>
      <c r="H226" s="21"/>
      <c r="I226" s="22"/>
    </row>
    <row r="227" spans="1:9" ht="12.95">
      <c r="A227" s="21"/>
      <c r="B227" s="21"/>
      <c r="C227" s="21"/>
      <c r="D227" s="21"/>
      <c r="E227" s="21"/>
      <c r="F227" s="22"/>
      <c r="G227" s="21"/>
      <c r="H227" s="21"/>
      <c r="I227" s="22"/>
    </row>
    <row r="228" spans="1:9" ht="12.95">
      <c r="A228" s="21"/>
      <c r="B228" s="21"/>
      <c r="C228" s="21"/>
      <c r="D228" s="21"/>
      <c r="E228" s="21"/>
      <c r="F228" s="22"/>
      <c r="G228" s="21"/>
      <c r="H228" s="21"/>
      <c r="I228" s="22"/>
    </row>
    <row r="229" spans="1:9" ht="12.95">
      <c r="A229" s="21"/>
      <c r="B229" s="21"/>
      <c r="C229" s="21"/>
      <c r="D229" s="21"/>
      <c r="E229" s="21"/>
      <c r="F229" s="22"/>
      <c r="G229" s="21"/>
      <c r="H229" s="21"/>
      <c r="I229" s="22"/>
    </row>
    <row r="230" spans="1:9" ht="12.95">
      <c r="A230" s="21"/>
      <c r="B230" s="21"/>
      <c r="C230" s="21"/>
      <c r="D230" s="21"/>
      <c r="E230" s="21"/>
      <c r="F230" s="22"/>
      <c r="G230" s="21"/>
      <c r="H230" s="21"/>
      <c r="I230" s="22"/>
    </row>
    <row r="231" spans="1:9" ht="12.95">
      <c r="A231" s="21"/>
      <c r="B231" s="21"/>
      <c r="C231" s="21"/>
      <c r="D231" s="21"/>
      <c r="E231" s="21"/>
      <c r="F231" s="22"/>
      <c r="G231" s="21"/>
      <c r="H231" s="21"/>
      <c r="I231" s="22"/>
    </row>
    <row r="232" spans="1:9" ht="12.95">
      <c r="A232" s="21"/>
      <c r="B232" s="21"/>
      <c r="C232" s="21"/>
      <c r="D232" s="21"/>
      <c r="E232" s="21"/>
      <c r="F232" s="22"/>
      <c r="G232" s="21"/>
      <c r="H232" s="21"/>
      <c r="I232" s="22"/>
    </row>
    <row r="233" spans="1:9" ht="12.95">
      <c r="A233" s="21"/>
      <c r="B233" s="21"/>
      <c r="C233" s="21"/>
      <c r="D233" s="21"/>
      <c r="E233" s="21"/>
      <c r="F233" s="22"/>
      <c r="G233" s="21"/>
      <c r="H233" s="21"/>
      <c r="I233" s="22"/>
    </row>
    <row r="234" spans="1:9" ht="12.95">
      <c r="A234" s="21"/>
      <c r="B234" s="21"/>
      <c r="C234" s="21"/>
      <c r="D234" s="21"/>
      <c r="E234" s="21"/>
      <c r="F234" s="22"/>
      <c r="G234" s="21"/>
      <c r="H234" s="21"/>
      <c r="I234" s="22"/>
    </row>
    <row r="235" spans="1:9" ht="12.95">
      <c r="A235" s="21"/>
      <c r="B235" s="21"/>
      <c r="C235" s="21"/>
      <c r="D235" s="21"/>
      <c r="E235" s="21"/>
      <c r="F235" s="22"/>
      <c r="G235" s="21"/>
      <c r="H235" s="21"/>
      <c r="I235" s="22"/>
    </row>
    <row r="236" spans="1:9" ht="12.95">
      <c r="A236" s="21"/>
      <c r="B236" s="21"/>
      <c r="C236" s="21"/>
      <c r="D236" s="21"/>
      <c r="E236" s="21"/>
      <c r="F236" s="22"/>
      <c r="G236" s="21"/>
      <c r="H236" s="21"/>
      <c r="I236" s="22"/>
    </row>
    <row r="237" spans="1:9" ht="12.95">
      <c r="A237" s="21"/>
      <c r="B237" s="21"/>
      <c r="C237" s="21"/>
      <c r="D237" s="21"/>
      <c r="E237" s="21"/>
      <c r="F237" s="22"/>
      <c r="G237" s="21"/>
      <c r="H237" s="21"/>
      <c r="I237" s="22"/>
    </row>
    <row r="238" spans="1:9" ht="12.95">
      <c r="A238" s="21"/>
      <c r="B238" s="21"/>
      <c r="C238" s="21"/>
      <c r="D238" s="21"/>
      <c r="E238" s="21"/>
      <c r="F238" s="22"/>
      <c r="G238" s="21"/>
      <c r="H238" s="21"/>
      <c r="I238" s="22"/>
    </row>
    <row r="239" spans="1:9" ht="12.95">
      <c r="A239" s="21"/>
      <c r="B239" s="21"/>
      <c r="C239" s="21"/>
      <c r="D239" s="21"/>
      <c r="E239" s="21"/>
      <c r="F239" s="22"/>
      <c r="G239" s="21"/>
      <c r="H239" s="21"/>
      <c r="I239" s="22"/>
    </row>
    <row r="240" spans="1:9" ht="12.95">
      <c r="A240" s="21"/>
      <c r="B240" s="21"/>
      <c r="C240" s="21"/>
      <c r="D240" s="21"/>
      <c r="E240" s="21"/>
      <c r="F240" s="22"/>
      <c r="G240" s="21"/>
      <c r="H240" s="21"/>
      <c r="I240" s="22"/>
    </row>
    <row r="241" spans="1:9" ht="12.95">
      <c r="A241" s="21"/>
      <c r="B241" s="21"/>
      <c r="C241" s="21"/>
      <c r="D241" s="21"/>
      <c r="E241" s="21"/>
      <c r="F241" s="22"/>
      <c r="G241" s="21"/>
      <c r="H241" s="21"/>
      <c r="I241" s="22"/>
    </row>
    <row r="242" spans="1:9" ht="12.95">
      <c r="A242" s="21"/>
      <c r="B242" s="21"/>
      <c r="C242" s="21"/>
      <c r="D242" s="21"/>
      <c r="E242" s="21"/>
      <c r="F242" s="22"/>
      <c r="G242" s="21"/>
      <c r="H242" s="21"/>
      <c r="I242" s="22"/>
    </row>
    <row r="243" spans="1:9" ht="12.95">
      <c r="A243" s="21"/>
      <c r="B243" s="21"/>
      <c r="C243" s="21"/>
      <c r="D243" s="21"/>
      <c r="E243" s="21"/>
      <c r="F243" s="22"/>
      <c r="G243" s="21"/>
      <c r="H243" s="21"/>
      <c r="I243" s="22"/>
    </row>
    <row r="244" spans="1:9" ht="12.95">
      <c r="A244" s="21"/>
      <c r="B244" s="21"/>
      <c r="C244" s="21"/>
      <c r="D244" s="21"/>
      <c r="E244" s="21"/>
      <c r="F244" s="22"/>
      <c r="G244" s="21"/>
      <c r="H244" s="21"/>
      <c r="I244" s="22"/>
    </row>
    <row r="245" spans="1:9" ht="12.95">
      <c r="A245" s="21"/>
      <c r="B245" s="21"/>
      <c r="C245" s="21"/>
      <c r="D245" s="21"/>
      <c r="E245" s="21"/>
      <c r="F245" s="22"/>
      <c r="G245" s="21"/>
      <c r="H245" s="21"/>
      <c r="I245" s="22"/>
    </row>
    <row r="246" spans="1:9" ht="12.95">
      <c r="A246" s="21"/>
      <c r="B246" s="21"/>
      <c r="C246" s="21"/>
      <c r="D246" s="21"/>
      <c r="E246" s="21"/>
      <c r="F246" s="22"/>
      <c r="G246" s="21"/>
      <c r="H246" s="21"/>
      <c r="I246" s="22"/>
    </row>
    <row r="247" spans="1:9" ht="12.95">
      <c r="A247" s="21"/>
      <c r="B247" s="21"/>
      <c r="C247" s="21"/>
      <c r="D247" s="21"/>
      <c r="E247" s="21"/>
      <c r="F247" s="22"/>
      <c r="G247" s="21"/>
      <c r="H247" s="21"/>
      <c r="I247" s="22"/>
    </row>
    <row r="248" spans="1:9" ht="12.95">
      <c r="A248" s="21"/>
      <c r="B248" s="21"/>
      <c r="C248" s="21"/>
      <c r="D248" s="21"/>
      <c r="E248" s="21"/>
      <c r="F248" s="22"/>
      <c r="G248" s="21"/>
      <c r="H248" s="21"/>
      <c r="I248" s="22"/>
    </row>
    <row r="249" spans="1:9" ht="12.95">
      <c r="A249" s="21"/>
      <c r="B249" s="21"/>
      <c r="C249" s="21"/>
      <c r="D249" s="21"/>
      <c r="E249" s="21"/>
      <c r="F249" s="22"/>
      <c r="G249" s="21"/>
      <c r="H249" s="21"/>
      <c r="I249" s="22"/>
    </row>
    <row r="250" spans="1:9" ht="12.95">
      <c r="A250" s="21"/>
      <c r="B250" s="21"/>
      <c r="C250" s="21"/>
      <c r="D250" s="21"/>
      <c r="E250" s="21"/>
      <c r="F250" s="22"/>
      <c r="G250" s="21"/>
      <c r="H250" s="21"/>
      <c r="I250" s="22"/>
    </row>
    <row r="251" spans="1:9" ht="12.95">
      <c r="A251" s="21"/>
      <c r="B251" s="21"/>
      <c r="C251" s="21"/>
      <c r="D251" s="21"/>
      <c r="E251" s="21"/>
      <c r="F251" s="22"/>
      <c r="G251" s="21"/>
      <c r="H251" s="21"/>
      <c r="I251" s="22"/>
    </row>
    <row r="252" spans="1:9" ht="12.95">
      <c r="A252" s="21"/>
      <c r="B252" s="21"/>
      <c r="C252" s="21"/>
      <c r="D252" s="21"/>
      <c r="E252" s="21"/>
      <c r="F252" s="22"/>
      <c r="G252" s="21"/>
      <c r="H252" s="21"/>
      <c r="I252" s="22"/>
    </row>
    <row r="253" spans="1:9" ht="12.95">
      <c r="A253" s="21"/>
      <c r="B253" s="21"/>
      <c r="C253" s="21"/>
      <c r="D253" s="21"/>
      <c r="E253" s="21"/>
      <c r="F253" s="22"/>
      <c r="G253" s="21"/>
      <c r="H253" s="21"/>
      <c r="I253" s="22"/>
    </row>
    <row r="254" spans="1:9" ht="12.95">
      <c r="A254" s="21"/>
      <c r="B254" s="21"/>
      <c r="C254" s="21"/>
      <c r="D254" s="21"/>
      <c r="E254" s="21"/>
      <c r="F254" s="22"/>
      <c r="G254" s="21"/>
      <c r="H254" s="21"/>
      <c r="I254" s="22"/>
    </row>
    <row r="255" spans="1:9" ht="12.95">
      <c r="A255" s="21"/>
      <c r="B255" s="21"/>
      <c r="C255" s="21"/>
      <c r="D255" s="21"/>
      <c r="E255" s="21"/>
      <c r="F255" s="22"/>
      <c r="G255" s="21"/>
      <c r="H255" s="21"/>
      <c r="I255" s="22"/>
    </row>
    <row r="256" spans="1:9" ht="12.95">
      <c r="A256" s="21"/>
      <c r="B256" s="21"/>
      <c r="C256" s="21"/>
      <c r="D256" s="21"/>
      <c r="E256" s="21"/>
      <c r="F256" s="22"/>
      <c r="G256" s="21"/>
      <c r="H256" s="21"/>
      <c r="I256" s="22"/>
    </row>
    <row r="257" spans="1:9" ht="12.95">
      <c r="A257" s="21"/>
      <c r="B257" s="21"/>
      <c r="C257" s="21"/>
      <c r="D257" s="21"/>
      <c r="E257" s="21"/>
      <c r="F257" s="22"/>
      <c r="G257" s="21"/>
      <c r="H257" s="21"/>
      <c r="I257" s="22"/>
    </row>
    <row r="258" spans="1:9" ht="12.95">
      <c r="A258" s="21"/>
      <c r="B258" s="21"/>
      <c r="C258" s="21"/>
      <c r="D258" s="21"/>
      <c r="E258" s="21"/>
      <c r="F258" s="22"/>
      <c r="G258" s="21"/>
      <c r="H258" s="21"/>
      <c r="I258" s="22"/>
    </row>
    <row r="259" spans="1:9" ht="12.95">
      <c r="A259" s="21"/>
      <c r="B259" s="21"/>
      <c r="C259" s="21"/>
      <c r="D259" s="21"/>
      <c r="E259" s="21"/>
      <c r="F259" s="22"/>
      <c r="G259" s="21"/>
      <c r="H259" s="21"/>
      <c r="I259" s="22"/>
    </row>
    <row r="260" spans="1:9" ht="12.95">
      <c r="A260" s="21"/>
      <c r="B260" s="21"/>
      <c r="C260" s="21"/>
      <c r="D260" s="21"/>
      <c r="E260" s="21"/>
      <c r="F260" s="22"/>
      <c r="G260" s="21"/>
      <c r="H260" s="21"/>
      <c r="I260" s="22"/>
    </row>
    <row r="261" spans="1:9" ht="12.95">
      <c r="A261" s="21"/>
      <c r="B261" s="21"/>
      <c r="C261" s="21"/>
      <c r="D261" s="21"/>
      <c r="E261" s="21"/>
      <c r="F261" s="22"/>
      <c r="G261" s="21"/>
      <c r="H261" s="21"/>
      <c r="I261" s="22"/>
    </row>
    <row r="262" spans="1:9" ht="12.95">
      <c r="A262" s="21"/>
      <c r="B262" s="21"/>
      <c r="C262" s="21"/>
      <c r="D262" s="21"/>
      <c r="E262" s="21"/>
      <c r="F262" s="22"/>
      <c r="G262" s="21"/>
      <c r="H262" s="21"/>
      <c r="I262" s="22"/>
    </row>
    <row r="263" spans="1:9" ht="12.95">
      <c r="A263" s="21"/>
      <c r="B263" s="21"/>
      <c r="C263" s="21"/>
      <c r="D263" s="21"/>
      <c r="E263" s="21"/>
      <c r="F263" s="22"/>
      <c r="G263" s="21"/>
      <c r="H263" s="21"/>
      <c r="I263" s="22"/>
    </row>
    <row r="264" spans="1:9" ht="12.95">
      <c r="A264" s="21"/>
      <c r="B264" s="21"/>
      <c r="C264" s="21"/>
      <c r="D264" s="21"/>
      <c r="E264" s="21"/>
      <c r="F264" s="22"/>
      <c r="G264" s="21"/>
      <c r="H264" s="21"/>
      <c r="I264" s="22"/>
    </row>
    <row r="265" spans="1:9" ht="12.95">
      <c r="A265" s="21"/>
      <c r="B265" s="21"/>
      <c r="C265" s="21"/>
      <c r="D265" s="21"/>
      <c r="E265" s="21"/>
      <c r="F265" s="22"/>
      <c r="G265" s="21"/>
      <c r="H265" s="21"/>
      <c r="I265" s="22"/>
    </row>
    <row r="266" spans="1:9" ht="12.95">
      <c r="A266" s="21"/>
      <c r="B266" s="21"/>
      <c r="C266" s="21"/>
      <c r="D266" s="21"/>
      <c r="E266" s="21"/>
      <c r="F266" s="22"/>
      <c r="G266" s="21"/>
      <c r="H266" s="21"/>
      <c r="I266" s="22"/>
    </row>
    <row r="267" spans="1:9" ht="12.95">
      <c r="A267" s="21"/>
      <c r="B267" s="21"/>
      <c r="C267" s="21"/>
      <c r="D267" s="21"/>
      <c r="E267" s="21"/>
      <c r="F267" s="22"/>
      <c r="G267" s="21"/>
      <c r="H267" s="21"/>
      <c r="I267" s="22"/>
    </row>
    <row r="268" spans="1:9" ht="12.95">
      <c r="A268" s="21"/>
      <c r="B268" s="21"/>
      <c r="C268" s="21"/>
      <c r="D268" s="21"/>
      <c r="E268" s="21"/>
      <c r="F268" s="22"/>
      <c r="G268" s="21"/>
      <c r="H268" s="21"/>
      <c r="I268" s="22"/>
    </row>
    <row r="269" spans="1:9" ht="12.95">
      <c r="A269" s="21"/>
      <c r="B269" s="21"/>
      <c r="C269" s="21"/>
      <c r="D269" s="21"/>
      <c r="E269" s="21"/>
      <c r="F269" s="22"/>
      <c r="G269" s="21"/>
      <c r="H269" s="21"/>
      <c r="I269" s="22"/>
    </row>
    <row r="270" spans="1:9" ht="12.95">
      <c r="A270" s="21"/>
      <c r="B270" s="21"/>
      <c r="C270" s="21"/>
      <c r="D270" s="21"/>
      <c r="E270" s="21"/>
      <c r="F270" s="22"/>
      <c r="G270" s="21"/>
      <c r="H270" s="21"/>
      <c r="I270" s="22"/>
    </row>
    <row r="271" spans="1:9" ht="12.95">
      <c r="A271" s="21"/>
      <c r="B271" s="21"/>
      <c r="C271" s="21"/>
      <c r="D271" s="21"/>
      <c r="E271" s="21"/>
      <c r="F271" s="22"/>
      <c r="G271" s="21"/>
      <c r="H271" s="21"/>
      <c r="I271" s="22"/>
    </row>
    <row r="272" spans="1:9" ht="12.95">
      <c r="A272" s="21"/>
      <c r="B272" s="21"/>
      <c r="C272" s="21"/>
      <c r="D272" s="21"/>
      <c r="E272" s="21"/>
      <c r="F272" s="22"/>
      <c r="G272" s="21"/>
      <c r="H272" s="21"/>
      <c r="I272" s="22"/>
    </row>
    <row r="273" spans="1:9" ht="12.95">
      <c r="A273" s="21"/>
      <c r="B273" s="21"/>
      <c r="C273" s="21"/>
      <c r="D273" s="21"/>
      <c r="E273" s="21"/>
      <c r="F273" s="22"/>
      <c r="G273" s="21"/>
      <c r="H273" s="21"/>
      <c r="I273" s="22"/>
    </row>
    <row r="274" spans="1:9" ht="12.95">
      <c r="A274" s="21"/>
      <c r="B274" s="21"/>
      <c r="C274" s="21"/>
      <c r="D274" s="21"/>
      <c r="E274" s="21"/>
      <c r="F274" s="22"/>
      <c r="G274" s="21"/>
      <c r="H274" s="21"/>
      <c r="I274" s="22"/>
    </row>
    <row r="275" spans="1:9" ht="12.95">
      <c r="A275" s="21"/>
      <c r="B275" s="21"/>
      <c r="C275" s="21"/>
      <c r="D275" s="21"/>
      <c r="E275" s="21"/>
      <c r="F275" s="22"/>
      <c r="G275" s="21"/>
      <c r="H275" s="21"/>
      <c r="I275" s="22"/>
    </row>
    <row r="276" spans="1:9" ht="12.95">
      <c r="A276" s="21"/>
      <c r="B276" s="21"/>
      <c r="C276" s="21"/>
      <c r="D276" s="21"/>
      <c r="E276" s="21"/>
      <c r="F276" s="22"/>
      <c r="G276" s="21"/>
      <c r="H276" s="21"/>
      <c r="I276" s="22"/>
    </row>
    <row r="277" spans="1:9" ht="12.95">
      <c r="A277" s="21"/>
      <c r="B277" s="21"/>
      <c r="C277" s="21"/>
      <c r="D277" s="21"/>
      <c r="E277" s="21"/>
      <c r="F277" s="22"/>
      <c r="G277" s="21"/>
      <c r="H277" s="21"/>
      <c r="I277" s="22"/>
    </row>
    <row r="278" spans="1:9" ht="12.95">
      <c r="A278" s="21"/>
      <c r="B278" s="21"/>
      <c r="C278" s="21"/>
      <c r="D278" s="21"/>
      <c r="E278" s="21"/>
      <c r="F278" s="22"/>
      <c r="G278" s="21"/>
      <c r="H278" s="21"/>
      <c r="I278" s="22"/>
    </row>
    <row r="279" spans="1:9" ht="12.95">
      <c r="A279" s="21"/>
      <c r="B279" s="21"/>
      <c r="C279" s="21"/>
      <c r="D279" s="21"/>
      <c r="E279" s="21"/>
      <c r="F279" s="22"/>
      <c r="G279" s="21"/>
      <c r="H279" s="21"/>
      <c r="I279" s="22"/>
    </row>
    <row r="280" spans="1:9" ht="12.95">
      <c r="A280" s="21"/>
      <c r="B280" s="21"/>
      <c r="C280" s="21"/>
      <c r="D280" s="21"/>
      <c r="E280" s="21"/>
      <c r="F280" s="22"/>
      <c r="G280" s="21"/>
      <c r="H280" s="21"/>
      <c r="I280" s="22"/>
    </row>
    <row r="281" spans="1:9" ht="12.95">
      <c r="A281" s="21"/>
      <c r="B281" s="21"/>
      <c r="C281" s="21"/>
      <c r="D281" s="21"/>
      <c r="E281" s="21"/>
      <c r="F281" s="22"/>
      <c r="G281" s="21"/>
      <c r="H281" s="21"/>
      <c r="I281" s="22"/>
    </row>
    <row r="282" spans="1:9" ht="12.95">
      <c r="A282" s="21"/>
      <c r="B282" s="21"/>
      <c r="C282" s="21"/>
      <c r="D282" s="21"/>
      <c r="E282" s="21"/>
      <c r="F282" s="22"/>
      <c r="G282" s="21"/>
      <c r="H282" s="21"/>
      <c r="I282" s="22"/>
    </row>
    <row r="283" spans="1:9" ht="12.95">
      <c r="A283" s="21"/>
      <c r="B283" s="21"/>
      <c r="C283" s="21"/>
      <c r="D283" s="21"/>
      <c r="E283" s="21"/>
      <c r="F283" s="22"/>
      <c r="G283" s="21"/>
      <c r="H283" s="21"/>
      <c r="I283" s="22"/>
    </row>
    <row r="284" spans="1:9" ht="12.95">
      <c r="A284" s="21"/>
      <c r="B284" s="21"/>
      <c r="C284" s="21"/>
      <c r="D284" s="21"/>
      <c r="E284" s="21"/>
      <c r="F284" s="22"/>
      <c r="G284" s="21"/>
      <c r="H284" s="21"/>
      <c r="I284" s="22"/>
    </row>
    <row r="285" spans="1:9" ht="12.95">
      <c r="A285" s="21"/>
      <c r="B285" s="21"/>
      <c r="C285" s="21"/>
      <c r="D285" s="21"/>
      <c r="E285" s="21"/>
      <c r="F285" s="22"/>
      <c r="G285" s="21"/>
      <c r="H285" s="21"/>
      <c r="I285" s="22"/>
    </row>
    <row r="286" spans="1:9" ht="12.95">
      <c r="A286" s="21"/>
      <c r="B286" s="21"/>
      <c r="C286" s="21"/>
      <c r="D286" s="21"/>
      <c r="E286" s="21"/>
      <c r="F286" s="22"/>
      <c r="G286" s="21"/>
      <c r="H286" s="21"/>
      <c r="I286" s="22"/>
    </row>
    <row r="287" spans="1:9" ht="12.95">
      <c r="A287" s="21"/>
      <c r="B287" s="21"/>
      <c r="C287" s="21"/>
      <c r="D287" s="21"/>
      <c r="E287" s="21"/>
      <c r="F287" s="22"/>
      <c r="G287" s="21"/>
      <c r="H287" s="21"/>
      <c r="I287" s="22"/>
    </row>
    <row r="288" spans="1:9" ht="12.95">
      <c r="A288" s="21"/>
      <c r="B288" s="21"/>
      <c r="C288" s="21"/>
      <c r="D288" s="21"/>
      <c r="E288" s="21"/>
      <c r="F288" s="22"/>
      <c r="G288" s="21"/>
      <c r="H288" s="21"/>
      <c r="I288" s="22"/>
    </row>
    <row r="289" spans="1:9" ht="12.95">
      <c r="A289" s="21"/>
      <c r="B289" s="21"/>
      <c r="C289" s="21"/>
      <c r="D289" s="21"/>
      <c r="E289" s="21"/>
      <c r="F289" s="22"/>
      <c r="G289" s="21"/>
      <c r="H289" s="21"/>
      <c r="I289" s="22"/>
    </row>
    <row r="290" spans="1:9" ht="12.95">
      <c r="A290" s="21"/>
      <c r="B290" s="21"/>
      <c r="C290" s="21"/>
      <c r="D290" s="21"/>
      <c r="E290" s="21"/>
      <c r="F290" s="22"/>
      <c r="G290" s="21"/>
      <c r="H290" s="21"/>
      <c r="I290" s="22"/>
    </row>
    <row r="291" spans="1:9" ht="12.95">
      <c r="A291" s="21"/>
      <c r="B291" s="21"/>
      <c r="C291" s="21"/>
      <c r="D291" s="21"/>
      <c r="E291" s="21"/>
      <c r="F291" s="22"/>
      <c r="G291" s="21"/>
      <c r="H291" s="21"/>
      <c r="I291" s="22"/>
    </row>
    <row r="292" spans="1:9" ht="12.95">
      <c r="A292" s="21"/>
      <c r="B292" s="21"/>
      <c r="C292" s="21"/>
      <c r="D292" s="21"/>
      <c r="E292" s="21"/>
      <c r="F292" s="22"/>
      <c r="G292" s="21"/>
      <c r="H292" s="21"/>
      <c r="I292" s="22"/>
    </row>
    <row r="293" spans="1:9" ht="12.95">
      <c r="A293" s="21"/>
      <c r="B293" s="21"/>
      <c r="C293" s="21"/>
      <c r="D293" s="21"/>
      <c r="E293" s="21"/>
      <c r="F293" s="22"/>
      <c r="G293" s="21"/>
      <c r="H293" s="21"/>
      <c r="I293" s="22"/>
    </row>
    <row r="294" spans="1:9" ht="12.95">
      <c r="A294" s="21"/>
      <c r="B294" s="21"/>
      <c r="C294" s="21"/>
      <c r="D294" s="21"/>
      <c r="E294" s="21"/>
      <c r="F294" s="22"/>
      <c r="G294" s="21"/>
      <c r="H294" s="21"/>
      <c r="I294" s="22"/>
    </row>
    <row r="295" spans="1:9" ht="12.95">
      <c r="A295" s="21"/>
      <c r="B295" s="21"/>
      <c r="C295" s="21"/>
      <c r="D295" s="21"/>
      <c r="E295" s="21"/>
      <c r="F295" s="22"/>
      <c r="G295" s="21"/>
      <c r="H295" s="21"/>
      <c r="I295" s="22"/>
    </row>
    <row r="296" spans="1:9" ht="12.95">
      <c r="A296" s="21"/>
      <c r="B296" s="21"/>
      <c r="C296" s="21"/>
      <c r="D296" s="21"/>
      <c r="E296" s="21"/>
      <c r="F296" s="22"/>
      <c r="G296" s="21"/>
      <c r="H296" s="21"/>
      <c r="I296" s="22"/>
    </row>
    <row r="297" spans="1:9" ht="12.95">
      <c r="A297" s="21"/>
      <c r="B297" s="21"/>
      <c r="C297" s="21"/>
      <c r="D297" s="21"/>
      <c r="E297" s="21"/>
      <c r="F297" s="22"/>
      <c r="G297" s="21"/>
      <c r="H297" s="21"/>
      <c r="I297" s="22"/>
    </row>
    <row r="298" spans="1:9" ht="12.95">
      <c r="A298" s="21"/>
      <c r="B298" s="21"/>
      <c r="C298" s="21"/>
      <c r="D298" s="21"/>
      <c r="E298" s="21"/>
      <c r="F298" s="22"/>
      <c r="G298" s="21"/>
      <c r="H298" s="21"/>
      <c r="I298" s="22"/>
    </row>
    <row r="299" spans="1:9" ht="12.95">
      <c r="A299" s="21"/>
      <c r="B299" s="21"/>
      <c r="C299" s="21"/>
      <c r="D299" s="21"/>
      <c r="E299" s="21"/>
      <c r="F299" s="22"/>
      <c r="G299" s="21"/>
      <c r="H299" s="21"/>
      <c r="I299" s="22"/>
    </row>
    <row r="300" spans="1:9" ht="12.95">
      <c r="A300" s="21"/>
      <c r="B300" s="21"/>
      <c r="C300" s="21"/>
      <c r="D300" s="21"/>
      <c r="E300" s="21"/>
      <c r="F300" s="22"/>
      <c r="G300" s="21"/>
      <c r="H300" s="21"/>
      <c r="I300" s="22"/>
    </row>
    <row r="301" spans="1:9" ht="12.95">
      <c r="A301" s="21"/>
      <c r="B301" s="21"/>
      <c r="C301" s="21"/>
      <c r="D301" s="21"/>
      <c r="E301" s="21"/>
      <c r="F301" s="22"/>
      <c r="G301" s="21"/>
      <c r="H301" s="21"/>
      <c r="I301" s="22"/>
    </row>
    <row r="302" spans="1:9" ht="12.95">
      <c r="A302" s="21"/>
      <c r="B302" s="21"/>
      <c r="C302" s="21"/>
      <c r="D302" s="21"/>
      <c r="E302" s="21"/>
      <c r="F302" s="22"/>
      <c r="G302" s="21"/>
      <c r="H302" s="21"/>
      <c r="I302" s="22"/>
    </row>
    <row r="303" spans="1:9" ht="12.95">
      <c r="A303" s="21"/>
      <c r="B303" s="21"/>
      <c r="C303" s="21"/>
      <c r="D303" s="21"/>
      <c r="E303" s="21"/>
      <c r="F303" s="22"/>
      <c r="G303" s="21"/>
      <c r="H303" s="21"/>
      <c r="I303" s="22"/>
    </row>
    <row r="304" spans="1:9" ht="12.95">
      <c r="A304" s="21"/>
      <c r="B304" s="21"/>
      <c r="C304" s="21"/>
      <c r="D304" s="21"/>
      <c r="E304" s="21"/>
      <c r="F304" s="22"/>
      <c r="G304" s="21"/>
      <c r="H304" s="21"/>
      <c r="I304" s="22"/>
    </row>
    <row r="305" spans="1:9" ht="12.95">
      <c r="A305" s="21"/>
      <c r="B305" s="21"/>
      <c r="C305" s="21"/>
      <c r="D305" s="21"/>
      <c r="E305" s="21"/>
      <c r="F305" s="22"/>
      <c r="G305" s="21"/>
      <c r="H305" s="21"/>
      <c r="I305" s="22"/>
    </row>
    <row r="306" spans="1:9" ht="12.95">
      <c r="A306" s="21"/>
      <c r="B306" s="21"/>
      <c r="C306" s="21"/>
      <c r="D306" s="21"/>
      <c r="E306" s="21"/>
      <c r="F306" s="22"/>
      <c r="G306" s="21"/>
      <c r="H306" s="21"/>
      <c r="I306" s="22"/>
    </row>
    <row r="307" spans="1:9" ht="12.95">
      <c r="A307" s="21"/>
      <c r="B307" s="21"/>
      <c r="C307" s="21"/>
      <c r="D307" s="21"/>
      <c r="E307" s="21"/>
      <c r="F307" s="22"/>
      <c r="G307" s="21"/>
      <c r="H307" s="21"/>
      <c r="I307" s="22"/>
    </row>
    <row r="308" spans="1:9" ht="12.95">
      <c r="A308" s="21"/>
      <c r="B308" s="21"/>
      <c r="C308" s="21"/>
      <c r="D308" s="21"/>
      <c r="E308" s="21"/>
      <c r="F308" s="22"/>
      <c r="G308" s="21"/>
      <c r="H308" s="21"/>
      <c r="I308" s="22"/>
    </row>
    <row r="309" spans="1:9" ht="12.95">
      <c r="A309" s="21"/>
      <c r="B309" s="21"/>
      <c r="C309" s="21"/>
      <c r="D309" s="21"/>
      <c r="E309" s="21"/>
      <c r="F309" s="22"/>
      <c r="G309" s="21"/>
      <c r="H309" s="21"/>
      <c r="I309" s="22"/>
    </row>
    <row r="310" spans="1:9" ht="12.95">
      <c r="A310" s="21"/>
      <c r="B310" s="21"/>
      <c r="C310" s="21"/>
      <c r="D310" s="21"/>
      <c r="E310" s="21"/>
      <c r="F310" s="22"/>
      <c r="G310" s="21"/>
      <c r="H310" s="21"/>
      <c r="I310" s="22"/>
    </row>
    <row r="311" spans="1:9" ht="12.95">
      <c r="A311" s="21"/>
      <c r="B311" s="21"/>
      <c r="C311" s="21"/>
      <c r="D311" s="21"/>
      <c r="E311" s="21"/>
      <c r="F311" s="22"/>
      <c r="G311" s="21"/>
      <c r="H311" s="21"/>
      <c r="I311" s="22"/>
    </row>
    <row r="312" spans="1:9" ht="12.95">
      <c r="A312" s="21"/>
      <c r="B312" s="21"/>
      <c r="C312" s="21"/>
      <c r="D312" s="21"/>
      <c r="E312" s="21"/>
      <c r="F312" s="22"/>
      <c r="G312" s="21"/>
      <c r="H312" s="21"/>
      <c r="I312" s="22"/>
    </row>
    <row r="313" spans="1:9" ht="12.95">
      <c r="A313" s="21"/>
      <c r="B313" s="21"/>
      <c r="C313" s="21"/>
      <c r="D313" s="21"/>
      <c r="E313" s="21"/>
      <c r="F313" s="22"/>
      <c r="G313" s="21"/>
      <c r="H313" s="21"/>
      <c r="I313" s="22"/>
    </row>
    <row r="314" spans="1:9" ht="12.95">
      <c r="A314" s="21"/>
      <c r="B314" s="21"/>
      <c r="C314" s="21"/>
      <c r="D314" s="21"/>
      <c r="E314" s="21"/>
      <c r="F314" s="22"/>
      <c r="G314" s="21"/>
      <c r="H314" s="21"/>
      <c r="I314" s="22"/>
    </row>
    <row r="315" spans="1:9" ht="12.95">
      <c r="A315" s="21"/>
      <c r="B315" s="21"/>
      <c r="C315" s="21"/>
      <c r="D315" s="21"/>
      <c r="E315" s="21"/>
      <c r="F315" s="22"/>
      <c r="G315" s="21"/>
      <c r="H315" s="21"/>
      <c r="I315" s="22"/>
    </row>
    <row r="316" spans="1:9" ht="12.95">
      <c r="A316" s="21"/>
      <c r="B316" s="21"/>
      <c r="C316" s="21"/>
      <c r="D316" s="21"/>
      <c r="E316" s="21"/>
      <c r="F316" s="22"/>
      <c r="G316" s="21"/>
      <c r="H316" s="21"/>
      <c r="I316" s="22"/>
    </row>
    <row r="317" spans="1:9" ht="12.95">
      <c r="A317" s="21"/>
      <c r="B317" s="21"/>
      <c r="C317" s="21"/>
      <c r="D317" s="21"/>
      <c r="E317" s="21"/>
      <c r="F317" s="22"/>
      <c r="G317" s="21"/>
      <c r="H317" s="21"/>
      <c r="I317" s="22"/>
    </row>
    <row r="318" spans="1:9" ht="12.95">
      <c r="A318" s="21"/>
      <c r="B318" s="21"/>
      <c r="C318" s="21"/>
      <c r="D318" s="21"/>
      <c r="E318" s="21"/>
      <c r="F318" s="22"/>
      <c r="G318" s="21"/>
      <c r="H318" s="21"/>
      <c r="I318" s="22"/>
    </row>
    <row r="319" spans="1:9" ht="12.95">
      <c r="A319" s="21"/>
      <c r="B319" s="21"/>
      <c r="C319" s="21"/>
      <c r="D319" s="21"/>
      <c r="E319" s="21"/>
      <c r="F319" s="22"/>
      <c r="G319" s="21"/>
      <c r="H319" s="21"/>
      <c r="I319" s="22"/>
    </row>
    <row r="320" spans="1:9" ht="12.95">
      <c r="A320" s="21"/>
      <c r="B320" s="21"/>
      <c r="C320" s="21"/>
      <c r="D320" s="21"/>
      <c r="E320" s="21"/>
      <c r="F320" s="22"/>
      <c r="G320" s="21"/>
      <c r="H320" s="21"/>
      <c r="I320" s="22"/>
    </row>
    <row r="321" spans="1:9" ht="12.95">
      <c r="A321" s="21"/>
      <c r="B321" s="21"/>
      <c r="C321" s="21"/>
      <c r="D321" s="21"/>
      <c r="E321" s="21"/>
      <c r="F321" s="22"/>
      <c r="G321" s="21"/>
      <c r="H321" s="21"/>
      <c r="I321" s="22"/>
    </row>
    <row r="322" spans="1:9" ht="12.95">
      <c r="A322" s="21"/>
      <c r="B322" s="21"/>
      <c r="C322" s="21"/>
      <c r="D322" s="21"/>
      <c r="E322" s="21"/>
      <c r="F322" s="22"/>
      <c r="G322" s="21"/>
      <c r="H322" s="21"/>
      <c r="I322" s="22"/>
    </row>
    <row r="323" spans="1:9" ht="12.95">
      <c r="A323" s="21"/>
      <c r="B323" s="21"/>
      <c r="C323" s="21"/>
      <c r="D323" s="21"/>
      <c r="E323" s="21"/>
      <c r="F323" s="22"/>
      <c r="G323" s="21"/>
      <c r="H323" s="21"/>
      <c r="I323" s="22"/>
    </row>
    <row r="324" spans="1:9" ht="12.95">
      <c r="A324" s="21"/>
      <c r="B324" s="21"/>
      <c r="C324" s="21"/>
      <c r="D324" s="21"/>
      <c r="E324" s="21"/>
      <c r="F324" s="22"/>
      <c r="G324" s="21"/>
      <c r="H324" s="21"/>
      <c r="I324" s="22"/>
    </row>
    <row r="325" spans="1:9" ht="12.95">
      <c r="A325" s="21"/>
      <c r="B325" s="21"/>
      <c r="C325" s="21"/>
      <c r="D325" s="21"/>
      <c r="E325" s="21"/>
      <c r="F325" s="22"/>
      <c r="G325" s="21"/>
      <c r="H325" s="21"/>
      <c r="I325" s="22"/>
    </row>
    <row r="326" spans="1:9" ht="12.95">
      <c r="A326" s="21"/>
      <c r="B326" s="21"/>
      <c r="C326" s="21"/>
      <c r="D326" s="21"/>
      <c r="E326" s="21"/>
      <c r="F326" s="22"/>
      <c r="G326" s="21"/>
      <c r="H326" s="21"/>
      <c r="I326" s="22"/>
    </row>
    <row r="327" spans="1:9" ht="12.95">
      <c r="A327" s="21"/>
      <c r="B327" s="21"/>
      <c r="C327" s="21"/>
      <c r="D327" s="21"/>
      <c r="E327" s="21"/>
      <c r="F327" s="22"/>
      <c r="G327" s="21"/>
      <c r="H327" s="21"/>
      <c r="I327" s="22"/>
    </row>
    <row r="328" spans="1:9" ht="12.95">
      <c r="A328" s="21"/>
      <c r="B328" s="21"/>
      <c r="C328" s="21"/>
      <c r="D328" s="21"/>
      <c r="E328" s="21"/>
      <c r="F328" s="22"/>
      <c r="G328" s="21"/>
      <c r="H328" s="21"/>
      <c r="I328" s="22"/>
    </row>
    <row r="329" spans="1:9" ht="12.95">
      <c r="A329" s="21"/>
      <c r="B329" s="21"/>
      <c r="C329" s="21"/>
      <c r="D329" s="21"/>
      <c r="E329" s="21"/>
      <c r="F329" s="22"/>
      <c r="G329" s="21"/>
      <c r="H329" s="21"/>
      <c r="I329" s="22"/>
    </row>
    <row r="330" spans="1:9" ht="12.95">
      <c r="A330" s="21"/>
      <c r="B330" s="21"/>
      <c r="C330" s="21"/>
      <c r="D330" s="21"/>
      <c r="E330" s="21"/>
      <c r="F330" s="22"/>
      <c r="G330" s="21"/>
      <c r="H330" s="21"/>
      <c r="I330" s="22"/>
    </row>
    <row r="331" spans="1:9" ht="12.95">
      <c r="A331" s="21"/>
      <c r="B331" s="21"/>
      <c r="C331" s="21"/>
      <c r="D331" s="21"/>
      <c r="E331" s="21"/>
      <c r="F331" s="22"/>
      <c r="G331" s="21"/>
      <c r="H331" s="21"/>
      <c r="I331" s="22"/>
    </row>
    <row r="332" spans="1:9" ht="12.95">
      <c r="A332" s="21"/>
      <c r="B332" s="21"/>
      <c r="C332" s="21"/>
      <c r="D332" s="21"/>
      <c r="E332" s="21"/>
      <c r="F332" s="22"/>
      <c r="G332" s="21"/>
      <c r="H332" s="21"/>
      <c r="I332" s="22"/>
    </row>
    <row r="333" spans="1:9" ht="12.95">
      <c r="A333" s="21"/>
      <c r="B333" s="21"/>
      <c r="C333" s="21"/>
      <c r="D333" s="21"/>
      <c r="E333" s="21"/>
      <c r="F333" s="22"/>
      <c r="G333" s="21"/>
      <c r="H333" s="21"/>
      <c r="I333" s="22"/>
    </row>
    <row r="334" spans="1:9" ht="12.95">
      <c r="A334" s="21"/>
      <c r="B334" s="21"/>
      <c r="C334" s="21"/>
      <c r="D334" s="21"/>
      <c r="E334" s="21"/>
      <c r="F334" s="22"/>
      <c r="G334" s="21"/>
      <c r="H334" s="21"/>
      <c r="I334" s="22"/>
    </row>
    <row r="335" spans="1:9" ht="12.95">
      <c r="A335" s="21"/>
      <c r="B335" s="21"/>
      <c r="C335" s="21"/>
      <c r="D335" s="21"/>
      <c r="E335" s="21"/>
      <c r="F335" s="22"/>
      <c r="G335" s="21"/>
      <c r="H335" s="21"/>
      <c r="I335" s="22"/>
    </row>
    <row r="336" spans="1:9" ht="12.95">
      <c r="A336" s="21"/>
      <c r="B336" s="21"/>
      <c r="C336" s="21"/>
      <c r="D336" s="21"/>
      <c r="E336" s="21"/>
      <c r="F336" s="22"/>
      <c r="G336" s="21"/>
      <c r="H336" s="21"/>
      <c r="I336" s="22"/>
    </row>
    <row r="337" spans="1:9" ht="12.95">
      <c r="A337" s="21"/>
      <c r="B337" s="21"/>
      <c r="C337" s="21"/>
      <c r="D337" s="21"/>
      <c r="E337" s="21"/>
      <c r="F337" s="22"/>
      <c r="G337" s="21"/>
      <c r="H337" s="21"/>
      <c r="I337" s="22"/>
    </row>
    <row r="338" spans="1:9" ht="12.95">
      <c r="A338" s="21"/>
      <c r="B338" s="21"/>
      <c r="C338" s="21"/>
      <c r="D338" s="21"/>
      <c r="E338" s="21"/>
      <c r="F338" s="22"/>
      <c r="G338" s="21"/>
      <c r="H338" s="21"/>
      <c r="I338" s="22"/>
    </row>
    <row r="339" spans="1:9" ht="12.95">
      <c r="A339" s="21"/>
      <c r="B339" s="21"/>
      <c r="C339" s="21"/>
      <c r="D339" s="21"/>
      <c r="E339" s="21"/>
      <c r="F339" s="22"/>
      <c r="G339" s="21"/>
      <c r="H339" s="21"/>
      <c r="I339" s="22"/>
    </row>
    <row r="340" spans="1:9" ht="12.95">
      <c r="A340" s="21"/>
      <c r="B340" s="21"/>
      <c r="C340" s="21"/>
      <c r="D340" s="21"/>
      <c r="E340" s="21"/>
      <c r="F340" s="22"/>
      <c r="G340" s="21"/>
      <c r="H340" s="21"/>
      <c r="I340" s="22"/>
    </row>
    <row r="341" spans="1:9" ht="12.95">
      <c r="A341" s="21"/>
      <c r="B341" s="21"/>
      <c r="C341" s="21"/>
      <c r="D341" s="21"/>
      <c r="E341" s="21"/>
      <c r="F341" s="22"/>
      <c r="G341" s="21"/>
      <c r="H341" s="21"/>
      <c r="I341" s="22"/>
    </row>
    <row r="342" spans="1:9" ht="12.95">
      <c r="A342" s="21"/>
      <c r="B342" s="21"/>
      <c r="C342" s="21"/>
      <c r="D342" s="21"/>
      <c r="E342" s="21"/>
      <c r="F342" s="22"/>
      <c r="G342" s="21"/>
      <c r="H342" s="21"/>
      <c r="I342" s="22"/>
    </row>
  </sheetData>
  <autoFilter ref="A2:I2" xr:uid="{D5C25034-9971-4A61-864F-C938F31EB1B8}"/>
  <mergeCells count="4">
    <mergeCell ref="G1:I1"/>
    <mergeCell ref="A1:C1"/>
    <mergeCell ref="D1:F1"/>
    <mergeCell ref="A2:B2"/>
  </mergeCells>
  <conditionalFormatting sqref="F2 I2 F4:F100 I4:I100">
    <cfRule type="cellIs" dxfId="60" priority="1" stopIfTrue="1" operator="lessThanOrEqual">
      <formula>-0.1</formula>
    </cfRule>
    <cfRule type="expression" dxfId="59"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42"/>
  <sheetViews>
    <sheetView workbookViewId="0">
      <pane xSplit="2" ySplit="3" topLeftCell="C4" activePane="bottomRight" state="frozen"/>
      <selection pane="bottomRight" activeCell="H4" sqref="H4"/>
      <selection pane="bottomLeft"/>
      <selection pane="topRight"/>
    </sheetView>
  </sheetViews>
  <sheetFormatPr defaultRowHeight="12.6"/>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20" t="str" cm="1">
        <f t="array" ref="A1">portfolio</f>
        <v>Silicon Ranch</v>
      </c>
      <c r="B1" s="120"/>
      <c r="C1" s="120"/>
      <c r="D1" s="121" t="s">
        <v>10</v>
      </c>
      <c r="E1" s="121"/>
      <c r="F1" s="121"/>
      <c r="G1" s="119" t="s">
        <v>11</v>
      </c>
      <c r="H1" s="119"/>
      <c r="I1" s="119"/>
    </row>
    <row r="2" spans="1:9" ht="19.5" customHeight="1">
      <c r="A2" s="122" t="s">
        <v>2</v>
      </c>
      <c r="B2" s="122"/>
      <c r="C2" s="5">
        <f>SUM(C4:C100)</f>
        <v>8815983</v>
      </c>
      <c r="D2" s="5">
        <f>SUM(D4:D100)</f>
        <v>0</v>
      </c>
      <c r="E2" s="5">
        <f>C2-D2</f>
        <v>8815983</v>
      </c>
      <c r="F2" s="6">
        <f>IFERROR(E2/D2, 0)</f>
        <v>0</v>
      </c>
      <c r="G2" s="5">
        <f>SUM(G4:G100)</f>
        <v>8396081.6899999995</v>
      </c>
      <c r="H2" s="7">
        <f>C2-G2</f>
        <v>419901.31000000052</v>
      </c>
      <c r="I2" s="6">
        <f>IFERROR(H2/G2, 0)</f>
        <v>5.0011579865893441E-2</v>
      </c>
    </row>
    <row r="3" spans="1:9" ht="14.25" customHeight="1">
      <c r="A3" s="8" t="s">
        <v>3</v>
      </c>
      <c r="B3" s="8" t="s">
        <v>4</v>
      </c>
      <c r="C3" s="23" t="s">
        <v>5</v>
      </c>
      <c r="D3" s="35" t="s">
        <v>6</v>
      </c>
      <c r="E3" s="35" t="s">
        <v>7</v>
      </c>
      <c r="F3" s="36" t="s">
        <v>8</v>
      </c>
      <c r="G3" s="37" t="s">
        <v>9</v>
      </c>
      <c r="H3" s="38" t="s">
        <v>7</v>
      </c>
      <c r="I3" s="39" t="s">
        <v>8</v>
      </c>
    </row>
    <row r="4" spans="1:9" ht="15.6">
      <c r="A4" s="48" t="str" cm="1">
        <f t="array" ref="A4:A69">Sites[Site]</f>
        <v>Iron Mountain - Windsor</v>
      </c>
      <c r="B4" s="9" t="str" cm="1">
        <f t="array" ref="B4:B69">Sites[State]</f>
        <v>CT</v>
      </c>
      <c r="C4" s="24">
        <f>SUM(Jan!C4, Feb!C4, Mar!C4)</f>
        <v>49256</v>
      </c>
      <c r="D4" s="13">
        <f>SUM(Jan!D4, Feb!D4, Mar!D4)</f>
        <v>0</v>
      </c>
      <c r="E4" s="13">
        <f>IF(AND(ISNUMBER(C4),ISNUMBER(D4)), C4-D4, "")</f>
        <v>49256</v>
      </c>
      <c r="F4" s="14" t="str">
        <f>IFERROR(E4/D4, "")</f>
        <v/>
      </c>
      <c r="G4" s="15">
        <f>SUM(Jan!G4, Feb!G4, Mar!G4)</f>
        <v>54649.74</v>
      </c>
      <c r="H4" s="15">
        <f>SUM(Jan!H4, Feb!H4, Mar!H4)</f>
        <v>-5393.739999999998</v>
      </c>
      <c r="I4" s="16">
        <f>IFERROR(H4/G4, "")</f>
        <v>-9.8696535427249946E-2</v>
      </c>
    </row>
    <row r="5" spans="1:9" ht="15.6">
      <c r="A5" s="49" t="str">
        <v>Kohls - Auburn</v>
      </c>
      <c r="B5" s="10" t="str">
        <v>NY</v>
      </c>
      <c r="C5" s="11">
        <f>SUM(Jan!C5, Feb!C5, Mar!C5)</f>
        <v>38514</v>
      </c>
      <c r="D5" s="18">
        <f>SUM(Jan!D5, Feb!D5, Mar!D5)</f>
        <v>0</v>
      </c>
      <c r="E5" s="18">
        <f t="shared" ref="E5:E15" si="0">IF(AND(ISNUMBER(C5),ISNUMBER(D5)), C5-D5, "")</f>
        <v>38514</v>
      </c>
      <c r="F5" s="19" t="str">
        <f>IFERROR(E5/D5, "")</f>
        <v/>
      </c>
      <c r="G5" s="20">
        <f>SUM(Jan!G5, Feb!G5, Mar!G5)</f>
        <v>39136.03</v>
      </c>
      <c r="H5" s="20">
        <f>SUM(Jan!H5, Feb!H5, Mar!H5)</f>
        <v>-622.03000000000156</v>
      </c>
      <c r="I5" s="19">
        <f>IFERROR(H5/G5, "")</f>
        <v>-1.5894049549737201E-2</v>
      </c>
    </row>
    <row r="6" spans="1:9" ht="15.6">
      <c r="A6" s="48" t="str">
        <v>Kohls - Bensalem</v>
      </c>
      <c r="B6" s="9" t="str">
        <v>PA</v>
      </c>
      <c r="C6" s="24">
        <f>SUM(Jan!C6, Feb!C6, Mar!C6)</f>
        <v>72426</v>
      </c>
      <c r="D6" s="13">
        <f>SUM(Jan!D6, Feb!D6, Mar!D6)</f>
        <v>0</v>
      </c>
      <c r="E6" s="13">
        <f t="shared" si="0"/>
        <v>72426</v>
      </c>
      <c r="F6" s="14" t="str">
        <f t="shared" ref="F6:F15" si="1">IFERROR(E6/D6, "")</f>
        <v/>
      </c>
      <c r="G6" s="15">
        <f>SUM(Jan!G6, Feb!G6, Mar!G6)</f>
        <v>65202.38</v>
      </c>
      <c r="H6" s="15">
        <f>SUM(Jan!H6, Feb!H6, Mar!H6)</f>
        <v>7223.6200000000008</v>
      </c>
      <c r="I6" s="16">
        <f t="shared" ref="I6:I69" si="2">IFERROR(H6/G6, "")</f>
        <v>0.11078767370148146</v>
      </c>
    </row>
    <row r="7" spans="1:9" ht="15.6">
      <c r="A7" s="49" t="str">
        <v>Kohls - Brick</v>
      </c>
      <c r="B7" s="10" t="str">
        <v>NJ</v>
      </c>
      <c r="C7" s="11">
        <f>SUM(Jan!C7, Feb!C7, Mar!C7)</f>
        <v>91939</v>
      </c>
      <c r="D7" s="18">
        <f>SUM(Jan!D7, Feb!D7, Mar!D7)</f>
        <v>0</v>
      </c>
      <c r="E7" s="18">
        <f t="shared" si="0"/>
        <v>91939</v>
      </c>
      <c r="F7" s="19" t="str">
        <f t="shared" si="1"/>
        <v/>
      </c>
      <c r="G7" s="20">
        <f>SUM(Jan!G7, Feb!G7, Mar!G7)</f>
        <v>74753.88</v>
      </c>
      <c r="H7" s="20">
        <f>SUM(Jan!H7, Feb!H7, Mar!H7)</f>
        <v>17185.120000000003</v>
      </c>
      <c r="I7" s="19">
        <f t="shared" si="2"/>
        <v>0.22988933818552296</v>
      </c>
    </row>
    <row r="8" spans="1:9" ht="15.6">
      <c r="A8" s="48" t="str">
        <v>Kohls - Buffalo</v>
      </c>
      <c r="B8" s="9" t="str">
        <v>NY</v>
      </c>
      <c r="C8" s="24">
        <f>SUM(Jan!C8, Feb!C8, Mar!C8)</f>
        <v>29451</v>
      </c>
      <c r="D8" s="13">
        <f>SUM(Jan!D8, Feb!D8, Mar!D8)</f>
        <v>0</v>
      </c>
      <c r="E8" s="13">
        <f t="shared" si="0"/>
        <v>29451</v>
      </c>
      <c r="F8" s="14" t="str">
        <f t="shared" si="1"/>
        <v/>
      </c>
      <c r="G8" s="15">
        <f>SUM(Jan!G8, Feb!G8, Mar!G8)</f>
        <v>54344.28</v>
      </c>
      <c r="H8" s="15">
        <f>SUM(Jan!H8, Feb!H8, Mar!H8)</f>
        <v>-24893.279999999999</v>
      </c>
      <c r="I8" s="16">
        <f t="shared" si="2"/>
        <v>-0.45806623990602136</v>
      </c>
    </row>
    <row r="9" spans="1:9" ht="15.6">
      <c r="A9" s="49" t="str">
        <v>Kohls - Canton</v>
      </c>
      <c r="B9" s="10" t="str">
        <v>CT</v>
      </c>
      <c r="C9" s="11">
        <f>SUM(Jan!C9, Feb!C9, Mar!C9)</f>
        <v>22796</v>
      </c>
      <c r="D9" s="18">
        <f>SUM(Jan!D9, Feb!D9, Mar!D9)</f>
        <v>0</v>
      </c>
      <c r="E9" s="18">
        <f t="shared" si="0"/>
        <v>22796</v>
      </c>
      <c r="F9" s="19" t="str">
        <f t="shared" si="1"/>
        <v/>
      </c>
      <c r="G9" s="20">
        <f>SUM(Jan!G9, Feb!G9, Mar!G9)</f>
        <v>23886.670000000002</v>
      </c>
      <c r="H9" s="20">
        <f>SUM(Jan!H9, Feb!H9, Mar!H9)</f>
        <v>-1090.670000000001</v>
      </c>
      <c r="I9" s="19">
        <f t="shared" si="2"/>
        <v>-4.5660194577142856E-2</v>
      </c>
    </row>
    <row r="10" spans="1:9" ht="15.6">
      <c r="A10" s="48" t="str">
        <v>Kohls - East Amherst</v>
      </c>
      <c r="B10" s="9" t="str">
        <v>NY</v>
      </c>
      <c r="C10" s="24">
        <f>SUM(Jan!C10, Feb!C10, Mar!C10)</f>
        <v>38997</v>
      </c>
      <c r="D10" s="13">
        <f>SUM(Jan!D10, Feb!D10, Mar!D10)</f>
        <v>0</v>
      </c>
      <c r="E10" s="13">
        <f t="shared" si="0"/>
        <v>38997</v>
      </c>
      <c r="F10" s="14" t="str">
        <f t="shared" si="1"/>
        <v/>
      </c>
      <c r="G10" s="15">
        <f>SUM(Jan!G10, Feb!G10, Mar!G10)</f>
        <v>51187.85</v>
      </c>
      <c r="H10" s="15">
        <f>SUM(Jan!H10, Feb!H10, Mar!H10)</f>
        <v>-12190.849999999999</v>
      </c>
      <c r="I10" s="16">
        <f t="shared" si="2"/>
        <v>-0.23815905532269863</v>
      </c>
    </row>
    <row r="11" spans="1:9" ht="15.6">
      <c r="A11" s="49" t="str">
        <v>Kohls - East Brunswick</v>
      </c>
      <c r="B11" s="10" t="str">
        <v>NJ</v>
      </c>
      <c r="C11" s="11">
        <f>SUM(Jan!C11, Feb!C11, Mar!C11)</f>
        <v>101861</v>
      </c>
      <c r="D11" s="18">
        <f>SUM(Jan!D11, Feb!D11, Mar!D11)</f>
        <v>0</v>
      </c>
      <c r="E11" s="18">
        <f t="shared" si="0"/>
        <v>101861</v>
      </c>
      <c r="F11" s="19" t="str">
        <f t="shared" si="1"/>
        <v/>
      </c>
      <c r="G11" s="20">
        <f>SUM(Jan!G11, Feb!G11, Mar!G11)</f>
        <v>99741.599999999991</v>
      </c>
      <c r="H11" s="20">
        <f>SUM(Jan!H11, Feb!H11, Mar!H11)</f>
        <v>2119.4000000000051</v>
      </c>
      <c r="I11" s="19">
        <f t="shared" si="2"/>
        <v>2.1248907176143209E-2</v>
      </c>
    </row>
    <row r="12" spans="1:9" ht="15.6">
      <c r="A12" s="48" t="str">
        <v>Kohls - Edgewood</v>
      </c>
      <c r="B12" s="9" t="str">
        <v>MD</v>
      </c>
      <c r="C12" s="24">
        <f>SUM(Jan!C12, Feb!C12, Mar!C12)</f>
        <v>500770</v>
      </c>
      <c r="D12" s="13">
        <f>SUM(Jan!D12, Feb!D12, Mar!D12)</f>
        <v>0</v>
      </c>
      <c r="E12" s="13">
        <f t="shared" si="0"/>
        <v>500770</v>
      </c>
      <c r="F12" s="14" t="str">
        <f t="shared" si="1"/>
        <v/>
      </c>
      <c r="G12" s="15">
        <f>SUM(Jan!G12, Feb!G12, Mar!G12)</f>
        <v>540853.19999999995</v>
      </c>
      <c r="H12" s="15">
        <f>SUM(Jan!H12, Feb!H12, Mar!H12)</f>
        <v>-40083.200000000012</v>
      </c>
      <c r="I12" s="16">
        <f t="shared" si="2"/>
        <v>-7.4111052684906031E-2</v>
      </c>
    </row>
    <row r="13" spans="1:9" ht="15.6">
      <c r="A13" s="49" t="str">
        <v>Kohls - Granite Run</v>
      </c>
      <c r="B13" s="10" t="str">
        <v>PA</v>
      </c>
      <c r="C13" s="11">
        <f>SUM(Jan!C13, Feb!C13, Mar!C13)</f>
        <v>65152</v>
      </c>
      <c r="D13" s="18">
        <f>SUM(Jan!D13, Feb!D13, Mar!D13)</f>
        <v>0</v>
      </c>
      <c r="E13" s="18">
        <f t="shared" si="0"/>
        <v>65152</v>
      </c>
      <c r="F13" s="19" t="str">
        <f t="shared" si="1"/>
        <v/>
      </c>
      <c r="G13" s="20">
        <f>SUM(Jan!G13, Feb!G13, Mar!G13)</f>
        <v>65257.14</v>
      </c>
      <c r="H13" s="20">
        <f>SUM(Jan!H13, Feb!H13, Mar!H13)</f>
        <v>-105.1399999999976</v>
      </c>
      <c r="I13" s="19">
        <f t="shared" si="2"/>
        <v>-1.6111646940089252E-3</v>
      </c>
    </row>
    <row r="14" spans="1:9" ht="15.6">
      <c r="A14" s="48" t="str">
        <v>Kohls - Greece</v>
      </c>
      <c r="B14" s="9" t="str">
        <v>NY</v>
      </c>
      <c r="C14" s="24">
        <f>SUM(Jan!C14, Feb!C14, Mar!C14)</f>
        <v>33497</v>
      </c>
      <c r="D14" s="13">
        <f>SUM(Jan!D14, Feb!D14, Mar!D14)</f>
        <v>0</v>
      </c>
      <c r="E14" s="13">
        <f t="shared" si="0"/>
        <v>33497</v>
      </c>
      <c r="F14" s="14" t="str">
        <f t="shared" si="1"/>
        <v/>
      </c>
      <c r="G14" s="15">
        <f>SUM(Jan!G14, Feb!G14, Mar!G14)</f>
        <v>51595.13</v>
      </c>
      <c r="H14" s="15">
        <f>SUM(Jan!H14, Feb!H14, Mar!H14)</f>
        <v>-18098.129999999997</v>
      </c>
      <c r="I14" s="16">
        <f t="shared" si="2"/>
        <v>-0.35077205930094563</v>
      </c>
    </row>
    <row r="15" spans="1:9" ht="15.6">
      <c r="A15" s="49" t="str">
        <v>Kohls - Hanover</v>
      </c>
      <c r="B15" s="10" t="str">
        <v>PA</v>
      </c>
      <c r="C15" s="11">
        <f>SUM(Jan!C15, Feb!C15, Mar!C15)</f>
        <v>74462</v>
      </c>
      <c r="D15" s="18">
        <f>SUM(Jan!D15, Feb!D15, Mar!D15)</f>
        <v>0</v>
      </c>
      <c r="E15" s="18">
        <f t="shared" si="0"/>
        <v>74462</v>
      </c>
      <c r="F15" s="19" t="str">
        <f t="shared" si="1"/>
        <v/>
      </c>
      <c r="G15" s="20">
        <f>SUM(Jan!G15, Feb!G15, Mar!G15)</f>
        <v>73222.490000000005</v>
      </c>
      <c r="H15" s="20">
        <f>SUM(Jan!H15, Feb!H15, Mar!H15)</f>
        <v>1239.5099999999984</v>
      </c>
      <c r="I15" s="19">
        <f t="shared" si="2"/>
        <v>1.692799575649501E-2</v>
      </c>
    </row>
    <row r="16" spans="1:9" ht="15.6">
      <c r="A16" s="48" t="str">
        <v>Kohls - Horsehead</v>
      </c>
      <c r="B16" s="9" t="str">
        <v>NY</v>
      </c>
      <c r="C16" s="24">
        <f>SUM(Jan!C16, Feb!C16, Mar!C16)</f>
        <v>44770</v>
      </c>
      <c r="D16" s="13">
        <f>SUM(Jan!D16, Feb!D16, Mar!D16)</f>
        <v>0</v>
      </c>
      <c r="E16" s="13">
        <f t="shared" ref="E16:E18" si="3">IF(AND(ISNUMBER(C16),ISNUMBER(D16)), C16-D16, "")</f>
        <v>44770</v>
      </c>
      <c r="F16" s="14" t="str">
        <f t="shared" ref="F16:F18" si="4">IFERROR(E16/D16, "")</f>
        <v/>
      </c>
      <c r="G16" s="15">
        <f>SUM(Jan!G16, Feb!G16, Mar!G16)</f>
        <v>53409.39</v>
      </c>
      <c r="H16" s="15">
        <f>SUM(Jan!H16, Feb!H16, Mar!H16)</f>
        <v>-8639.39</v>
      </c>
      <c r="I16" s="16">
        <f t="shared" si="2"/>
        <v>-0.16175788564520208</v>
      </c>
    </row>
    <row r="17" spans="1:9" ht="15.6">
      <c r="A17" s="49" t="str">
        <v>Kohls - Hudson</v>
      </c>
      <c r="B17" s="10" t="str">
        <v>NY</v>
      </c>
      <c r="C17" s="11">
        <f>SUM(Jan!C17, Feb!C17, Mar!C17)</f>
        <v>55206</v>
      </c>
      <c r="D17" s="18">
        <f>SUM(Jan!D17, Feb!D17, Mar!D17)</f>
        <v>0</v>
      </c>
      <c r="E17" s="18">
        <f t="shared" si="3"/>
        <v>55206</v>
      </c>
      <c r="F17" s="19" t="str">
        <f t="shared" si="4"/>
        <v/>
      </c>
      <c r="G17" s="20">
        <f>SUM(Jan!G17, Feb!G17, Mar!G17)</f>
        <v>60860.770000000004</v>
      </c>
      <c r="H17" s="20">
        <f>SUM(Jan!H17, Feb!H17, Mar!H17)</f>
        <v>-5654.7700000000023</v>
      </c>
      <c r="I17" s="19">
        <f t="shared" si="2"/>
        <v>-9.2913218153500218E-2</v>
      </c>
    </row>
    <row r="18" spans="1:9" ht="12.75" customHeight="1">
      <c r="A18" s="48" t="str">
        <v>Kohls - Ithaca</v>
      </c>
      <c r="B18" s="9" t="str">
        <v>NY</v>
      </c>
      <c r="C18" s="24">
        <f>SUM(Jan!C18, Feb!C18, Mar!C18)</f>
        <v>43855</v>
      </c>
      <c r="D18" s="13">
        <f>SUM(Jan!D18, Feb!D18, Mar!D18)</f>
        <v>0</v>
      </c>
      <c r="E18" s="13">
        <f t="shared" si="3"/>
        <v>43855</v>
      </c>
      <c r="F18" s="14" t="str">
        <f t="shared" si="4"/>
        <v/>
      </c>
      <c r="G18" s="15">
        <f>SUM(Jan!G18, Feb!G18, Mar!G18)</f>
        <v>56649.120000000003</v>
      </c>
      <c r="H18" s="15">
        <f>SUM(Jan!H18, Feb!H18, Mar!H18)</f>
        <v>-12794.12</v>
      </c>
      <c r="I18" s="16">
        <f t="shared" si="2"/>
        <v>-0.22584852156573659</v>
      </c>
    </row>
    <row r="19" spans="1:9" ht="15.6">
      <c r="A19" s="49" t="str">
        <v>Kohls - Kingston</v>
      </c>
      <c r="B19" s="10" t="str">
        <v>NY</v>
      </c>
      <c r="C19" s="11">
        <f>SUM(Jan!C19, Feb!C19, Mar!C19)</f>
        <v>71928</v>
      </c>
      <c r="D19" s="18">
        <f>SUM(Jan!D19, Feb!D19, Mar!D19)</f>
        <v>0</v>
      </c>
      <c r="E19" s="18">
        <f t="shared" ref="E19:E25" si="5">IF(AND(ISNUMBER(C19),ISNUMBER(D19)), C19-D19, "")</f>
        <v>71928</v>
      </c>
      <c r="F19" s="19" t="str">
        <f t="shared" ref="F19:F25" si="6">IFERROR(E19/D19, "")</f>
        <v/>
      </c>
      <c r="G19" s="20">
        <f>SUM(Jan!G19, Feb!G19, Mar!G19)</f>
        <v>88222.68</v>
      </c>
      <c r="H19" s="20">
        <f>SUM(Jan!H19, Feb!H19, Mar!H19)</f>
        <v>-16294.679999999997</v>
      </c>
      <c r="I19" s="19">
        <f t="shared" si="2"/>
        <v>-0.18469944463260465</v>
      </c>
    </row>
    <row r="20" spans="1:9" ht="15.6">
      <c r="A20" s="48" t="str">
        <v>Kohls - Mechanicsburg</v>
      </c>
      <c r="B20" s="9" t="str">
        <v>PA</v>
      </c>
      <c r="C20" s="24">
        <f>SUM(Jan!C20, Feb!C20, Mar!C20)</f>
        <v>84942</v>
      </c>
      <c r="D20" s="13">
        <f>SUM(Jan!D20, Feb!D20, Mar!D20)</f>
        <v>0</v>
      </c>
      <c r="E20" s="13">
        <f t="shared" si="5"/>
        <v>84942</v>
      </c>
      <c r="F20" s="14" t="str">
        <f t="shared" si="6"/>
        <v/>
      </c>
      <c r="G20" s="15">
        <f>SUM(Jan!G20, Feb!G20, Mar!G20)</f>
        <v>83857.58</v>
      </c>
      <c r="H20" s="15">
        <f>SUM(Jan!H20, Feb!H20, Mar!H20)</f>
        <v>1084.4199999999983</v>
      </c>
      <c r="I20" s="16">
        <f t="shared" si="2"/>
        <v>1.2931687272635321E-2</v>
      </c>
    </row>
    <row r="21" spans="1:9" ht="15.6">
      <c r="A21" s="49" t="str">
        <v>Kohls - Middletown</v>
      </c>
      <c r="B21" s="10" t="str">
        <v>NJ</v>
      </c>
      <c r="C21" s="11">
        <f>SUM(Jan!C21, Feb!C21, Mar!C21)</f>
        <v>132430</v>
      </c>
      <c r="D21" s="18">
        <f>SUM(Jan!D21, Feb!D21, Mar!D21)</f>
        <v>0</v>
      </c>
      <c r="E21" s="18">
        <f t="shared" si="5"/>
        <v>132430</v>
      </c>
      <c r="F21" s="19" t="str">
        <f t="shared" si="6"/>
        <v/>
      </c>
      <c r="G21" s="20">
        <f>SUM(Jan!G21, Feb!G21, Mar!G21)</f>
        <v>118223.06</v>
      </c>
      <c r="H21" s="20">
        <f>SUM(Jan!H21, Feb!H21, Mar!H21)</f>
        <v>14206.939999999999</v>
      </c>
      <c r="I21" s="19">
        <f t="shared" si="2"/>
        <v>0.1201706333772785</v>
      </c>
    </row>
    <row r="22" spans="1:9" ht="15.6">
      <c r="A22" s="48" t="str">
        <v>Kohls - North Amherst</v>
      </c>
      <c r="B22" s="9" t="str">
        <v>NY</v>
      </c>
      <c r="C22" s="24">
        <f>SUM(Jan!C22, Feb!C22, Mar!C22)</f>
        <v>0</v>
      </c>
      <c r="D22" s="13">
        <f>SUM(Jan!D22, Feb!D22, Mar!D22)</f>
        <v>0</v>
      </c>
      <c r="E22" s="13">
        <f t="shared" si="5"/>
        <v>0</v>
      </c>
      <c r="F22" s="14" t="str">
        <f t="shared" si="6"/>
        <v/>
      </c>
      <c r="G22" s="15">
        <f>SUM(Jan!G22, Feb!G22, Mar!G22)</f>
        <v>44245.55</v>
      </c>
      <c r="H22" s="15">
        <f>SUM(Jan!H22, Feb!H22, Mar!H22)</f>
        <v>-44245.55</v>
      </c>
      <c r="I22" s="16">
        <f t="shared" si="2"/>
        <v>-1</v>
      </c>
    </row>
    <row r="23" spans="1:9" ht="15.6">
      <c r="A23" s="49" t="str">
        <v>Kohls - Staten Island</v>
      </c>
      <c r="B23" s="10" t="str">
        <v>NY</v>
      </c>
      <c r="C23" s="11">
        <f>SUM(Jan!C23, Feb!C23, Mar!C23)</f>
        <v>53681</v>
      </c>
      <c r="D23" s="18">
        <f>SUM(Jan!D23, Feb!D23, Mar!D23)</f>
        <v>0</v>
      </c>
      <c r="E23" s="18">
        <f t="shared" si="5"/>
        <v>53681</v>
      </c>
      <c r="F23" s="19" t="str">
        <f t="shared" si="6"/>
        <v/>
      </c>
      <c r="G23" s="20">
        <f>SUM(Jan!G23, Feb!G23, Mar!G24)</f>
        <v>72887.91</v>
      </c>
      <c r="H23" s="20">
        <f>SUM(Jan!H23, Feb!H23, Mar!H23)</f>
        <v>-14695.289999999999</v>
      </c>
      <c r="I23" s="19">
        <f t="shared" si="2"/>
        <v>-0.20161491802961559</v>
      </c>
    </row>
    <row r="24" spans="1:9" ht="15.6">
      <c r="A24" s="48" t="str">
        <v>Kohls - Warminster</v>
      </c>
      <c r="B24" s="9" t="str">
        <v>PA</v>
      </c>
      <c r="C24" s="24">
        <f>SUM(Jan!C24, Feb!C24, Mar!C24)</f>
        <v>86449</v>
      </c>
      <c r="D24" s="13">
        <f>SUM(Jan!D24, Feb!D24, Mar!D24)</f>
        <v>0</v>
      </c>
      <c r="E24" s="13">
        <f t="shared" si="5"/>
        <v>86449</v>
      </c>
      <c r="F24" s="14" t="str">
        <f t="shared" si="6"/>
        <v/>
      </c>
      <c r="G24" s="15">
        <f>SUM(Jan!G24, Feb!G24, Mar!G25)</f>
        <v>72227.48000000001</v>
      </c>
      <c r="H24" s="15">
        <f>SUM(Jan!H24, Feb!H24, Mar!H24)</f>
        <v>6261.4900000000016</v>
      </c>
      <c r="I24" s="16">
        <f t="shared" si="2"/>
        <v>8.6691242723683573E-2</v>
      </c>
    </row>
    <row r="25" spans="1:9" ht="15.6">
      <c r="A25" s="49" t="str">
        <v xml:space="preserve">Kohls - Waterbury </v>
      </c>
      <c r="B25" s="10" t="str">
        <v>CT</v>
      </c>
      <c r="C25" s="11">
        <f>SUM(Jan!C25, Feb!C25, Mar!C25)</f>
        <v>52627</v>
      </c>
      <c r="D25" s="18">
        <f>SUM(Jan!D25, Feb!D25, Mar!D25)</f>
        <v>0</v>
      </c>
      <c r="E25" s="18">
        <f t="shared" si="5"/>
        <v>52627</v>
      </c>
      <c r="F25" s="19" t="str">
        <f t="shared" si="6"/>
        <v/>
      </c>
      <c r="G25" s="20">
        <f>SUM(Jan!G25, Feb!G25,Mar!G25)</f>
        <v>63024.39</v>
      </c>
      <c r="H25" s="20">
        <f>SUM(Jan!H25, Feb!H25, Mar!H25)</f>
        <v>-10397.389999999998</v>
      </c>
      <c r="I25" s="19">
        <f t="shared" si="2"/>
        <v>-0.1649740679759058</v>
      </c>
    </row>
    <row r="26" spans="1:9" ht="15.6">
      <c r="A26" s="48" t="str">
        <v>Mojave Water Agency - Headquarters</v>
      </c>
      <c r="B26" s="9" t="str">
        <v>CA</v>
      </c>
      <c r="C26" s="24">
        <f>SUM(Jan!C26, Feb!C26, Mar!C26)</f>
        <v>97224</v>
      </c>
      <c r="D26" s="13">
        <f>SUM(Jan!D26, Feb!D26, Mar!D26)</f>
        <v>0</v>
      </c>
      <c r="E26" s="13">
        <f t="shared" ref="E26:E69" si="7">IF(AND(ISNUMBER(C26),ISNUMBER(D26)), C26-D26, "")</f>
        <v>97224</v>
      </c>
      <c r="F26" s="14" t="str">
        <f t="shared" ref="F26:F69" si="8">IFERROR(E26/D26, "")</f>
        <v/>
      </c>
      <c r="G26" s="15">
        <f>SUM(Jan!G26, Feb!G26, Mar!G27)</f>
        <v>169730.46</v>
      </c>
      <c r="H26" s="15">
        <f>SUM(Jan!H26, Feb!H26, Mar!H26)</f>
        <v>10627.400000000001</v>
      </c>
      <c r="I26" s="16">
        <f t="shared" si="2"/>
        <v>6.2613393023267613E-2</v>
      </c>
    </row>
    <row r="27" spans="1:9" ht="15.6">
      <c r="A27" s="49" t="str">
        <v>CSU - Bakersfield</v>
      </c>
      <c r="B27" s="10" t="str">
        <v>CA</v>
      </c>
      <c r="C27" s="11">
        <f>SUM(Jan!C27, Feb!C27, Mar!C27)</f>
        <v>286399</v>
      </c>
      <c r="D27" s="18">
        <f>SUM(Jan!D27, Feb!D27, Mar!D27)</f>
        <v>0</v>
      </c>
      <c r="E27" s="18">
        <f t="shared" si="7"/>
        <v>286399</v>
      </c>
      <c r="F27" s="19" t="str">
        <f t="shared" si="8"/>
        <v/>
      </c>
      <c r="G27" s="20">
        <f>SUM(Jan!G27, Feb!G27,Mar!G27)</f>
        <v>257127.57</v>
      </c>
      <c r="H27" s="20">
        <f>SUM(Jan!H27, Feb!H27, Mar!H27)</f>
        <v>29271.430000000008</v>
      </c>
      <c r="I27" s="19">
        <f t="shared" si="2"/>
        <v>0.11384010668323123</v>
      </c>
    </row>
    <row r="28" spans="1:9" ht="15.6">
      <c r="A28" s="48" t="str">
        <v>Greenfield USD - Fairfield ES</v>
      </c>
      <c r="B28" s="9" t="str">
        <v>CA</v>
      </c>
      <c r="C28" s="24">
        <f>SUM(Jan!C28, Feb!C28, Mar!C28)</f>
        <v>30631</v>
      </c>
      <c r="D28" s="13">
        <f>SUM(Jan!D28, Feb!D28, Mar!D28)</f>
        <v>0</v>
      </c>
      <c r="E28" s="13">
        <f t="shared" si="7"/>
        <v>30631</v>
      </c>
      <c r="F28" s="14" t="str">
        <f t="shared" si="8"/>
        <v/>
      </c>
      <c r="G28" s="15">
        <f>SUM(Jan!G28, Feb!G28, Mar!G29)</f>
        <v>44355.33</v>
      </c>
      <c r="H28" s="15">
        <f>SUM(Jan!H28, Feb!H28, Mar!H28)</f>
        <v>4470.4400000000005</v>
      </c>
      <c r="I28" s="16">
        <f t="shared" si="2"/>
        <v>0.100786985464881</v>
      </c>
    </row>
    <row r="29" spans="1:9" ht="15.6">
      <c r="A29" s="49" t="str">
        <v>Greenfield USD - Granite Point ES</v>
      </c>
      <c r="B29" s="10" t="str">
        <v>CA</v>
      </c>
      <c r="C29" s="11">
        <f>SUM(Jan!C29, Feb!C29, Mar!C29)</f>
        <v>84450</v>
      </c>
      <c r="D29" s="18">
        <f>SUM(Jan!D29, Feb!D29, Mar!D29)</f>
        <v>0</v>
      </c>
      <c r="E29" s="18">
        <f t="shared" si="7"/>
        <v>84450</v>
      </c>
      <c r="F29" s="19" t="str">
        <f t="shared" si="8"/>
        <v/>
      </c>
      <c r="G29" s="20">
        <f>SUM(Jan!G29, Feb!G29,Mar!G29)</f>
        <v>68700.23000000001</v>
      </c>
      <c r="H29" s="20">
        <f>SUM(Jan!H29, Feb!H29, Mar!H29)</f>
        <v>15749.77</v>
      </c>
      <c r="I29" s="19">
        <f t="shared" si="2"/>
        <v>0.22925352651657788</v>
      </c>
    </row>
    <row r="30" spans="1:9" ht="15.6">
      <c r="A30" s="48" t="str">
        <v>Greenfield USD - Greenfield MS</v>
      </c>
      <c r="B30" s="9" t="str">
        <v>CA</v>
      </c>
      <c r="C30" s="24">
        <f>SUM(Jan!C30, Feb!C30, Mar!C30)</f>
        <v>45940</v>
      </c>
      <c r="D30" s="13">
        <f>SUM(Jan!D30, Feb!D30, Mar!D30)</f>
        <v>0</v>
      </c>
      <c r="E30" s="13">
        <f t="shared" si="7"/>
        <v>45940</v>
      </c>
      <c r="F30" s="14" t="str">
        <f t="shared" si="8"/>
        <v/>
      </c>
      <c r="G30" s="15">
        <f>SUM(Jan!G30, Feb!G30, Mar!G31)</f>
        <v>49111.119999999995</v>
      </c>
      <c r="H30" s="15">
        <f>SUM(Jan!H30, Feb!H30, Mar!H30)</f>
        <v>6930.4419999999991</v>
      </c>
      <c r="I30" s="16">
        <f t="shared" si="2"/>
        <v>0.14111757174342593</v>
      </c>
    </row>
    <row r="31" spans="1:9" ht="15.6">
      <c r="A31" s="49" t="str">
        <v>Greenfield USD - Horizon ES</v>
      </c>
      <c r="B31" s="10" t="str">
        <v>CA</v>
      </c>
      <c r="C31" s="11">
        <f>SUM(Jan!C31, Feb!C31, Mar!C31)</f>
        <v>76985</v>
      </c>
      <c r="D31" s="18">
        <f>SUM(Jan!D31, Feb!D31, Mar!D31)</f>
        <v>0</v>
      </c>
      <c r="E31" s="18">
        <f t="shared" si="7"/>
        <v>76985</v>
      </c>
      <c r="F31" s="19" t="str">
        <f t="shared" si="8"/>
        <v/>
      </c>
      <c r="G31" s="20">
        <f>SUM(Jan!G31, Feb!G31,Mar!G31)</f>
        <v>70247.87999999999</v>
      </c>
      <c r="H31" s="20">
        <f>SUM(Jan!H31, Feb!H31, Mar!H31)</f>
        <v>6737.1200000000026</v>
      </c>
      <c r="I31" s="19">
        <f t="shared" si="2"/>
        <v>9.5904958270626867E-2</v>
      </c>
    </row>
    <row r="32" spans="1:9" ht="15.6">
      <c r="A32" s="48" t="str">
        <v>Greenfield USD - McKee MS</v>
      </c>
      <c r="B32" s="9" t="str">
        <v>CA</v>
      </c>
      <c r="C32" s="24">
        <f>SUM(Jan!C32, Feb!C32, Mar!C32)</f>
        <v>37266</v>
      </c>
      <c r="D32" s="13">
        <f>SUM(Jan!D32, Feb!D32, Mar!D32)</f>
        <v>0</v>
      </c>
      <c r="E32" s="13">
        <f t="shared" si="7"/>
        <v>37266</v>
      </c>
      <c r="F32" s="14" t="str">
        <f t="shared" si="8"/>
        <v/>
      </c>
      <c r="G32" s="15">
        <f>SUM(Jan!G32, Feb!G32, Mar!G33)</f>
        <v>37725.43</v>
      </c>
      <c r="H32" s="15">
        <f>SUM(Jan!H32, Feb!H32, Mar!H32)</f>
        <v>-5707.84</v>
      </c>
      <c r="I32" s="16">
        <f t="shared" si="2"/>
        <v>-0.15129953455798914</v>
      </c>
    </row>
    <row r="33" spans="1:9" ht="15.6">
      <c r="A33" s="49" t="str">
        <v>Greenfield USD - Plantation ES</v>
      </c>
      <c r="B33" s="10" t="str">
        <v>CA</v>
      </c>
      <c r="C33" s="11">
        <f>SUM(Jan!C33, Feb!C33, Mar!C33)</f>
        <v>36245</v>
      </c>
      <c r="D33" s="18">
        <f>SUM(Jan!D33, Feb!D33, Mar!D33)</f>
        <v>0</v>
      </c>
      <c r="E33" s="18">
        <f t="shared" si="7"/>
        <v>36245</v>
      </c>
      <c r="F33" s="19" t="str">
        <f t="shared" si="8"/>
        <v/>
      </c>
      <c r="G33" s="20">
        <f>SUM(Jan!G33, Feb!G33,Mar!G33)</f>
        <v>30727.229999999996</v>
      </c>
      <c r="H33" s="20">
        <f>SUM(Jan!H33, Feb!H33, Mar!H33)</f>
        <v>5517.77</v>
      </c>
      <c r="I33" s="19">
        <f t="shared" si="2"/>
        <v>0.17957264615131274</v>
      </c>
    </row>
    <row r="34" spans="1:9" ht="15.6">
      <c r="A34" s="48" t="str">
        <v>Greenfield USD - Planz ES</v>
      </c>
      <c r="B34" s="9" t="str">
        <v>CA</v>
      </c>
      <c r="C34" s="24">
        <f>SUM(Jan!C34, Feb!C34, Mar!C34)</f>
        <v>13923</v>
      </c>
      <c r="D34" s="13">
        <f>SUM(Jan!D34, Feb!D34, Mar!D34)</f>
        <v>0</v>
      </c>
      <c r="E34" s="13">
        <f t="shared" si="7"/>
        <v>13923</v>
      </c>
      <c r="F34" s="14" t="str">
        <f t="shared" si="8"/>
        <v/>
      </c>
      <c r="G34" s="15">
        <f>SUM(Jan!G34, Feb!G34, Mar!G35)</f>
        <v>52884.98</v>
      </c>
      <c r="H34" s="15">
        <f>SUM(Jan!H34, Feb!H34, Mar!H34)</f>
        <v>-20845.34</v>
      </c>
      <c r="I34" s="16">
        <f t="shared" si="2"/>
        <v>-0.39416371151128354</v>
      </c>
    </row>
    <row r="35" spans="1:9" ht="15.6">
      <c r="A35" s="49" t="str">
        <v>Greenfield USD - Raffaello Palla ES</v>
      </c>
      <c r="B35" s="10" t="str">
        <v>CA</v>
      </c>
      <c r="C35" s="11">
        <f>SUM(Jan!C35, Feb!C35, Mar!C35)</f>
        <v>78218</v>
      </c>
      <c r="D35" s="18">
        <f>SUM(Jan!D35, Feb!D35, Mar!D35)</f>
        <v>0</v>
      </c>
      <c r="E35" s="18">
        <f t="shared" si="7"/>
        <v>78218</v>
      </c>
      <c r="F35" s="19" t="str">
        <f t="shared" si="8"/>
        <v/>
      </c>
      <c r="G35" s="20">
        <f>SUM(Jan!G35, Feb!G35,Mar!G35)</f>
        <v>77136.540000000008</v>
      </c>
      <c r="H35" s="20">
        <f>SUM(Jan!H35, Feb!H35, Mar!H35)</f>
        <v>1081.4599999999991</v>
      </c>
      <c r="I35" s="19">
        <f t="shared" si="2"/>
        <v>1.4020074014209077E-2</v>
      </c>
    </row>
    <row r="36" spans="1:9" ht="15.6">
      <c r="A36" s="48" t="str">
        <v>Greenfield USD - Valle Verde ES</v>
      </c>
      <c r="B36" s="9" t="str">
        <v>CA</v>
      </c>
      <c r="C36" s="24">
        <f>SUM(Jan!C36, Feb!C36, Mar!C36)</f>
        <v>93360</v>
      </c>
      <c r="D36" s="13">
        <f>SUM(Jan!D36, Feb!D36, Mar!D36)</f>
        <v>0</v>
      </c>
      <c r="E36" s="13">
        <f t="shared" si="7"/>
        <v>93360</v>
      </c>
      <c r="F36" s="14" t="str">
        <f t="shared" si="8"/>
        <v/>
      </c>
      <c r="G36" s="15">
        <f>SUM(Jan!G36, Feb!G36, Mar!G37)</f>
        <v>53460.28</v>
      </c>
      <c r="H36" s="15">
        <f>SUM(Jan!H36, Feb!H36, Mar!H36)</f>
        <v>20983.41</v>
      </c>
      <c r="I36" s="16">
        <f t="shared" si="2"/>
        <v>0.39250467823962015</v>
      </c>
    </row>
    <row r="37" spans="1:9" ht="15.6">
      <c r="A37" s="49" t="str">
        <v>Greenfield USD - W.A. Kendrick ES</v>
      </c>
      <c r="B37" s="10" t="str">
        <v>CA</v>
      </c>
      <c r="C37" s="11">
        <f>SUM(Jan!C37, Feb!C37, Mar!C37)</f>
        <v>15461</v>
      </c>
      <c r="D37" s="18">
        <f>SUM(Jan!D37, Feb!D37, Mar!D37)</f>
        <v>0</v>
      </c>
      <c r="E37" s="18">
        <f t="shared" si="7"/>
        <v>15461</v>
      </c>
      <c r="F37" s="19" t="str">
        <f t="shared" si="8"/>
        <v/>
      </c>
      <c r="G37" s="20">
        <f>SUM(Jan!G37, Feb!G37,Mar!G37)</f>
        <v>27900.949999999997</v>
      </c>
      <c r="H37" s="20">
        <f>SUM(Jan!H37, Feb!H37, Mar!H37)</f>
        <v>-12439.95</v>
      </c>
      <c r="I37" s="19">
        <f t="shared" si="2"/>
        <v>-0.44586116243353729</v>
      </c>
    </row>
    <row r="38" spans="1:9" ht="15.6">
      <c r="A38" s="48" t="str">
        <v>Muroc Joint USD - Boron HS</v>
      </c>
      <c r="B38" s="9" t="str">
        <v>CA</v>
      </c>
      <c r="C38" s="24">
        <f>SUM(Jan!C38, Feb!C38, Mar!C38)</f>
        <v>0</v>
      </c>
      <c r="D38" s="13">
        <f>SUM(Jan!D38, Feb!D38, Mar!D38)</f>
        <v>0</v>
      </c>
      <c r="E38" s="13">
        <f t="shared" si="7"/>
        <v>0</v>
      </c>
      <c r="F38" s="14" t="str">
        <f t="shared" si="8"/>
        <v/>
      </c>
      <c r="G38" s="15">
        <f>SUM(Jan!G38, Feb!G38, Mar!G39)</f>
        <v>61204.34</v>
      </c>
      <c r="H38" s="15">
        <f>SUM(Jan!H38, Feb!H38, Mar!H38)</f>
        <v>-83442.209999999992</v>
      </c>
      <c r="I38" s="16">
        <f t="shared" si="2"/>
        <v>-1.36333812275404</v>
      </c>
    </row>
    <row r="39" spans="1:9" ht="15.6">
      <c r="A39" s="49" t="str">
        <v>Muroc Joint USD - W. Boron ES</v>
      </c>
      <c r="B39" s="10" t="str">
        <v>CA</v>
      </c>
      <c r="C39" s="11">
        <f>SUM(Jan!C39, Feb!C39, Mar!C39)</f>
        <v>32348</v>
      </c>
      <c r="D39" s="18">
        <f>SUM(Jan!D39, Feb!D39, Mar!D39)</f>
        <v>0</v>
      </c>
      <c r="E39" s="18">
        <f t="shared" si="7"/>
        <v>32348</v>
      </c>
      <c r="F39" s="19" t="str">
        <f t="shared" si="8"/>
        <v/>
      </c>
      <c r="G39" s="20">
        <f>SUM(Jan!G39, Feb!G39,Mar!G39)</f>
        <v>30870.400000000001</v>
      </c>
      <c r="H39" s="20">
        <f>SUM(Jan!H39, Feb!H39, Mar!H39)</f>
        <v>1477.5999999999985</v>
      </c>
      <c r="I39" s="19">
        <f t="shared" si="2"/>
        <v>4.786462112573852E-2</v>
      </c>
    </row>
    <row r="40" spans="1:9" ht="15.6">
      <c r="A40" s="48" t="str">
        <v>Colusa - WTP</v>
      </c>
      <c r="B40" s="9" t="str">
        <v>CA</v>
      </c>
      <c r="C40" s="24">
        <f>SUM(Jan!C40, Feb!C40, Mar!C40)</f>
        <v>0</v>
      </c>
      <c r="D40" s="13">
        <f>SUM(Jan!D40, Feb!D40, Mar!D40)</f>
        <v>0</v>
      </c>
      <c r="E40" s="13">
        <f t="shared" si="7"/>
        <v>0</v>
      </c>
      <c r="F40" s="14" t="str">
        <f t="shared" si="8"/>
        <v/>
      </c>
      <c r="G40" s="15">
        <f>SUM(Jan!G40, Feb!G40, Mar!G41)</f>
        <v>121255.59</v>
      </c>
      <c r="H40" s="15">
        <f>SUM(Jan!H40, Feb!H40, Mar!H40)</f>
        <v>-83651.299999999988</v>
      </c>
      <c r="I40" s="16">
        <f t="shared" si="2"/>
        <v>-0.68987582345688137</v>
      </c>
    </row>
    <row r="41" spans="1:9" ht="15.6">
      <c r="A41" s="49" t="str">
        <v>CDCR-North Kern State Prision</v>
      </c>
      <c r="B41" s="10" t="str">
        <v>CA</v>
      </c>
      <c r="C41" s="11">
        <f>SUM(Jan!C41, Feb!C41, Mar!C41)</f>
        <v>213645</v>
      </c>
      <c r="D41" s="18">
        <f>SUM(Jan!D41, Feb!D41, Mar!D41)</f>
        <v>0</v>
      </c>
      <c r="E41" s="18">
        <f t="shared" si="7"/>
        <v>213645</v>
      </c>
      <c r="F41" s="19" t="str">
        <f t="shared" si="8"/>
        <v/>
      </c>
      <c r="G41" s="20">
        <f>SUM(Jan!G41, Feb!G41,Mar!G41)</f>
        <v>266515.87</v>
      </c>
      <c r="H41" s="20">
        <f>SUM(Jan!H41, Feb!H41, Mar!H41)</f>
        <v>-52870.87000000001</v>
      </c>
      <c r="I41" s="19">
        <f t="shared" si="2"/>
        <v>-0.19837794274689913</v>
      </c>
    </row>
    <row r="42" spans="1:9" ht="15.6">
      <c r="A42" s="48" t="str">
        <v>Muroc Joint USD - District Office</v>
      </c>
      <c r="B42" s="9" t="str">
        <v>CA</v>
      </c>
      <c r="C42" s="24">
        <f>SUM(Jan!C42, Feb!C42, Mar!C42)</f>
        <v>16194</v>
      </c>
      <c r="D42" s="13">
        <f>SUM(Jan!D42, Feb!D42, Mar!D42)</f>
        <v>0</v>
      </c>
      <c r="E42" s="13">
        <f t="shared" si="7"/>
        <v>16194</v>
      </c>
      <c r="F42" s="14" t="str">
        <f t="shared" si="8"/>
        <v/>
      </c>
      <c r="G42" s="15">
        <f>SUM(Jan!G42, Feb!G42, Mar!G43)</f>
        <v>31773.82</v>
      </c>
      <c r="H42" s="15">
        <f>SUM(Jan!H42, Feb!H42, Mar!H42)</f>
        <v>-5546.9399999999987</v>
      </c>
      <c r="I42" s="16">
        <f t="shared" si="2"/>
        <v>-0.17457579856624098</v>
      </c>
    </row>
    <row r="43" spans="1:9" ht="15.6">
      <c r="A43" s="49" t="str">
        <v>Whole Foods - Manhattan Beach</v>
      </c>
      <c r="B43" s="10" t="str">
        <v>CA</v>
      </c>
      <c r="C43" s="11">
        <f>SUM(Jan!C43, Feb!C43, Mar!C43)</f>
        <v>39241</v>
      </c>
      <c r="D43" s="18">
        <f>SUM(Jan!D43, Feb!D43, Mar!D43)</f>
        <v>0</v>
      </c>
      <c r="E43" s="18">
        <f t="shared" si="7"/>
        <v>39241</v>
      </c>
      <c r="F43" s="19" t="str">
        <f t="shared" si="8"/>
        <v/>
      </c>
      <c r="G43" s="20">
        <f>SUM(Jan!G43, Feb!G43,Mar!G43)</f>
        <v>48623.56</v>
      </c>
      <c r="H43" s="20">
        <f>SUM(Jan!H43, Feb!H43, Mar!H43)</f>
        <v>-9382.5599999999977</v>
      </c>
      <c r="I43" s="19">
        <f t="shared" si="2"/>
        <v>-0.19296324662365319</v>
      </c>
    </row>
    <row r="44" spans="1:9" ht="15.6">
      <c r="A44" s="48" t="str">
        <v>Pioneer USD - Frontier ES</v>
      </c>
      <c r="B44" s="9" t="str">
        <v>CA</v>
      </c>
      <c r="C44" s="24">
        <f>SUM(Jan!C44, Feb!C44, Mar!C44)</f>
        <v>68667</v>
      </c>
      <c r="D44" s="13">
        <f>SUM(Jan!D44, Feb!D44, Mar!D44)</f>
        <v>0</v>
      </c>
      <c r="E44" s="13">
        <f t="shared" si="7"/>
        <v>68667</v>
      </c>
      <c r="F44" s="14" t="str">
        <f t="shared" si="8"/>
        <v/>
      </c>
      <c r="G44" s="15">
        <f>SUM(Jan!G44, Feb!G44, Mar!G45)</f>
        <v>61922.17</v>
      </c>
      <c r="H44" s="15">
        <f>SUM(Jan!H44, Feb!H44, Mar!H44)</f>
        <v>7535.0299999999988</v>
      </c>
      <c r="I44" s="16">
        <f t="shared" si="2"/>
        <v>0.12168549648696096</v>
      </c>
    </row>
    <row r="45" spans="1:9" ht="15.6">
      <c r="A45" s="49" t="str">
        <v>Pioneer USD - Pioneer ES</v>
      </c>
      <c r="B45" s="10" t="str">
        <v>CA</v>
      </c>
      <c r="C45" s="11">
        <f>SUM(Jan!C45, Feb!C45, Mar!C45)</f>
        <v>40957</v>
      </c>
      <c r="D45" s="18">
        <f>SUM(Jan!D45, Feb!D45, Mar!D45)</f>
        <v>0</v>
      </c>
      <c r="E45" s="18">
        <f t="shared" si="7"/>
        <v>40957</v>
      </c>
      <c r="F45" s="19" t="str">
        <f t="shared" si="8"/>
        <v/>
      </c>
      <c r="G45" s="20">
        <f>SUM(Jan!G45, Feb!G45,Mar!G45)</f>
        <v>62281.26</v>
      </c>
      <c r="H45" s="20">
        <f>SUM(Jan!H45, Feb!H45, Mar!H45)</f>
        <v>-21324.260000000002</v>
      </c>
      <c r="I45" s="19">
        <f t="shared" si="2"/>
        <v>-0.34238645782053867</v>
      </c>
    </row>
    <row r="46" spans="1:9" ht="15.6">
      <c r="A46" s="48" t="str">
        <v>Pioneer USD - Pioneer MS</v>
      </c>
      <c r="B46" s="9" t="str">
        <v>CA</v>
      </c>
      <c r="C46" s="24">
        <f>SUM(Jan!C46, Feb!C46, Mar!C46)</f>
        <v>95093</v>
      </c>
      <c r="D46" s="13">
        <f>SUM(Jan!D46, Feb!D46, Mar!D46)</f>
        <v>0</v>
      </c>
      <c r="E46" s="13">
        <f t="shared" si="7"/>
        <v>95093</v>
      </c>
      <c r="F46" s="14" t="str">
        <f t="shared" si="8"/>
        <v/>
      </c>
      <c r="G46" s="15">
        <f>SUM(Jan!G46, Feb!G46, Mar!G47)</f>
        <v>101766.18</v>
      </c>
      <c r="H46" s="15">
        <f>SUM(Jan!H46, Feb!H46, Mar!H46)</f>
        <v>11019.330000000002</v>
      </c>
      <c r="I46" s="16">
        <f t="shared" si="2"/>
        <v>0.10828086501822121</v>
      </c>
    </row>
    <row r="47" spans="1:9" ht="15.6">
      <c r="A47" s="49" t="str">
        <v>Kingsburg Joint UHSD - Kingsburg HS</v>
      </c>
      <c r="B47" s="10" t="str">
        <v>CA</v>
      </c>
      <c r="C47" s="11">
        <f>SUM(Jan!C47, Feb!C47, Mar!C47)</f>
        <v>154608</v>
      </c>
      <c r="D47" s="18">
        <f>SUM(Jan!D47, Feb!D47, Mar!D47)</f>
        <v>0</v>
      </c>
      <c r="E47" s="18">
        <f t="shared" si="7"/>
        <v>154608</v>
      </c>
      <c r="F47" s="19" t="str">
        <f t="shared" si="8"/>
        <v/>
      </c>
      <c r="G47" s="20">
        <f>SUM(Jan!G47, Feb!G47,Mar!G47)</f>
        <v>144517.65000000002</v>
      </c>
      <c r="H47" s="20">
        <f>SUM(Jan!H47, Feb!H47, Mar!H47)</f>
        <v>10090.349999999999</v>
      </c>
      <c r="I47" s="19">
        <f t="shared" si="2"/>
        <v>6.9820883469942918E-2</v>
      </c>
    </row>
    <row r="48" spans="1:9" ht="15.6">
      <c r="A48" s="48" t="str">
        <v>CADRB</v>
      </c>
      <c r="B48" s="9" t="str">
        <v>CA</v>
      </c>
      <c r="C48" s="24">
        <f>SUM(Jan!C48, Feb!C48, Mar!C48)</f>
        <v>0</v>
      </c>
      <c r="D48" s="13">
        <f>SUM(Jan!D48, Feb!D48, Mar!D48)</f>
        <v>0</v>
      </c>
      <c r="E48" s="13">
        <f t="shared" si="7"/>
        <v>0</v>
      </c>
      <c r="F48" s="14" t="str">
        <f t="shared" si="8"/>
        <v/>
      </c>
      <c r="G48" s="15">
        <f>SUM(Jan!G48, Feb!G48, Mar!G49)</f>
        <v>1265150.78</v>
      </c>
      <c r="H48" s="15">
        <f>SUM(Jan!H48, Feb!H48, Mar!H48)</f>
        <v>-1550916</v>
      </c>
      <c r="I48" s="16">
        <f t="shared" si="2"/>
        <v>-1.2258744368793733</v>
      </c>
    </row>
    <row r="49" spans="1:9" ht="15.6">
      <c r="A49" s="49" t="str">
        <v>CDCR-CA State Prison LA County</v>
      </c>
      <c r="B49" s="10" t="str">
        <v>CA</v>
      </c>
      <c r="C49" s="11">
        <f>SUM(Jan!C49, Feb!C49, Mar!C49)</f>
        <v>572550</v>
      </c>
      <c r="D49" s="18">
        <f>SUM(Jan!D49, Feb!D49, Mar!D49)</f>
        <v>0</v>
      </c>
      <c r="E49" s="18">
        <f t="shared" si="7"/>
        <v>572550</v>
      </c>
      <c r="F49" s="19" t="str">
        <f t="shared" si="8"/>
        <v/>
      </c>
      <c r="G49" s="20">
        <f>SUM(Jan!G49, Feb!G49,Mar!G49)</f>
        <v>956201.8600000001</v>
      </c>
      <c r="H49" s="20">
        <f>SUM(Jan!H49, Feb!H49, Mar!H49)</f>
        <v>-383651.86000000004</v>
      </c>
      <c r="I49" s="19">
        <f t="shared" si="2"/>
        <v>-0.40122475812795427</v>
      </c>
    </row>
    <row r="50" spans="1:9" ht="15.6">
      <c r="A50" s="48" t="str">
        <v>Central USD Akers ES</v>
      </c>
      <c r="B50" s="9" t="str">
        <v>CA</v>
      </c>
      <c r="C50" s="24">
        <f>SUM(Jan!C50, Feb!C50, Mar!C50)</f>
        <v>125312</v>
      </c>
      <c r="D50" s="13">
        <f>SUM(Jan!D50, Feb!D50, Mar!D50)</f>
        <v>0</v>
      </c>
      <c r="E50" s="13">
        <f t="shared" si="7"/>
        <v>125312</v>
      </c>
      <c r="F50" s="14" t="str">
        <f t="shared" si="8"/>
        <v/>
      </c>
      <c r="G50" s="15">
        <f>SUM(Jan!G50, Feb!G50, Mar!G51)</f>
        <v>60014.97</v>
      </c>
      <c r="H50" s="15">
        <f>SUM(Jan!H50, Feb!H50, Mar!H50)</f>
        <v>58235.26999999999</v>
      </c>
      <c r="I50" s="16">
        <f t="shared" si="2"/>
        <v>0.97034573207318087</v>
      </c>
    </row>
    <row r="51" spans="1:9" ht="15.6">
      <c r="A51" s="49" t="str">
        <v>CUSD - District Office</v>
      </c>
      <c r="B51" s="10" t="str">
        <v>CA</v>
      </c>
      <c r="C51" s="11">
        <f>SUM(Jan!C51, Feb!C51, Mar!C51)</f>
        <v>48772</v>
      </c>
      <c r="D51" s="18">
        <f>SUM(Jan!D51, Feb!D51, Mar!D51)</f>
        <v>0</v>
      </c>
      <c r="E51" s="18">
        <f t="shared" si="7"/>
        <v>48772</v>
      </c>
      <c r="F51" s="19" t="str">
        <f t="shared" si="8"/>
        <v/>
      </c>
      <c r="G51" s="20">
        <f>SUM(Jan!G51, Feb!G51,Mar!G51)</f>
        <v>51733.5</v>
      </c>
      <c r="H51" s="20">
        <f>SUM(Jan!H51, Feb!H51, Mar!H51)</f>
        <v>-2961.4999999999982</v>
      </c>
      <c r="I51" s="19">
        <f t="shared" si="2"/>
        <v>-5.7245305266413408E-2</v>
      </c>
    </row>
    <row r="52" spans="1:9" ht="15.6">
      <c r="A52" s="48" t="str">
        <v>Parlier - WTP</v>
      </c>
      <c r="B52" s="9" t="str">
        <v>CA</v>
      </c>
      <c r="C52" s="24">
        <f>SUM(Jan!C52, Feb!C52, Mar!C52)</f>
        <v>96610</v>
      </c>
      <c r="D52" s="13">
        <f>SUM(Jan!D52, Feb!D52, Mar!D52)</f>
        <v>0</v>
      </c>
      <c r="E52" s="13">
        <f t="shared" si="7"/>
        <v>96610</v>
      </c>
      <c r="F52" s="14" t="str">
        <f t="shared" si="8"/>
        <v/>
      </c>
      <c r="G52" s="15">
        <f>SUM(Jan!G52, Feb!G52, Mar!G53)</f>
        <v>104445.94</v>
      </c>
      <c r="H52" s="15">
        <f>SUM(Jan!H52, Feb!H52, Mar!H52)</f>
        <v>-37093.360000000001</v>
      </c>
      <c r="I52" s="16">
        <f t="shared" si="2"/>
        <v>-0.35514410612801223</v>
      </c>
    </row>
    <row r="53" spans="1:9" ht="15.6">
      <c r="A53" s="49" t="str">
        <v>Snowline SD - Quail Valley MS</v>
      </c>
      <c r="B53" s="10" t="str">
        <v>CA</v>
      </c>
      <c r="C53" s="11">
        <f>SUM(Jan!C53, Feb!C53, Mar!C53)</f>
        <v>73141</v>
      </c>
      <c r="D53" s="18">
        <f>SUM(Jan!D53, Feb!D53, Mar!D53)</f>
        <v>0</v>
      </c>
      <c r="E53" s="18">
        <f t="shared" si="7"/>
        <v>73141</v>
      </c>
      <c r="F53" s="19" t="str">
        <f t="shared" si="8"/>
        <v/>
      </c>
      <c r="G53" s="20">
        <f>SUM(Jan!G53, Feb!G53,Mar!G53)</f>
        <v>86517.260000000009</v>
      </c>
      <c r="H53" s="20">
        <f>SUM(Jan!H53, Feb!H53, Mar!H53)</f>
        <v>-13376.260000000002</v>
      </c>
      <c r="I53" s="19">
        <f t="shared" si="2"/>
        <v>-0.15460799382689652</v>
      </c>
    </row>
    <row r="54" spans="1:9" ht="15.6">
      <c r="A54" s="48" t="str">
        <v>Snowline SD - Serrano HS - Middle Lot</v>
      </c>
      <c r="B54" s="9" t="str">
        <v>CA</v>
      </c>
      <c r="C54" s="24">
        <f>SUM(Jan!C54, Feb!C54, Mar!C54)</f>
        <v>67117</v>
      </c>
      <c r="D54" s="13">
        <f>SUM(Jan!D54, Feb!D54, Mar!D54)</f>
        <v>0</v>
      </c>
      <c r="E54" s="13">
        <f t="shared" si="7"/>
        <v>67117</v>
      </c>
      <c r="F54" s="14" t="str">
        <f t="shared" si="8"/>
        <v/>
      </c>
      <c r="G54" s="15">
        <f>SUM(Jan!G54, Feb!G54, Mar!G55)</f>
        <v>77710.38</v>
      </c>
      <c r="H54" s="15">
        <f>SUM(Jan!H54, Feb!H54, Mar!H54)</f>
        <v>-33457.150000000009</v>
      </c>
      <c r="I54" s="16">
        <f t="shared" si="2"/>
        <v>-0.43053643541570646</v>
      </c>
    </row>
    <row r="55" spans="1:9" ht="15.6">
      <c r="A55" s="49" t="str">
        <v>Snowline SD - Pinon Hills ES</v>
      </c>
      <c r="B55" s="10" t="str">
        <v>CA</v>
      </c>
      <c r="C55" s="11">
        <f>SUM(Jan!C55, Feb!C55, Mar!C55)</f>
        <v>30356</v>
      </c>
      <c r="D55" s="18">
        <f>SUM(Jan!D55, Feb!D55, Mar!D55)</f>
        <v>0</v>
      </c>
      <c r="E55" s="18">
        <f t="shared" si="7"/>
        <v>30356</v>
      </c>
      <c r="F55" s="19" t="str">
        <f t="shared" si="8"/>
        <v/>
      </c>
      <c r="G55" s="20">
        <f>SUM(Jan!G55, Feb!G55,Mar!G55)</f>
        <v>52493.94</v>
      </c>
      <c r="H55" s="20">
        <f>SUM(Jan!H55, Feb!H55, Mar!H55)</f>
        <v>-22137.94</v>
      </c>
      <c r="I55" s="19">
        <f t="shared" si="2"/>
        <v>-0.42172372658634499</v>
      </c>
    </row>
    <row r="56" spans="1:9" ht="15.6">
      <c r="A56" s="48" t="str">
        <v>Ramona - Santa Maria WTP</v>
      </c>
      <c r="B56" s="9" t="str">
        <v>CA</v>
      </c>
      <c r="C56" s="24">
        <f>SUM(Jan!C56, Feb!C56, Mar!C56)</f>
        <v>165885</v>
      </c>
      <c r="D56" s="13">
        <f>SUM(Jan!D56, Feb!D56, Mar!D56)</f>
        <v>0</v>
      </c>
      <c r="E56" s="13">
        <f t="shared" si="7"/>
        <v>165885</v>
      </c>
      <c r="F56" s="14" t="str">
        <f t="shared" si="8"/>
        <v/>
      </c>
      <c r="G56" s="15">
        <f>SUM(Jan!G56, Feb!G56, Mar!G57)</f>
        <v>142213.79</v>
      </c>
      <c r="H56" s="15">
        <f>SUM(Jan!H56, Feb!H56, Mar!H56)</f>
        <v>-22579.509999999995</v>
      </c>
      <c r="I56" s="16">
        <f t="shared" si="2"/>
        <v>-0.15877159310640687</v>
      </c>
    </row>
    <row r="57" spans="1:9" ht="15.6">
      <c r="A57" s="49" t="str">
        <v>Kohls - Redding</v>
      </c>
      <c r="B57" s="10" t="str">
        <v>CA</v>
      </c>
      <c r="C57" s="11">
        <f>SUM(Jan!C57, Feb!C57, Mar!C57)</f>
        <v>65082</v>
      </c>
      <c r="D57" s="18">
        <f>SUM(Jan!D57, Feb!D57, Mar!D57)</f>
        <v>0</v>
      </c>
      <c r="E57" s="18">
        <f t="shared" si="7"/>
        <v>65082</v>
      </c>
      <c r="F57" s="19" t="str">
        <f t="shared" si="8"/>
        <v/>
      </c>
      <c r="G57" s="20">
        <f>SUM(Jan!G57, Feb!G57,Mar!G57)</f>
        <v>56668.39</v>
      </c>
      <c r="H57" s="20">
        <f>SUM(Jan!H57, Feb!H57, Mar!H57)</f>
        <v>8413.61</v>
      </c>
      <c r="I57" s="19">
        <f t="shared" si="2"/>
        <v>0.14847095532447632</v>
      </c>
    </row>
    <row r="58" spans="1:9" ht="15.6">
      <c r="A58" s="48" t="str">
        <v>Kohls - Salinas</v>
      </c>
      <c r="B58" s="9" t="str">
        <v>CA</v>
      </c>
      <c r="C58" s="24">
        <f>SUM(Jan!C58, Feb!C58, Mar!C58)</f>
        <v>79266</v>
      </c>
      <c r="D58" s="13">
        <f>SUM(Jan!D58, Feb!D58, Mar!D58)</f>
        <v>0</v>
      </c>
      <c r="E58" s="13">
        <f t="shared" si="7"/>
        <v>79266</v>
      </c>
      <c r="F58" s="14" t="str">
        <f t="shared" si="8"/>
        <v/>
      </c>
      <c r="G58" s="15">
        <f>SUM(Jan!G58, Feb!G58, Mar!G59)</f>
        <v>195379.35</v>
      </c>
      <c r="H58" s="15">
        <f>SUM(Jan!H58, Feb!H58, Mar!H58)</f>
        <v>-16326.609999999997</v>
      </c>
      <c r="I58" s="16">
        <f t="shared" si="2"/>
        <v>-8.3563641705226246E-2</v>
      </c>
    </row>
    <row r="59" spans="1:9" ht="15.6">
      <c r="A59" s="49" t="str">
        <v>Kohls - San Bernardino - Central</v>
      </c>
      <c r="B59" s="10" t="str">
        <v>CA</v>
      </c>
      <c r="C59" s="11">
        <f>SUM(Jan!C59, Feb!C59, Mar!C59)</f>
        <v>325957</v>
      </c>
      <c r="D59" s="18">
        <f>SUM(Jan!D59, Feb!D59, Mar!D59)</f>
        <v>0</v>
      </c>
      <c r="E59" s="18">
        <f t="shared" si="7"/>
        <v>325957</v>
      </c>
      <c r="F59" s="19" t="str">
        <f t="shared" si="8"/>
        <v/>
      </c>
      <c r="G59" s="20">
        <f>SUM(Jan!G59, Feb!G59,Mar!G59)</f>
        <v>373996.89</v>
      </c>
      <c r="H59" s="20">
        <f>SUM(Jan!H59, Feb!H59, Mar!H59)</f>
        <v>-48039.890000000014</v>
      </c>
      <c r="I59" s="19">
        <f t="shared" si="2"/>
        <v>-0.12844997187008697</v>
      </c>
    </row>
    <row r="60" spans="1:9" ht="15.6">
      <c r="A60" s="48" t="str">
        <v>Kohls - Sonora</v>
      </c>
      <c r="B60" s="9" t="str">
        <v>CA</v>
      </c>
      <c r="C60" s="24">
        <f>SUM(Jan!C60, Feb!C60, Mar!C60)</f>
        <v>58428</v>
      </c>
      <c r="D60" s="13">
        <f>SUM(Jan!D60, Feb!D60, Mar!D60)</f>
        <v>0</v>
      </c>
      <c r="E60" s="13">
        <f t="shared" si="7"/>
        <v>58428</v>
      </c>
      <c r="F60" s="14" t="str">
        <f t="shared" si="8"/>
        <v/>
      </c>
      <c r="G60" s="15">
        <f>SUM(Jan!G60, Feb!G60, Mar!G61)</f>
        <v>53636.639999999999</v>
      </c>
      <c r="H60" s="15">
        <f>SUM(Jan!H60, Feb!H60, Mar!H60)</f>
        <v>-3277.0300000000007</v>
      </c>
      <c r="I60" s="16">
        <f t="shared" si="2"/>
        <v>-6.1096854687392808E-2</v>
      </c>
    </row>
    <row r="61" spans="1:9" ht="15.6">
      <c r="A61" s="49" t="str">
        <v>CUSD - Stratford ES</v>
      </c>
      <c r="B61" s="10" t="str">
        <v>CA</v>
      </c>
      <c r="C61" s="11">
        <f>SUM(Jan!C61, Feb!C61, Mar!C61)</f>
        <v>58757</v>
      </c>
      <c r="D61" s="18">
        <f>SUM(Jan!D61, Feb!D61, Mar!D61)</f>
        <v>0</v>
      </c>
      <c r="E61" s="18">
        <f t="shared" si="7"/>
        <v>58757</v>
      </c>
      <c r="F61" s="19" t="str">
        <f t="shared" si="8"/>
        <v/>
      </c>
      <c r="G61" s="20">
        <f>SUM(Jan!G61, Feb!G61,Mar!G61)</f>
        <v>44456.07</v>
      </c>
      <c r="H61" s="20">
        <f>SUM(Jan!H61, Feb!H61, Mar!H61)</f>
        <v>14300.930000000002</v>
      </c>
      <c r="I61" s="19">
        <f t="shared" si="2"/>
        <v>0.32168677978057897</v>
      </c>
    </row>
    <row r="62" spans="1:9" ht="15.6">
      <c r="A62" s="48" t="str">
        <v>Taft - City Hall</v>
      </c>
      <c r="B62" s="9" t="str">
        <v>CA</v>
      </c>
      <c r="C62" s="24">
        <f>SUM(Jan!C62, Feb!C62, Mar!C62)</f>
        <v>5032</v>
      </c>
      <c r="D62" s="13">
        <f>SUM(Jan!D62, Feb!D62, Mar!D62)</f>
        <v>0</v>
      </c>
      <c r="E62" s="13">
        <f t="shared" si="7"/>
        <v>5032</v>
      </c>
      <c r="F62" s="14" t="str">
        <f t="shared" si="8"/>
        <v/>
      </c>
      <c r="G62" s="15">
        <f>SUM(Jan!G62, Feb!G62, Mar!G63)</f>
        <v>21141.25</v>
      </c>
      <c r="H62" s="15">
        <f>SUM(Jan!H62, Feb!H62, Mar!H62)</f>
        <v>-11478.079999999998</v>
      </c>
      <c r="I62" s="16">
        <f t="shared" si="2"/>
        <v>-0.54292343167977286</v>
      </c>
    </row>
    <row r="63" spans="1:9" ht="15.6">
      <c r="A63" s="49" t="str">
        <v>Taft - Federal Prison</v>
      </c>
      <c r="B63" s="10" t="str">
        <v>CA</v>
      </c>
      <c r="C63" s="11">
        <f>SUM(Jan!C63, Feb!C63, Mar!C63)</f>
        <v>40100</v>
      </c>
      <c r="D63" s="18">
        <f>SUM(Jan!D63, Feb!D63, Mar!D63)</f>
        <v>0</v>
      </c>
      <c r="E63" s="18">
        <f t="shared" si="7"/>
        <v>40100</v>
      </c>
      <c r="F63" s="19" t="str">
        <f t="shared" si="8"/>
        <v/>
      </c>
      <c r="G63" s="20">
        <f>SUM(Jan!G63, Feb!G63,Mar!G63)</f>
        <v>28186.639999999999</v>
      </c>
      <c r="H63" s="20">
        <f>SUM(Jan!H63, Feb!H63, Mar!H63)</f>
        <v>11913.36</v>
      </c>
      <c r="I63" s="19">
        <f t="shared" si="2"/>
        <v>0.42265981330162095</v>
      </c>
    </row>
    <row r="64" spans="1:9" ht="15.6">
      <c r="A64" s="48" t="str">
        <v>Taft - Police Department</v>
      </c>
      <c r="B64" s="9" t="str">
        <v>CA</v>
      </c>
      <c r="C64" s="24">
        <f>SUM(Jan!C64, Feb!C64, Mar!C64)</f>
        <v>25316</v>
      </c>
      <c r="D64" s="13">
        <f>SUM(Jan!D64, Feb!D64, Mar!D64)</f>
        <v>0</v>
      </c>
      <c r="E64" s="13">
        <f t="shared" si="7"/>
        <v>25316</v>
      </c>
      <c r="F64" s="14" t="str">
        <f t="shared" si="8"/>
        <v/>
      </c>
      <c r="G64" s="15">
        <f>SUM(Jan!G64, Feb!G64, Mar!G65)</f>
        <v>43385.41</v>
      </c>
      <c r="H64" s="15">
        <f>SUM(Jan!H64, Feb!H64, Mar!H64)</f>
        <v>6357.28</v>
      </c>
      <c r="I64" s="16">
        <f t="shared" si="2"/>
        <v>0.14653036585340554</v>
      </c>
    </row>
    <row r="65" spans="1:9" ht="15.6">
      <c r="A65" s="49" t="str">
        <v>Taft - WTP</v>
      </c>
      <c r="B65" s="10" t="str">
        <v>CA</v>
      </c>
      <c r="C65" s="11">
        <f>SUM(Jan!C65, Feb!C65, Mar!C65)</f>
        <v>31622</v>
      </c>
      <c r="D65" s="18">
        <f>SUM(Jan!D65, Feb!D65, Mar!D65)</f>
        <v>0</v>
      </c>
      <c r="E65" s="18">
        <f t="shared" si="7"/>
        <v>31622</v>
      </c>
      <c r="F65" s="19" t="str">
        <f t="shared" si="8"/>
        <v/>
      </c>
      <c r="G65" s="20">
        <f>SUM(Jan!G65, Feb!G65,Mar!G65)</f>
        <v>76600.94</v>
      </c>
      <c r="H65" s="20">
        <f>SUM(Jan!H65, Feb!H65, Mar!H65)</f>
        <v>-44978.94</v>
      </c>
      <c r="I65" s="19">
        <f t="shared" si="2"/>
        <v>-0.58718522253121175</v>
      </c>
    </row>
    <row r="66" spans="1:9" ht="15.6">
      <c r="A66" s="48" t="str">
        <v>CDCR - CA Correctional Institution</v>
      </c>
      <c r="B66" s="9" t="str">
        <v>CA</v>
      </c>
      <c r="C66" s="24">
        <f>SUM(Jan!C66, Feb!C66, Mar!C66)</f>
        <v>350805</v>
      </c>
      <c r="D66" s="13">
        <f>SUM(Jan!D66, Feb!D66, Mar!D66)</f>
        <v>0</v>
      </c>
      <c r="E66" s="13">
        <f t="shared" si="7"/>
        <v>350805</v>
      </c>
      <c r="F66" s="14" t="str">
        <f t="shared" si="8"/>
        <v/>
      </c>
      <c r="G66" s="15">
        <f>SUM(Jan!G66, Feb!G66, Mar!G67)</f>
        <v>383758.33</v>
      </c>
      <c r="H66" s="15">
        <f>SUM(Jan!H66, Feb!H66, Mar!H66)</f>
        <v>27127.869999999995</v>
      </c>
      <c r="I66" s="16">
        <f t="shared" si="2"/>
        <v>7.0689983459121253E-2</v>
      </c>
    </row>
    <row r="67" spans="1:9" ht="15.6">
      <c r="A67" s="49" t="str">
        <v>CDCR - CA Correctional Institution II</v>
      </c>
      <c r="B67" s="10" t="str">
        <v>CA</v>
      </c>
      <c r="C67" s="11">
        <f>SUM(Jan!C67, Feb!C67, Mar!C67)</f>
        <v>333370</v>
      </c>
      <c r="D67" s="18">
        <f>SUM(Jan!D67, Feb!D67, Mar!D67)</f>
        <v>0</v>
      </c>
      <c r="E67" s="18">
        <f t="shared" si="7"/>
        <v>333370</v>
      </c>
      <c r="F67" s="19" t="str">
        <f t="shared" si="8"/>
        <v/>
      </c>
      <c r="G67" s="20">
        <f>SUM(Jan!G67, Feb!G67,Mar!G67)</f>
        <v>510212.31000000006</v>
      </c>
      <c r="H67" s="20">
        <f>SUM(Jan!H67, Feb!H67, Mar!H67)</f>
        <v>-176842.31000000003</v>
      </c>
      <c r="I67" s="19">
        <f t="shared" si="2"/>
        <v>-0.34660533768775592</v>
      </c>
    </row>
    <row r="68" spans="1:9" ht="15.6">
      <c r="A68" s="48" t="str">
        <v>Snowline SD - Vista Verde ES</v>
      </c>
      <c r="B68" s="9" t="str">
        <v>CA</v>
      </c>
      <c r="C68" s="24">
        <f>SUM(Jan!C68, Feb!C68, Mar!C68)</f>
        <v>42481</v>
      </c>
      <c r="D68" s="13">
        <f>SUM(Jan!D68, Feb!D68, Mar!D68)</f>
        <v>0</v>
      </c>
      <c r="E68" s="13">
        <f t="shared" si="7"/>
        <v>42481</v>
      </c>
      <c r="F68" s="14" t="str">
        <f t="shared" si="8"/>
        <v/>
      </c>
      <c r="G68" s="15">
        <f>SUM(Jan!G68, Feb!G68, Mar!G69)</f>
        <v>34899.89</v>
      </c>
      <c r="H68" s="15">
        <f>SUM(Jan!H68, Feb!H68, Mar!H68)</f>
        <v>-20520.8</v>
      </c>
      <c r="I68" s="16">
        <f t="shared" si="2"/>
        <v>-0.58799039194679414</v>
      </c>
    </row>
    <row r="69" spans="1:9" ht="15.6">
      <c r="A69" s="49" t="str">
        <v>North Stonington</v>
      </c>
      <c r="B69" s="10" t="str">
        <v>CT</v>
      </c>
      <c r="C69" s="11">
        <f>SUM(Jan!C69, Feb!C69, Mar!C69)</f>
        <v>2918160</v>
      </c>
      <c r="D69" s="18">
        <f>SUM(Jan!D69, Feb!D69, Mar!D69)</f>
        <v>0</v>
      </c>
      <c r="E69" s="18">
        <f t="shared" si="7"/>
        <v>2918160</v>
      </c>
      <c r="F69" s="19" t="str">
        <f t="shared" si="8"/>
        <v/>
      </c>
      <c r="G69" s="20">
        <f>SUM(Jan!G69, Feb!G69,Mar!G69)</f>
        <v>0</v>
      </c>
      <c r="H69" s="20">
        <f>SUM(Jan!H69, Feb!H69, Mar!H69)</f>
        <v>2918160</v>
      </c>
      <c r="I69" s="19" t="str">
        <f t="shared" si="2"/>
        <v/>
      </c>
    </row>
    <row r="70" spans="1:9" ht="12.95">
      <c r="A70" s="21"/>
      <c r="B70" s="21"/>
      <c r="C70" s="21"/>
      <c r="D70" s="21"/>
      <c r="E70" s="21"/>
      <c r="F70" s="22"/>
      <c r="G70" s="21"/>
      <c r="H70" s="21"/>
      <c r="I70" s="22"/>
    </row>
    <row r="71" spans="1:9" ht="12.95">
      <c r="A71" s="21"/>
      <c r="B71" s="21"/>
      <c r="C71" s="21"/>
      <c r="D71" s="21"/>
      <c r="E71" s="21"/>
      <c r="F71" s="22"/>
      <c r="G71" s="21"/>
      <c r="H71" s="21"/>
      <c r="I71" s="22"/>
    </row>
    <row r="72" spans="1:9" ht="12.95">
      <c r="A72" s="21"/>
      <c r="B72" s="21"/>
      <c r="C72" s="21"/>
      <c r="D72" s="21"/>
      <c r="E72" s="21"/>
      <c r="F72" s="22"/>
      <c r="G72" s="21"/>
      <c r="H72" s="21"/>
      <c r="I72" s="22"/>
    </row>
    <row r="73" spans="1:9" ht="12.95">
      <c r="A73" s="21"/>
      <c r="B73" s="21"/>
      <c r="C73" s="21"/>
      <c r="D73" s="21"/>
      <c r="E73" s="21"/>
      <c r="F73" s="22"/>
      <c r="G73" s="21"/>
      <c r="H73" s="21"/>
      <c r="I73" s="22"/>
    </row>
    <row r="74" spans="1:9" ht="12.95">
      <c r="A74" s="21"/>
      <c r="B74" s="21"/>
      <c r="C74" s="21"/>
      <c r="D74" s="21"/>
      <c r="E74" s="21"/>
      <c r="F74" s="22"/>
      <c r="G74" s="21"/>
      <c r="H74" s="21"/>
      <c r="I74" s="22"/>
    </row>
    <row r="75" spans="1:9" ht="12.95">
      <c r="A75" s="21"/>
      <c r="B75" s="21"/>
      <c r="C75" s="21"/>
      <c r="D75" s="21"/>
      <c r="E75" s="21"/>
      <c r="F75" s="22"/>
      <c r="G75" s="21"/>
      <c r="H75" s="21"/>
      <c r="I75" s="22"/>
    </row>
    <row r="76" spans="1:9" ht="12.95">
      <c r="A76" s="21"/>
      <c r="B76" s="21"/>
      <c r="C76" s="21"/>
      <c r="D76" s="21"/>
      <c r="E76" s="21"/>
      <c r="F76" s="22"/>
      <c r="G76" s="21"/>
      <c r="H76" s="21"/>
      <c r="I76" s="22"/>
    </row>
    <row r="77" spans="1:9" ht="12.95">
      <c r="A77" s="21"/>
      <c r="B77" s="21"/>
      <c r="C77" s="21"/>
      <c r="D77" s="21"/>
      <c r="E77" s="21"/>
      <c r="F77" s="22"/>
      <c r="G77" s="21"/>
      <c r="H77" s="21"/>
      <c r="I77" s="22"/>
    </row>
    <row r="78" spans="1:9" ht="12.95">
      <c r="A78" s="21"/>
      <c r="B78" s="21"/>
      <c r="C78" s="21"/>
      <c r="D78" s="21"/>
      <c r="E78" s="21"/>
      <c r="F78" s="22"/>
      <c r="G78" s="21"/>
      <c r="H78" s="21"/>
      <c r="I78" s="22"/>
    </row>
    <row r="79" spans="1:9" ht="12.95">
      <c r="A79" s="21"/>
      <c r="B79" s="21"/>
      <c r="C79" s="21"/>
      <c r="D79" s="21"/>
      <c r="E79" s="21"/>
      <c r="F79" s="22"/>
      <c r="G79" s="21"/>
      <c r="H79" s="21"/>
      <c r="I79" s="22"/>
    </row>
    <row r="80" spans="1:9" ht="12.95">
      <c r="A80" s="21"/>
      <c r="B80" s="21"/>
      <c r="C80" s="21"/>
      <c r="D80" s="21"/>
      <c r="E80" s="21"/>
      <c r="F80" s="22"/>
      <c r="G80" s="21"/>
      <c r="H80" s="21"/>
      <c r="I80" s="22"/>
    </row>
    <row r="81" spans="1:9" ht="12.95">
      <c r="A81" s="21"/>
      <c r="B81" s="21"/>
      <c r="C81" s="21"/>
      <c r="D81" s="21"/>
      <c r="E81" s="21"/>
      <c r="F81" s="22"/>
      <c r="G81" s="21"/>
      <c r="H81" s="21"/>
      <c r="I81" s="22"/>
    </row>
    <row r="82" spans="1:9" ht="12.95">
      <c r="A82" s="21"/>
      <c r="B82" s="21"/>
      <c r="C82" s="21"/>
      <c r="D82" s="21"/>
      <c r="E82" s="21"/>
      <c r="F82" s="22"/>
      <c r="G82" s="21"/>
      <c r="H82" s="21"/>
      <c r="I82" s="22"/>
    </row>
    <row r="83" spans="1:9" ht="12.95">
      <c r="A83" s="21"/>
      <c r="B83" s="21"/>
      <c r="C83" s="21"/>
      <c r="D83" s="21"/>
      <c r="E83" s="21"/>
      <c r="F83" s="22"/>
      <c r="G83" s="21"/>
      <c r="H83" s="21"/>
      <c r="I83" s="22"/>
    </row>
    <row r="84" spans="1:9" ht="12.95">
      <c r="A84" s="21"/>
      <c r="B84" s="21"/>
      <c r="C84" s="21"/>
      <c r="D84" s="21"/>
      <c r="E84" s="21"/>
      <c r="F84" s="22"/>
      <c r="G84" s="21"/>
      <c r="H84" s="21"/>
      <c r="I84" s="22"/>
    </row>
    <row r="85" spans="1:9" ht="12.95">
      <c r="A85" s="21"/>
      <c r="B85" s="21"/>
      <c r="C85" s="21"/>
      <c r="D85" s="21"/>
      <c r="E85" s="21"/>
      <c r="F85" s="22"/>
      <c r="G85" s="21"/>
      <c r="H85" s="21"/>
      <c r="I85" s="22"/>
    </row>
    <row r="86" spans="1:9" ht="12.95">
      <c r="A86" s="21"/>
      <c r="B86" s="21"/>
      <c r="C86" s="21"/>
      <c r="D86" s="21"/>
      <c r="E86" s="21"/>
      <c r="F86" s="22"/>
      <c r="G86" s="21"/>
      <c r="H86" s="21"/>
      <c r="I86" s="22"/>
    </row>
    <row r="87" spans="1:9" ht="12.95">
      <c r="A87" s="21"/>
      <c r="B87" s="21"/>
      <c r="C87" s="21"/>
      <c r="D87" s="21"/>
      <c r="E87" s="21"/>
      <c r="F87" s="22"/>
      <c r="G87" s="21"/>
      <c r="H87" s="21"/>
      <c r="I87" s="22"/>
    </row>
    <row r="88" spans="1:9" ht="12.95">
      <c r="A88" s="21"/>
      <c r="B88" s="21"/>
      <c r="C88" s="21"/>
      <c r="D88" s="21"/>
      <c r="E88" s="21"/>
      <c r="F88" s="22"/>
      <c r="G88" s="21"/>
      <c r="H88" s="21"/>
      <c r="I88" s="22"/>
    </row>
    <row r="89" spans="1:9" ht="12.95">
      <c r="A89" s="21"/>
      <c r="B89" s="21"/>
      <c r="C89" s="21"/>
      <c r="D89" s="21"/>
      <c r="E89" s="21"/>
      <c r="F89" s="22"/>
      <c r="G89" s="21"/>
      <c r="H89" s="21"/>
      <c r="I89" s="22"/>
    </row>
    <row r="90" spans="1:9" ht="12.95">
      <c r="A90" s="21"/>
      <c r="B90" s="21"/>
      <c r="C90" s="21"/>
      <c r="D90" s="21"/>
      <c r="E90" s="21"/>
      <c r="F90" s="22"/>
      <c r="G90" s="21"/>
      <c r="H90" s="21"/>
      <c r="I90" s="22"/>
    </row>
    <row r="91" spans="1:9" ht="12.95">
      <c r="A91" s="21"/>
      <c r="B91" s="21"/>
      <c r="C91" s="21"/>
      <c r="D91" s="21"/>
      <c r="E91" s="21"/>
      <c r="F91" s="22"/>
      <c r="G91" s="21"/>
      <c r="H91" s="21"/>
      <c r="I91" s="22"/>
    </row>
    <row r="92" spans="1:9" ht="12.95">
      <c r="A92" s="21"/>
      <c r="B92" s="21"/>
      <c r="C92" s="21"/>
      <c r="D92" s="21"/>
      <c r="E92" s="21"/>
      <c r="F92" s="22"/>
      <c r="G92" s="21"/>
      <c r="H92" s="21"/>
      <c r="I92" s="22"/>
    </row>
    <row r="93" spans="1:9" ht="12.95">
      <c r="A93" s="21"/>
      <c r="B93" s="21"/>
      <c r="C93" s="21"/>
      <c r="D93" s="21"/>
      <c r="E93" s="21"/>
      <c r="F93" s="22"/>
      <c r="G93" s="21"/>
      <c r="H93" s="21"/>
      <c r="I93" s="22"/>
    </row>
    <row r="94" spans="1:9" ht="12.95">
      <c r="A94" s="21"/>
      <c r="B94" s="21"/>
      <c r="C94" s="21"/>
      <c r="D94" s="21"/>
      <c r="E94" s="21"/>
      <c r="F94" s="22"/>
      <c r="G94" s="21"/>
      <c r="H94" s="21"/>
      <c r="I94" s="22"/>
    </row>
    <row r="95" spans="1:9" ht="12.95">
      <c r="A95" s="21"/>
      <c r="B95" s="21"/>
      <c r="C95" s="21"/>
      <c r="D95" s="21"/>
      <c r="E95" s="21"/>
      <c r="F95" s="22"/>
      <c r="G95" s="21"/>
      <c r="H95" s="21"/>
      <c r="I95" s="22"/>
    </row>
    <row r="96" spans="1:9" ht="12.95">
      <c r="A96" s="21"/>
      <c r="B96" s="21"/>
      <c r="C96" s="21"/>
      <c r="D96" s="21"/>
      <c r="E96" s="21"/>
      <c r="F96" s="22"/>
      <c r="G96" s="21"/>
      <c r="H96" s="21"/>
      <c r="I96" s="22"/>
    </row>
    <row r="97" spans="1:9" ht="12.95">
      <c r="A97" s="21"/>
      <c r="B97" s="21"/>
      <c r="C97" s="21"/>
      <c r="D97" s="21"/>
      <c r="E97" s="21"/>
      <c r="F97" s="22"/>
      <c r="G97" s="21"/>
      <c r="H97" s="21"/>
      <c r="I97" s="22"/>
    </row>
    <row r="98" spans="1:9" ht="12.95">
      <c r="A98" s="21"/>
      <c r="B98" s="21"/>
      <c r="C98" s="21"/>
      <c r="D98" s="21"/>
      <c r="E98" s="21"/>
      <c r="F98" s="22"/>
      <c r="G98" s="21"/>
      <c r="H98" s="21"/>
      <c r="I98" s="22"/>
    </row>
    <row r="99" spans="1:9" ht="12.95">
      <c r="A99" s="21"/>
      <c r="B99" s="21"/>
      <c r="C99" s="21"/>
      <c r="D99" s="21"/>
      <c r="E99" s="21"/>
      <c r="F99" s="22"/>
      <c r="G99" s="21"/>
      <c r="H99" s="21"/>
      <c r="I99" s="22"/>
    </row>
    <row r="100" spans="1:9" ht="12.95">
      <c r="A100" s="21"/>
      <c r="B100" s="21"/>
      <c r="C100" s="21"/>
      <c r="D100" s="21"/>
      <c r="E100" s="21"/>
      <c r="F100" s="22"/>
      <c r="G100" s="21"/>
      <c r="H100" s="21"/>
      <c r="I100" s="22"/>
    </row>
    <row r="101" spans="1:9" ht="12.95">
      <c r="A101" s="21"/>
      <c r="B101" s="21"/>
      <c r="C101" s="21"/>
      <c r="D101" s="21"/>
      <c r="E101" s="21"/>
      <c r="F101" s="22"/>
      <c r="G101" s="21"/>
      <c r="H101" s="21"/>
      <c r="I101" s="22"/>
    </row>
    <row r="102" spans="1:9" ht="12.95">
      <c r="A102" s="21"/>
      <c r="B102" s="21"/>
      <c r="C102" s="21"/>
      <c r="D102" s="21"/>
      <c r="E102" s="21"/>
      <c r="F102" s="22"/>
      <c r="G102" s="21"/>
      <c r="H102" s="21"/>
      <c r="I102" s="22"/>
    </row>
    <row r="103" spans="1:9" ht="12.95">
      <c r="A103" s="21"/>
      <c r="B103" s="21"/>
      <c r="C103" s="21"/>
      <c r="D103" s="21"/>
      <c r="E103" s="21"/>
      <c r="F103" s="22"/>
      <c r="G103" s="21"/>
      <c r="H103" s="21"/>
      <c r="I103" s="22"/>
    </row>
    <row r="104" spans="1:9" ht="12.95">
      <c r="A104" s="21"/>
      <c r="B104" s="21"/>
      <c r="C104" s="21"/>
      <c r="D104" s="21"/>
      <c r="E104" s="21"/>
      <c r="F104" s="22"/>
      <c r="G104" s="21"/>
      <c r="H104" s="21"/>
      <c r="I104" s="22"/>
    </row>
    <row r="105" spans="1:9" ht="12.95">
      <c r="A105" s="21"/>
      <c r="B105" s="21"/>
      <c r="C105" s="21"/>
      <c r="D105" s="21"/>
      <c r="E105" s="21"/>
      <c r="F105" s="22"/>
      <c r="G105" s="21"/>
      <c r="H105" s="21"/>
      <c r="I105" s="22"/>
    </row>
    <row r="106" spans="1:9" ht="12.95">
      <c r="A106" s="21"/>
      <c r="B106" s="21"/>
      <c r="C106" s="21"/>
      <c r="D106" s="21"/>
      <c r="E106" s="21"/>
      <c r="F106" s="22"/>
      <c r="G106" s="21"/>
      <c r="H106" s="21"/>
      <c r="I106" s="22"/>
    </row>
    <row r="107" spans="1:9" ht="12.95">
      <c r="A107" s="21"/>
      <c r="B107" s="21"/>
      <c r="C107" s="21"/>
      <c r="D107" s="21"/>
      <c r="E107" s="21"/>
      <c r="F107" s="22"/>
      <c r="G107" s="21"/>
      <c r="H107" s="21"/>
      <c r="I107" s="22"/>
    </row>
    <row r="108" spans="1:9" ht="12.95">
      <c r="A108" s="21"/>
      <c r="B108" s="21"/>
      <c r="C108" s="21"/>
      <c r="D108" s="21"/>
      <c r="E108" s="21"/>
      <c r="F108" s="22"/>
      <c r="G108" s="21"/>
      <c r="H108" s="21"/>
      <c r="I108" s="22"/>
    </row>
    <row r="109" spans="1:9" ht="12.95">
      <c r="A109" s="21"/>
      <c r="B109" s="21"/>
      <c r="C109" s="21"/>
      <c r="D109" s="21"/>
      <c r="E109" s="21"/>
      <c r="F109" s="22"/>
      <c r="G109" s="21"/>
      <c r="H109" s="21"/>
      <c r="I109" s="22"/>
    </row>
    <row r="110" spans="1:9" ht="12.95">
      <c r="A110" s="21"/>
      <c r="B110" s="21"/>
      <c r="C110" s="21"/>
      <c r="D110" s="21"/>
      <c r="E110" s="21"/>
      <c r="F110" s="22"/>
      <c r="G110" s="21"/>
      <c r="H110" s="21"/>
      <c r="I110" s="22"/>
    </row>
    <row r="111" spans="1:9" ht="12.95">
      <c r="A111" s="21"/>
      <c r="B111" s="21"/>
      <c r="C111" s="21"/>
      <c r="D111" s="21"/>
      <c r="E111" s="21"/>
      <c r="F111" s="22"/>
      <c r="G111" s="21"/>
      <c r="H111" s="21"/>
      <c r="I111" s="22"/>
    </row>
    <row r="112" spans="1:9" ht="12.95">
      <c r="A112" s="21"/>
      <c r="B112" s="21"/>
      <c r="C112" s="21"/>
      <c r="D112" s="21"/>
      <c r="E112" s="21"/>
      <c r="F112" s="22"/>
      <c r="G112" s="21"/>
      <c r="H112" s="21"/>
      <c r="I112" s="22"/>
    </row>
    <row r="113" spans="1:9" ht="12.95">
      <c r="A113" s="21"/>
      <c r="B113" s="21"/>
      <c r="C113" s="21"/>
      <c r="D113" s="21"/>
      <c r="E113" s="21"/>
      <c r="F113" s="22"/>
      <c r="G113" s="21"/>
      <c r="H113" s="21"/>
      <c r="I113" s="22"/>
    </row>
    <row r="114" spans="1:9" ht="12.95">
      <c r="A114" s="21"/>
      <c r="B114" s="21"/>
      <c r="C114" s="21"/>
      <c r="D114" s="21"/>
      <c r="E114" s="21"/>
      <c r="F114" s="22"/>
      <c r="G114" s="21"/>
      <c r="H114" s="21"/>
      <c r="I114" s="22"/>
    </row>
    <row r="115" spans="1:9" ht="12.95">
      <c r="A115" s="21"/>
      <c r="B115" s="21"/>
      <c r="C115" s="21"/>
      <c r="D115" s="21"/>
      <c r="E115" s="21"/>
      <c r="F115" s="22"/>
      <c r="G115" s="21"/>
      <c r="H115" s="21"/>
      <c r="I115" s="22"/>
    </row>
    <row r="116" spans="1:9" ht="12.95">
      <c r="A116" s="21"/>
      <c r="B116" s="21"/>
      <c r="C116" s="21"/>
      <c r="D116" s="21"/>
      <c r="E116" s="21"/>
      <c r="F116" s="22"/>
      <c r="G116" s="21"/>
      <c r="H116" s="21"/>
      <c r="I116" s="22"/>
    </row>
    <row r="117" spans="1:9" ht="12.95">
      <c r="A117" s="21"/>
      <c r="B117" s="21"/>
      <c r="C117" s="21"/>
      <c r="D117" s="21"/>
      <c r="E117" s="21"/>
      <c r="F117" s="22"/>
      <c r="G117" s="21"/>
      <c r="H117" s="21"/>
      <c r="I117" s="22"/>
    </row>
    <row r="118" spans="1:9" ht="12.95">
      <c r="A118" s="21"/>
      <c r="B118" s="21"/>
      <c r="C118" s="21"/>
      <c r="D118" s="21"/>
      <c r="E118" s="21"/>
      <c r="F118" s="22"/>
      <c r="G118" s="21"/>
      <c r="H118" s="21"/>
      <c r="I118" s="22"/>
    </row>
    <row r="119" spans="1:9" ht="12.95">
      <c r="A119" s="21"/>
      <c r="B119" s="21"/>
      <c r="C119" s="21"/>
      <c r="D119" s="21"/>
      <c r="E119" s="21"/>
      <c r="F119" s="22"/>
      <c r="G119" s="21"/>
      <c r="H119" s="21"/>
      <c r="I119" s="22"/>
    </row>
    <row r="120" spans="1:9" ht="12.95">
      <c r="A120" s="21"/>
      <c r="B120" s="21"/>
      <c r="C120" s="21"/>
      <c r="D120" s="21"/>
      <c r="E120" s="21"/>
      <c r="F120" s="22"/>
      <c r="G120" s="21"/>
      <c r="H120" s="21"/>
      <c r="I120" s="22"/>
    </row>
    <row r="121" spans="1:9" ht="12.95">
      <c r="A121" s="21"/>
      <c r="B121" s="21"/>
      <c r="C121" s="21"/>
      <c r="D121" s="21"/>
      <c r="E121" s="21"/>
      <c r="F121" s="22"/>
      <c r="G121" s="21"/>
      <c r="H121" s="21"/>
      <c r="I121" s="22"/>
    </row>
    <row r="122" spans="1:9" ht="12.95">
      <c r="A122" s="21"/>
      <c r="B122" s="21"/>
      <c r="C122" s="21"/>
      <c r="D122" s="21"/>
      <c r="E122" s="21"/>
      <c r="F122" s="22"/>
      <c r="G122" s="21"/>
      <c r="H122" s="21"/>
      <c r="I122" s="22"/>
    </row>
    <row r="123" spans="1:9" ht="12.95">
      <c r="A123" s="21"/>
      <c r="B123" s="21"/>
      <c r="C123" s="21"/>
      <c r="D123" s="21"/>
      <c r="E123" s="21"/>
      <c r="F123" s="22"/>
      <c r="G123" s="21"/>
      <c r="H123" s="21"/>
      <c r="I123" s="22"/>
    </row>
    <row r="124" spans="1:9" ht="12.95">
      <c r="A124" s="21"/>
      <c r="B124" s="21"/>
      <c r="C124" s="21"/>
      <c r="D124" s="21"/>
      <c r="E124" s="21"/>
      <c r="F124" s="22"/>
      <c r="G124" s="21"/>
      <c r="H124" s="21"/>
      <c r="I124" s="22"/>
    </row>
    <row r="125" spans="1:9" ht="12.95">
      <c r="A125" s="21"/>
      <c r="B125" s="21"/>
      <c r="C125" s="21"/>
      <c r="D125" s="21"/>
      <c r="E125" s="21"/>
      <c r="F125" s="22"/>
      <c r="G125" s="21"/>
      <c r="H125" s="21"/>
      <c r="I125" s="22"/>
    </row>
    <row r="126" spans="1:9" ht="12.95">
      <c r="A126" s="21"/>
      <c r="B126" s="21"/>
      <c r="C126" s="21"/>
      <c r="D126" s="21"/>
      <c r="E126" s="21"/>
      <c r="F126" s="22"/>
      <c r="G126" s="21"/>
      <c r="H126" s="21"/>
      <c r="I126" s="22"/>
    </row>
    <row r="127" spans="1:9" ht="12.95">
      <c r="A127" s="21"/>
      <c r="B127" s="21"/>
      <c r="C127" s="21"/>
      <c r="D127" s="21"/>
      <c r="E127" s="21"/>
      <c r="F127" s="22"/>
      <c r="G127" s="21"/>
      <c r="H127" s="21"/>
      <c r="I127" s="22"/>
    </row>
    <row r="128" spans="1:9" ht="12.95">
      <c r="A128" s="21"/>
      <c r="B128" s="21"/>
      <c r="C128" s="21"/>
      <c r="D128" s="21"/>
      <c r="E128" s="21"/>
      <c r="F128" s="22"/>
      <c r="G128" s="21"/>
      <c r="H128" s="21"/>
      <c r="I128" s="22"/>
    </row>
    <row r="129" spans="1:9" ht="12.95">
      <c r="A129" s="21"/>
      <c r="B129" s="21"/>
      <c r="C129" s="21"/>
      <c r="D129" s="21"/>
      <c r="E129" s="21"/>
      <c r="F129" s="22"/>
      <c r="G129" s="21"/>
      <c r="H129" s="21"/>
      <c r="I129" s="22"/>
    </row>
    <row r="130" spans="1:9" ht="12.95">
      <c r="A130" s="21"/>
      <c r="B130" s="21"/>
      <c r="C130" s="21"/>
      <c r="D130" s="21"/>
      <c r="E130" s="21"/>
      <c r="F130" s="22"/>
      <c r="G130" s="21"/>
      <c r="H130" s="21"/>
      <c r="I130" s="22"/>
    </row>
    <row r="131" spans="1:9" ht="12.95">
      <c r="A131" s="21"/>
      <c r="B131" s="21"/>
      <c r="C131" s="21"/>
      <c r="D131" s="21"/>
      <c r="E131" s="21"/>
      <c r="F131" s="22"/>
      <c r="G131" s="21"/>
      <c r="H131" s="21"/>
      <c r="I131" s="22"/>
    </row>
    <row r="132" spans="1:9" ht="12.95">
      <c r="A132" s="21"/>
      <c r="B132" s="21"/>
      <c r="C132" s="21"/>
      <c r="D132" s="21"/>
      <c r="E132" s="21"/>
      <c r="F132" s="22"/>
      <c r="G132" s="21"/>
      <c r="H132" s="21"/>
      <c r="I132" s="22"/>
    </row>
    <row r="133" spans="1:9" ht="12.95">
      <c r="A133" s="21"/>
      <c r="B133" s="21"/>
      <c r="C133" s="21"/>
      <c r="D133" s="21"/>
      <c r="E133" s="21"/>
      <c r="F133" s="22"/>
      <c r="G133" s="21"/>
      <c r="H133" s="21"/>
      <c r="I133" s="22"/>
    </row>
    <row r="134" spans="1:9" ht="12.95">
      <c r="A134" s="21"/>
      <c r="B134" s="21"/>
      <c r="C134" s="21"/>
      <c r="D134" s="21"/>
      <c r="E134" s="21"/>
      <c r="F134" s="22"/>
      <c r="G134" s="21"/>
      <c r="H134" s="21"/>
      <c r="I134" s="22"/>
    </row>
    <row r="135" spans="1:9" ht="12.95">
      <c r="A135" s="21"/>
      <c r="B135" s="21"/>
      <c r="C135" s="21"/>
      <c r="D135" s="21"/>
      <c r="E135" s="21"/>
      <c r="F135" s="22"/>
      <c r="G135" s="21"/>
      <c r="H135" s="21"/>
      <c r="I135" s="22"/>
    </row>
    <row r="136" spans="1:9" ht="12.95">
      <c r="A136" s="21"/>
      <c r="B136" s="21"/>
      <c r="C136" s="21"/>
      <c r="D136" s="21"/>
      <c r="E136" s="21"/>
      <c r="F136" s="22"/>
      <c r="G136" s="21"/>
      <c r="H136" s="21"/>
      <c r="I136" s="22"/>
    </row>
    <row r="137" spans="1:9" ht="12.95">
      <c r="A137" s="21"/>
      <c r="B137" s="21"/>
      <c r="C137" s="21"/>
      <c r="D137" s="21"/>
      <c r="E137" s="21"/>
      <c r="F137" s="22"/>
      <c r="G137" s="21"/>
      <c r="H137" s="21"/>
      <c r="I137" s="22"/>
    </row>
    <row r="138" spans="1:9" ht="12.95">
      <c r="A138" s="21"/>
      <c r="B138" s="21"/>
      <c r="C138" s="21"/>
      <c r="D138" s="21"/>
      <c r="E138" s="21"/>
      <c r="F138" s="22"/>
      <c r="G138" s="21"/>
      <c r="H138" s="21"/>
      <c r="I138" s="22"/>
    </row>
    <row r="139" spans="1:9" ht="12.95">
      <c r="A139" s="21"/>
      <c r="B139" s="21"/>
      <c r="C139" s="21"/>
      <c r="D139" s="21"/>
      <c r="E139" s="21"/>
      <c r="F139" s="22"/>
      <c r="G139" s="21"/>
      <c r="H139" s="21"/>
      <c r="I139" s="22"/>
    </row>
    <row r="140" spans="1:9" ht="12.95">
      <c r="A140" s="21"/>
      <c r="B140" s="21"/>
      <c r="C140" s="21"/>
      <c r="D140" s="21"/>
      <c r="E140" s="21"/>
      <c r="F140" s="22"/>
      <c r="G140" s="21"/>
      <c r="H140" s="21"/>
      <c r="I140" s="22"/>
    </row>
    <row r="141" spans="1:9" ht="12.95">
      <c r="A141" s="21"/>
      <c r="B141" s="21"/>
      <c r="C141" s="21"/>
      <c r="D141" s="21"/>
      <c r="E141" s="21"/>
      <c r="F141" s="22"/>
      <c r="G141" s="21"/>
      <c r="H141" s="21"/>
      <c r="I141" s="22"/>
    </row>
    <row r="142" spans="1:9" ht="12.95">
      <c r="A142" s="21"/>
      <c r="B142" s="21"/>
      <c r="C142" s="21"/>
      <c r="D142" s="21"/>
      <c r="E142" s="21"/>
      <c r="F142" s="22"/>
      <c r="G142" s="21"/>
      <c r="H142" s="21"/>
      <c r="I142" s="22"/>
    </row>
    <row r="143" spans="1:9" ht="12.95">
      <c r="A143" s="21"/>
      <c r="B143" s="21"/>
      <c r="C143" s="21"/>
      <c r="D143" s="21"/>
      <c r="E143" s="21"/>
      <c r="F143" s="22"/>
      <c r="G143" s="21"/>
      <c r="H143" s="21"/>
      <c r="I143" s="22"/>
    </row>
    <row r="144" spans="1:9" ht="12.95">
      <c r="A144" s="21"/>
      <c r="B144" s="21"/>
      <c r="C144" s="21"/>
      <c r="D144" s="21"/>
      <c r="E144" s="21"/>
      <c r="F144" s="22"/>
      <c r="G144" s="21"/>
      <c r="H144" s="21"/>
      <c r="I144" s="22"/>
    </row>
    <row r="145" spans="1:9" ht="12.95">
      <c r="A145" s="21"/>
      <c r="B145" s="21"/>
      <c r="C145" s="21"/>
      <c r="D145" s="21"/>
      <c r="E145" s="21"/>
      <c r="F145" s="22"/>
      <c r="G145" s="21"/>
      <c r="H145" s="21"/>
      <c r="I145" s="22"/>
    </row>
    <row r="146" spans="1:9" ht="12.95">
      <c r="A146" s="21"/>
      <c r="B146" s="21"/>
      <c r="C146" s="21"/>
      <c r="D146" s="21"/>
      <c r="E146" s="21"/>
      <c r="F146" s="22"/>
      <c r="G146" s="21"/>
      <c r="H146" s="21"/>
      <c r="I146" s="22"/>
    </row>
    <row r="147" spans="1:9" ht="12.95">
      <c r="A147" s="21"/>
      <c r="B147" s="21"/>
      <c r="C147" s="21"/>
      <c r="D147" s="21"/>
      <c r="E147" s="21"/>
      <c r="F147" s="22"/>
      <c r="G147" s="21"/>
      <c r="H147" s="21"/>
      <c r="I147" s="22"/>
    </row>
    <row r="148" spans="1:9" ht="12.95">
      <c r="A148" s="21"/>
      <c r="B148" s="21"/>
      <c r="C148" s="21"/>
      <c r="D148" s="21"/>
      <c r="E148" s="21"/>
      <c r="F148" s="22"/>
      <c r="G148" s="21"/>
      <c r="H148" s="21"/>
      <c r="I148" s="22"/>
    </row>
    <row r="149" spans="1:9" ht="12.95">
      <c r="A149" s="21"/>
      <c r="B149" s="21"/>
      <c r="C149" s="21"/>
      <c r="D149" s="21"/>
      <c r="E149" s="21"/>
      <c r="F149" s="22"/>
      <c r="G149" s="21"/>
      <c r="H149" s="21"/>
      <c r="I149" s="22"/>
    </row>
    <row r="150" spans="1:9" ht="12.95">
      <c r="A150" s="21"/>
      <c r="B150" s="21"/>
      <c r="C150" s="21"/>
      <c r="D150" s="21"/>
      <c r="E150" s="21"/>
      <c r="F150" s="22"/>
      <c r="G150" s="21"/>
      <c r="H150" s="21"/>
      <c r="I150" s="22"/>
    </row>
    <row r="151" spans="1:9" ht="12.95">
      <c r="A151" s="21"/>
      <c r="B151" s="21"/>
      <c r="C151" s="21"/>
      <c r="D151" s="21"/>
      <c r="E151" s="21"/>
      <c r="F151" s="22"/>
      <c r="G151" s="21"/>
      <c r="H151" s="21"/>
      <c r="I151" s="22"/>
    </row>
    <row r="152" spans="1:9" ht="12.95">
      <c r="A152" s="21"/>
      <c r="B152" s="21"/>
      <c r="C152" s="21"/>
      <c r="D152" s="21"/>
      <c r="E152" s="21"/>
      <c r="F152" s="22"/>
      <c r="G152" s="21"/>
      <c r="H152" s="21"/>
      <c r="I152" s="22"/>
    </row>
    <row r="153" spans="1:9" ht="12.95">
      <c r="A153" s="21"/>
      <c r="B153" s="21"/>
      <c r="C153" s="21"/>
      <c r="D153" s="21"/>
      <c r="E153" s="21"/>
      <c r="F153" s="22"/>
      <c r="G153" s="21"/>
      <c r="H153" s="21"/>
      <c r="I153" s="22"/>
    </row>
    <row r="154" spans="1:9" ht="12.95">
      <c r="A154" s="21"/>
      <c r="B154" s="21"/>
      <c r="C154" s="21"/>
      <c r="D154" s="21"/>
      <c r="E154" s="21"/>
      <c r="F154" s="22"/>
      <c r="G154" s="21"/>
      <c r="H154" s="21"/>
      <c r="I154" s="22"/>
    </row>
    <row r="155" spans="1:9" ht="12.95">
      <c r="A155" s="21"/>
      <c r="B155" s="21"/>
      <c r="C155" s="21"/>
      <c r="D155" s="21"/>
      <c r="E155" s="21"/>
      <c r="F155" s="22"/>
      <c r="G155" s="21"/>
      <c r="H155" s="21"/>
      <c r="I155" s="22"/>
    </row>
    <row r="156" spans="1:9" ht="12.95">
      <c r="A156" s="21"/>
      <c r="B156" s="21"/>
      <c r="C156" s="21"/>
      <c r="D156" s="21"/>
      <c r="E156" s="21"/>
      <c r="F156" s="22"/>
      <c r="G156" s="21"/>
      <c r="H156" s="21"/>
      <c r="I156" s="22"/>
    </row>
    <row r="157" spans="1:9" ht="12.95">
      <c r="A157" s="21"/>
      <c r="B157" s="21"/>
      <c r="C157" s="21"/>
      <c r="D157" s="21"/>
      <c r="E157" s="21"/>
      <c r="F157" s="22"/>
      <c r="G157" s="21"/>
      <c r="H157" s="21"/>
      <c r="I157" s="22"/>
    </row>
    <row r="158" spans="1:9" ht="12.95">
      <c r="A158" s="21"/>
      <c r="B158" s="21"/>
      <c r="C158" s="21"/>
      <c r="D158" s="21"/>
      <c r="E158" s="21"/>
      <c r="F158" s="22"/>
      <c r="G158" s="21"/>
      <c r="H158" s="21"/>
      <c r="I158" s="22"/>
    </row>
    <row r="159" spans="1:9" ht="12.95">
      <c r="A159" s="21"/>
      <c r="B159" s="21"/>
      <c r="C159" s="21"/>
      <c r="D159" s="21"/>
      <c r="E159" s="21"/>
      <c r="F159" s="22"/>
      <c r="G159" s="21"/>
      <c r="H159" s="21"/>
      <c r="I159" s="22"/>
    </row>
    <row r="160" spans="1:9" ht="12.95">
      <c r="A160" s="21"/>
      <c r="B160" s="21"/>
      <c r="C160" s="21"/>
      <c r="D160" s="21"/>
      <c r="E160" s="21"/>
      <c r="F160" s="22"/>
      <c r="G160" s="21"/>
      <c r="H160" s="21"/>
      <c r="I160" s="22"/>
    </row>
    <row r="161" spans="1:9" ht="12.95">
      <c r="A161" s="21"/>
      <c r="B161" s="21"/>
      <c r="C161" s="21"/>
      <c r="D161" s="21"/>
      <c r="E161" s="21"/>
      <c r="F161" s="22"/>
      <c r="G161" s="21"/>
      <c r="H161" s="21"/>
      <c r="I161" s="22"/>
    </row>
    <row r="162" spans="1:9" ht="12.95">
      <c r="A162" s="21"/>
      <c r="B162" s="21"/>
      <c r="C162" s="21"/>
      <c r="D162" s="21"/>
      <c r="E162" s="21"/>
      <c r="F162" s="22"/>
      <c r="G162" s="21"/>
      <c r="H162" s="21"/>
      <c r="I162" s="22"/>
    </row>
    <row r="163" spans="1:9" ht="12.95">
      <c r="A163" s="21"/>
      <c r="B163" s="21"/>
      <c r="C163" s="21"/>
      <c r="D163" s="21"/>
      <c r="E163" s="21"/>
      <c r="F163" s="22"/>
      <c r="G163" s="21"/>
      <c r="H163" s="21"/>
      <c r="I163" s="22"/>
    </row>
    <row r="164" spans="1:9" ht="12.95">
      <c r="A164" s="21"/>
      <c r="B164" s="21"/>
      <c r="C164" s="21"/>
      <c r="D164" s="21"/>
      <c r="E164" s="21"/>
      <c r="F164" s="22"/>
      <c r="G164" s="21"/>
      <c r="H164" s="21"/>
      <c r="I164" s="22"/>
    </row>
    <row r="165" spans="1:9" ht="12.95">
      <c r="A165" s="21"/>
      <c r="B165" s="21"/>
      <c r="C165" s="21"/>
      <c r="D165" s="21"/>
      <c r="E165" s="21"/>
      <c r="F165" s="22"/>
      <c r="G165" s="21"/>
      <c r="H165" s="21"/>
      <c r="I165" s="22"/>
    </row>
    <row r="166" spans="1:9" ht="12.95">
      <c r="A166" s="21"/>
      <c r="B166" s="21"/>
      <c r="C166" s="21"/>
      <c r="D166" s="21"/>
      <c r="E166" s="21"/>
      <c r="F166" s="22"/>
      <c r="G166" s="21"/>
      <c r="H166" s="21"/>
      <c r="I166" s="22"/>
    </row>
    <row r="167" spans="1:9" ht="12.95">
      <c r="A167" s="21"/>
      <c r="B167" s="21"/>
      <c r="C167" s="21"/>
      <c r="D167" s="21"/>
      <c r="E167" s="21"/>
      <c r="F167" s="22"/>
      <c r="G167" s="21"/>
      <c r="H167" s="21"/>
      <c r="I167" s="22"/>
    </row>
    <row r="168" spans="1:9" ht="12.95">
      <c r="A168" s="21"/>
      <c r="B168" s="21"/>
      <c r="C168" s="21"/>
      <c r="D168" s="21"/>
      <c r="E168" s="21"/>
      <c r="F168" s="22"/>
      <c r="G168" s="21"/>
      <c r="H168" s="21"/>
      <c r="I168" s="22"/>
    </row>
    <row r="169" spans="1:9" ht="12.95">
      <c r="A169" s="21"/>
      <c r="B169" s="21"/>
      <c r="C169" s="21"/>
      <c r="D169" s="21"/>
      <c r="E169" s="21"/>
      <c r="F169" s="22"/>
      <c r="G169" s="21"/>
      <c r="H169" s="21"/>
      <c r="I169" s="22"/>
    </row>
    <row r="170" spans="1:9" ht="12.95">
      <c r="A170" s="21"/>
      <c r="B170" s="21"/>
      <c r="C170" s="21"/>
      <c r="D170" s="21"/>
      <c r="E170" s="21"/>
      <c r="F170" s="22"/>
      <c r="G170" s="21"/>
      <c r="H170" s="21"/>
      <c r="I170" s="22"/>
    </row>
    <row r="171" spans="1:9" ht="12.95">
      <c r="A171" s="21"/>
      <c r="B171" s="21"/>
      <c r="C171" s="21"/>
      <c r="D171" s="21"/>
      <c r="E171" s="21"/>
      <c r="F171" s="22"/>
      <c r="G171" s="21"/>
      <c r="H171" s="21"/>
      <c r="I171" s="22"/>
    </row>
    <row r="172" spans="1:9" ht="12.95">
      <c r="A172" s="21"/>
      <c r="B172" s="21"/>
      <c r="C172" s="21"/>
      <c r="D172" s="21"/>
      <c r="E172" s="21"/>
      <c r="F172" s="22"/>
      <c r="G172" s="21"/>
      <c r="H172" s="21"/>
      <c r="I172" s="22"/>
    </row>
    <row r="173" spans="1:9" ht="12.95">
      <c r="A173" s="21"/>
      <c r="B173" s="21"/>
      <c r="C173" s="21"/>
      <c r="D173" s="21"/>
      <c r="E173" s="21"/>
      <c r="F173" s="22"/>
      <c r="G173" s="21"/>
      <c r="H173" s="21"/>
      <c r="I173" s="22"/>
    </row>
    <row r="174" spans="1:9" ht="12.95">
      <c r="A174" s="21"/>
      <c r="B174" s="21"/>
      <c r="C174" s="21"/>
      <c r="D174" s="21"/>
      <c r="E174" s="21"/>
      <c r="F174" s="22"/>
      <c r="G174" s="21"/>
      <c r="H174" s="21"/>
      <c r="I174" s="22"/>
    </row>
    <row r="175" spans="1:9" ht="12.95">
      <c r="A175" s="21"/>
      <c r="B175" s="21"/>
      <c r="C175" s="21"/>
      <c r="D175" s="21"/>
      <c r="E175" s="21"/>
      <c r="F175" s="22"/>
      <c r="G175" s="21"/>
      <c r="H175" s="21"/>
      <c r="I175" s="22"/>
    </row>
    <row r="176" spans="1:9" ht="12.95">
      <c r="A176" s="21"/>
      <c r="B176" s="21"/>
      <c r="C176" s="21"/>
      <c r="D176" s="21"/>
      <c r="E176" s="21"/>
      <c r="F176" s="22"/>
      <c r="G176" s="21"/>
      <c r="H176" s="21"/>
      <c r="I176" s="22"/>
    </row>
    <row r="177" spans="1:9" ht="12.95">
      <c r="A177" s="21"/>
      <c r="B177" s="21"/>
      <c r="C177" s="21"/>
      <c r="D177" s="21"/>
      <c r="E177" s="21"/>
      <c r="F177" s="22"/>
      <c r="G177" s="21"/>
      <c r="H177" s="21"/>
      <c r="I177" s="22"/>
    </row>
    <row r="178" spans="1:9" ht="12.95">
      <c r="A178" s="21"/>
      <c r="B178" s="21"/>
      <c r="C178" s="21"/>
      <c r="D178" s="21"/>
      <c r="E178" s="21"/>
      <c r="F178" s="22"/>
      <c r="G178" s="21"/>
      <c r="H178" s="21"/>
      <c r="I178" s="22"/>
    </row>
    <row r="179" spans="1:9" ht="12.95">
      <c r="A179" s="21"/>
      <c r="B179" s="21"/>
      <c r="C179" s="21"/>
      <c r="D179" s="21"/>
      <c r="E179" s="21"/>
      <c r="F179" s="22"/>
      <c r="G179" s="21"/>
      <c r="H179" s="21"/>
      <c r="I179" s="22"/>
    </row>
    <row r="180" spans="1:9" ht="12.95">
      <c r="A180" s="21"/>
      <c r="B180" s="21"/>
      <c r="C180" s="21"/>
      <c r="D180" s="21"/>
      <c r="E180" s="21"/>
      <c r="F180" s="22"/>
      <c r="G180" s="21"/>
      <c r="H180" s="21"/>
      <c r="I180" s="22"/>
    </row>
    <row r="181" spans="1:9" ht="12.95">
      <c r="A181" s="21"/>
      <c r="B181" s="21"/>
      <c r="C181" s="21"/>
      <c r="D181" s="21"/>
      <c r="E181" s="21"/>
      <c r="F181" s="22"/>
      <c r="G181" s="21"/>
      <c r="H181" s="21"/>
      <c r="I181" s="22"/>
    </row>
    <row r="182" spans="1:9" ht="12.95">
      <c r="A182" s="21"/>
      <c r="B182" s="21"/>
      <c r="C182" s="21"/>
      <c r="D182" s="21"/>
      <c r="E182" s="21"/>
      <c r="F182" s="22"/>
      <c r="G182" s="21"/>
      <c r="H182" s="21"/>
      <c r="I182" s="22"/>
    </row>
    <row r="183" spans="1:9" ht="12.95">
      <c r="A183" s="21"/>
      <c r="B183" s="21"/>
      <c r="C183" s="21"/>
      <c r="D183" s="21"/>
      <c r="E183" s="21"/>
      <c r="F183" s="22"/>
      <c r="G183" s="21"/>
      <c r="H183" s="21"/>
      <c r="I183" s="22"/>
    </row>
    <row r="184" spans="1:9" ht="12.95">
      <c r="A184" s="21"/>
      <c r="B184" s="21"/>
      <c r="C184" s="21"/>
      <c r="D184" s="21"/>
      <c r="E184" s="21"/>
      <c r="F184" s="22"/>
      <c r="G184" s="21"/>
      <c r="H184" s="21"/>
      <c r="I184" s="22"/>
    </row>
    <row r="185" spans="1:9" ht="12.95">
      <c r="A185" s="21"/>
      <c r="B185" s="21"/>
      <c r="C185" s="21"/>
      <c r="D185" s="21"/>
      <c r="E185" s="21"/>
      <c r="F185" s="22"/>
      <c r="G185" s="21"/>
      <c r="H185" s="21"/>
      <c r="I185" s="22"/>
    </row>
    <row r="186" spans="1:9" ht="12.95">
      <c r="A186" s="21"/>
      <c r="B186" s="21"/>
      <c r="C186" s="21"/>
      <c r="D186" s="21"/>
      <c r="E186" s="21"/>
      <c r="F186" s="22"/>
      <c r="G186" s="21"/>
      <c r="H186" s="21"/>
      <c r="I186" s="22"/>
    </row>
    <row r="187" spans="1:9" ht="12.95">
      <c r="A187" s="21"/>
      <c r="B187" s="21"/>
      <c r="C187" s="21"/>
      <c r="D187" s="21"/>
      <c r="E187" s="21"/>
      <c r="F187" s="22"/>
      <c r="G187" s="21"/>
      <c r="H187" s="21"/>
      <c r="I187" s="22"/>
    </row>
    <row r="188" spans="1:9" ht="12.95">
      <c r="A188" s="21"/>
      <c r="B188" s="21"/>
      <c r="C188" s="21"/>
      <c r="D188" s="21"/>
      <c r="E188" s="21"/>
      <c r="F188" s="22"/>
      <c r="G188" s="21"/>
      <c r="H188" s="21"/>
      <c r="I188" s="22"/>
    </row>
    <row r="189" spans="1:9" ht="12.95">
      <c r="A189" s="21"/>
      <c r="B189" s="21"/>
      <c r="C189" s="21"/>
      <c r="D189" s="21"/>
      <c r="E189" s="21"/>
      <c r="F189" s="22"/>
      <c r="G189" s="21"/>
      <c r="H189" s="21"/>
      <c r="I189" s="22"/>
    </row>
    <row r="190" spans="1:9" ht="12.95">
      <c r="A190" s="21"/>
      <c r="B190" s="21"/>
      <c r="C190" s="21"/>
      <c r="D190" s="21"/>
      <c r="E190" s="21"/>
      <c r="F190" s="22"/>
      <c r="G190" s="21"/>
      <c r="H190" s="21"/>
      <c r="I190" s="22"/>
    </row>
    <row r="191" spans="1:9" ht="12.95">
      <c r="A191" s="21"/>
      <c r="B191" s="21"/>
      <c r="C191" s="21"/>
      <c r="D191" s="21"/>
      <c r="E191" s="21"/>
      <c r="F191" s="22"/>
      <c r="G191" s="21"/>
      <c r="H191" s="21"/>
      <c r="I191" s="22"/>
    </row>
    <row r="192" spans="1:9" ht="12.95">
      <c r="A192" s="21"/>
      <c r="B192" s="21"/>
      <c r="C192" s="21"/>
      <c r="D192" s="21"/>
      <c r="E192" s="21"/>
      <c r="F192" s="22"/>
      <c r="G192" s="21"/>
      <c r="H192" s="21"/>
      <c r="I192" s="22"/>
    </row>
    <row r="193" spans="1:9" ht="12.95">
      <c r="A193" s="21"/>
      <c r="B193" s="21"/>
      <c r="C193" s="21"/>
      <c r="D193" s="21"/>
      <c r="E193" s="21"/>
      <c r="F193" s="22"/>
      <c r="G193" s="21"/>
      <c r="H193" s="21"/>
      <c r="I193" s="22"/>
    </row>
    <row r="194" spans="1:9" ht="12.95">
      <c r="A194" s="21"/>
      <c r="B194" s="21"/>
      <c r="C194" s="21"/>
      <c r="D194" s="21"/>
      <c r="E194" s="21"/>
      <c r="F194" s="22"/>
      <c r="G194" s="21"/>
      <c r="H194" s="21"/>
      <c r="I194" s="22"/>
    </row>
    <row r="195" spans="1:9" ht="12.95">
      <c r="A195" s="21"/>
      <c r="B195" s="21"/>
      <c r="C195" s="21"/>
      <c r="D195" s="21"/>
      <c r="E195" s="21"/>
      <c r="F195" s="22"/>
      <c r="G195" s="21"/>
      <c r="H195" s="21"/>
      <c r="I195" s="22"/>
    </row>
    <row r="196" spans="1:9" ht="12.95">
      <c r="A196" s="21"/>
      <c r="B196" s="21"/>
      <c r="C196" s="21"/>
      <c r="D196" s="21"/>
      <c r="E196" s="21"/>
      <c r="F196" s="22"/>
      <c r="G196" s="21"/>
      <c r="H196" s="21"/>
      <c r="I196" s="22"/>
    </row>
    <row r="197" spans="1:9" ht="12.95">
      <c r="A197" s="21"/>
      <c r="B197" s="21"/>
      <c r="C197" s="21"/>
      <c r="D197" s="21"/>
      <c r="E197" s="21"/>
      <c r="F197" s="22"/>
      <c r="G197" s="21"/>
      <c r="H197" s="21"/>
      <c r="I197" s="22"/>
    </row>
    <row r="198" spans="1:9" ht="12.95">
      <c r="A198" s="21"/>
      <c r="B198" s="21"/>
      <c r="C198" s="21"/>
      <c r="D198" s="21"/>
      <c r="E198" s="21"/>
      <c r="F198" s="22"/>
      <c r="G198" s="21"/>
      <c r="H198" s="21"/>
      <c r="I198" s="22"/>
    </row>
    <row r="199" spans="1:9" ht="12.95">
      <c r="A199" s="21"/>
      <c r="B199" s="21"/>
      <c r="C199" s="21"/>
      <c r="D199" s="21"/>
      <c r="E199" s="21"/>
      <c r="F199" s="22"/>
      <c r="G199" s="21"/>
      <c r="H199" s="21"/>
      <c r="I199" s="22"/>
    </row>
    <row r="200" spans="1:9" ht="12.95">
      <c r="A200" s="21"/>
      <c r="B200" s="21"/>
      <c r="C200" s="21"/>
      <c r="D200" s="21"/>
      <c r="E200" s="21"/>
      <c r="F200" s="22"/>
      <c r="G200" s="21"/>
      <c r="H200" s="21"/>
      <c r="I200" s="22"/>
    </row>
    <row r="201" spans="1:9" ht="12.95">
      <c r="A201" s="21"/>
      <c r="B201" s="21"/>
      <c r="C201" s="21"/>
      <c r="D201" s="21"/>
      <c r="E201" s="21"/>
      <c r="F201" s="22"/>
      <c r="G201" s="21"/>
      <c r="H201" s="21"/>
      <c r="I201" s="22"/>
    </row>
    <row r="202" spans="1:9" ht="12.95">
      <c r="A202" s="21"/>
      <c r="B202" s="21"/>
      <c r="C202" s="21"/>
      <c r="D202" s="21"/>
      <c r="E202" s="21"/>
      <c r="F202" s="22"/>
      <c r="G202" s="21"/>
      <c r="H202" s="21"/>
      <c r="I202" s="22"/>
    </row>
    <row r="203" spans="1:9" ht="12.95">
      <c r="A203" s="21"/>
      <c r="B203" s="21"/>
      <c r="C203" s="21"/>
      <c r="D203" s="21"/>
      <c r="E203" s="21"/>
      <c r="F203" s="22"/>
      <c r="G203" s="21"/>
      <c r="H203" s="21"/>
      <c r="I203" s="22"/>
    </row>
    <row r="204" spans="1:9" ht="12.95">
      <c r="A204" s="21"/>
      <c r="B204" s="21"/>
      <c r="C204" s="21"/>
      <c r="D204" s="21"/>
      <c r="E204" s="21"/>
      <c r="F204" s="22"/>
      <c r="G204" s="21"/>
      <c r="H204" s="21"/>
      <c r="I204" s="22"/>
    </row>
    <row r="205" spans="1:9" ht="12.95">
      <c r="A205" s="21"/>
      <c r="B205" s="21"/>
      <c r="C205" s="21"/>
      <c r="D205" s="21"/>
      <c r="E205" s="21"/>
      <c r="F205" s="22"/>
      <c r="G205" s="21"/>
      <c r="H205" s="21"/>
      <c r="I205" s="22"/>
    </row>
    <row r="206" spans="1:9" ht="12.95">
      <c r="A206" s="21"/>
      <c r="B206" s="21"/>
      <c r="C206" s="21"/>
      <c r="D206" s="21"/>
      <c r="E206" s="21"/>
      <c r="F206" s="22"/>
      <c r="G206" s="21"/>
      <c r="H206" s="21"/>
      <c r="I206" s="22"/>
    </row>
    <row r="207" spans="1:9" ht="12.95">
      <c r="A207" s="21"/>
      <c r="B207" s="21"/>
      <c r="C207" s="21"/>
      <c r="D207" s="21"/>
      <c r="E207" s="21"/>
      <c r="F207" s="22"/>
      <c r="G207" s="21"/>
      <c r="H207" s="21"/>
      <c r="I207" s="22"/>
    </row>
    <row r="208" spans="1:9" ht="12.95">
      <c r="A208" s="21"/>
      <c r="B208" s="21"/>
      <c r="C208" s="21"/>
      <c r="D208" s="21"/>
      <c r="E208" s="21"/>
      <c r="F208" s="22"/>
      <c r="G208" s="21"/>
      <c r="H208" s="21"/>
      <c r="I208" s="22"/>
    </row>
    <row r="209" spans="1:9" ht="12.95">
      <c r="A209" s="21"/>
      <c r="B209" s="21"/>
      <c r="C209" s="21"/>
      <c r="D209" s="21"/>
      <c r="E209" s="21"/>
      <c r="F209" s="22"/>
      <c r="G209" s="21"/>
      <c r="H209" s="21"/>
      <c r="I209" s="22"/>
    </row>
    <row r="210" spans="1:9" ht="12.95">
      <c r="A210" s="21"/>
      <c r="B210" s="21"/>
      <c r="C210" s="21"/>
      <c r="D210" s="21"/>
      <c r="E210" s="21"/>
      <c r="F210" s="22"/>
      <c r="G210" s="21"/>
      <c r="H210" s="21"/>
      <c r="I210" s="22"/>
    </row>
    <row r="211" spans="1:9" ht="12.95">
      <c r="A211" s="21"/>
      <c r="B211" s="21"/>
      <c r="C211" s="21"/>
      <c r="D211" s="21"/>
      <c r="E211" s="21"/>
      <c r="F211" s="22"/>
      <c r="G211" s="21"/>
      <c r="H211" s="21"/>
      <c r="I211" s="22"/>
    </row>
    <row r="212" spans="1:9" ht="12.95">
      <c r="A212" s="21"/>
      <c r="B212" s="21"/>
      <c r="C212" s="21"/>
      <c r="D212" s="21"/>
      <c r="E212" s="21"/>
      <c r="F212" s="22"/>
      <c r="G212" s="21"/>
      <c r="H212" s="21"/>
      <c r="I212" s="22"/>
    </row>
    <row r="213" spans="1:9" ht="12.95">
      <c r="A213" s="21"/>
      <c r="B213" s="21"/>
      <c r="C213" s="21"/>
      <c r="D213" s="21"/>
      <c r="E213" s="21"/>
      <c r="F213" s="22"/>
      <c r="G213" s="21"/>
      <c r="H213" s="21"/>
      <c r="I213" s="22"/>
    </row>
    <row r="214" spans="1:9" ht="12.95">
      <c r="A214" s="21"/>
      <c r="B214" s="21"/>
      <c r="C214" s="21"/>
      <c r="D214" s="21"/>
      <c r="E214" s="21"/>
      <c r="F214" s="22"/>
      <c r="G214" s="21"/>
      <c r="H214" s="21"/>
      <c r="I214" s="22"/>
    </row>
    <row r="215" spans="1:9" ht="12.95">
      <c r="A215" s="21"/>
      <c r="B215" s="21"/>
      <c r="C215" s="21"/>
      <c r="D215" s="21"/>
      <c r="E215" s="21"/>
      <c r="F215" s="22"/>
      <c r="G215" s="21"/>
      <c r="H215" s="21"/>
      <c r="I215" s="22"/>
    </row>
    <row r="216" spans="1:9" ht="12.95">
      <c r="A216" s="21"/>
      <c r="B216" s="21"/>
      <c r="C216" s="21"/>
      <c r="D216" s="21"/>
      <c r="E216" s="21"/>
      <c r="F216" s="22"/>
      <c r="G216" s="21"/>
      <c r="H216" s="21"/>
      <c r="I216" s="22"/>
    </row>
    <row r="217" spans="1:9" ht="12.95">
      <c r="A217" s="21"/>
      <c r="B217" s="21"/>
      <c r="C217" s="21"/>
      <c r="D217" s="21"/>
      <c r="E217" s="21"/>
      <c r="F217" s="22"/>
      <c r="G217" s="21"/>
      <c r="H217" s="21"/>
      <c r="I217" s="22"/>
    </row>
    <row r="218" spans="1:9" ht="12.95">
      <c r="A218" s="21"/>
      <c r="B218" s="21"/>
      <c r="C218" s="21"/>
      <c r="D218" s="21"/>
      <c r="E218" s="21"/>
      <c r="F218" s="22"/>
      <c r="G218" s="21"/>
      <c r="H218" s="21"/>
      <c r="I218" s="22"/>
    </row>
    <row r="219" spans="1:9" ht="12.95">
      <c r="A219" s="21"/>
      <c r="B219" s="21"/>
      <c r="C219" s="21"/>
      <c r="D219" s="21"/>
      <c r="E219" s="21"/>
      <c r="F219" s="22"/>
      <c r="G219" s="21"/>
      <c r="H219" s="21"/>
      <c r="I219" s="22"/>
    </row>
    <row r="220" spans="1:9" ht="12.95">
      <c r="A220" s="21"/>
      <c r="B220" s="21"/>
      <c r="C220" s="21"/>
      <c r="D220" s="21"/>
      <c r="E220" s="21"/>
      <c r="F220" s="22"/>
      <c r="G220" s="21"/>
      <c r="H220" s="21"/>
      <c r="I220" s="22"/>
    </row>
    <row r="221" spans="1:9" ht="12.95">
      <c r="A221" s="21"/>
      <c r="B221" s="21"/>
      <c r="C221" s="21"/>
      <c r="D221" s="21"/>
      <c r="E221" s="21"/>
      <c r="F221" s="22"/>
      <c r="G221" s="21"/>
      <c r="H221" s="21"/>
      <c r="I221" s="22"/>
    </row>
    <row r="222" spans="1:9" ht="12.95">
      <c r="A222" s="21"/>
      <c r="B222" s="21"/>
      <c r="C222" s="21"/>
      <c r="D222" s="21"/>
      <c r="E222" s="21"/>
      <c r="F222" s="22"/>
      <c r="G222" s="21"/>
      <c r="H222" s="21"/>
      <c r="I222" s="22"/>
    </row>
    <row r="223" spans="1:9" ht="12.95">
      <c r="A223" s="21"/>
      <c r="B223" s="21"/>
      <c r="C223" s="21"/>
      <c r="D223" s="21"/>
      <c r="E223" s="21"/>
      <c r="F223" s="22"/>
      <c r="G223" s="21"/>
      <c r="H223" s="21"/>
      <c r="I223" s="22"/>
    </row>
    <row r="224" spans="1:9" ht="12.95">
      <c r="A224" s="21"/>
      <c r="B224" s="21"/>
      <c r="C224" s="21"/>
      <c r="D224" s="21"/>
      <c r="E224" s="21"/>
      <c r="F224" s="22"/>
      <c r="G224" s="21"/>
      <c r="H224" s="21"/>
      <c r="I224" s="22"/>
    </row>
    <row r="225" spans="1:9" ht="12.95">
      <c r="A225" s="21"/>
      <c r="B225" s="21"/>
      <c r="C225" s="21"/>
      <c r="D225" s="21"/>
      <c r="E225" s="21"/>
      <c r="F225" s="22"/>
      <c r="G225" s="21"/>
      <c r="H225" s="21"/>
      <c r="I225" s="22"/>
    </row>
    <row r="226" spans="1:9" ht="12.95">
      <c r="A226" s="21"/>
      <c r="B226" s="21"/>
      <c r="C226" s="21"/>
      <c r="D226" s="21"/>
      <c r="E226" s="21"/>
      <c r="F226" s="22"/>
      <c r="G226" s="21"/>
      <c r="H226" s="21"/>
      <c r="I226" s="22"/>
    </row>
    <row r="227" spans="1:9" ht="12.95">
      <c r="A227" s="21"/>
      <c r="B227" s="21"/>
      <c r="C227" s="21"/>
      <c r="D227" s="21"/>
      <c r="E227" s="21"/>
      <c r="F227" s="22"/>
      <c r="G227" s="21"/>
      <c r="H227" s="21"/>
      <c r="I227" s="22"/>
    </row>
    <row r="228" spans="1:9" ht="12.95">
      <c r="A228" s="21"/>
      <c r="B228" s="21"/>
      <c r="C228" s="21"/>
      <c r="D228" s="21"/>
      <c r="E228" s="21"/>
      <c r="F228" s="22"/>
      <c r="G228" s="21"/>
      <c r="H228" s="21"/>
      <c r="I228" s="22"/>
    </row>
    <row r="229" spans="1:9" ht="12.95">
      <c r="A229" s="21"/>
      <c r="B229" s="21"/>
      <c r="C229" s="21"/>
      <c r="D229" s="21"/>
      <c r="E229" s="21"/>
      <c r="F229" s="22"/>
      <c r="G229" s="21"/>
      <c r="H229" s="21"/>
      <c r="I229" s="22"/>
    </row>
    <row r="230" spans="1:9" ht="12.95">
      <c r="A230" s="21"/>
      <c r="B230" s="21"/>
      <c r="C230" s="21"/>
      <c r="D230" s="21"/>
      <c r="E230" s="21"/>
      <c r="F230" s="22"/>
      <c r="G230" s="21"/>
      <c r="H230" s="21"/>
      <c r="I230" s="22"/>
    </row>
    <row r="231" spans="1:9" ht="12.95">
      <c r="A231" s="21"/>
      <c r="B231" s="21"/>
      <c r="C231" s="21"/>
      <c r="D231" s="21"/>
      <c r="E231" s="21"/>
      <c r="F231" s="22"/>
      <c r="G231" s="21"/>
      <c r="H231" s="21"/>
      <c r="I231" s="22"/>
    </row>
    <row r="232" spans="1:9" ht="12.95">
      <c r="A232" s="21"/>
      <c r="B232" s="21"/>
      <c r="C232" s="21"/>
      <c r="D232" s="21"/>
      <c r="E232" s="21"/>
      <c r="F232" s="22"/>
      <c r="G232" s="21"/>
      <c r="H232" s="21"/>
      <c r="I232" s="22"/>
    </row>
    <row r="233" spans="1:9" ht="12.95">
      <c r="A233" s="21"/>
      <c r="B233" s="21"/>
      <c r="C233" s="21"/>
      <c r="D233" s="21"/>
      <c r="E233" s="21"/>
      <c r="F233" s="22"/>
      <c r="G233" s="21"/>
      <c r="H233" s="21"/>
      <c r="I233" s="22"/>
    </row>
    <row r="234" spans="1:9" ht="12.95">
      <c r="A234" s="21"/>
      <c r="B234" s="21"/>
      <c r="C234" s="21"/>
      <c r="D234" s="21"/>
      <c r="E234" s="21"/>
      <c r="F234" s="22"/>
      <c r="G234" s="21"/>
      <c r="H234" s="21"/>
      <c r="I234" s="22"/>
    </row>
    <row r="235" spans="1:9" ht="12.95">
      <c r="A235" s="21"/>
      <c r="B235" s="21"/>
      <c r="C235" s="21"/>
      <c r="D235" s="21"/>
      <c r="E235" s="21"/>
      <c r="F235" s="22"/>
      <c r="G235" s="21"/>
      <c r="H235" s="21"/>
      <c r="I235" s="22"/>
    </row>
    <row r="236" spans="1:9" ht="12.95">
      <c r="A236" s="21"/>
      <c r="B236" s="21"/>
      <c r="C236" s="21"/>
      <c r="D236" s="21"/>
      <c r="E236" s="21"/>
      <c r="F236" s="22"/>
      <c r="G236" s="21"/>
      <c r="H236" s="21"/>
      <c r="I236" s="22"/>
    </row>
    <row r="237" spans="1:9" ht="12.95">
      <c r="A237" s="21"/>
      <c r="B237" s="21"/>
      <c r="C237" s="21"/>
      <c r="D237" s="21"/>
      <c r="E237" s="21"/>
      <c r="F237" s="22"/>
      <c r="G237" s="21"/>
      <c r="H237" s="21"/>
      <c r="I237" s="22"/>
    </row>
    <row r="238" spans="1:9" ht="12.95">
      <c r="A238" s="21"/>
      <c r="B238" s="21"/>
      <c r="C238" s="21"/>
      <c r="D238" s="21"/>
      <c r="E238" s="21"/>
      <c r="F238" s="22"/>
      <c r="G238" s="21"/>
      <c r="H238" s="21"/>
      <c r="I238" s="22"/>
    </row>
    <row r="239" spans="1:9" ht="12.95">
      <c r="A239" s="21"/>
      <c r="B239" s="21"/>
      <c r="C239" s="21"/>
      <c r="D239" s="21"/>
      <c r="E239" s="21"/>
      <c r="F239" s="22"/>
      <c r="G239" s="21"/>
      <c r="H239" s="21"/>
      <c r="I239" s="22"/>
    </row>
    <row r="240" spans="1:9" ht="12.95">
      <c r="A240" s="21"/>
      <c r="B240" s="21"/>
      <c r="C240" s="21"/>
      <c r="D240" s="21"/>
      <c r="E240" s="21"/>
      <c r="F240" s="22"/>
      <c r="G240" s="21"/>
      <c r="H240" s="21"/>
      <c r="I240" s="22"/>
    </row>
    <row r="241" spans="1:9" ht="12.95">
      <c r="A241" s="21"/>
      <c r="B241" s="21"/>
      <c r="C241" s="21"/>
      <c r="D241" s="21"/>
      <c r="E241" s="21"/>
      <c r="F241" s="22"/>
      <c r="G241" s="21"/>
      <c r="H241" s="21"/>
      <c r="I241" s="22"/>
    </row>
    <row r="242" spans="1:9" ht="12.95">
      <c r="A242" s="21"/>
      <c r="B242" s="21"/>
      <c r="C242" s="21"/>
      <c r="D242" s="21"/>
      <c r="E242" s="21"/>
      <c r="F242" s="22"/>
      <c r="G242" s="21"/>
      <c r="H242" s="21"/>
      <c r="I242" s="22"/>
    </row>
    <row r="243" spans="1:9" ht="12.95">
      <c r="A243" s="21"/>
      <c r="B243" s="21"/>
      <c r="C243" s="21"/>
      <c r="D243" s="21"/>
      <c r="E243" s="21"/>
      <c r="F243" s="22"/>
      <c r="G243" s="21"/>
      <c r="H243" s="21"/>
      <c r="I243" s="22"/>
    </row>
    <row r="244" spans="1:9" ht="12.95">
      <c r="A244" s="21"/>
      <c r="B244" s="21"/>
      <c r="C244" s="21"/>
      <c r="D244" s="21"/>
      <c r="E244" s="21"/>
      <c r="F244" s="22"/>
      <c r="G244" s="21"/>
      <c r="H244" s="21"/>
      <c r="I244" s="22"/>
    </row>
    <row r="245" spans="1:9" ht="12.95">
      <c r="A245" s="21"/>
      <c r="B245" s="21"/>
      <c r="C245" s="21"/>
      <c r="D245" s="21"/>
      <c r="E245" s="21"/>
      <c r="F245" s="22"/>
      <c r="G245" s="21"/>
      <c r="H245" s="21"/>
      <c r="I245" s="22"/>
    </row>
    <row r="246" spans="1:9" ht="12.95">
      <c r="A246" s="21"/>
      <c r="B246" s="21"/>
      <c r="C246" s="21"/>
      <c r="D246" s="21"/>
      <c r="E246" s="21"/>
      <c r="F246" s="22"/>
      <c r="G246" s="21"/>
      <c r="H246" s="21"/>
      <c r="I246" s="22"/>
    </row>
    <row r="247" spans="1:9" ht="12.95">
      <c r="A247" s="21"/>
      <c r="B247" s="21"/>
      <c r="C247" s="21"/>
      <c r="D247" s="21"/>
      <c r="E247" s="21"/>
      <c r="F247" s="22"/>
      <c r="G247" s="21"/>
      <c r="H247" s="21"/>
      <c r="I247" s="22"/>
    </row>
    <row r="248" spans="1:9" ht="12.95">
      <c r="A248" s="21"/>
      <c r="B248" s="21"/>
      <c r="C248" s="21"/>
      <c r="D248" s="21"/>
      <c r="E248" s="21"/>
      <c r="F248" s="22"/>
      <c r="G248" s="21"/>
      <c r="H248" s="21"/>
      <c r="I248" s="22"/>
    </row>
    <row r="249" spans="1:9" ht="12.95">
      <c r="A249" s="21"/>
      <c r="B249" s="21"/>
      <c r="C249" s="21"/>
      <c r="D249" s="21"/>
      <c r="E249" s="21"/>
      <c r="F249" s="22"/>
      <c r="G249" s="21"/>
      <c r="H249" s="21"/>
      <c r="I249" s="22"/>
    </row>
    <row r="250" spans="1:9" ht="12.95">
      <c r="A250" s="21"/>
      <c r="B250" s="21"/>
      <c r="C250" s="21"/>
      <c r="D250" s="21"/>
      <c r="E250" s="21"/>
      <c r="F250" s="22"/>
      <c r="G250" s="21"/>
      <c r="H250" s="21"/>
      <c r="I250" s="22"/>
    </row>
    <row r="251" spans="1:9" ht="12.95">
      <c r="A251" s="21"/>
      <c r="B251" s="21"/>
      <c r="C251" s="21"/>
      <c r="D251" s="21"/>
      <c r="E251" s="21"/>
      <c r="F251" s="22"/>
      <c r="G251" s="21"/>
      <c r="H251" s="21"/>
      <c r="I251" s="22"/>
    </row>
    <row r="252" spans="1:9" ht="12.95">
      <c r="A252" s="21"/>
      <c r="B252" s="21"/>
      <c r="C252" s="21"/>
      <c r="D252" s="21"/>
      <c r="E252" s="21"/>
      <c r="F252" s="22"/>
      <c r="G252" s="21"/>
      <c r="H252" s="21"/>
      <c r="I252" s="22"/>
    </row>
    <row r="253" spans="1:9" ht="12.95">
      <c r="A253" s="21"/>
      <c r="B253" s="21"/>
      <c r="C253" s="21"/>
      <c r="D253" s="21"/>
      <c r="E253" s="21"/>
      <c r="F253" s="22"/>
      <c r="G253" s="21"/>
      <c r="H253" s="21"/>
      <c r="I253" s="22"/>
    </row>
    <row r="254" spans="1:9" ht="12.95">
      <c r="A254" s="21"/>
      <c r="B254" s="21"/>
      <c r="C254" s="21"/>
      <c r="D254" s="21"/>
      <c r="E254" s="21"/>
      <c r="F254" s="22"/>
      <c r="G254" s="21"/>
      <c r="H254" s="21"/>
      <c r="I254" s="22"/>
    </row>
    <row r="255" spans="1:9" ht="12.95">
      <c r="A255" s="21"/>
      <c r="B255" s="21"/>
      <c r="C255" s="21"/>
      <c r="D255" s="21"/>
      <c r="E255" s="21"/>
      <c r="F255" s="22"/>
      <c r="G255" s="21"/>
      <c r="H255" s="21"/>
      <c r="I255" s="22"/>
    </row>
    <row r="256" spans="1:9" ht="12.95">
      <c r="A256" s="21"/>
      <c r="B256" s="21"/>
      <c r="C256" s="21"/>
      <c r="D256" s="21"/>
      <c r="E256" s="21"/>
      <c r="F256" s="22"/>
      <c r="G256" s="21"/>
      <c r="H256" s="21"/>
      <c r="I256" s="22"/>
    </row>
    <row r="257" spans="1:9" ht="12.95">
      <c r="A257" s="21"/>
      <c r="B257" s="21"/>
      <c r="C257" s="21"/>
      <c r="D257" s="21"/>
      <c r="E257" s="21"/>
      <c r="F257" s="22"/>
      <c r="G257" s="21"/>
      <c r="H257" s="21"/>
      <c r="I257" s="22"/>
    </row>
    <row r="258" spans="1:9" ht="12.95">
      <c r="A258" s="21"/>
      <c r="B258" s="21"/>
      <c r="C258" s="21"/>
      <c r="D258" s="21"/>
      <c r="E258" s="21"/>
      <c r="F258" s="22"/>
      <c r="G258" s="21"/>
      <c r="H258" s="21"/>
      <c r="I258" s="22"/>
    </row>
    <row r="259" spans="1:9" ht="12.95">
      <c r="A259" s="21"/>
      <c r="B259" s="21"/>
      <c r="C259" s="21"/>
      <c r="D259" s="21"/>
      <c r="E259" s="21"/>
      <c r="F259" s="22"/>
      <c r="G259" s="21"/>
      <c r="H259" s="21"/>
      <c r="I259" s="22"/>
    </row>
    <row r="260" spans="1:9" ht="12.95">
      <c r="A260" s="21"/>
      <c r="B260" s="21"/>
      <c r="C260" s="21"/>
      <c r="D260" s="21"/>
      <c r="E260" s="21"/>
      <c r="F260" s="22"/>
      <c r="G260" s="21"/>
      <c r="H260" s="21"/>
      <c r="I260" s="22"/>
    </row>
    <row r="261" spans="1:9" ht="12.95">
      <c r="A261" s="21"/>
      <c r="B261" s="21"/>
      <c r="C261" s="21"/>
      <c r="D261" s="21"/>
      <c r="E261" s="21"/>
      <c r="F261" s="22"/>
      <c r="G261" s="21"/>
      <c r="H261" s="21"/>
      <c r="I261" s="22"/>
    </row>
    <row r="262" spans="1:9" ht="12.95">
      <c r="A262" s="21"/>
      <c r="B262" s="21"/>
      <c r="C262" s="21"/>
      <c r="D262" s="21"/>
      <c r="E262" s="21"/>
      <c r="F262" s="22"/>
      <c r="G262" s="21"/>
      <c r="H262" s="21"/>
      <c r="I262" s="22"/>
    </row>
    <row r="263" spans="1:9" ht="12.95">
      <c r="A263" s="21"/>
      <c r="B263" s="21"/>
      <c r="C263" s="21"/>
      <c r="D263" s="21"/>
      <c r="E263" s="21"/>
      <c r="F263" s="22"/>
      <c r="G263" s="21"/>
      <c r="H263" s="21"/>
      <c r="I263" s="22"/>
    </row>
    <row r="264" spans="1:9" ht="12.95">
      <c r="A264" s="21"/>
      <c r="B264" s="21"/>
      <c r="C264" s="21"/>
      <c r="D264" s="21"/>
      <c r="E264" s="21"/>
      <c r="F264" s="22"/>
      <c r="G264" s="21"/>
      <c r="H264" s="21"/>
      <c r="I264" s="22"/>
    </row>
    <row r="265" spans="1:9" ht="12.95">
      <c r="A265" s="21"/>
      <c r="B265" s="21"/>
      <c r="C265" s="21"/>
      <c r="D265" s="21"/>
      <c r="E265" s="21"/>
      <c r="F265" s="22"/>
      <c r="G265" s="21"/>
      <c r="H265" s="21"/>
      <c r="I265" s="22"/>
    </row>
    <row r="266" spans="1:9" ht="12.95">
      <c r="A266" s="21"/>
      <c r="B266" s="21"/>
      <c r="C266" s="21"/>
      <c r="D266" s="21"/>
      <c r="E266" s="21"/>
      <c r="F266" s="22"/>
      <c r="G266" s="21"/>
      <c r="H266" s="21"/>
      <c r="I266" s="22"/>
    </row>
    <row r="267" spans="1:9" ht="12.95">
      <c r="A267" s="21"/>
      <c r="B267" s="21"/>
      <c r="C267" s="21"/>
      <c r="D267" s="21"/>
      <c r="E267" s="21"/>
      <c r="F267" s="22"/>
      <c r="G267" s="21"/>
      <c r="H267" s="21"/>
      <c r="I267" s="22"/>
    </row>
    <row r="268" spans="1:9" ht="12.95">
      <c r="A268" s="21"/>
      <c r="B268" s="21"/>
      <c r="C268" s="21"/>
      <c r="D268" s="21"/>
      <c r="E268" s="21"/>
      <c r="F268" s="22"/>
      <c r="G268" s="21"/>
      <c r="H268" s="21"/>
      <c r="I268" s="22"/>
    </row>
    <row r="269" spans="1:9" ht="12.95">
      <c r="A269" s="21"/>
      <c r="B269" s="21"/>
      <c r="C269" s="21"/>
      <c r="D269" s="21"/>
      <c r="E269" s="21"/>
      <c r="F269" s="22"/>
      <c r="G269" s="21"/>
      <c r="H269" s="21"/>
      <c r="I269" s="22"/>
    </row>
    <row r="270" spans="1:9" ht="12.95">
      <c r="A270" s="21"/>
      <c r="B270" s="21"/>
      <c r="C270" s="21"/>
      <c r="D270" s="21"/>
      <c r="E270" s="21"/>
      <c r="F270" s="22"/>
      <c r="G270" s="21"/>
      <c r="H270" s="21"/>
      <c r="I270" s="22"/>
    </row>
    <row r="271" spans="1:9" ht="12.95">
      <c r="A271" s="21"/>
      <c r="B271" s="21"/>
      <c r="C271" s="21"/>
      <c r="D271" s="21"/>
      <c r="E271" s="21"/>
      <c r="F271" s="22"/>
      <c r="G271" s="21"/>
      <c r="H271" s="21"/>
      <c r="I271" s="22"/>
    </row>
    <row r="272" spans="1:9" ht="12.95">
      <c r="A272" s="21"/>
      <c r="B272" s="21"/>
      <c r="C272" s="21"/>
      <c r="D272" s="21"/>
      <c r="E272" s="21"/>
      <c r="F272" s="22"/>
      <c r="G272" s="21"/>
      <c r="H272" s="21"/>
      <c r="I272" s="22"/>
    </row>
    <row r="273" spans="1:9" ht="12.95">
      <c r="A273" s="21"/>
      <c r="B273" s="21"/>
      <c r="C273" s="21"/>
      <c r="D273" s="21"/>
      <c r="E273" s="21"/>
      <c r="F273" s="22"/>
      <c r="G273" s="21"/>
      <c r="H273" s="21"/>
      <c r="I273" s="22"/>
    </row>
    <row r="274" spans="1:9" ht="12.95">
      <c r="A274" s="21"/>
      <c r="B274" s="21"/>
      <c r="C274" s="21"/>
      <c r="D274" s="21"/>
      <c r="E274" s="21"/>
      <c r="F274" s="22"/>
      <c r="G274" s="21"/>
      <c r="H274" s="21"/>
      <c r="I274" s="22"/>
    </row>
    <row r="275" spans="1:9" ht="12.95">
      <c r="A275" s="21"/>
      <c r="B275" s="21"/>
      <c r="C275" s="21"/>
      <c r="D275" s="21"/>
      <c r="E275" s="21"/>
      <c r="F275" s="22"/>
      <c r="G275" s="21"/>
      <c r="H275" s="21"/>
      <c r="I275" s="22"/>
    </row>
    <row r="276" spans="1:9" ht="12.95">
      <c r="A276" s="21"/>
      <c r="B276" s="21"/>
      <c r="C276" s="21"/>
      <c r="D276" s="21"/>
      <c r="E276" s="21"/>
      <c r="F276" s="22"/>
      <c r="G276" s="21"/>
      <c r="H276" s="21"/>
      <c r="I276" s="22"/>
    </row>
    <row r="277" spans="1:9" ht="12.95">
      <c r="A277" s="21"/>
      <c r="B277" s="21"/>
      <c r="C277" s="21"/>
      <c r="D277" s="21"/>
      <c r="E277" s="21"/>
      <c r="F277" s="22"/>
      <c r="G277" s="21"/>
      <c r="H277" s="21"/>
      <c r="I277" s="22"/>
    </row>
    <row r="278" spans="1:9" ht="12.95">
      <c r="A278" s="21"/>
      <c r="B278" s="21"/>
      <c r="C278" s="21"/>
      <c r="D278" s="21"/>
      <c r="E278" s="21"/>
      <c r="F278" s="22"/>
      <c r="G278" s="21"/>
      <c r="H278" s="21"/>
      <c r="I278" s="22"/>
    </row>
    <row r="279" spans="1:9" ht="12.95">
      <c r="A279" s="21"/>
      <c r="B279" s="21"/>
      <c r="C279" s="21"/>
      <c r="D279" s="21"/>
      <c r="E279" s="21"/>
      <c r="F279" s="22"/>
      <c r="G279" s="21"/>
      <c r="H279" s="21"/>
      <c r="I279" s="22"/>
    </row>
    <row r="280" spans="1:9" ht="12.95">
      <c r="A280" s="21"/>
      <c r="B280" s="21"/>
      <c r="C280" s="21"/>
      <c r="D280" s="21"/>
      <c r="E280" s="21"/>
      <c r="F280" s="22"/>
      <c r="G280" s="21"/>
      <c r="H280" s="21"/>
      <c r="I280" s="22"/>
    </row>
    <row r="281" spans="1:9" ht="12.95">
      <c r="A281" s="21"/>
      <c r="B281" s="21"/>
      <c r="C281" s="21"/>
      <c r="D281" s="21"/>
      <c r="E281" s="21"/>
      <c r="F281" s="22"/>
      <c r="G281" s="21"/>
      <c r="H281" s="21"/>
      <c r="I281" s="22"/>
    </row>
    <row r="282" spans="1:9" ht="12.95">
      <c r="A282" s="21"/>
      <c r="B282" s="21"/>
      <c r="C282" s="21"/>
      <c r="D282" s="21"/>
      <c r="E282" s="21"/>
      <c r="F282" s="22"/>
      <c r="G282" s="21"/>
      <c r="H282" s="21"/>
      <c r="I282" s="22"/>
    </row>
    <row r="283" spans="1:9" ht="12.95">
      <c r="A283" s="21"/>
      <c r="B283" s="21"/>
      <c r="C283" s="21"/>
      <c r="D283" s="21"/>
      <c r="E283" s="21"/>
      <c r="F283" s="22"/>
      <c r="G283" s="21"/>
      <c r="H283" s="21"/>
      <c r="I283" s="22"/>
    </row>
    <row r="284" spans="1:9" ht="12.95">
      <c r="A284" s="21"/>
      <c r="B284" s="21"/>
      <c r="C284" s="21"/>
      <c r="D284" s="21"/>
      <c r="E284" s="21"/>
      <c r="F284" s="22"/>
      <c r="G284" s="21"/>
      <c r="H284" s="21"/>
      <c r="I284" s="22"/>
    </row>
    <row r="285" spans="1:9" ht="12.95">
      <c r="A285" s="21"/>
      <c r="B285" s="21"/>
      <c r="C285" s="21"/>
      <c r="D285" s="21"/>
      <c r="E285" s="21"/>
      <c r="F285" s="22"/>
      <c r="G285" s="21"/>
      <c r="H285" s="21"/>
      <c r="I285" s="22"/>
    </row>
    <row r="286" spans="1:9" ht="12.95">
      <c r="A286" s="21"/>
      <c r="B286" s="21"/>
      <c r="C286" s="21"/>
      <c r="D286" s="21"/>
      <c r="E286" s="21"/>
      <c r="F286" s="22"/>
      <c r="G286" s="21"/>
      <c r="H286" s="21"/>
      <c r="I286" s="22"/>
    </row>
    <row r="287" spans="1:9" ht="12.95">
      <c r="A287" s="21"/>
      <c r="B287" s="21"/>
      <c r="C287" s="21"/>
      <c r="D287" s="21"/>
      <c r="E287" s="21"/>
      <c r="F287" s="22"/>
      <c r="G287" s="21"/>
      <c r="H287" s="21"/>
      <c r="I287" s="22"/>
    </row>
    <row r="288" spans="1:9" ht="12.95">
      <c r="A288" s="21"/>
      <c r="B288" s="21"/>
      <c r="C288" s="21"/>
      <c r="D288" s="21"/>
      <c r="E288" s="21"/>
      <c r="F288" s="22"/>
      <c r="G288" s="21"/>
      <c r="H288" s="21"/>
      <c r="I288" s="22"/>
    </row>
    <row r="289" spans="1:9" ht="12.95">
      <c r="A289" s="21"/>
      <c r="B289" s="21"/>
      <c r="C289" s="21"/>
      <c r="D289" s="21"/>
      <c r="E289" s="21"/>
      <c r="F289" s="22"/>
      <c r="G289" s="21"/>
      <c r="H289" s="21"/>
      <c r="I289" s="22"/>
    </row>
    <row r="290" spans="1:9" ht="12.95">
      <c r="A290" s="21"/>
      <c r="B290" s="21"/>
      <c r="C290" s="21"/>
      <c r="D290" s="21"/>
      <c r="E290" s="21"/>
      <c r="F290" s="22"/>
      <c r="G290" s="21"/>
      <c r="H290" s="21"/>
      <c r="I290" s="22"/>
    </row>
    <row r="291" spans="1:9" ht="12.95">
      <c r="A291" s="21"/>
      <c r="B291" s="21"/>
      <c r="C291" s="21"/>
      <c r="D291" s="21"/>
      <c r="E291" s="21"/>
      <c r="F291" s="22"/>
      <c r="G291" s="21"/>
      <c r="H291" s="21"/>
      <c r="I291" s="22"/>
    </row>
    <row r="292" spans="1:9" ht="12.95">
      <c r="A292" s="21"/>
      <c r="B292" s="21"/>
      <c r="C292" s="21"/>
      <c r="D292" s="21"/>
      <c r="E292" s="21"/>
      <c r="F292" s="22"/>
      <c r="G292" s="21"/>
      <c r="H292" s="21"/>
      <c r="I292" s="22"/>
    </row>
    <row r="293" spans="1:9" ht="12.95">
      <c r="A293" s="21"/>
      <c r="B293" s="21"/>
      <c r="C293" s="21"/>
      <c r="D293" s="21"/>
      <c r="E293" s="21"/>
      <c r="F293" s="22"/>
      <c r="G293" s="21"/>
      <c r="H293" s="21"/>
      <c r="I293" s="22"/>
    </row>
    <row r="294" spans="1:9" ht="12.95">
      <c r="A294" s="21"/>
      <c r="B294" s="21"/>
      <c r="C294" s="21"/>
      <c r="D294" s="21"/>
      <c r="E294" s="21"/>
      <c r="F294" s="22"/>
      <c r="G294" s="21"/>
      <c r="H294" s="21"/>
      <c r="I294" s="22"/>
    </row>
    <row r="295" spans="1:9" ht="12.95">
      <c r="A295" s="21"/>
      <c r="B295" s="21"/>
      <c r="C295" s="21"/>
      <c r="D295" s="21"/>
      <c r="E295" s="21"/>
      <c r="F295" s="22"/>
      <c r="G295" s="21"/>
      <c r="H295" s="21"/>
      <c r="I295" s="22"/>
    </row>
    <row r="296" spans="1:9" ht="12.95">
      <c r="A296" s="21"/>
      <c r="B296" s="21"/>
      <c r="C296" s="21"/>
      <c r="D296" s="21"/>
      <c r="E296" s="21"/>
      <c r="F296" s="22"/>
      <c r="G296" s="21"/>
      <c r="H296" s="21"/>
      <c r="I296" s="22"/>
    </row>
    <row r="297" spans="1:9" ht="12.95">
      <c r="A297" s="21"/>
      <c r="B297" s="21"/>
      <c r="C297" s="21"/>
      <c r="D297" s="21"/>
      <c r="E297" s="21"/>
      <c r="F297" s="22"/>
      <c r="G297" s="21"/>
      <c r="H297" s="21"/>
      <c r="I297" s="22"/>
    </row>
    <row r="298" spans="1:9" ht="12.95">
      <c r="A298" s="21"/>
      <c r="B298" s="21"/>
      <c r="C298" s="21"/>
      <c r="D298" s="21"/>
      <c r="E298" s="21"/>
      <c r="F298" s="22"/>
      <c r="G298" s="21"/>
      <c r="H298" s="21"/>
      <c r="I298" s="22"/>
    </row>
    <row r="299" spans="1:9" ht="12.95">
      <c r="A299" s="21"/>
      <c r="B299" s="21"/>
      <c r="C299" s="21"/>
      <c r="D299" s="21"/>
      <c r="E299" s="21"/>
      <c r="F299" s="22"/>
      <c r="G299" s="21"/>
      <c r="H299" s="21"/>
      <c r="I299" s="22"/>
    </row>
    <row r="300" spans="1:9" ht="12.95">
      <c r="A300" s="21"/>
      <c r="B300" s="21"/>
      <c r="C300" s="21"/>
      <c r="D300" s="21"/>
      <c r="E300" s="21"/>
      <c r="F300" s="22"/>
      <c r="G300" s="21"/>
      <c r="H300" s="21"/>
      <c r="I300" s="22"/>
    </row>
    <row r="301" spans="1:9" ht="12.95">
      <c r="A301" s="21"/>
      <c r="B301" s="21"/>
      <c r="C301" s="21"/>
      <c r="D301" s="21"/>
      <c r="E301" s="21"/>
      <c r="F301" s="22"/>
      <c r="G301" s="21"/>
      <c r="H301" s="21"/>
      <c r="I301" s="22"/>
    </row>
    <row r="302" spans="1:9" ht="12.95">
      <c r="A302" s="21"/>
      <c r="B302" s="21"/>
      <c r="C302" s="21"/>
      <c r="D302" s="21"/>
      <c r="E302" s="21"/>
      <c r="F302" s="22"/>
      <c r="G302" s="21"/>
      <c r="H302" s="21"/>
      <c r="I302" s="22"/>
    </row>
    <row r="303" spans="1:9" ht="12.95">
      <c r="A303" s="21"/>
      <c r="B303" s="21"/>
      <c r="C303" s="21"/>
      <c r="D303" s="21"/>
      <c r="E303" s="21"/>
      <c r="F303" s="22"/>
      <c r="G303" s="21"/>
      <c r="H303" s="21"/>
      <c r="I303" s="22"/>
    </row>
    <row r="304" spans="1:9" ht="12.95">
      <c r="A304" s="21"/>
      <c r="B304" s="21"/>
      <c r="C304" s="21"/>
      <c r="D304" s="21"/>
      <c r="E304" s="21"/>
      <c r="F304" s="22"/>
      <c r="G304" s="21"/>
      <c r="H304" s="21"/>
      <c r="I304" s="22"/>
    </row>
    <row r="305" spans="1:9" ht="12.95">
      <c r="A305" s="21"/>
      <c r="B305" s="21"/>
      <c r="C305" s="21"/>
      <c r="D305" s="21"/>
      <c r="E305" s="21"/>
      <c r="F305" s="22"/>
      <c r="G305" s="21"/>
      <c r="H305" s="21"/>
      <c r="I305" s="22"/>
    </row>
    <row r="306" spans="1:9" ht="12.95">
      <c r="A306" s="21"/>
      <c r="B306" s="21"/>
      <c r="C306" s="21"/>
      <c r="D306" s="21"/>
      <c r="E306" s="21"/>
      <c r="F306" s="22"/>
      <c r="G306" s="21"/>
      <c r="H306" s="21"/>
      <c r="I306" s="22"/>
    </row>
    <row r="307" spans="1:9" ht="12.95">
      <c r="A307" s="21"/>
      <c r="B307" s="21"/>
      <c r="C307" s="21"/>
      <c r="D307" s="21"/>
      <c r="E307" s="21"/>
      <c r="F307" s="22"/>
      <c r="G307" s="21"/>
      <c r="H307" s="21"/>
      <c r="I307" s="22"/>
    </row>
    <row r="308" spans="1:9" ht="12.95">
      <c r="A308" s="21"/>
      <c r="B308" s="21"/>
      <c r="C308" s="21"/>
      <c r="D308" s="21"/>
      <c r="E308" s="21"/>
      <c r="F308" s="22"/>
      <c r="G308" s="21"/>
      <c r="H308" s="21"/>
      <c r="I308" s="22"/>
    </row>
    <row r="309" spans="1:9" ht="12.95">
      <c r="A309" s="21"/>
      <c r="B309" s="21"/>
      <c r="C309" s="21"/>
      <c r="D309" s="21"/>
      <c r="E309" s="21"/>
      <c r="F309" s="22"/>
      <c r="G309" s="21"/>
      <c r="H309" s="21"/>
      <c r="I309" s="22"/>
    </row>
    <row r="310" spans="1:9" ht="12.95">
      <c r="A310" s="21"/>
      <c r="B310" s="21"/>
      <c r="C310" s="21"/>
      <c r="D310" s="21"/>
      <c r="E310" s="21"/>
      <c r="F310" s="22"/>
      <c r="G310" s="21"/>
      <c r="H310" s="21"/>
      <c r="I310" s="22"/>
    </row>
    <row r="311" spans="1:9" ht="12.95">
      <c r="A311" s="21"/>
      <c r="B311" s="21"/>
      <c r="C311" s="21"/>
      <c r="D311" s="21"/>
      <c r="E311" s="21"/>
      <c r="F311" s="22"/>
      <c r="G311" s="21"/>
      <c r="H311" s="21"/>
      <c r="I311" s="22"/>
    </row>
    <row r="312" spans="1:9" ht="12.95">
      <c r="A312" s="21"/>
      <c r="B312" s="21"/>
      <c r="C312" s="21"/>
      <c r="D312" s="21"/>
      <c r="E312" s="21"/>
      <c r="F312" s="22"/>
      <c r="G312" s="21"/>
      <c r="H312" s="21"/>
      <c r="I312" s="22"/>
    </row>
    <row r="313" spans="1:9" ht="12.95">
      <c r="A313" s="21"/>
      <c r="B313" s="21"/>
      <c r="C313" s="21"/>
      <c r="D313" s="21"/>
      <c r="E313" s="21"/>
      <c r="F313" s="22"/>
      <c r="G313" s="21"/>
      <c r="H313" s="21"/>
      <c r="I313" s="22"/>
    </row>
    <row r="314" spans="1:9" ht="12.95">
      <c r="A314" s="21"/>
      <c r="B314" s="21"/>
      <c r="C314" s="21"/>
      <c r="D314" s="21"/>
      <c r="E314" s="21"/>
      <c r="F314" s="22"/>
      <c r="G314" s="21"/>
      <c r="H314" s="21"/>
      <c r="I314" s="22"/>
    </row>
    <row r="315" spans="1:9" ht="12.95">
      <c r="A315" s="21"/>
      <c r="B315" s="21"/>
      <c r="C315" s="21"/>
      <c r="D315" s="21"/>
      <c r="E315" s="21"/>
      <c r="F315" s="22"/>
      <c r="G315" s="21"/>
      <c r="H315" s="21"/>
      <c r="I315" s="22"/>
    </row>
    <row r="316" spans="1:9" ht="12.95">
      <c r="A316" s="21"/>
      <c r="B316" s="21"/>
      <c r="C316" s="21"/>
      <c r="D316" s="21"/>
      <c r="E316" s="21"/>
      <c r="F316" s="22"/>
      <c r="G316" s="21"/>
      <c r="H316" s="21"/>
      <c r="I316" s="22"/>
    </row>
    <row r="317" spans="1:9" ht="12.95">
      <c r="A317" s="21"/>
      <c r="B317" s="21"/>
      <c r="C317" s="21"/>
      <c r="D317" s="21"/>
      <c r="E317" s="21"/>
      <c r="F317" s="22"/>
      <c r="G317" s="21"/>
      <c r="H317" s="21"/>
      <c r="I317" s="22"/>
    </row>
    <row r="318" spans="1:9" ht="12.95">
      <c r="A318" s="21"/>
      <c r="B318" s="21"/>
      <c r="C318" s="21"/>
      <c r="D318" s="21"/>
      <c r="E318" s="21"/>
      <c r="F318" s="22"/>
      <c r="G318" s="21"/>
      <c r="H318" s="21"/>
      <c r="I318" s="22"/>
    </row>
    <row r="319" spans="1:9" ht="12.95">
      <c r="A319" s="21"/>
      <c r="B319" s="21"/>
      <c r="C319" s="21"/>
      <c r="D319" s="21"/>
      <c r="E319" s="21"/>
      <c r="F319" s="22"/>
      <c r="G319" s="21"/>
      <c r="H319" s="21"/>
      <c r="I319" s="22"/>
    </row>
    <row r="320" spans="1:9" ht="12.95">
      <c r="A320" s="21"/>
      <c r="B320" s="21"/>
      <c r="C320" s="21"/>
      <c r="D320" s="21"/>
      <c r="E320" s="21"/>
      <c r="F320" s="22"/>
      <c r="G320" s="21"/>
      <c r="H320" s="21"/>
      <c r="I320" s="22"/>
    </row>
    <row r="321" spans="1:9" ht="12.95">
      <c r="A321" s="21"/>
      <c r="B321" s="21"/>
      <c r="C321" s="21"/>
      <c r="D321" s="21"/>
      <c r="E321" s="21"/>
      <c r="F321" s="22"/>
      <c r="G321" s="21"/>
      <c r="H321" s="21"/>
      <c r="I321" s="22"/>
    </row>
    <row r="322" spans="1:9" ht="12.95">
      <c r="A322" s="21"/>
      <c r="B322" s="21"/>
      <c r="C322" s="21"/>
      <c r="D322" s="21"/>
      <c r="E322" s="21"/>
      <c r="F322" s="22"/>
      <c r="G322" s="21"/>
      <c r="H322" s="21"/>
      <c r="I322" s="22"/>
    </row>
    <row r="323" spans="1:9" ht="12.95">
      <c r="A323" s="21"/>
      <c r="B323" s="21"/>
      <c r="C323" s="21"/>
      <c r="D323" s="21"/>
      <c r="E323" s="21"/>
      <c r="F323" s="22"/>
      <c r="G323" s="21"/>
      <c r="H323" s="21"/>
      <c r="I323" s="22"/>
    </row>
    <row r="324" spans="1:9" ht="12.95">
      <c r="A324" s="21"/>
      <c r="B324" s="21"/>
      <c r="C324" s="21"/>
      <c r="D324" s="21"/>
      <c r="E324" s="21"/>
      <c r="F324" s="22"/>
      <c r="G324" s="21"/>
      <c r="H324" s="21"/>
      <c r="I324" s="22"/>
    </row>
    <row r="325" spans="1:9" ht="12.95">
      <c r="A325" s="21"/>
      <c r="B325" s="21"/>
      <c r="C325" s="21"/>
      <c r="D325" s="21"/>
      <c r="E325" s="21"/>
      <c r="F325" s="22"/>
      <c r="G325" s="21"/>
      <c r="H325" s="21"/>
      <c r="I325" s="22"/>
    </row>
    <row r="326" spans="1:9" ht="12.95">
      <c r="A326" s="21"/>
      <c r="B326" s="21"/>
      <c r="C326" s="21"/>
      <c r="D326" s="21"/>
      <c r="E326" s="21"/>
      <c r="F326" s="22"/>
      <c r="G326" s="21"/>
      <c r="H326" s="21"/>
      <c r="I326" s="22"/>
    </row>
    <row r="327" spans="1:9" ht="12.95">
      <c r="A327" s="21"/>
      <c r="B327" s="21"/>
      <c r="C327" s="21"/>
      <c r="D327" s="21"/>
      <c r="E327" s="21"/>
      <c r="F327" s="22"/>
      <c r="G327" s="21"/>
      <c r="H327" s="21"/>
      <c r="I327" s="22"/>
    </row>
    <row r="328" spans="1:9" ht="12.95">
      <c r="A328" s="21"/>
      <c r="B328" s="21"/>
      <c r="C328" s="21"/>
      <c r="D328" s="21"/>
      <c r="E328" s="21"/>
      <c r="F328" s="22"/>
      <c r="G328" s="21"/>
      <c r="H328" s="21"/>
      <c r="I328" s="22"/>
    </row>
    <row r="329" spans="1:9" ht="12.95">
      <c r="A329" s="21"/>
      <c r="B329" s="21"/>
      <c r="C329" s="21"/>
      <c r="D329" s="21"/>
      <c r="E329" s="21"/>
      <c r="F329" s="22"/>
      <c r="G329" s="21"/>
      <c r="H329" s="21"/>
      <c r="I329" s="22"/>
    </row>
    <row r="330" spans="1:9" ht="12.95">
      <c r="A330" s="21"/>
      <c r="B330" s="21"/>
      <c r="C330" s="21"/>
      <c r="D330" s="21"/>
      <c r="E330" s="21"/>
      <c r="F330" s="22"/>
      <c r="G330" s="21"/>
      <c r="H330" s="21"/>
      <c r="I330" s="22"/>
    </row>
    <row r="331" spans="1:9" ht="12.95">
      <c r="A331" s="21"/>
      <c r="B331" s="21"/>
      <c r="C331" s="21"/>
      <c r="D331" s="21"/>
      <c r="E331" s="21"/>
      <c r="F331" s="22"/>
      <c r="G331" s="21"/>
      <c r="H331" s="21"/>
      <c r="I331" s="22"/>
    </row>
    <row r="332" spans="1:9" ht="12.95">
      <c r="A332" s="21"/>
      <c r="B332" s="21"/>
      <c r="C332" s="21"/>
      <c r="D332" s="21"/>
      <c r="E332" s="21"/>
      <c r="F332" s="22"/>
      <c r="G332" s="21"/>
      <c r="H332" s="21"/>
      <c r="I332" s="22"/>
    </row>
    <row r="333" spans="1:9" ht="12.95">
      <c r="A333" s="21"/>
      <c r="B333" s="21"/>
      <c r="C333" s="21"/>
      <c r="D333" s="21"/>
      <c r="E333" s="21"/>
      <c r="F333" s="22"/>
      <c r="G333" s="21"/>
      <c r="H333" s="21"/>
      <c r="I333" s="22"/>
    </row>
    <row r="334" spans="1:9" ht="12.95">
      <c r="A334" s="21"/>
      <c r="B334" s="21"/>
      <c r="C334" s="21"/>
      <c r="D334" s="21"/>
      <c r="E334" s="21"/>
      <c r="F334" s="22"/>
      <c r="G334" s="21"/>
      <c r="H334" s="21"/>
      <c r="I334" s="22"/>
    </row>
    <row r="335" spans="1:9" ht="12.95">
      <c r="A335" s="21"/>
      <c r="B335" s="21"/>
      <c r="C335" s="21"/>
      <c r="D335" s="21"/>
      <c r="E335" s="21"/>
      <c r="F335" s="22"/>
      <c r="G335" s="21"/>
      <c r="H335" s="21"/>
      <c r="I335" s="22"/>
    </row>
    <row r="336" spans="1:9" ht="12.95">
      <c r="A336" s="21"/>
      <c r="B336" s="21"/>
      <c r="C336" s="21"/>
      <c r="D336" s="21"/>
      <c r="E336" s="21"/>
      <c r="F336" s="22"/>
      <c r="G336" s="21"/>
      <c r="H336" s="21"/>
      <c r="I336" s="22"/>
    </row>
    <row r="337" spans="1:9" ht="12.95">
      <c r="A337" s="21"/>
      <c r="B337" s="21"/>
      <c r="C337" s="21"/>
      <c r="D337" s="21"/>
      <c r="E337" s="21"/>
      <c r="F337" s="22"/>
      <c r="G337" s="21"/>
      <c r="H337" s="21"/>
      <c r="I337" s="22"/>
    </row>
    <row r="338" spans="1:9" ht="12.95">
      <c r="A338" s="21"/>
      <c r="B338" s="21"/>
      <c r="C338" s="21"/>
      <c r="D338" s="21"/>
      <c r="E338" s="21"/>
      <c r="F338" s="22"/>
      <c r="G338" s="21"/>
      <c r="H338" s="21"/>
      <c r="I338" s="22"/>
    </row>
    <row r="339" spans="1:9" ht="12.95">
      <c r="A339" s="21"/>
      <c r="B339" s="21"/>
      <c r="C339" s="21"/>
      <c r="D339" s="21"/>
      <c r="E339" s="21"/>
      <c r="F339" s="22"/>
      <c r="G339" s="21"/>
      <c r="H339" s="21"/>
      <c r="I339" s="22"/>
    </row>
    <row r="340" spans="1:9" ht="12.95">
      <c r="A340" s="21"/>
      <c r="B340" s="21"/>
      <c r="C340" s="21"/>
      <c r="D340" s="21"/>
      <c r="E340" s="21"/>
      <c r="F340" s="22"/>
      <c r="G340" s="21"/>
      <c r="H340" s="21"/>
      <c r="I340" s="22"/>
    </row>
    <row r="341" spans="1:9" ht="12.95">
      <c r="A341" s="21"/>
      <c r="B341" s="21"/>
      <c r="C341" s="21"/>
      <c r="D341" s="21"/>
      <c r="E341" s="21"/>
      <c r="F341" s="22"/>
      <c r="G341" s="21"/>
      <c r="H341" s="21"/>
      <c r="I341" s="22"/>
    </row>
    <row r="342" spans="1:9" ht="12.95">
      <c r="A342" s="21"/>
      <c r="B342" s="21"/>
      <c r="C342" s="21"/>
      <c r="D342" s="21"/>
      <c r="E342" s="21"/>
      <c r="F342" s="22"/>
      <c r="G342" s="21"/>
      <c r="H342" s="21"/>
      <c r="I342" s="22"/>
    </row>
  </sheetData>
  <sortState xmlns:xlrd2="http://schemas.microsoft.com/office/spreadsheetml/2017/richdata2" ref="A3:I3">
    <sortCondition ref="A3"/>
  </sortState>
  <mergeCells count="4">
    <mergeCell ref="G1:I1"/>
    <mergeCell ref="A1:C1"/>
    <mergeCell ref="D1:F1"/>
    <mergeCell ref="A2:B2"/>
  </mergeCells>
  <conditionalFormatting sqref="F2 I2 F4:F100 I4:I100">
    <cfRule type="cellIs" dxfId="58" priority="1" stopIfTrue="1" operator="lessThanOrEqual">
      <formula>-0.1</formula>
    </cfRule>
    <cfRule type="expression" dxfId="57"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42"/>
  <sheetViews>
    <sheetView tabSelected="1" workbookViewId="0">
      <pane xSplit="2" ySplit="3" topLeftCell="C4" activePane="bottomRight" state="frozen"/>
      <selection pane="bottomRight" activeCell="H4" sqref="H4"/>
      <selection pane="bottomLeft"/>
      <selection pane="topRight"/>
    </sheetView>
  </sheetViews>
  <sheetFormatPr defaultRowHeight="12.6"/>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20" t="str" cm="1">
        <f t="array" ref="A1">portfolio</f>
        <v>Silicon Ranch</v>
      </c>
      <c r="B1" s="120"/>
      <c r="C1" s="120"/>
      <c r="D1" s="121" t="s">
        <v>12</v>
      </c>
      <c r="E1" s="121"/>
      <c r="F1" s="121"/>
      <c r="G1" s="119" t="s">
        <v>13</v>
      </c>
      <c r="H1" s="119"/>
      <c r="I1" s="119"/>
    </row>
    <row r="2" spans="1:9" ht="19.5" customHeight="1">
      <c r="A2" s="122" t="s">
        <v>2</v>
      </c>
      <c r="B2" s="122"/>
      <c r="C2" s="5">
        <f>SUM(C4:C100)</f>
        <v>8608297</v>
      </c>
      <c r="D2" s="5">
        <f>SUM(D4:D100)</f>
        <v>0</v>
      </c>
      <c r="E2" s="5">
        <f>C2-D2</f>
        <v>8608297</v>
      </c>
      <c r="F2" s="6">
        <f>IFERROR(E2/D2, 0)</f>
        <v>0</v>
      </c>
      <c r="G2" s="5">
        <f>SUM(G4:G100)</f>
        <v>10082361.409000002</v>
      </c>
      <c r="H2" s="7">
        <f>C2-G2</f>
        <v>-1474064.4090000018</v>
      </c>
      <c r="I2" s="6">
        <f>IFERROR(H2/G2, 0)</f>
        <v>-0.14620229817234889</v>
      </c>
    </row>
    <row r="3" spans="1:9" ht="14.25" customHeight="1">
      <c r="A3" s="8" t="s">
        <v>3</v>
      </c>
      <c r="B3" s="8" t="s">
        <v>4</v>
      </c>
      <c r="C3" s="23" t="s">
        <v>5</v>
      </c>
      <c r="D3" s="35" t="s">
        <v>6</v>
      </c>
      <c r="E3" s="35" t="s">
        <v>7</v>
      </c>
      <c r="F3" s="36" t="s">
        <v>8</v>
      </c>
      <c r="G3" s="37" t="s">
        <v>9</v>
      </c>
      <c r="H3" s="38" t="s">
        <v>7</v>
      </c>
      <c r="I3" s="39" t="s">
        <v>8</v>
      </c>
    </row>
    <row r="4" spans="1:9" ht="15.6">
      <c r="A4" s="48" t="str" cm="1">
        <f t="array" ref="A4:A69">Sites[Site]</f>
        <v>Iron Mountain - Windsor</v>
      </c>
      <c r="B4" s="9" t="str" cm="1">
        <f t="array" ref="B4:B69">Sites[State]</f>
        <v>CT</v>
      </c>
      <c r="C4" s="24">
        <f>SUM(Apr!C4, May!C4, Jun!C4)</f>
        <v>60879</v>
      </c>
      <c r="D4" s="13">
        <f>SUM(Apr!D4, May!D4, Jun!D4)</f>
        <v>0</v>
      </c>
      <c r="E4" s="13">
        <f>IF(AND(ISNUMBER(C4),ISNUMBER(D4)), C4-D4, "")</f>
        <v>60879</v>
      </c>
      <c r="F4" s="14" t="str">
        <f>IFERROR(E4/D4, "")</f>
        <v/>
      </c>
      <c r="G4" s="15">
        <f>SUM(Apr!G4, May!G4, Jun!G4)</f>
        <v>65248.31</v>
      </c>
      <c r="H4" s="15">
        <f>SUM(Apr!H4, May!H4, Jun!H4)</f>
        <v>-4369.3099999999977</v>
      </c>
      <c r="I4" s="16">
        <f>IFERROR(H4/G4, "")</f>
        <v>-6.6964339766041422E-2</v>
      </c>
    </row>
    <row r="5" spans="1:9" ht="15.6">
      <c r="A5" s="49" t="str">
        <v>Kohls - Auburn</v>
      </c>
      <c r="B5" s="10" t="str">
        <v>NY</v>
      </c>
      <c r="C5" s="11">
        <f>SUM(Apr!C5, May!C5, Jun!C5)</f>
        <v>63433</v>
      </c>
      <c r="D5" s="18">
        <f>SUM(Apr!D5, May!D5, Jun!D5)</f>
        <v>0</v>
      </c>
      <c r="E5" s="18">
        <f t="shared" ref="E5:E15" si="0">IF(AND(ISNUMBER(C5),ISNUMBER(D5)), C5-D5, "")</f>
        <v>63433</v>
      </c>
      <c r="F5" s="19" t="str">
        <f>IFERROR(E5/D5, "")</f>
        <v/>
      </c>
      <c r="G5" s="20">
        <f>SUM(Apr!G5, May!G5, Jun!G5)</f>
        <v>79540.17</v>
      </c>
      <c r="H5" s="20">
        <f>SUM(Apr!H5, May!H5, Jun!H5)</f>
        <v>-16107.169999999998</v>
      </c>
      <c r="I5" s="19">
        <f>IFERROR(H5/G5, "")</f>
        <v>-0.2025035903242349</v>
      </c>
    </row>
    <row r="6" spans="1:9" ht="15.6">
      <c r="A6" s="48" t="str">
        <v>Kohls - Bensalem</v>
      </c>
      <c r="B6" s="9" t="str">
        <v>PA</v>
      </c>
      <c r="C6" s="24">
        <f>SUM(Apr!C6, May!C6, Jun!C6)</f>
        <v>25179</v>
      </c>
      <c r="D6" s="13">
        <f>SUM(Apr!D6, May!D6, Jun!D6)</f>
        <v>0</v>
      </c>
      <c r="E6" s="13">
        <f t="shared" si="0"/>
        <v>25179</v>
      </c>
      <c r="F6" s="14" t="str">
        <f t="shared" ref="F6:F15" si="1">IFERROR(E6/D6, "")</f>
        <v/>
      </c>
      <c r="G6" s="15">
        <f>SUM(Apr!G6, May!G6, Jun!G6)</f>
        <v>71487.290000000008</v>
      </c>
      <c r="H6" s="15">
        <f>SUM(Apr!H6, May!H6, Jun!H6)</f>
        <v>-46308.29</v>
      </c>
      <c r="I6" s="16">
        <f t="shared" ref="I6:I15" si="2">IFERROR(H6/G6, "")</f>
        <v>-0.64778354306059149</v>
      </c>
    </row>
    <row r="7" spans="1:9" ht="15.6">
      <c r="A7" s="49" t="str">
        <v>Kohls - Brick</v>
      </c>
      <c r="B7" s="10" t="str">
        <v>NJ</v>
      </c>
      <c r="C7" s="11">
        <f>SUM(Apr!C7, May!C7, Jun!C7)</f>
        <v>74843</v>
      </c>
      <c r="D7" s="18">
        <f>SUM(Apr!D7, May!D7, Jun!D7)</f>
        <v>0</v>
      </c>
      <c r="E7" s="18">
        <f t="shared" si="0"/>
        <v>74843</v>
      </c>
      <c r="F7" s="19" t="str">
        <f t="shared" si="1"/>
        <v/>
      </c>
      <c r="G7" s="20">
        <f>SUM(Apr!G7, May!G7, Jun!G7)</f>
        <v>87238.65</v>
      </c>
      <c r="H7" s="20">
        <f>SUM(Apr!H7, May!H7, Jun!H7)</f>
        <v>-12395.650000000001</v>
      </c>
      <c r="I7" s="19">
        <f t="shared" si="2"/>
        <v>-0.14208897088618408</v>
      </c>
    </row>
    <row r="8" spans="1:9" ht="15.6">
      <c r="A8" s="48" t="str">
        <v>Kohls - Buffalo</v>
      </c>
      <c r="B8" s="9" t="str">
        <v>NY</v>
      </c>
      <c r="C8" s="24">
        <f>SUM(Apr!C8, May!C8, Jun!C8)</f>
        <v>73618</v>
      </c>
      <c r="D8" s="13">
        <f>SUM(Apr!D8, May!D8, Jun!D8)</f>
        <v>0</v>
      </c>
      <c r="E8" s="13">
        <f t="shared" si="0"/>
        <v>73618</v>
      </c>
      <c r="F8" s="14" t="str">
        <f t="shared" si="1"/>
        <v/>
      </c>
      <c r="G8" s="15">
        <f>SUM(Apr!G8, May!G8, Jun!G8)</f>
        <v>94970.58</v>
      </c>
      <c r="H8" s="15">
        <f>SUM(Apr!H8, May!H8, Jun!H8)</f>
        <v>-21352.58</v>
      </c>
      <c r="I8" s="16">
        <f t="shared" si="2"/>
        <v>-0.22483362742440871</v>
      </c>
    </row>
    <row r="9" spans="1:9" ht="15.6">
      <c r="A9" s="49" t="str">
        <v>Kohls - Canton</v>
      </c>
      <c r="B9" s="10" t="str">
        <v>CT</v>
      </c>
      <c r="C9" s="11">
        <f>SUM(Apr!C9, May!C9, Jun!C9)</f>
        <v>29883</v>
      </c>
      <c r="D9" s="18">
        <f>SUM(Apr!D9, May!D9, Jun!D9)</f>
        <v>0</v>
      </c>
      <c r="E9" s="18">
        <f t="shared" si="0"/>
        <v>29883</v>
      </c>
      <c r="F9" s="19" t="str">
        <f t="shared" si="1"/>
        <v/>
      </c>
      <c r="G9" s="20">
        <f>SUM(Apr!G9, May!G9, Jun!G9)</f>
        <v>28927.879999999997</v>
      </c>
      <c r="H9" s="20">
        <f>SUM(Apr!H9, May!H9, Jun!H9)</f>
        <v>955.1200000000008</v>
      </c>
      <c r="I9" s="19">
        <f t="shared" si="2"/>
        <v>3.301728298098585E-2</v>
      </c>
    </row>
    <row r="10" spans="1:9" ht="15.6">
      <c r="A10" s="48" t="str">
        <v>Kohls - East Amherst</v>
      </c>
      <c r="B10" s="9" t="str">
        <v>NY</v>
      </c>
      <c r="C10" s="24">
        <f>SUM(Apr!C10, May!C10, Jun!C10)</f>
        <v>60555</v>
      </c>
      <c r="D10" s="13">
        <f>SUM(Apr!D10, May!D10, Jun!D10)</f>
        <v>0</v>
      </c>
      <c r="E10" s="13">
        <f t="shared" si="0"/>
        <v>60555</v>
      </c>
      <c r="F10" s="14" t="str">
        <f t="shared" si="1"/>
        <v/>
      </c>
      <c r="G10" s="15">
        <f>SUM(Apr!G10, May!G10, Jun!G10)</f>
        <v>84418.3</v>
      </c>
      <c r="H10" s="15">
        <f>SUM(Apr!H10, May!H10, Jun!H10)</f>
        <v>-23863.300000000003</v>
      </c>
      <c r="I10" s="16">
        <f t="shared" si="2"/>
        <v>-0.28267922950355551</v>
      </c>
    </row>
    <row r="11" spans="1:9" ht="15.6">
      <c r="A11" s="49" t="str">
        <v>Kohls - East Brunswick</v>
      </c>
      <c r="B11" s="10" t="str">
        <v>NJ</v>
      </c>
      <c r="C11" s="11">
        <f>SUM(Apr!C11, May!C11, Jun!C11)</f>
        <v>100574</v>
      </c>
      <c r="D11" s="18">
        <f>SUM(Apr!D11, May!D11, Jun!D11)</f>
        <v>0</v>
      </c>
      <c r="E11" s="18">
        <f t="shared" si="0"/>
        <v>100574</v>
      </c>
      <c r="F11" s="19" t="str">
        <f t="shared" si="1"/>
        <v/>
      </c>
      <c r="G11" s="20">
        <f>SUM(Apr!G11, May!G11, Jun!G11)</f>
        <v>111698.59</v>
      </c>
      <c r="H11" s="20">
        <f>SUM(Apr!H11, May!H11, Jun!H11)</f>
        <v>-11124.589999999997</v>
      </c>
      <c r="I11" s="19">
        <f t="shared" si="2"/>
        <v>-9.9594721831314043E-2</v>
      </c>
    </row>
    <row r="12" spans="1:9" ht="15.6">
      <c r="A12" s="48" t="str">
        <v>Kohls - Edgewood</v>
      </c>
      <c r="B12" s="9" t="str">
        <v>MD</v>
      </c>
      <c r="C12" s="24">
        <f>SUM(Apr!C12, May!C12, Jun!C12)</f>
        <v>516724</v>
      </c>
      <c r="D12" s="13">
        <f>SUM(Apr!D12, May!D12, Jun!D12)</f>
        <v>0</v>
      </c>
      <c r="E12" s="13">
        <f t="shared" si="0"/>
        <v>516724</v>
      </c>
      <c r="F12" s="14" t="str">
        <f t="shared" si="1"/>
        <v/>
      </c>
      <c r="G12" s="15">
        <f>SUM(Apr!G12, May!G12, Jun!G12)</f>
        <v>592007.06000000006</v>
      </c>
      <c r="H12" s="15">
        <f>SUM(Apr!H12, May!H12, Jun!H12)</f>
        <v>-75283.06</v>
      </c>
      <c r="I12" s="16">
        <f t="shared" si="2"/>
        <v>-0.12716581454281981</v>
      </c>
    </row>
    <row r="13" spans="1:9" ht="15.6">
      <c r="A13" s="49" t="str">
        <v>Kohls - Granite Run</v>
      </c>
      <c r="B13" s="10" t="str">
        <v>PA</v>
      </c>
      <c r="C13" s="11">
        <f>SUM(Apr!C13, May!C13, Jun!C13)</f>
        <v>66788</v>
      </c>
      <c r="D13" s="18">
        <f>SUM(Apr!D13, May!D13, Jun!D13)</f>
        <v>0</v>
      </c>
      <c r="E13" s="18">
        <f t="shared" si="0"/>
        <v>66788</v>
      </c>
      <c r="F13" s="19" t="str">
        <f t="shared" si="1"/>
        <v/>
      </c>
      <c r="G13" s="20">
        <f>SUM(Apr!G13, May!G13, Jun!G13)</f>
        <v>71496.53</v>
      </c>
      <c r="H13" s="20">
        <f>SUM(Apr!H13, May!H13, Jun!H13)</f>
        <v>-4708.5299999999988</v>
      </c>
      <c r="I13" s="19">
        <f t="shared" si="2"/>
        <v>-6.5856762558966137E-2</v>
      </c>
    </row>
    <row r="14" spans="1:9" ht="15.6">
      <c r="A14" s="48" t="str">
        <v>Kohls - Greece</v>
      </c>
      <c r="B14" s="9" t="str">
        <v>NY</v>
      </c>
      <c r="C14" s="24">
        <f>SUM(Apr!C14, May!C14, Jun!C14)</f>
        <v>62711</v>
      </c>
      <c r="D14" s="13">
        <f>SUM(Apr!D14, May!D14, Jun!D14)</f>
        <v>0</v>
      </c>
      <c r="E14" s="13">
        <f t="shared" si="0"/>
        <v>62711</v>
      </c>
      <c r="F14" s="14" t="str">
        <f t="shared" si="1"/>
        <v/>
      </c>
      <c r="G14" s="15">
        <f>SUM(Apr!G14, May!G14, Jun!G14)</f>
        <v>91203.239999999991</v>
      </c>
      <c r="H14" s="15">
        <f>SUM(Apr!H14, May!H14, Jun!H14)</f>
        <v>-28492.239999999998</v>
      </c>
      <c r="I14" s="16">
        <f t="shared" si="2"/>
        <v>-0.31240381372416154</v>
      </c>
    </row>
    <row r="15" spans="1:9" ht="15.6">
      <c r="A15" s="49" t="str">
        <v>Kohls - Hanover</v>
      </c>
      <c r="B15" s="10" t="str">
        <v>PA</v>
      </c>
      <c r="C15" s="11">
        <f>SUM(Apr!C15, May!C15, Jun!C15)</f>
        <v>78937</v>
      </c>
      <c r="D15" s="18">
        <f>SUM(Apr!D15, May!D15, Jun!D15)</f>
        <v>0</v>
      </c>
      <c r="E15" s="18">
        <f t="shared" si="0"/>
        <v>78937</v>
      </c>
      <c r="F15" s="19" t="str">
        <f t="shared" si="1"/>
        <v/>
      </c>
      <c r="G15" s="20">
        <f>SUM(Apr!G15, May!G15, Jun!G15)</f>
        <v>81023.76999999999</v>
      </c>
      <c r="H15" s="20">
        <f>SUM(Apr!H15, May!H15, Jun!H15)</f>
        <v>-2086.7699999999968</v>
      </c>
      <c r="I15" s="19">
        <f t="shared" si="2"/>
        <v>-2.5755034602808497E-2</v>
      </c>
    </row>
    <row r="16" spans="1:9" ht="15.6">
      <c r="A16" s="48" t="str">
        <v>Kohls - Horsehead</v>
      </c>
      <c r="B16" s="9" t="str">
        <v>NY</v>
      </c>
      <c r="C16" s="24">
        <f>SUM(Apr!C16, May!C16, Jun!C16)</f>
        <v>55677</v>
      </c>
      <c r="D16" s="13">
        <f>SUM(Apr!D16, May!D16, Jun!D16)</f>
        <v>0</v>
      </c>
      <c r="E16" s="13">
        <f t="shared" ref="E16:E69" si="3">IF(AND(ISNUMBER(C16),ISNUMBER(D16)), C16-D16, "")</f>
        <v>55677</v>
      </c>
      <c r="F16" s="14" t="str">
        <f t="shared" ref="F16:F69" si="4">IFERROR(E16/D16, "")</f>
        <v/>
      </c>
      <c r="G16" s="15">
        <f>SUM(Apr!G16, May!G16, Jun!G16)</f>
        <v>64424.490000000005</v>
      </c>
      <c r="H16" s="15">
        <f>SUM(Apr!H16, May!H16, Jun!H16)</f>
        <v>-8747.4900000000016</v>
      </c>
      <c r="I16" s="16">
        <f t="shared" ref="I16:I69" si="5">IFERROR(H16/G16, "")</f>
        <v>-0.1357789561081508</v>
      </c>
    </row>
    <row r="17" spans="1:9" ht="15.6">
      <c r="A17" s="49" t="str">
        <v>Kohls - Hudson</v>
      </c>
      <c r="B17" s="10" t="str">
        <v>NY</v>
      </c>
      <c r="C17" s="11">
        <f>SUM(Apr!C17, May!C17, Jun!C17)</f>
        <v>63893</v>
      </c>
      <c r="D17" s="18">
        <f>SUM(Apr!D17, May!D17, Jun!D17)</f>
        <v>0</v>
      </c>
      <c r="E17" s="18">
        <f t="shared" si="3"/>
        <v>63893</v>
      </c>
      <c r="F17" s="19" t="str">
        <f t="shared" si="4"/>
        <v/>
      </c>
      <c r="G17" s="20">
        <f>SUM(Apr!G17, May!G17, Jun!G17)</f>
        <v>68330.679999999993</v>
      </c>
      <c r="H17" s="20">
        <f>SUM(Apr!H17, May!H17, Jun!H17)</f>
        <v>-4437.68</v>
      </c>
      <c r="I17" s="19">
        <f t="shared" si="5"/>
        <v>-6.4944180271585189E-2</v>
      </c>
    </row>
    <row r="18" spans="1:9" ht="12.75" customHeight="1">
      <c r="A18" s="48" t="str">
        <v>Kohls - Ithaca</v>
      </c>
      <c r="B18" s="9" t="str">
        <v>NY</v>
      </c>
      <c r="C18" s="24">
        <f>SUM(Apr!C18, May!C18, Jun!C18)</f>
        <v>57172</v>
      </c>
      <c r="D18" s="13">
        <f>SUM(Apr!D18, May!D18, Jun!D18)</f>
        <v>0</v>
      </c>
      <c r="E18" s="13">
        <f t="shared" si="3"/>
        <v>57172</v>
      </c>
      <c r="F18" s="14" t="str">
        <f t="shared" si="4"/>
        <v/>
      </c>
      <c r="G18" s="15">
        <f>SUM(Apr!G18, May!G18, Jun!G18)</f>
        <v>75300.75</v>
      </c>
      <c r="H18" s="15">
        <f>SUM(Apr!H18, May!H18, Jun!H18)</f>
        <v>-18128.75</v>
      </c>
      <c r="I18" s="16">
        <f t="shared" si="5"/>
        <v>-0.240751254137575</v>
      </c>
    </row>
    <row r="19" spans="1:9" ht="15.6">
      <c r="A19" s="49" t="str">
        <v>Kohls - Kingston</v>
      </c>
      <c r="B19" s="10" t="str">
        <v>NY</v>
      </c>
      <c r="C19" s="11">
        <f>SUM(Apr!C19, May!C19, Jun!C19)</f>
        <v>83746</v>
      </c>
      <c r="D19" s="18">
        <f>SUM(Apr!D19, May!D19, Jun!D19)</f>
        <v>0</v>
      </c>
      <c r="E19" s="18">
        <f t="shared" si="3"/>
        <v>83746</v>
      </c>
      <c r="F19" s="19" t="str">
        <f t="shared" si="4"/>
        <v/>
      </c>
      <c r="G19" s="20">
        <f>SUM(Apr!G19, May!G19, Jun!G19)</f>
        <v>112215.23999999999</v>
      </c>
      <c r="H19" s="20">
        <f>SUM(Apr!H19, May!H19, Jun!H19)</f>
        <v>-28469.239999999998</v>
      </c>
      <c r="I19" s="19">
        <f t="shared" si="5"/>
        <v>-0.25370208182061543</v>
      </c>
    </row>
    <row r="20" spans="1:9" ht="15.6">
      <c r="A20" s="48" t="str">
        <v>Kohls - Mechanicsburg</v>
      </c>
      <c r="B20" s="9" t="str">
        <v>PA</v>
      </c>
      <c r="C20" s="24">
        <f>SUM(Apr!C20, May!C20, Jun!C20)</f>
        <v>89208</v>
      </c>
      <c r="D20" s="13">
        <f>SUM(Apr!D20, May!D20, Jun!D20)</f>
        <v>0</v>
      </c>
      <c r="E20" s="13">
        <f t="shared" si="3"/>
        <v>89208</v>
      </c>
      <c r="F20" s="14" t="str">
        <f t="shared" si="4"/>
        <v/>
      </c>
      <c r="G20" s="15">
        <f>SUM(Apr!G20, May!G20, Jun!G20)</f>
        <v>94624.26</v>
      </c>
      <c r="H20" s="15">
        <f>SUM(Apr!H20, May!H20, Jun!H20)</f>
        <v>-5416.2599999999948</v>
      </c>
      <c r="I20" s="16">
        <f t="shared" si="5"/>
        <v>-5.7239655031384076E-2</v>
      </c>
    </row>
    <row r="21" spans="1:9" ht="15.6">
      <c r="A21" s="49" t="str">
        <v>Kohls - Middletown</v>
      </c>
      <c r="B21" s="10" t="str">
        <v>NJ</v>
      </c>
      <c r="C21" s="11">
        <f>SUM(Apr!C21, May!C21, Jun!C21)</f>
        <v>110046</v>
      </c>
      <c r="D21" s="18">
        <f>SUM(Apr!D21, May!D21, Jun!D21)</f>
        <v>0</v>
      </c>
      <c r="E21" s="18">
        <f t="shared" si="3"/>
        <v>110046</v>
      </c>
      <c r="F21" s="19" t="str">
        <f t="shared" si="4"/>
        <v/>
      </c>
      <c r="G21" s="20">
        <f>SUM(Apr!G21, May!G21, Jun!G21)</f>
        <v>132664.25</v>
      </c>
      <c r="H21" s="20">
        <f>SUM(Apr!H21, May!H21, Jun!H21)</f>
        <v>-22618.25</v>
      </c>
      <c r="I21" s="19">
        <f t="shared" si="5"/>
        <v>-0.17049242731180406</v>
      </c>
    </row>
    <row r="22" spans="1:9" ht="15.6">
      <c r="A22" s="48" t="str">
        <v>Kohls - North Amherst</v>
      </c>
      <c r="B22" s="9" t="str">
        <v>NY</v>
      </c>
      <c r="C22" s="24">
        <f>SUM(Apr!C22, May!C22, Jun!C22)</f>
        <v>41056</v>
      </c>
      <c r="D22" s="13">
        <f>SUM(Apr!D22, May!D22, Jun!D22)</f>
        <v>0</v>
      </c>
      <c r="E22" s="13">
        <f t="shared" si="3"/>
        <v>41056</v>
      </c>
      <c r="F22" s="14" t="str">
        <f t="shared" si="4"/>
        <v/>
      </c>
      <c r="G22" s="15">
        <f>SUM(Apr!G22, May!G22, Jun!G22)</f>
        <v>80993.429999999993</v>
      </c>
      <c r="H22" s="15">
        <f>SUM(Apr!H22, May!H22, Jun!H22)</f>
        <v>-39937.43</v>
      </c>
      <c r="I22" s="16">
        <f t="shared" si="5"/>
        <v>-0.49309468681595536</v>
      </c>
    </row>
    <row r="23" spans="1:9" ht="15.6">
      <c r="A23" s="49" t="str">
        <v>Kohls - Staten Island</v>
      </c>
      <c r="B23" s="10" t="str">
        <v>NY</v>
      </c>
      <c r="C23" s="11">
        <f>SUM(Apr!C23, May!C23, Jun!C23)</f>
        <v>59420</v>
      </c>
      <c r="D23" s="18">
        <f>SUM(Apr!D23, May!D23, Jun!D23)</f>
        <v>0</v>
      </c>
      <c r="E23" s="18">
        <f t="shared" si="3"/>
        <v>59420</v>
      </c>
      <c r="F23" s="19" t="str">
        <f t="shared" si="4"/>
        <v/>
      </c>
      <c r="G23" s="20">
        <f>SUM(Apr!G23, May!G23, Jun!G23)</f>
        <v>77917.17</v>
      </c>
      <c r="H23" s="20">
        <f>SUM(Apr!H23, May!H23, Jun!H23)</f>
        <v>-18497.169999999998</v>
      </c>
      <c r="I23" s="19">
        <f t="shared" si="5"/>
        <v>-0.23739530067634643</v>
      </c>
    </row>
    <row r="24" spans="1:9" ht="15.6">
      <c r="A24" s="48" t="str">
        <v>Kohls - Warminster</v>
      </c>
      <c r="B24" s="9" t="str">
        <v>PA</v>
      </c>
      <c r="C24" s="24">
        <f>SUM(Apr!C24, May!C24, Jun!C24)</f>
        <v>88130</v>
      </c>
      <c r="D24" s="13">
        <f>SUM(Apr!D24, May!D24, Jun!D24)</f>
        <v>0</v>
      </c>
      <c r="E24" s="13">
        <f t="shared" si="3"/>
        <v>88130</v>
      </c>
      <c r="F24" s="14" t="str">
        <f t="shared" si="4"/>
        <v/>
      </c>
      <c r="G24" s="15">
        <f>SUM(Apr!G24, May!G24, Jun!G24)</f>
        <v>87212.23</v>
      </c>
      <c r="H24" s="15">
        <f>SUM(Apr!H24, May!H24, Jun!H24)</f>
        <v>917.77000000000407</v>
      </c>
      <c r="I24" s="16">
        <f t="shared" si="5"/>
        <v>1.0523409388797925E-2</v>
      </c>
    </row>
    <row r="25" spans="1:9" ht="15.6">
      <c r="A25" s="49" t="str">
        <v xml:space="preserve">Kohls - Waterbury </v>
      </c>
      <c r="B25" s="10" t="str">
        <v>CT</v>
      </c>
      <c r="C25" s="11">
        <f>SUM(Apr!C25, May!C25, Jun!C25)</f>
        <v>71788</v>
      </c>
      <c r="D25" s="18">
        <f>SUM(Apr!D25, May!D25, Jun!D25)</f>
        <v>0</v>
      </c>
      <c r="E25" s="18">
        <f t="shared" si="3"/>
        <v>71788</v>
      </c>
      <c r="F25" s="19" t="str">
        <f t="shared" si="4"/>
        <v/>
      </c>
      <c r="G25" s="20">
        <f>SUM(Apr!G25, May!G25, Jun!G25)</f>
        <v>78903.34</v>
      </c>
      <c r="H25" s="20">
        <f>SUM(Apr!H25, May!H25, Jun!H25)</f>
        <v>-7115.3399999999965</v>
      </c>
      <c r="I25" s="19">
        <f t="shared" si="5"/>
        <v>-9.0177931631284514E-2</v>
      </c>
    </row>
    <row r="26" spans="1:9" ht="15.6">
      <c r="A26" s="48" t="str">
        <v>Mojave Water Agency - Headquarters</v>
      </c>
      <c r="B26" s="9" t="str">
        <v>CA</v>
      </c>
      <c r="C26" s="24">
        <f>SUM(Apr!C26, May!C26, Jun!C26)</f>
        <v>94151</v>
      </c>
      <c r="D26" s="13">
        <f>SUM(Apr!D26, May!D26, Jun!D26)</f>
        <v>0</v>
      </c>
      <c r="E26" s="13">
        <f t="shared" si="3"/>
        <v>94151</v>
      </c>
      <c r="F26" s="14" t="str">
        <f t="shared" si="4"/>
        <v/>
      </c>
      <c r="G26" s="15">
        <f>SUM(Apr!G26, May!G26, Jun!G26)</f>
        <v>78298.87</v>
      </c>
      <c r="H26" s="15">
        <f>SUM(Apr!H26, May!H26, Jun!H26)</f>
        <v>15852.129999999997</v>
      </c>
      <c r="I26" s="16">
        <f t="shared" si="5"/>
        <v>0.20245668934941205</v>
      </c>
    </row>
    <row r="27" spans="1:9" ht="15.6">
      <c r="A27" s="49" t="str">
        <v>CSU - Bakersfield</v>
      </c>
      <c r="B27" s="10" t="str">
        <v>CA</v>
      </c>
      <c r="C27" s="11">
        <f>SUM(Apr!C27, May!C27, Jun!C27)</f>
        <v>340293</v>
      </c>
      <c r="D27" s="18">
        <f>SUM(Apr!D27, May!D27, Jun!D27)</f>
        <v>0</v>
      </c>
      <c r="E27" s="18">
        <f t="shared" si="3"/>
        <v>340293</v>
      </c>
      <c r="F27" s="19" t="str">
        <f t="shared" si="4"/>
        <v/>
      </c>
      <c r="G27" s="20">
        <f>SUM(Apr!G27, May!G27, Jun!G27)</f>
        <v>317967.86</v>
      </c>
      <c r="H27" s="20">
        <f>SUM(Apr!H27, May!H27, Jun!H27)</f>
        <v>22325.139999999985</v>
      </c>
      <c r="I27" s="19">
        <f t="shared" si="5"/>
        <v>7.0211939030567383E-2</v>
      </c>
    </row>
    <row r="28" spans="1:9" ht="15.6">
      <c r="A28" s="48" t="str">
        <v>Greenfield USD - Fairfield ES</v>
      </c>
      <c r="B28" s="9" t="str">
        <v>CA</v>
      </c>
      <c r="C28" s="24">
        <f>SUM(Apr!C28, May!C28, Jun!C28)</f>
        <v>28828</v>
      </c>
      <c r="D28" s="13">
        <f>SUM(Apr!D28, May!D28, Jun!D28)</f>
        <v>0</v>
      </c>
      <c r="E28" s="13">
        <f t="shared" si="3"/>
        <v>28828</v>
      </c>
      <c r="F28" s="14" t="str">
        <f t="shared" si="4"/>
        <v/>
      </c>
      <c r="G28" s="15">
        <f>SUM(Apr!G28, May!G28, Jun!G28)</f>
        <v>31481.219999999998</v>
      </c>
      <c r="H28" s="15">
        <f>SUM(Apr!H28, May!H28, Jun!H28)</f>
        <v>-2653.2199999999975</v>
      </c>
      <c r="I28" s="16">
        <f t="shared" si="5"/>
        <v>-8.4279452956397424E-2</v>
      </c>
    </row>
    <row r="29" spans="1:9" ht="15.6">
      <c r="A29" s="49" t="str">
        <v>Greenfield USD - Granite Point ES</v>
      </c>
      <c r="B29" s="10" t="str">
        <v>CA</v>
      </c>
      <c r="C29" s="11">
        <f>SUM(Apr!C29, May!C29, Jun!C29)</f>
        <v>54482</v>
      </c>
      <c r="D29" s="18">
        <f>SUM(Apr!D29, May!D29, Jun!D29)</f>
        <v>0</v>
      </c>
      <c r="E29" s="18">
        <f t="shared" si="3"/>
        <v>54482</v>
      </c>
      <c r="F29" s="19" t="str">
        <f t="shared" si="4"/>
        <v/>
      </c>
      <c r="G29" s="20">
        <f>SUM(Apr!G29, May!G29, Jun!G29)</f>
        <v>83186.720000000001</v>
      </c>
      <c r="H29" s="20">
        <f>SUM(Apr!H29, May!H29, Jun!H29)</f>
        <v>-28704.720000000001</v>
      </c>
      <c r="I29" s="19">
        <f t="shared" si="5"/>
        <v>-0.34506373132634632</v>
      </c>
    </row>
    <row r="30" spans="1:9" ht="15.6">
      <c r="A30" s="48" t="str">
        <v>Greenfield USD - Greenfield MS</v>
      </c>
      <c r="B30" s="9" t="str">
        <v>CA</v>
      </c>
      <c r="C30" s="24">
        <f>SUM(Apr!C30, May!C30, Jun!C30)</f>
        <v>41574</v>
      </c>
      <c r="D30" s="13">
        <f>SUM(Apr!D30, May!D30, Jun!D30)</f>
        <v>0</v>
      </c>
      <c r="E30" s="13">
        <f t="shared" si="3"/>
        <v>41574</v>
      </c>
      <c r="F30" s="14" t="str">
        <f t="shared" si="4"/>
        <v/>
      </c>
      <c r="G30" s="15">
        <f>SUM(Apr!G30, May!G30, Jun!G30)</f>
        <v>56620.239000000001</v>
      </c>
      <c r="H30" s="15">
        <f>SUM(Apr!H30, May!H30, Jun!H30)</f>
        <v>-15046.239000000001</v>
      </c>
      <c r="I30" s="16">
        <f t="shared" si="5"/>
        <v>-0.26573958827690575</v>
      </c>
    </row>
    <row r="31" spans="1:9" ht="15.6">
      <c r="A31" s="49" t="str">
        <v>Greenfield USD - Horizon ES</v>
      </c>
      <c r="B31" s="10" t="str">
        <v>CA</v>
      </c>
      <c r="C31" s="11">
        <f>SUM(Apr!C31, May!C31, Jun!C31)</f>
        <v>71535</v>
      </c>
      <c r="D31" s="18">
        <f>SUM(Apr!D31, May!D31, Jun!D31)</f>
        <v>0</v>
      </c>
      <c r="E31" s="18">
        <f t="shared" si="3"/>
        <v>71535</v>
      </c>
      <c r="F31" s="19" t="str">
        <f t="shared" si="4"/>
        <v/>
      </c>
      <c r="G31" s="20">
        <f>SUM(Apr!G31, May!G31, Jun!G31)</f>
        <v>86327.48000000001</v>
      </c>
      <c r="H31" s="20">
        <f>SUM(Apr!H31, May!H31, Jun!H31)</f>
        <v>-14792.480000000003</v>
      </c>
      <c r="I31" s="19">
        <f t="shared" si="5"/>
        <v>-0.17135308478829686</v>
      </c>
    </row>
    <row r="32" spans="1:9" ht="15.6">
      <c r="A32" s="48" t="str">
        <v>Greenfield USD - McKee MS</v>
      </c>
      <c r="B32" s="9" t="str">
        <v>CA</v>
      </c>
      <c r="C32" s="24">
        <f>SUM(Apr!C32, May!C32, Jun!C32)</f>
        <v>38481</v>
      </c>
      <c r="D32" s="13">
        <f>SUM(Apr!D32, May!D32, Jun!D32)</f>
        <v>0</v>
      </c>
      <c r="E32" s="13">
        <f t="shared" si="3"/>
        <v>38481</v>
      </c>
      <c r="F32" s="14" t="str">
        <f t="shared" si="4"/>
        <v/>
      </c>
      <c r="G32" s="15">
        <f>SUM(Apr!G32, May!G32, Jun!G32)</f>
        <v>52732.19</v>
      </c>
      <c r="H32" s="15">
        <f>SUM(Apr!H32, May!H32, Jun!H32)</f>
        <v>-14251.189999999999</v>
      </c>
      <c r="I32" s="16">
        <f t="shared" si="5"/>
        <v>-0.27025598595468914</v>
      </c>
    </row>
    <row r="33" spans="1:9" ht="15.6">
      <c r="A33" s="49" t="str">
        <v>Greenfield USD - Plantation ES</v>
      </c>
      <c r="B33" s="10" t="str">
        <v>CA</v>
      </c>
      <c r="C33" s="11">
        <f>SUM(Apr!C33, May!C33, Jun!C33)</f>
        <v>36084</v>
      </c>
      <c r="D33" s="18">
        <f>SUM(Apr!D33, May!D33, Jun!D33)</f>
        <v>0</v>
      </c>
      <c r="E33" s="18">
        <f t="shared" si="3"/>
        <v>36084</v>
      </c>
      <c r="F33" s="19" t="str">
        <f t="shared" si="4"/>
        <v/>
      </c>
      <c r="G33" s="20">
        <f>SUM(Apr!G33, May!G33, Jun!G33)</f>
        <v>37694.740000000005</v>
      </c>
      <c r="H33" s="20">
        <f>SUM(Apr!H33, May!H33, Jun!H33)</f>
        <v>-1610.7400000000016</v>
      </c>
      <c r="I33" s="19">
        <f t="shared" si="5"/>
        <v>-4.2731160899372206E-2</v>
      </c>
    </row>
    <row r="34" spans="1:9" ht="15.6">
      <c r="A34" s="48" t="str">
        <v>Greenfield USD - Planz ES</v>
      </c>
      <c r="B34" s="9" t="str">
        <v>CA</v>
      </c>
      <c r="C34" s="24">
        <f>SUM(Apr!C34, May!C34, Jun!C34)</f>
        <v>14314</v>
      </c>
      <c r="D34" s="13">
        <f>SUM(Apr!D34, May!D34, Jun!D34)</f>
        <v>0</v>
      </c>
      <c r="E34" s="13">
        <f t="shared" si="3"/>
        <v>14314</v>
      </c>
      <c r="F34" s="14" t="str">
        <f t="shared" si="4"/>
        <v/>
      </c>
      <c r="G34" s="15">
        <f>SUM(Apr!G34, May!G34, Jun!G34)</f>
        <v>43274.039999999994</v>
      </c>
      <c r="H34" s="15">
        <f>SUM(Apr!H34, May!H34, Jun!H34)</f>
        <v>-28960.039999999997</v>
      </c>
      <c r="I34" s="16">
        <f t="shared" si="5"/>
        <v>-0.66922432016978317</v>
      </c>
    </row>
    <row r="35" spans="1:9" ht="15.6">
      <c r="A35" s="49" t="str">
        <v>Greenfield USD - Raffaello Palla ES</v>
      </c>
      <c r="B35" s="10" t="str">
        <v>CA</v>
      </c>
      <c r="C35" s="11">
        <f>SUM(Apr!C35, May!C35, Jun!C35)</f>
        <v>52884</v>
      </c>
      <c r="D35" s="18">
        <f>SUM(Apr!D35, May!D35, Jun!D35)</f>
        <v>0</v>
      </c>
      <c r="E35" s="18">
        <f t="shared" si="3"/>
        <v>52884</v>
      </c>
      <c r="F35" s="19" t="str">
        <f t="shared" si="4"/>
        <v/>
      </c>
      <c r="G35" s="20">
        <f>SUM(Apr!G35, May!G35, Jun!G35)</f>
        <v>93120.07</v>
      </c>
      <c r="H35" s="20">
        <f>SUM(Apr!H35, May!H35, Jun!H35)</f>
        <v>-40236.07</v>
      </c>
      <c r="I35" s="19">
        <f t="shared" si="5"/>
        <v>-0.43208805577573123</v>
      </c>
    </row>
    <row r="36" spans="1:9" ht="15.6">
      <c r="A36" s="48" t="str">
        <v>Greenfield USD - Valle Verde ES</v>
      </c>
      <c r="B36" s="9" t="str">
        <v>CA</v>
      </c>
      <c r="C36" s="24">
        <f>SUM(Apr!C36, May!C36, Jun!C36)</f>
        <v>88838</v>
      </c>
      <c r="D36" s="13">
        <f>SUM(Apr!D36, May!D36, Jun!D36)</f>
        <v>0</v>
      </c>
      <c r="E36" s="13">
        <f t="shared" si="3"/>
        <v>88838</v>
      </c>
      <c r="F36" s="14" t="str">
        <f t="shared" si="4"/>
        <v/>
      </c>
      <c r="G36" s="15">
        <f>SUM(Apr!G36, May!G36, Jun!G36)</f>
        <v>86906.559999999998</v>
      </c>
      <c r="H36" s="15">
        <f>SUM(Apr!H36, May!H36, Jun!H36)</f>
        <v>1931.4399999999951</v>
      </c>
      <c r="I36" s="16">
        <f t="shared" si="5"/>
        <v>2.2224329210591181E-2</v>
      </c>
    </row>
    <row r="37" spans="1:9" ht="15.6">
      <c r="A37" s="49" t="str">
        <v>Greenfield USD - W.A. Kendrick ES</v>
      </c>
      <c r="B37" s="10" t="str">
        <v>CA</v>
      </c>
      <c r="C37" s="11">
        <f>SUM(Apr!C37, May!C37, Jun!C37)</f>
        <v>0</v>
      </c>
      <c r="D37" s="18">
        <f>SUM(Apr!D37, May!D37, Jun!D37)</f>
        <v>0</v>
      </c>
      <c r="E37" s="18">
        <f t="shared" si="3"/>
        <v>0</v>
      </c>
      <c r="F37" s="19" t="str">
        <f t="shared" si="4"/>
        <v/>
      </c>
      <c r="G37" s="20">
        <f>SUM(Apr!G37, May!G37, Jun!G37)</f>
        <v>33503.369999999995</v>
      </c>
      <c r="H37" s="20">
        <f>SUM(Apr!H37, May!H37, Jun!H37)</f>
        <v>-33503.369999999995</v>
      </c>
      <c r="I37" s="19">
        <f t="shared" si="5"/>
        <v>-1</v>
      </c>
    </row>
    <row r="38" spans="1:9" ht="15.6">
      <c r="A38" s="48" t="str">
        <v>Muroc Joint USD - Boron HS</v>
      </c>
      <c r="B38" s="9" t="str">
        <v>CA</v>
      </c>
      <c r="C38" s="24">
        <f>SUM(Apr!C38, May!C38, Jun!C38)</f>
        <v>0</v>
      </c>
      <c r="D38" s="13">
        <f>SUM(Apr!D38, May!D38, Jun!D38)</f>
        <v>0</v>
      </c>
      <c r="E38" s="13">
        <f t="shared" si="3"/>
        <v>0</v>
      </c>
      <c r="F38" s="14" t="str">
        <f t="shared" si="4"/>
        <v/>
      </c>
      <c r="G38" s="15">
        <f>SUM(Apr!G38, May!G38, Jun!G38)</f>
        <v>77750.080000000002</v>
      </c>
      <c r="H38" s="15">
        <f>SUM(Apr!H38, May!H38, Jun!H38)</f>
        <v>-77750.080000000002</v>
      </c>
      <c r="I38" s="16">
        <f t="shared" si="5"/>
        <v>-1</v>
      </c>
    </row>
    <row r="39" spans="1:9" ht="15.6">
      <c r="A39" s="49" t="str">
        <v>Muroc Joint USD - W. Boron ES</v>
      </c>
      <c r="B39" s="10" t="str">
        <v>CA</v>
      </c>
      <c r="C39" s="11">
        <f>SUM(Apr!C39, May!C39, Jun!C39)</f>
        <v>27466</v>
      </c>
      <c r="D39" s="18">
        <f>SUM(Apr!D39, May!D39, Jun!D39)</f>
        <v>0</v>
      </c>
      <c r="E39" s="18">
        <f t="shared" si="3"/>
        <v>27466</v>
      </c>
      <c r="F39" s="19" t="str">
        <f t="shared" si="4"/>
        <v/>
      </c>
      <c r="G39" s="20">
        <f>SUM(Apr!G39, May!G39, Jun!G39)</f>
        <v>28670.15</v>
      </c>
      <c r="H39" s="20">
        <f>SUM(Apr!H39, May!H39, Jun!H39)</f>
        <v>-1204.1500000000015</v>
      </c>
      <c r="I39" s="19">
        <f t="shared" si="5"/>
        <v>-4.200012905408592E-2</v>
      </c>
    </row>
    <row r="40" spans="1:9" ht="15.6">
      <c r="A40" s="48" t="str">
        <v>Colusa - WTP</v>
      </c>
      <c r="B40" s="9" t="str">
        <v>CA</v>
      </c>
      <c r="C40" s="24">
        <f>SUM(Apr!C40, May!C40, Jun!C40)</f>
        <v>0</v>
      </c>
      <c r="D40" s="13">
        <f>SUM(Apr!D40, May!D40, Jun!D40)</f>
        <v>0</v>
      </c>
      <c r="E40" s="13">
        <f t="shared" si="3"/>
        <v>0</v>
      </c>
      <c r="F40" s="14" t="str">
        <f t="shared" si="4"/>
        <v/>
      </c>
      <c r="G40" s="15">
        <f>SUM(Apr!G40, May!G40, Jun!G40)</f>
        <v>117349.13</v>
      </c>
      <c r="H40" s="15">
        <f>SUM(Apr!H40, May!H40, Jun!H40)</f>
        <v>-117349.13</v>
      </c>
      <c r="I40" s="16">
        <f t="shared" si="5"/>
        <v>-1</v>
      </c>
    </row>
    <row r="41" spans="1:9" ht="15.6">
      <c r="A41" s="49" t="str">
        <v>CDCR-North Kern State Prision</v>
      </c>
      <c r="B41" s="10" t="str">
        <v>CA</v>
      </c>
      <c r="C41" s="11">
        <f>SUM(Apr!C41, May!C41, Jun!C41)</f>
        <v>251183</v>
      </c>
      <c r="D41" s="18">
        <f>SUM(Apr!D41, May!D41, Jun!D41)</f>
        <v>0</v>
      </c>
      <c r="E41" s="18">
        <f t="shared" si="3"/>
        <v>251183</v>
      </c>
      <c r="F41" s="19" t="str">
        <f t="shared" si="4"/>
        <v/>
      </c>
      <c r="G41" s="20">
        <f>SUM(Apr!G41, May!G41, Jun!G41)</f>
        <v>463664.61</v>
      </c>
      <c r="H41" s="20">
        <f>SUM(Apr!H41, May!H41, Jun!H41)</f>
        <v>-212481.61000000002</v>
      </c>
      <c r="I41" s="19">
        <f t="shared" si="5"/>
        <v>-0.45826574946058535</v>
      </c>
    </row>
    <row r="42" spans="1:9" ht="15.6">
      <c r="A42" s="48" t="str">
        <v>Muroc Joint USD - District Office</v>
      </c>
      <c r="B42" s="9" t="str">
        <v>CA</v>
      </c>
      <c r="C42" s="24">
        <f>SUM(Apr!C42, May!C42, Jun!C42)</f>
        <v>13837</v>
      </c>
      <c r="D42" s="13">
        <f>SUM(Apr!D42, May!D42, Jun!D42)</f>
        <v>0</v>
      </c>
      <c r="E42" s="13">
        <f t="shared" si="3"/>
        <v>13837</v>
      </c>
      <c r="F42" s="14" t="str">
        <f t="shared" si="4"/>
        <v/>
      </c>
      <c r="G42" s="15">
        <f>SUM(Apr!G42, May!G42, Jun!G42)</f>
        <v>20226.71</v>
      </c>
      <c r="H42" s="15">
        <f>SUM(Apr!H42, May!H42, Jun!H42)</f>
        <v>-6389.7100000000009</v>
      </c>
      <c r="I42" s="16">
        <f t="shared" si="5"/>
        <v>-0.31590456381685411</v>
      </c>
    </row>
    <row r="43" spans="1:9" ht="15.6">
      <c r="A43" s="49" t="str">
        <v>Whole Foods - Manhattan Beach</v>
      </c>
      <c r="B43" s="10" t="str">
        <v>CA</v>
      </c>
      <c r="C43" s="11">
        <f>SUM(Apr!C43, May!C43, Jun!C43)</f>
        <v>33505</v>
      </c>
      <c r="D43" s="18">
        <f>SUM(Apr!D43, May!D43, Jun!D43)</f>
        <v>0</v>
      </c>
      <c r="E43" s="18">
        <f t="shared" si="3"/>
        <v>33505</v>
      </c>
      <c r="F43" s="19" t="str">
        <f t="shared" si="4"/>
        <v/>
      </c>
      <c r="G43" s="20">
        <f>SUM(Apr!G43, May!G43, Jun!G43)</f>
        <v>44487.34</v>
      </c>
      <c r="H43" s="20">
        <f>SUM(Apr!H43, May!H43, Jun!H43)</f>
        <v>-10982.34</v>
      </c>
      <c r="I43" s="19">
        <f t="shared" si="5"/>
        <v>-0.2468643888351158</v>
      </c>
    </row>
    <row r="44" spans="1:9" ht="15.6">
      <c r="A44" s="48" t="str">
        <v>Pioneer USD - Frontier ES</v>
      </c>
      <c r="B44" s="9" t="str">
        <v>CA</v>
      </c>
      <c r="C44" s="24">
        <f>SUM(Apr!C44, May!C44, Jun!C44)</f>
        <v>64371</v>
      </c>
      <c r="D44" s="13">
        <f>SUM(Apr!D44, May!D44, Jun!D44)</f>
        <v>0</v>
      </c>
      <c r="E44" s="13">
        <f t="shared" si="3"/>
        <v>64371</v>
      </c>
      <c r="F44" s="14" t="str">
        <f t="shared" si="4"/>
        <v/>
      </c>
      <c r="G44" s="15">
        <f>SUM(Apr!G44, May!G44, Jun!G44)</f>
        <v>74235.850000000006</v>
      </c>
      <c r="H44" s="15">
        <f>SUM(Apr!H44, May!H44, Jun!H44)</f>
        <v>-9864.8500000000058</v>
      </c>
      <c r="I44" s="16">
        <f t="shared" si="5"/>
        <v>-0.13288525692101599</v>
      </c>
    </row>
    <row r="45" spans="1:9" ht="15.6">
      <c r="A45" s="49" t="str">
        <v>Pioneer USD - Pioneer ES</v>
      </c>
      <c r="B45" s="10" t="str">
        <v>CA</v>
      </c>
      <c r="C45" s="11">
        <f>SUM(Apr!C45, May!C45, Jun!C45)</f>
        <v>29111</v>
      </c>
      <c r="D45" s="18">
        <f>SUM(Apr!D45, May!D45, Jun!D45)</f>
        <v>0</v>
      </c>
      <c r="E45" s="18">
        <f t="shared" si="3"/>
        <v>29111</v>
      </c>
      <c r="F45" s="19" t="str">
        <f t="shared" si="4"/>
        <v/>
      </c>
      <c r="G45" s="20">
        <f>SUM(Apr!G45, May!G45, Jun!G45)</f>
        <v>75531.839999999997</v>
      </c>
      <c r="H45" s="20">
        <f>SUM(Apr!H45, May!H45, Jun!H45)</f>
        <v>-46420.84</v>
      </c>
      <c r="I45" s="19">
        <f t="shared" si="5"/>
        <v>-0.61458637840677521</v>
      </c>
    </row>
    <row r="46" spans="1:9" ht="15.6">
      <c r="A46" s="48" t="str">
        <v>Pioneer USD - Pioneer MS</v>
      </c>
      <c r="B46" s="9" t="str">
        <v>CA</v>
      </c>
      <c r="C46" s="24">
        <f>SUM(Apr!C46, May!C46, Jun!C46)</f>
        <v>90060</v>
      </c>
      <c r="D46" s="13">
        <f>SUM(Apr!D46, May!D46, Jun!D46)</f>
        <v>0</v>
      </c>
      <c r="E46" s="13">
        <f t="shared" si="3"/>
        <v>90060</v>
      </c>
      <c r="F46" s="14" t="str">
        <f t="shared" si="4"/>
        <v/>
      </c>
      <c r="G46" s="15">
        <f>SUM(Apr!G46, May!G46, Jun!G46)</f>
        <v>101341.82</v>
      </c>
      <c r="H46" s="15">
        <f>SUM(Apr!H46, May!H46, Jun!H46)</f>
        <v>-11281.82</v>
      </c>
      <c r="I46" s="16">
        <f t="shared" si="5"/>
        <v>-0.11132442657927398</v>
      </c>
    </row>
    <row r="47" spans="1:9" ht="15.6">
      <c r="A47" s="49" t="str">
        <v>Kingsburg Joint UHSD - Kingsburg HS</v>
      </c>
      <c r="B47" s="10" t="str">
        <v>CA</v>
      </c>
      <c r="C47" s="11">
        <f>SUM(Apr!C47, May!C47, Jun!C47)</f>
        <v>114420</v>
      </c>
      <c r="D47" s="18">
        <f>SUM(Apr!D47, May!D47, Jun!D47)</f>
        <v>0</v>
      </c>
      <c r="E47" s="18">
        <f t="shared" si="3"/>
        <v>114420</v>
      </c>
      <c r="F47" s="19" t="str">
        <f t="shared" si="4"/>
        <v/>
      </c>
      <c r="G47" s="20">
        <f>SUM(Apr!G47, May!G47, Jun!G47)</f>
        <v>177697.47</v>
      </c>
      <c r="H47" s="20">
        <f>SUM(Apr!H47, May!H47, Jun!H47)</f>
        <v>-63277.47</v>
      </c>
      <c r="I47" s="19">
        <f t="shared" si="5"/>
        <v>-0.35609662872521486</v>
      </c>
    </row>
    <row r="48" spans="1:9" ht="15.6">
      <c r="A48" s="48" t="str">
        <v>CADRB</v>
      </c>
      <c r="B48" s="9" t="str">
        <v>CA</v>
      </c>
      <c r="C48" s="24">
        <f>SUM(Apr!C48, May!C48, Jun!C48)</f>
        <v>0</v>
      </c>
      <c r="D48" s="13">
        <f>SUM(Apr!D48, May!D48, Jun!D48)</f>
        <v>0</v>
      </c>
      <c r="E48" s="13">
        <f t="shared" si="3"/>
        <v>0</v>
      </c>
      <c r="F48" s="14" t="str">
        <f t="shared" si="4"/>
        <v/>
      </c>
      <c r="G48" s="15">
        <f>SUM(Apr!G48, May!G48, Jun!G48)</f>
        <v>1698543</v>
      </c>
      <c r="H48" s="15">
        <f>SUM(Apr!H48, May!H48, Jun!H48)</f>
        <v>-1698543</v>
      </c>
      <c r="I48" s="16">
        <f t="shared" si="5"/>
        <v>-1</v>
      </c>
    </row>
    <row r="49" spans="1:9" ht="15.6">
      <c r="A49" s="49" t="str">
        <v>CDCR-CA State Prison LA County</v>
      </c>
      <c r="B49" s="10" t="str">
        <v>CA</v>
      </c>
      <c r="C49" s="11">
        <f>SUM(Apr!C49, May!C49, Jun!C49)</f>
        <v>638852</v>
      </c>
      <c r="D49" s="18">
        <f>SUM(Apr!D49, May!D49, Jun!D49)</f>
        <v>0</v>
      </c>
      <c r="E49" s="18">
        <f t="shared" si="3"/>
        <v>638852</v>
      </c>
      <c r="F49" s="19" t="str">
        <f t="shared" si="4"/>
        <v/>
      </c>
      <c r="G49" s="20">
        <f>SUM(Apr!G49, May!G49, Jun!G49)</f>
        <v>1074313.3700000001</v>
      </c>
      <c r="H49" s="20">
        <f>SUM(Apr!H49, May!H49, Jun!H49)</f>
        <v>-435461.37</v>
      </c>
      <c r="I49" s="19">
        <f t="shared" si="5"/>
        <v>-0.40533924473079952</v>
      </c>
    </row>
    <row r="50" spans="1:9" ht="15.6">
      <c r="A50" s="48" t="str">
        <v>Central USD Akers ES</v>
      </c>
      <c r="B50" s="9" t="str">
        <v>CA</v>
      </c>
      <c r="C50" s="24">
        <f>SUM(Apr!C50, May!C50, Jun!C50)</f>
        <v>85787</v>
      </c>
      <c r="D50" s="13">
        <f>SUM(Apr!D50, May!D50, Jun!D50)</f>
        <v>0</v>
      </c>
      <c r="E50" s="13">
        <f t="shared" si="3"/>
        <v>85787</v>
      </c>
      <c r="F50" s="14" t="str">
        <f t="shared" si="4"/>
        <v/>
      </c>
      <c r="G50" s="15">
        <f>SUM(Apr!G50, May!G50, Jun!G50)</f>
        <v>81587.63</v>
      </c>
      <c r="H50" s="15">
        <f>SUM(Apr!H50, May!H50, Jun!H50)</f>
        <v>4199.3699999999953</v>
      </c>
      <c r="I50" s="16">
        <f t="shared" si="5"/>
        <v>5.1470670247438184E-2</v>
      </c>
    </row>
    <row r="51" spans="1:9" ht="15.6">
      <c r="A51" s="49" t="str">
        <v>CUSD - District Office</v>
      </c>
      <c r="B51" s="10" t="str">
        <v>CA</v>
      </c>
      <c r="C51" s="11">
        <f>SUM(Apr!C51, May!C51, Jun!C51)</f>
        <v>45814</v>
      </c>
      <c r="D51" s="18">
        <f>SUM(Apr!D51, May!D51, Jun!D51)</f>
        <v>0</v>
      </c>
      <c r="E51" s="18">
        <f t="shared" si="3"/>
        <v>45814</v>
      </c>
      <c r="F51" s="19" t="str">
        <f t="shared" si="4"/>
        <v/>
      </c>
      <c r="G51" s="20">
        <f>SUM(Apr!G51, May!G51, Jun!G51)</f>
        <v>68770.23</v>
      </c>
      <c r="H51" s="20">
        <f>SUM(Apr!H51, May!H51, Jun!H51)</f>
        <v>-22956.229999999996</v>
      </c>
      <c r="I51" s="19">
        <f t="shared" si="5"/>
        <v>-0.33381057472106751</v>
      </c>
    </row>
    <row r="52" spans="1:9" ht="15.6">
      <c r="A52" s="48" t="str">
        <v>Parlier - WTP</v>
      </c>
      <c r="B52" s="9" t="str">
        <v>CA</v>
      </c>
      <c r="C52" s="24">
        <f>SUM(Apr!C52, May!C52, Jun!C52)</f>
        <v>98203</v>
      </c>
      <c r="D52" s="13">
        <f>SUM(Apr!D52, May!D52, Jun!D52)</f>
        <v>0</v>
      </c>
      <c r="E52" s="13">
        <f t="shared" si="3"/>
        <v>98203</v>
      </c>
      <c r="F52" s="14" t="str">
        <f t="shared" si="4"/>
        <v/>
      </c>
      <c r="G52" s="15">
        <f>SUM(Apr!G52, May!G52, Jun!G52)</f>
        <v>195063.15</v>
      </c>
      <c r="H52" s="15">
        <f>SUM(Apr!H52, May!H52, Jun!H52)</f>
        <v>-96860.15</v>
      </c>
      <c r="I52" s="16">
        <f t="shared" si="5"/>
        <v>-0.49655790957953871</v>
      </c>
    </row>
    <row r="53" spans="1:9" ht="15.6">
      <c r="A53" s="49" t="str">
        <v>Snowline SD - Quail Valley MS</v>
      </c>
      <c r="B53" s="10" t="str">
        <v>CA</v>
      </c>
      <c r="C53" s="11">
        <f>SUM(Apr!C53, May!C53, Jun!C53)</f>
        <v>81950</v>
      </c>
      <c r="D53" s="18">
        <f>SUM(Apr!D53, May!D53, Jun!D53)</f>
        <v>0</v>
      </c>
      <c r="E53" s="18">
        <f t="shared" si="3"/>
        <v>81950</v>
      </c>
      <c r="F53" s="19" t="str">
        <f t="shared" si="4"/>
        <v/>
      </c>
      <c r="G53" s="20">
        <f>SUM(Apr!G53, May!G53, Jun!G53)</f>
        <v>92340.450000000012</v>
      </c>
      <c r="H53" s="20">
        <f>SUM(Apr!H53, May!H53, Jun!H53)</f>
        <v>-10390.450000000004</v>
      </c>
      <c r="I53" s="19">
        <f t="shared" si="5"/>
        <v>-0.11252327663553734</v>
      </c>
    </row>
    <row r="54" spans="1:9" ht="15.6">
      <c r="A54" s="48" t="str">
        <v>Snowline SD - Serrano HS - Middle Lot</v>
      </c>
      <c r="B54" s="9" t="str">
        <v>CA</v>
      </c>
      <c r="C54" s="24">
        <f>SUM(Apr!C54, May!C54, Jun!C54)</f>
        <v>73182</v>
      </c>
      <c r="D54" s="13">
        <f>SUM(Apr!D54, May!D54, Jun!D54)</f>
        <v>0</v>
      </c>
      <c r="E54" s="13">
        <f t="shared" si="3"/>
        <v>73182</v>
      </c>
      <c r="F54" s="14" t="str">
        <f t="shared" si="4"/>
        <v/>
      </c>
      <c r="G54" s="15">
        <f>SUM(Apr!G54, May!G54, Jun!G54)</f>
        <v>117504.29000000001</v>
      </c>
      <c r="H54" s="15">
        <f>SUM(Apr!H54, May!H54, Jun!H54)</f>
        <v>-44322.29</v>
      </c>
      <c r="I54" s="16">
        <f t="shared" si="5"/>
        <v>-0.37719720701261206</v>
      </c>
    </row>
    <row r="55" spans="1:9" ht="15.6">
      <c r="A55" s="49" t="str">
        <v>Snowline SD - Pinon Hills ES</v>
      </c>
      <c r="B55" s="10" t="str">
        <v>CA</v>
      </c>
      <c r="C55" s="11">
        <f>SUM(Apr!C55, May!C55, Jun!C55)</f>
        <v>25851</v>
      </c>
      <c r="D55" s="18">
        <f>SUM(Apr!D55, May!D55, Jun!D55)</f>
        <v>0</v>
      </c>
      <c r="E55" s="18">
        <f t="shared" si="3"/>
        <v>25851</v>
      </c>
      <c r="F55" s="19" t="str">
        <f t="shared" si="4"/>
        <v/>
      </c>
      <c r="G55" s="20">
        <f>SUM(Apr!G55, May!G55, Jun!G55)</f>
        <v>52134.89</v>
      </c>
      <c r="H55" s="20">
        <f>SUM(Apr!H55, May!H55, Jun!H55)</f>
        <v>-26283.89</v>
      </c>
      <c r="I55" s="19">
        <f t="shared" si="5"/>
        <v>-0.50415163434697952</v>
      </c>
    </row>
    <row r="56" spans="1:9" ht="15.6">
      <c r="A56" s="48" t="str">
        <v>Ramona - Santa Maria WTP</v>
      </c>
      <c r="B56" s="9" t="str">
        <v>CA</v>
      </c>
      <c r="C56" s="24">
        <f>SUM(Apr!C56, May!C56, Jun!C56)</f>
        <v>135138</v>
      </c>
      <c r="D56" s="13">
        <f>SUM(Apr!D56, May!D56, Jun!D56)</f>
        <v>0</v>
      </c>
      <c r="E56" s="13">
        <f t="shared" si="3"/>
        <v>135138</v>
      </c>
      <c r="F56" s="14" t="str">
        <f t="shared" si="4"/>
        <v/>
      </c>
      <c r="G56" s="15">
        <f>SUM(Apr!G56, May!G56, Jun!G56)</f>
        <v>164492.82</v>
      </c>
      <c r="H56" s="15">
        <f>SUM(Apr!H56, May!H56, Jun!H56)</f>
        <v>-29354.819999999992</v>
      </c>
      <c r="I56" s="16">
        <f t="shared" si="5"/>
        <v>-0.17845654296643459</v>
      </c>
    </row>
    <row r="57" spans="1:9" ht="15.6">
      <c r="A57" s="49" t="str">
        <v>Kohls - Redding</v>
      </c>
      <c r="B57" s="10" t="str">
        <v>CA</v>
      </c>
      <c r="C57" s="11">
        <f>SUM(Apr!C57, May!C57, Jun!C57)</f>
        <v>36806</v>
      </c>
      <c r="D57" s="18">
        <f>SUM(Apr!D57, May!D57, Jun!D57)</f>
        <v>0</v>
      </c>
      <c r="E57" s="18">
        <f t="shared" si="3"/>
        <v>36806</v>
      </c>
      <c r="F57" s="19" t="str">
        <f t="shared" si="4"/>
        <v/>
      </c>
      <c r="G57" s="20">
        <f>SUM(Apr!G57, May!G57, Jun!G57)</f>
        <v>67874.64</v>
      </c>
      <c r="H57" s="20">
        <f>SUM(Apr!H57, May!H57, Jun!H57)</f>
        <v>-31068.639999999999</v>
      </c>
      <c r="I57" s="19">
        <f t="shared" si="5"/>
        <v>-0.45773561377268446</v>
      </c>
    </row>
    <row r="58" spans="1:9" ht="15.6">
      <c r="A58" s="48" t="str">
        <v>Kohls - Salinas</v>
      </c>
      <c r="B58" s="9" t="str">
        <v>CA</v>
      </c>
      <c r="C58" s="24">
        <f>SUM(Apr!C58, May!C58, Jun!C58)</f>
        <v>75034</v>
      </c>
      <c r="D58" s="13">
        <f>SUM(Apr!D58, May!D58, Jun!D58)</f>
        <v>0</v>
      </c>
      <c r="E58" s="13">
        <f t="shared" si="3"/>
        <v>75034</v>
      </c>
      <c r="F58" s="14" t="str">
        <f t="shared" si="4"/>
        <v/>
      </c>
      <c r="G58" s="15">
        <f>SUM(Apr!G58, May!G58, Jun!G58)</f>
        <v>103552.53</v>
      </c>
      <c r="H58" s="15">
        <f>SUM(Apr!H58, May!H58, Jun!H58)</f>
        <v>-28518.53</v>
      </c>
      <c r="I58" s="16">
        <f t="shared" si="5"/>
        <v>-0.27540157637867468</v>
      </c>
    </row>
    <row r="59" spans="1:9" ht="15.6">
      <c r="A59" s="49" t="str">
        <v>Kohls - San Bernardino - Central</v>
      </c>
      <c r="B59" s="10" t="str">
        <v>CA</v>
      </c>
      <c r="C59" s="11">
        <f>SUM(Apr!C59, May!C59, Jun!C59)</f>
        <v>1201</v>
      </c>
      <c r="D59" s="18">
        <f>SUM(Apr!D59, May!D59, Jun!D59)</f>
        <v>0</v>
      </c>
      <c r="E59" s="18">
        <f t="shared" si="3"/>
        <v>1201</v>
      </c>
      <c r="F59" s="19" t="str">
        <f t="shared" si="4"/>
        <v/>
      </c>
      <c r="G59" s="20">
        <f>SUM(Apr!G59, May!G59, Jun!G59)</f>
        <v>312483.05000000005</v>
      </c>
      <c r="H59" s="20">
        <f>SUM(Apr!H59, May!H59, Jun!H59)</f>
        <v>-311282.05000000005</v>
      </c>
      <c r="I59" s="19">
        <f t="shared" si="5"/>
        <v>-0.99615659153352476</v>
      </c>
    </row>
    <row r="60" spans="1:9" ht="15.6">
      <c r="A60" s="48" t="str">
        <v>Kohls - Sonora</v>
      </c>
      <c r="B60" s="9" t="str">
        <v>CA</v>
      </c>
      <c r="C60" s="24">
        <f>SUM(Apr!C60, May!C60, Jun!C60)</f>
        <v>60757</v>
      </c>
      <c r="D60" s="13">
        <f>SUM(Apr!D60, May!D60, Jun!D60)</f>
        <v>0</v>
      </c>
      <c r="E60" s="13">
        <f t="shared" si="3"/>
        <v>60757</v>
      </c>
      <c r="F60" s="14" t="str">
        <f t="shared" si="4"/>
        <v/>
      </c>
      <c r="G60" s="15">
        <f>SUM(Apr!G60, May!G60, Jun!G60)</f>
        <v>71796.479999999996</v>
      </c>
      <c r="H60" s="15">
        <f>SUM(Apr!H60, May!H60, Jun!H60)</f>
        <v>-11039.479999999996</v>
      </c>
      <c r="I60" s="16">
        <f t="shared" si="5"/>
        <v>-0.15376074147367666</v>
      </c>
    </row>
    <row r="61" spans="1:9" ht="15.6">
      <c r="A61" s="49" t="str">
        <v>CUSD - Stratford ES</v>
      </c>
      <c r="B61" s="10" t="str">
        <v>CA</v>
      </c>
      <c r="C61" s="11">
        <f>SUM(Apr!C61, May!C61, Jun!C61)</f>
        <v>53082</v>
      </c>
      <c r="D61" s="18">
        <f>SUM(Apr!D61, May!D61, Jun!D61)</f>
        <v>0</v>
      </c>
      <c r="E61" s="18">
        <f t="shared" si="3"/>
        <v>53082</v>
      </c>
      <c r="F61" s="19" t="str">
        <f t="shared" si="4"/>
        <v/>
      </c>
      <c r="G61" s="20">
        <f>SUM(Apr!G61, May!G61, Jun!G61)</f>
        <v>49987.58</v>
      </c>
      <c r="H61" s="20">
        <f>SUM(Apr!H61, May!H61, Jun!H61)</f>
        <v>3094.4199999999983</v>
      </c>
      <c r="I61" s="19">
        <f t="shared" si="5"/>
        <v>6.1903776898181474E-2</v>
      </c>
    </row>
    <row r="62" spans="1:9" ht="15.6">
      <c r="A62" s="48" t="str">
        <v>Taft - City Hall</v>
      </c>
      <c r="B62" s="9" t="str">
        <v>CA</v>
      </c>
      <c r="C62" s="24">
        <f>SUM(Apr!C62, May!C62, Jun!C62)</f>
        <v>1672</v>
      </c>
      <c r="D62" s="13">
        <f>SUM(Apr!D62, May!D62, Jun!D62)</f>
        <v>0</v>
      </c>
      <c r="E62" s="13">
        <f t="shared" si="3"/>
        <v>1672</v>
      </c>
      <c r="F62" s="14" t="str">
        <f t="shared" si="4"/>
        <v/>
      </c>
      <c r="G62" s="15">
        <f>SUM(Apr!G62, May!G62, Jun!G62)</f>
        <v>20769.07</v>
      </c>
      <c r="H62" s="15">
        <f>SUM(Apr!H62, May!H62, Jun!H62)</f>
        <v>-19097.07</v>
      </c>
      <c r="I62" s="16">
        <f t="shared" si="5"/>
        <v>-0.91949567313317349</v>
      </c>
    </row>
    <row r="63" spans="1:9" ht="15.6">
      <c r="A63" s="49" t="str">
        <v>Taft - Federal Prison</v>
      </c>
      <c r="B63" s="10" t="str">
        <v>CA</v>
      </c>
      <c r="C63" s="11">
        <f>SUM(Apr!C63, May!C63, Jun!C63)</f>
        <v>35187</v>
      </c>
      <c r="D63" s="18">
        <f>SUM(Apr!D63, May!D63, Jun!D63)</f>
        <v>0</v>
      </c>
      <c r="E63" s="18">
        <f t="shared" si="3"/>
        <v>35187</v>
      </c>
      <c r="F63" s="19" t="str">
        <f t="shared" si="4"/>
        <v/>
      </c>
      <c r="G63" s="20">
        <f>SUM(Apr!G63, May!G63, Jun!G63)</f>
        <v>32544.149999999998</v>
      </c>
      <c r="H63" s="20">
        <f>SUM(Apr!H63, May!H63, Jun!H63)</f>
        <v>2642.8500000000022</v>
      </c>
      <c r="I63" s="19">
        <f t="shared" si="5"/>
        <v>8.1208143399044141E-2</v>
      </c>
    </row>
    <row r="64" spans="1:9" ht="15.6">
      <c r="A64" s="48" t="str">
        <v>Taft - Police Department</v>
      </c>
      <c r="B64" s="9" t="str">
        <v>CA</v>
      </c>
      <c r="C64" s="24">
        <f>SUM(Apr!C64, May!C64, Jun!C64)</f>
        <v>25254</v>
      </c>
      <c r="D64" s="13">
        <f>SUM(Apr!D64, May!D64, Jun!D64)</f>
        <v>0</v>
      </c>
      <c r="E64" s="13">
        <f t="shared" si="3"/>
        <v>25254</v>
      </c>
      <c r="F64" s="14" t="str">
        <f t="shared" si="4"/>
        <v/>
      </c>
      <c r="G64" s="15">
        <f>SUM(Apr!G64, May!G64, Jun!G64)</f>
        <v>23760.989999999998</v>
      </c>
      <c r="H64" s="15">
        <f>SUM(Apr!H64, May!H64, Jun!H64)</f>
        <v>1493.0100000000002</v>
      </c>
      <c r="I64" s="16">
        <f t="shared" si="5"/>
        <v>6.2834503107825068E-2</v>
      </c>
    </row>
    <row r="65" spans="1:9" ht="15.6">
      <c r="A65" s="49" t="str">
        <v>Taft - WTP</v>
      </c>
      <c r="B65" s="10" t="str">
        <v>CA</v>
      </c>
      <c r="C65" s="11">
        <f>SUM(Apr!C65, May!C65, Jun!C65)</f>
        <v>66027</v>
      </c>
      <c r="D65" s="18">
        <f>SUM(Apr!D65, May!D65, Jun!D65)</f>
        <v>0</v>
      </c>
      <c r="E65" s="18">
        <f t="shared" si="3"/>
        <v>66027</v>
      </c>
      <c r="F65" s="19" t="str">
        <f t="shared" si="4"/>
        <v/>
      </c>
      <c r="G65" s="20">
        <f>SUM(Apr!G65, May!G65, Jun!G65)</f>
        <v>86634.44</v>
      </c>
      <c r="H65" s="20">
        <f>SUM(Apr!H65, May!H65, Jun!H65)</f>
        <v>-20607.439999999995</v>
      </c>
      <c r="I65" s="19">
        <f t="shared" si="5"/>
        <v>-0.23786660362784123</v>
      </c>
    </row>
    <row r="66" spans="1:9" ht="15.6">
      <c r="A66" s="48" t="str">
        <v>CDCR - CA Correctional Institution</v>
      </c>
      <c r="B66" s="9" t="str">
        <v>CA</v>
      </c>
      <c r="C66" s="24">
        <f>SUM(Apr!C66, May!C66, Jun!C66)</f>
        <v>443732</v>
      </c>
      <c r="D66" s="13">
        <f>SUM(Apr!D66, May!D66, Jun!D66)</f>
        <v>0</v>
      </c>
      <c r="E66" s="13">
        <f t="shared" si="3"/>
        <v>443732</v>
      </c>
      <c r="F66" s="14" t="str">
        <f t="shared" si="4"/>
        <v/>
      </c>
      <c r="G66" s="15">
        <f>SUM(Apr!G66, May!G66, Jun!G66)</f>
        <v>481827.85</v>
      </c>
      <c r="H66" s="15">
        <f>SUM(Apr!H66, May!H66, Jun!H66)</f>
        <v>-38095.850000000006</v>
      </c>
      <c r="I66" s="16">
        <f t="shared" si="5"/>
        <v>-7.9065271963835226E-2</v>
      </c>
    </row>
    <row r="67" spans="1:9" ht="15.6">
      <c r="A67" s="49" t="str">
        <v>CDCR - CA Correctional Institution II</v>
      </c>
      <c r="B67" s="10" t="str">
        <v>CA</v>
      </c>
      <c r="C67" s="11">
        <f>SUM(Apr!C67, May!C67, Jun!C67)</f>
        <v>343968</v>
      </c>
      <c r="D67" s="18">
        <f>SUM(Apr!D67, May!D67, Jun!D67)</f>
        <v>0</v>
      </c>
      <c r="E67" s="18">
        <f t="shared" si="3"/>
        <v>343968</v>
      </c>
      <c r="F67" s="19" t="str">
        <f t="shared" si="4"/>
        <v/>
      </c>
      <c r="G67" s="20">
        <f>SUM(Apr!G67, May!G67, Jun!G67)</f>
        <v>704226.3</v>
      </c>
      <c r="H67" s="20">
        <f>SUM(Apr!H67, May!H67, Jun!H67)</f>
        <v>-360258.3</v>
      </c>
      <c r="I67" s="19">
        <f t="shared" si="5"/>
        <v>-0.51156609743203285</v>
      </c>
    </row>
    <row r="68" spans="1:9" ht="15.6">
      <c r="A68" s="48" t="str">
        <v>Snowline SD - Vista Verde ES</v>
      </c>
      <c r="B68" s="9" t="str">
        <v>CA</v>
      </c>
      <c r="C68" s="24">
        <f>SUM(Apr!C68, May!C68, Jun!C68)</f>
        <v>31603</v>
      </c>
      <c r="D68" s="13">
        <f>SUM(Apr!D68, May!D68, Jun!D68)</f>
        <v>0</v>
      </c>
      <c r="E68" s="13">
        <f t="shared" si="3"/>
        <v>31603</v>
      </c>
      <c r="F68" s="14" t="str">
        <f t="shared" si="4"/>
        <v/>
      </c>
      <c r="G68" s="15">
        <f>SUM(Apr!G68, May!G68, Jun!G68)</f>
        <v>68239.930000000008</v>
      </c>
      <c r="H68" s="15">
        <f>SUM(Apr!H68, May!H68, Jun!H68)</f>
        <v>-36636.930000000008</v>
      </c>
      <c r="I68" s="16">
        <f t="shared" si="5"/>
        <v>-0.53688405014483465</v>
      </c>
    </row>
    <row r="69" spans="1:9" ht="15.6">
      <c r="A69" s="49" t="str">
        <v>North Stonington</v>
      </c>
      <c r="B69" s="10" t="str">
        <v>CT</v>
      </c>
      <c r="C69" s="11">
        <f>SUM(Apr!C69, May!C69, Jun!C69)</f>
        <v>2829520</v>
      </c>
      <c r="D69" s="18">
        <f>SUM(Apr!D69, May!D69, Jun!D69)</f>
        <v>0</v>
      </c>
      <c r="E69" s="18">
        <f t="shared" si="3"/>
        <v>2829520</v>
      </c>
      <c r="F69" s="19" t="str">
        <f t="shared" si="4"/>
        <v/>
      </c>
      <c r="G69" s="20">
        <f>SUM(Apr!G69, May!G69, Jun!G69)</f>
        <v>0</v>
      </c>
      <c r="H69" s="20">
        <f>SUM(Apr!H69, May!H69, Jun!H69)</f>
        <v>0</v>
      </c>
      <c r="I69" s="19" t="str">
        <f t="shared" si="5"/>
        <v/>
      </c>
    </row>
    <row r="70" spans="1:9" ht="12.95">
      <c r="A70" s="21"/>
      <c r="B70" s="21"/>
      <c r="C70" s="21"/>
      <c r="D70" s="21"/>
      <c r="E70" s="21"/>
      <c r="F70" s="22"/>
      <c r="G70" s="21"/>
      <c r="H70" s="21"/>
      <c r="I70" s="22"/>
    </row>
    <row r="71" spans="1:9" ht="12.95">
      <c r="A71" s="21"/>
      <c r="B71" s="21"/>
      <c r="C71" s="21"/>
      <c r="D71" s="21"/>
      <c r="E71" s="21"/>
      <c r="F71" s="22"/>
      <c r="G71" s="21"/>
      <c r="H71" s="21"/>
      <c r="I71" s="22"/>
    </row>
    <row r="72" spans="1:9" ht="12.95">
      <c r="A72" s="21"/>
      <c r="B72" s="21"/>
      <c r="C72" s="21"/>
      <c r="D72" s="21"/>
      <c r="E72" s="21"/>
      <c r="F72" s="22"/>
      <c r="G72" s="21"/>
      <c r="H72" s="21"/>
      <c r="I72" s="22"/>
    </row>
    <row r="73" spans="1:9" ht="12.95">
      <c r="A73" s="21"/>
      <c r="B73" s="21"/>
      <c r="C73" s="21"/>
      <c r="D73" s="21"/>
      <c r="E73" s="21"/>
      <c r="F73" s="22"/>
      <c r="G73" s="21"/>
      <c r="H73" s="21"/>
      <c r="I73" s="22"/>
    </row>
    <row r="74" spans="1:9" ht="12.95">
      <c r="A74" s="21"/>
      <c r="B74" s="21"/>
      <c r="C74" s="21"/>
      <c r="D74" s="21"/>
      <c r="E74" s="21"/>
      <c r="F74" s="22"/>
      <c r="G74" s="21"/>
      <c r="H74" s="21"/>
      <c r="I74" s="22"/>
    </row>
    <row r="75" spans="1:9" ht="12.95">
      <c r="A75" s="21"/>
      <c r="B75" s="21"/>
      <c r="C75" s="21"/>
      <c r="D75" s="21"/>
      <c r="E75" s="21"/>
      <c r="F75" s="22"/>
      <c r="G75" s="21"/>
      <c r="H75" s="21"/>
      <c r="I75" s="22"/>
    </row>
    <row r="76" spans="1:9" ht="12.95">
      <c r="A76" s="21"/>
      <c r="B76" s="21"/>
      <c r="C76" s="21"/>
      <c r="D76" s="21"/>
      <c r="E76" s="21"/>
      <c r="F76" s="22"/>
      <c r="G76" s="21"/>
      <c r="H76" s="21"/>
      <c r="I76" s="22"/>
    </row>
    <row r="77" spans="1:9" ht="12.95">
      <c r="A77" s="21"/>
      <c r="B77" s="21"/>
      <c r="C77" s="21"/>
      <c r="D77" s="21"/>
      <c r="E77" s="21"/>
      <c r="F77" s="22"/>
      <c r="G77" s="21"/>
      <c r="H77" s="21"/>
      <c r="I77" s="22"/>
    </row>
    <row r="78" spans="1:9" ht="12.95">
      <c r="A78" s="21"/>
      <c r="B78" s="21"/>
      <c r="C78" s="21"/>
      <c r="D78" s="21"/>
      <c r="E78" s="21"/>
      <c r="F78" s="22"/>
      <c r="G78" s="21"/>
      <c r="H78" s="21"/>
      <c r="I78" s="22"/>
    </row>
    <row r="79" spans="1:9" ht="12.95">
      <c r="A79" s="21"/>
      <c r="B79" s="21"/>
      <c r="C79" s="21"/>
      <c r="D79" s="21"/>
      <c r="E79" s="21"/>
      <c r="F79" s="22"/>
      <c r="G79" s="21"/>
      <c r="H79" s="21"/>
      <c r="I79" s="22"/>
    </row>
    <row r="80" spans="1:9" ht="12.95">
      <c r="A80" s="21"/>
      <c r="B80" s="21"/>
      <c r="C80" s="21"/>
      <c r="D80" s="21"/>
      <c r="E80" s="21"/>
      <c r="F80" s="22"/>
      <c r="G80" s="21"/>
      <c r="H80" s="21"/>
      <c r="I80" s="22"/>
    </row>
    <row r="81" spans="1:9" ht="12.95">
      <c r="A81" s="21"/>
      <c r="B81" s="21"/>
      <c r="C81" s="21"/>
      <c r="D81" s="21"/>
      <c r="E81" s="21"/>
      <c r="F81" s="22"/>
      <c r="G81" s="21"/>
      <c r="H81" s="21"/>
      <c r="I81" s="22"/>
    </row>
    <row r="82" spans="1:9" ht="12.95">
      <c r="A82" s="21"/>
      <c r="B82" s="21"/>
      <c r="C82" s="21"/>
      <c r="D82" s="21"/>
      <c r="E82" s="21"/>
      <c r="F82" s="22"/>
      <c r="G82" s="21"/>
      <c r="H82" s="21"/>
      <c r="I82" s="22"/>
    </row>
    <row r="83" spans="1:9" ht="12.95">
      <c r="A83" s="21"/>
      <c r="B83" s="21"/>
      <c r="C83" s="21"/>
      <c r="D83" s="21"/>
      <c r="E83" s="21"/>
      <c r="F83" s="22"/>
      <c r="G83" s="21"/>
      <c r="H83" s="21"/>
      <c r="I83" s="22"/>
    </row>
    <row r="84" spans="1:9" ht="12.95">
      <c r="A84" s="21"/>
      <c r="B84" s="21"/>
      <c r="C84" s="21"/>
      <c r="D84" s="21"/>
      <c r="E84" s="21"/>
      <c r="F84" s="22"/>
      <c r="G84" s="21"/>
      <c r="H84" s="21"/>
      <c r="I84" s="22"/>
    </row>
    <row r="85" spans="1:9" ht="12.95">
      <c r="A85" s="21"/>
      <c r="B85" s="21"/>
      <c r="C85" s="21"/>
      <c r="D85" s="21"/>
      <c r="E85" s="21"/>
      <c r="F85" s="22"/>
      <c r="G85" s="21"/>
      <c r="H85" s="21"/>
      <c r="I85" s="22"/>
    </row>
    <row r="86" spans="1:9" ht="12.95">
      <c r="A86" s="21"/>
      <c r="B86" s="21"/>
      <c r="C86" s="21"/>
      <c r="D86" s="21"/>
      <c r="E86" s="21"/>
      <c r="F86" s="22"/>
      <c r="G86" s="21"/>
      <c r="H86" s="21"/>
      <c r="I86" s="22"/>
    </row>
    <row r="87" spans="1:9" ht="12.95">
      <c r="A87" s="21"/>
      <c r="B87" s="21"/>
      <c r="C87" s="21"/>
      <c r="D87" s="21"/>
      <c r="E87" s="21"/>
      <c r="F87" s="22"/>
      <c r="G87" s="21"/>
      <c r="H87" s="21"/>
      <c r="I87" s="22"/>
    </row>
    <row r="88" spans="1:9" ht="12.95">
      <c r="A88" s="21"/>
      <c r="B88" s="21"/>
      <c r="C88" s="21"/>
      <c r="D88" s="21"/>
      <c r="E88" s="21"/>
      <c r="F88" s="22"/>
      <c r="G88" s="21"/>
      <c r="H88" s="21"/>
      <c r="I88" s="22"/>
    </row>
    <row r="89" spans="1:9" ht="12.95">
      <c r="A89" s="21"/>
      <c r="B89" s="21"/>
      <c r="C89" s="21"/>
      <c r="D89" s="21"/>
      <c r="E89" s="21"/>
      <c r="F89" s="22"/>
      <c r="G89" s="21"/>
      <c r="H89" s="21"/>
      <c r="I89" s="22"/>
    </row>
    <row r="90" spans="1:9" ht="12.95">
      <c r="A90" s="21"/>
      <c r="B90" s="21"/>
      <c r="C90" s="21"/>
      <c r="D90" s="21"/>
      <c r="E90" s="21"/>
      <c r="F90" s="22"/>
      <c r="G90" s="21"/>
      <c r="H90" s="21"/>
      <c r="I90" s="22"/>
    </row>
    <row r="91" spans="1:9" ht="12.95">
      <c r="A91" s="21"/>
      <c r="B91" s="21"/>
      <c r="C91" s="21"/>
      <c r="D91" s="21"/>
      <c r="E91" s="21"/>
      <c r="F91" s="22"/>
      <c r="G91" s="21"/>
      <c r="H91" s="21"/>
      <c r="I91" s="22"/>
    </row>
    <row r="92" spans="1:9" ht="12.95">
      <c r="A92" s="21"/>
      <c r="B92" s="21"/>
      <c r="C92" s="21"/>
      <c r="D92" s="21"/>
      <c r="E92" s="21"/>
      <c r="F92" s="22"/>
      <c r="G92" s="21"/>
      <c r="H92" s="21"/>
      <c r="I92" s="22"/>
    </row>
    <row r="93" spans="1:9" ht="12.95">
      <c r="A93" s="21"/>
      <c r="B93" s="21"/>
      <c r="C93" s="21"/>
      <c r="D93" s="21"/>
      <c r="E93" s="21"/>
      <c r="F93" s="22"/>
      <c r="G93" s="21"/>
      <c r="H93" s="21"/>
      <c r="I93" s="22"/>
    </row>
    <row r="94" spans="1:9" ht="12.95">
      <c r="A94" s="21"/>
      <c r="B94" s="21"/>
      <c r="C94" s="21"/>
      <c r="D94" s="21"/>
      <c r="E94" s="21"/>
      <c r="F94" s="22"/>
      <c r="G94" s="21"/>
      <c r="H94" s="21"/>
      <c r="I94" s="22"/>
    </row>
    <row r="95" spans="1:9" ht="12.95">
      <c r="A95" s="21"/>
      <c r="B95" s="21"/>
      <c r="C95" s="21"/>
      <c r="D95" s="21"/>
      <c r="E95" s="21"/>
      <c r="F95" s="22"/>
      <c r="G95" s="21"/>
      <c r="H95" s="21"/>
      <c r="I95" s="22"/>
    </row>
    <row r="96" spans="1:9" ht="12.95">
      <c r="A96" s="21"/>
      <c r="B96" s="21"/>
      <c r="C96" s="21"/>
      <c r="D96" s="21"/>
      <c r="E96" s="21"/>
      <c r="F96" s="22"/>
      <c r="G96" s="21"/>
      <c r="H96" s="21"/>
      <c r="I96" s="22"/>
    </row>
    <row r="97" spans="1:9" ht="12.95">
      <c r="A97" s="21"/>
      <c r="B97" s="21"/>
      <c r="C97" s="21"/>
      <c r="D97" s="21"/>
      <c r="E97" s="21"/>
      <c r="F97" s="22"/>
      <c r="G97" s="21"/>
      <c r="H97" s="21"/>
      <c r="I97" s="22"/>
    </row>
    <row r="98" spans="1:9" ht="12.95">
      <c r="A98" s="21"/>
      <c r="B98" s="21"/>
      <c r="C98" s="21"/>
      <c r="D98" s="21"/>
      <c r="E98" s="21"/>
      <c r="F98" s="22"/>
      <c r="G98" s="21"/>
      <c r="H98" s="21"/>
      <c r="I98" s="22"/>
    </row>
    <row r="99" spans="1:9" ht="12.95">
      <c r="A99" s="21"/>
      <c r="B99" s="21"/>
      <c r="C99" s="21"/>
      <c r="D99" s="21"/>
      <c r="E99" s="21"/>
      <c r="F99" s="22"/>
      <c r="G99" s="21"/>
      <c r="H99" s="21"/>
      <c r="I99" s="22"/>
    </row>
    <row r="100" spans="1:9" ht="12.95">
      <c r="A100" s="21"/>
      <c r="B100" s="21"/>
      <c r="C100" s="21"/>
      <c r="D100" s="21"/>
      <c r="E100" s="21"/>
      <c r="F100" s="22"/>
      <c r="G100" s="21"/>
      <c r="H100" s="21"/>
      <c r="I100" s="22"/>
    </row>
    <row r="101" spans="1:9" ht="12.95">
      <c r="A101" s="21"/>
      <c r="B101" s="21"/>
      <c r="C101" s="21"/>
      <c r="D101" s="21"/>
      <c r="E101" s="21"/>
      <c r="F101" s="22"/>
      <c r="G101" s="21"/>
      <c r="H101" s="21"/>
      <c r="I101" s="22"/>
    </row>
    <row r="102" spans="1:9" ht="12.95">
      <c r="A102" s="21"/>
      <c r="B102" s="21"/>
      <c r="C102" s="21"/>
      <c r="D102" s="21"/>
      <c r="E102" s="21"/>
      <c r="F102" s="22"/>
      <c r="G102" s="21"/>
      <c r="H102" s="21"/>
      <c r="I102" s="22"/>
    </row>
    <row r="103" spans="1:9" ht="12.95">
      <c r="A103" s="21"/>
      <c r="B103" s="21"/>
      <c r="C103" s="21"/>
      <c r="D103" s="21"/>
      <c r="E103" s="21"/>
      <c r="F103" s="22"/>
      <c r="G103" s="21"/>
      <c r="H103" s="21"/>
      <c r="I103" s="22"/>
    </row>
    <row r="104" spans="1:9" ht="12.95">
      <c r="A104" s="21"/>
      <c r="B104" s="21"/>
      <c r="C104" s="21"/>
      <c r="D104" s="21"/>
      <c r="E104" s="21"/>
      <c r="F104" s="22"/>
      <c r="G104" s="21"/>
      <c r="H104" s="21"/>
      <c r="I104" s="22"/>
    </row>
    <row r="105" spans="1:9" ht="12.95">
      <c r="A105" s="21"/>
      <c r="B105" s="21"/>
      <c r="C105" s="21"/>
      <c r="D105" s="21"/>
      <c r="E105" s="21"/>
      <c r="F105" s="22"/>
      <c r="G105" s="21"/>
      <c r="H105" s="21"/>
      <c r="I105" s="22"/>
    </row>
    <row r="106" spans="1:9" ht="12.95">
      <c r="A106" s="21"/>
      <c r="B106" s="21"/>
      <c r="C106" s="21"/>
      <c r="D106" s="21"/>
      <c r="E106" s="21"/>
      <c r="F106" s="22"/>
      <c r="G106" s="21"/>
      <c r="H106" s="21"/>
      <c r="I106" s="22"/>
    </row>
    <row r="107" spans="1:9" ht="12.95">
      <c r="A107" s="21"/>
      <c r="B107" s="21"/>
      <c r="C107" s="21"/>
      <c r="D107" s="21"/>
      <c r="E107" s="21"/>
      <c r="F107" s="22"/>
      <c r="G107" s="21"/>
      <c r="H107" s="21"/>
      <c r="I107" s="22"/>
    </row>
    <row r="108" spans="1:9" ht="12.95">
      <c r="A108" s="21"/>
      <c r="B108" s="21"/>
      <c r="C108" s="21"/>
      <c r="D108" s="21"/>
      <c r="E108" s="21"/>
      <c r="F108" s="22"/>
      <c r="G108" s="21"/>
      <c r="H108" s="21"/>
      <c r="I108" s="22"/>
    </row>
    <row r="109" spans="1:9" ht="12.95">
      <c r="A109" s="21"/>
      <c r="B109" s="21"/>
      <c r="C109" s="21"/>
      <c r="D109" s="21"/>
      <c r="E109" s="21"/>
      <c r="F109" s="22"/>
      <c r="G109" s="21"/>
      <c r="H109" s="21"/>
      <c r="I109" s="22"/>
    </row>
    <row r="110" spans="1:9" ht="12.95">
      <c r="A110" s="21"/>
      <c r="B110" s="21"/>
      <c r="C110" s="21"/>
      <c r="D110" s="21"/>
      <c r="E110" s="21"/>
      <c r="F110" s="22"/>
      <c r="G110" s="21"/>
      <c r="H110" s="21"/>
      <c r="I110" s="22"/>
    </row>
    <row r="111" spans="1:9" ht="12.95">
      <c r="A111" s="21"/>
      <c r="B111" s="21"/>
      <c r="C111" s="21"/>
      <c r="D111" s="21"/>
      <c r="E111" s="21"/>
      <c r="F111" s="22"/>
      <c r="G111" s="21"/>
      <c r="H111" s="21"/>
      <c r="I111" s="22"/>
    </row>
    <row r="112" spans="1:9" ht="12.95">
      <c r="A112" s="21"/>
      <c r="B112" s="21"/>
      <c r="C112" s="21"/>
      <c r="D112" s="21"/>
      <c r="E112" s="21"/>
      <c r="F112" s="22"/>
      <c r="G112" s="21"/>
      <c r="H112" s="21"/>
      <c r="I112" s="22"/>
    </row>
    <row r="113" spans="1:9" ht="12.95">
      <c r="A113" s="21"/>
      <c r="B113" s="21"/>
      <c r="C113" s="21"/>
      <c r="D113" s="21"/>
      <c r="E113" s="21"/>
      <c r="F113" s="22"/>
      <c r="G113" s="21"/>
      <c r="H113" s="21"/>
      <c r="I113" s="22"/>
    </row>
    <row r="114" spans="1:9" ht="12.95">
      <c r="A114" s="21"/>
      <c r="B114" s="21"/>
      <c r="C114" s="21"/>
      <c r="D114" s="21"/>
      <c r="E114" s="21"/>
      <c r="F114" s="22"/>
      <c r="G114" s="21"/>
      <c r="H114" s="21"/>
      <c r="I114" s="22"/>
    </row>
    <row r="115" spans="1:9" ht="12.95">
      <c r="A115" s="21"/>
      <c r="B115" s="21"/>
      <c r="C115" s="21"/>
      <c r="D115" s="21"/>
      <c r="E115" s="21"/>
      <c r="F115" s="22"/>
      <c r="G115" s="21"/>
      <c r="H115" s="21"/>
      <c r="I115" s="22"/>
    </row>
    <row r="116" spans="1:9" ht="12.95">
      <c r="A116" s="21"/>
      <c r="B116" s="21"/>
      <c r="C116" s="21"/>
      <c r="D116" s="21"/>
      <c r="E116" s="21"/>
      <c r="F116" s="22"/>
      <c r="G116" s="21"/>
      <c r="H116" s="21"/>
      <c r="I116" s="22"/>
    </row>
    <row r="117" spans="1:9" ht="12.95">
      <c r="A117" s="21"/>
      <c r="B117" s="21"/>
      <c r="C117" s="21"/>
      <c r="D117" s="21"/>
      <c r="E117" s="21"/>
      <c r="F117" s="22"/>
      <c r="G117" s="21"/>
      <c r="H117" s="21"/>
      <c r="I117" s="22"/>
    </row>
    <row r="118" spans="1:9" ht="12.95">
      <c r="A118" s="21"/>
      <c r="B118" s="21"/>
      <c r="C118" s="21"/>
      <c r="D118" s="21"/>
      <c r="E118" s="21"/>
      <c r="F118" s="22"/>
      <c r="G118" s="21"/>
      <c r="H118" s="21"/>
      <c r="I118" s="22"/>
    </row>
    <row r="119" spans="1:9" ht="12.95">
      <c r="A119" s="21"/>
      <c r="B119" s="21"/>
      <c r="C119" s="21"/>
      <c r="D119" s="21"/>
      <c r="E119" s="21"/>
      <c r="F119" s="22"/>
      <c r="G119" s="21"/>
      <c r="H119" s="21"/>
      <c r="I119" s="22"/>
    </row>
    <row r="120" spans="1:9" ht="12.95">
      <c r="A120" s="21"/>
      <c r="B120" s="21"/>
      <c r="C120" s="21"/>
      <c r="D120" s="21"/>
      <c r="E120" s="21"/>
      <c r="F120" s="22"/>
      <c r="G120" s="21"/>
      <c r="H120" s="21"/>
      <c r="I120" s="22"/>
    </row>
    <row r="121" spans="1:9" ht="12.95">
      <c r="A121" s="21"/>
      <c r="B121" s="21"/>
      <c r="C121" s="21"/>
      <c r="D121" s="21"/>
      <c r="E121" s="21"/>
      <c r="F121" s="22"/>
      <c r="G121" s="21"/>
      <c r="H121" s="21"/>
      <c r="I121" s="22"/>
    </row>
    <row r="122" spans="1:9" ht="12.95">
      <c r="A122" s="21"/>
      <c r="B122" s="21"/>
      <c r="C122" s="21"/>
      <c r="D122" s="21"/>
      <c r="E122" s="21"/>
      <c r="F122" s="22"/>
      <c r="G122" s="21"/>
      <c r="H122" s="21"/>
      <c r="I122" s="22"/>
    </row>
    <row r="123" spans="1:9" ht="12.95">
      <c r="A123" s="21"/>
      <c r="B123" s="21"/>
      <c r="C123" s="21"/>
      <c r="D123" s="21"/>
      <c r="E123" s="21"/>
      <c r="F123" s="22"/>
      <c r="G123" s="21"/>
      <c r="H123" s="21"/>
      <c r="I123" s="22"/>
    </row>
    <row r="124" spans="1:9" ht="12.95">
      <c r="A124" s="21"/>
      <c r="B124" s="21"/>
      <c r="C124" s="21"/>
      <c r="D124" s="21"/>
      <c r="E124" s="21"/>
      <c r="F124" s="22"/>
      <c r="G124" s="21"/>
      <c r="H124" s="21"/>
      <c r="I124" s="22"/>
    </row>
    <row r="125" spans="1:9" ht="12.95">
      <c r="A125" s="21"/>
      <c r="B125" s="21"/>
      <c r="C125" s="21"/>
      <c r="D125" s="21"/>
      <c r="E125" s="21"/>
      <c r="F125" s="22"/>
      <c r="G125" s="21"/>
      <c r="H125" s="21"/>
      <c r="I125" s="22"/>
    </row>
    <row r="126" spans="1:9" ht="12.95">
      <c r="A126" s="21"/>
      <c r="B126" s="21"/>
      <c r="C126" s="21"/>
      <c r="D126" s="21"/>
      <c r="E126" s="21"/>
      <c r="F126" s="22"/>
      <c r="G126" s="21"/>
      <c r="H126" s="21"/>
      <c r="I126" s="22"/>
    </row>
    <row r="127" spans="1:9" ht="12.95">
      <c r="A127" s="21"/>
      <c r="B127" s="21"/>
      <c r="C127" s="21"/>
      <c r="D127" s="21"/>
      <c r="E127" s="21"/>
      <c r="F127" s="22"/>
      <c r="G127" s="21"/>
      <c r="H127" s="21"/>
      <c r="I127" s="22"/>
    </row>
    <row r="128" spans="1:9" ht="12.95">
      <c r="A128" s="21"/>
      <c r="B128" s="21"/>
      <c r="C128" s="21"/>
      <c r="D128" s="21"/>
      <c r="E128" s="21"/>
      <c r="F128" s="22"/>
      <c r="G128" s="21"/>
      <c r="H128" s="21"/>
      <c r="I128" s="22"/>
    </row>
    <row r="129" spans="1:9" ht="12.95">
      <c r="A129" s="21"/>
      <c r="B129" s="21"/>
      <c r="C129" s="21"/>
      <c r="D129" s="21"/>
      <c r="E129" s="21"/>
      <c r="F129" s="22"/>
      <c r="G129" s="21"/>
      <c r="H129" s="21"/>
      <c r="I129" s="22"/>
    </row>
    <row r="130" spans="1:9" ht="12.95">
      <c r="A130" s="21"/>
      <c r="B130" s="21"/>
      <c r="C130" s="21"/>
      <c r="D130" s="21"/>
      <c r="E130" s="21"/>
      <c r="F130" s="22"/>
      <c r="G130" s="21"/>
      <c r="H130" s="21"/>
      <c r="I130" s="22"/>
    </row>
    <row r="131" spans="1:9" ht="12.95">
      <c r="A131" s="21"/>
      <c r="B131" s="21"/>
      <c r="C131" s="21"/>
      <c r="D131" s="21"/>
      <c r="E131" s="21"/>
      <c r="F131" s="22"/>
      <c r="G131" s="21"/>
      <c r="H131" s="21"/>
      <c r="I131" s="22"/>
    </row>
    <row r="132" spans="1:9" ht="12.95">
      <c r="A132" s="21"/>
      <c r="B132" s="21"/>
      <c r="C132" s="21"/>
      <c r="D132" s="21"/>
      <c r="E132" s="21"/>
      <c r="F132" s="22"/>
      <c r="G132" s="21"/>
      <c r="H132" s="21"/>
      <c r="I132" s="22"/>
    </row>
    <row r="133" spans="1:9" ht="12.95">
      <c r="A133" s="21"/>
      <c r="B133" s="21"/>
      <c r="C133" s="21"/>
      <c r="D133" s="21"/>
      <c r="E133" s="21"/>
      <c r="F133" s="22"/>
      <c r="G133" s="21"/>
      <c r="H133" s="21"/>
      <c r="I133" s="22"/>
    </row>
    <row r="134" spans="1:9" ht="12.95">
      <c r="A134" s="21"/>
      <c r="B134" s="21"/>
      <c r="C134" s="21"/>
      <c r="D134" s="21"/>
      <c r="E134" s="21"/>
      <c r="F134" s="22"/>
      <c r="G134" s="21"/>
      <c r="H134" s="21"/>
      <c r="I134" s="22"/>
    </row>
    <row r="135" spans="1:9" ht="12.95">
      <c r="A135" s="21"/>
      <c r="B135" s="21"/>
      <c r="C135" s="21"/>
      <c r="D135" s="21"/>
      <c r="E135" s="21"/>
      <c r="F135" s="22"/>
      <c r="G135" s="21"/>
      <c r="H135" s="21"/>
      <c r="I135" s="22"/>
    </row>
    <row r="136" spans="1:9" ht="12.95">
      <c r="A136" s="21"/>
      <c r="B136" s="21"/>
      <c r="C136" s="21"/>
      <c r="D136" s="21"/>
      <c r="E136" s="21"/>
      <c r="F136" s="22"/>
      <c r="G136" s="21"/>
      <c r="H136" s="21"/>
      <c r="I136" s="22"/>
    </row>
    <row r="137" spans="1:9" ht="12.95">
      <c r="A137" s="21"/>
      <c r="B137" s="21"/>
      <c r="C137" s="21"/>
      <c r="D137" s="21"/>
      <c r="E137" s="21"/>
      <c r="F137" s="22"/>
      <c r="G137" s="21"/>
      <c r="H137" s="21"/>
      <c r="I137" s="22"/>
    </row>
    <row r="138" spans="1:9" ht="12.95">
      <c r="A138" s="21"/>
      <c r="B138" s="21"/>
      <c r="C138" s="21"/>
      <c r="D138" s="21"/>
      <c r="E138" s="21"/>
      <c r="F138" s="22"/>
      <c r="G138" s="21"/>
      <c r="H138" s="21"/>
      <c r="I138" s="22"/>
    </row>
    <row r="139" spans="1:9" ht="12.95">
      <c r="A139" s="21"/>
      <c r="B139" s="21"/>
      <c r="C139" s="21"/>
      <c r="D139" s="21"/>
      <c r="E139" s="21"/>
      <c r="F139" s="22"/>
      <c r="G139" s="21"/>
      <c r="H139" s="21"/>
      <c r="I139" s="22"/>
    </row>
    <row r="140" spans="1:9" ht="12.95">
      <c r="A140" s="21"/>
      <c r="B140" s="21"/>
      <c r="C140" s="21"/>
      <c r="D140" s="21"/>
      <c r="E140" s="21"/>
      <c r="F140" s="22"/>
      <c r="G140" s="21"/>
      <c r="H140" s="21"/>
      <c r="I140" s="22"/>
    </row>
    <row r="141" spans="1:9" ht="12.95">
      <c r="A141" s="21"/>
      <c r="B141" s="21"/>
      <c r="C141" s="21"/>
      <c r="D141" s="21"/>
      <c r="E141" s="21"/>
      <c r="F141" s="22"/>
      <c r="G141" s="21"/>
      <c r="H141" s="21"/>
      <c r="I141" s="22"/>
    </row>
    <row r="142" spans="1:9" ht="12.95">
      <c r="A142" s="21"/>
      <c r="B142" s="21"/>
      <c r="C142" s="21"/>
      <c r="D142" s="21"/>
      <c r="E142" s="21"/>
      <c r="F142" s="22"/>
      <c r="G142" s="21"/>
      <c r="H142" s="21"/>
      <c r="I142" s="22"/>
    </row>
    <row r="143" spans="1:9" ht="12.95">
      <c r="A143" s="21"/>
      <c r="B143" s="21"/>
      <c r="C143" s="21"/>
      <c r="D143" s="21"/>
      <c r="E143" s="21"/>
      <c r="F143" s="22"/>
      <c r="G143" s="21"/>
      <c r="H143" s="21"/>
      <c r="I143" s="22"/>
    </row>
    <row r="144" spans="1:9" ht="12.95">
      <c r="A144" s="21"/>
      <c r="B144" s="21"/>
      <c r="C144" s="21"/>
      <c r="D144" s="21"/>
      <c r="E144" s="21"/>
      <c r="F144" s="22"/>
      <c r="G144" s="21"/>
      <c r="H144" s="21"/>
      <c r="I144" s="22"/>
    </row>
    <row r="145" spans="1:9" ht="12.95">
      <c r="A145" s="21"/>
      <c r="B145" s="21"/>
      <c r="C145" s="21"/>
      <c r="D145" s="21"/>
      <c r="E145" s="21"/>
      <c r="F145" s="22"/>
      <c r="G145" s="21"/>
      <c r="H145" s="21"/>
      <c r="I145" s="22"/>
    </row>
    <row r="146" spans="1:9" ht="12.95">
      <c r="A146" s="21"/>
      <c r="B146" s="21"/>
      <c r="C146" s="21"/>
      <c r="D146" s="21"/>
      <c r="E146" s="21"/>
      <c r="F146" s="22"/>
      <c r="G146" s="21"/>
      <c r="H146" s="21"/>
      <c r="I146" s="22"/>
    </row>
    <row r="147" spans="1:9" ht="12.95">
      <c r="A147" s="21"/>
      <c r="B147" s="21"/>
      <c r="C147" s="21"/>
      <c r="D147" s="21"/>
      <c r="E147" s="21"/>
      <c r="F147" s="22"/>
      <c r="G147" s="21"/>
      <c r="H147" s="21"/>
      <c r="I147" s="22"/>
    </row>
    <row r="148" spans="1:9" ht="12.95">
      <c r="A148" s="21"/>
      <c r="B148" s="21"/>
      <c r="C148" s="21"/>
      <c r="D148" s="21"/>
      <c r="E148" s="21"/>
      <c r="F148" s="22"/>
      <c r="G148" s="21"/>
      <c r="H148" s="21"/>
      <c r="I148" s="22"/>
    </row>
    <row r="149" spans="1:9" ht="12.95">
      <c r="A149" s="21"/>
      <c r="B149" s="21"/>
      <c r="C149" s="21"/>
      <c r="D149" s="21"/>
      <c r="E149" s="21"/>
      <c r="F149" s="22"/>
      <c r="G149" s="21"/>
      <c r="H149" s="21"/>
      <c r="I149" s="22"/>
    </row>
    <row r="150" spans="1:9" ht="12.95">
      <c r="A150" s="21"/>
      <c r="B150" s="21"/>
      <c r="C150" s="21"/>
      <c r="D150" s="21"/>
      <c r="E150" s="21"/>
      <c r="F150" s="22"/>
      <c r="G150" s="21"/>
      <c r="H150" s="21"/>
      <c r="I150" s="22"/>
    </row>
    <row r="151" spans="1:9" ht="12.95">
      <c r="A151" s="21"/>
      <c r="B151" s="21"/>
      <c r="C151" s="21"/>
      <c r="D151" s="21"/>
      <c r="E151" s="21"/>
      <c r="F151" s="22"/>
      <c r="G151" s="21"/>
      <c r="H151" s="21"/>
      <c r="I151" s="22"/>
    </row>
    <row r="152" spans="1:9" ht="12.95">
      <c r="A152" s="21"/>
      <c r="B152" s="21"/>
      <c r="C152" s="21"/>
      <c r="D152" s="21"/>
      <c r="E152" s="21"/>
      <c r="F152" s="22"/>
      <c r="G152" s="21"/>
      <c r="H152" s="21"/>
      <c r="I152" s="22"/>
    </row>
    <row r="153" spans="1:9" ht="12.95">
      <c r="A153" s="21"/>
      <c r="B153" s="21"/>
      <c r="C153" s="21"/>
      <c r="D153" s="21"/>
      <c r="E153" s="21"/>
      <c r="F153" s="22"/>
      <c r="G153" s="21"/>
      <c r="H153" s="21"/>
      <c r="I153" s="22"/>
    </row>
    <row r="154" spans="1:9" ht="12.95">
      <c r="A154" s="21"/>
      <c r="B154" s="21"/>
      <c r="C154" s="21"/>
      <c r="D154" s="21"/>
      <c r="E154" s="21"/>
      <c r="F154" s="22"/>
      <c r="G154" s="21"/>
      <c r="H154" s="21"/>
      <c r="I154" s="22"/>
    </row>
    <row r="155" spans="1:9" ht="12.95">
      <c r="A155" s="21"/>
      <c r="B155" s="21"/>
      <c r="C155" s="21"/>
      <c r="D155" s="21"/>
      <c r="E155" s="21"/>
      <c r="F155" s="22"/>
      <c r="G155" s="21"/>
      <c r="H155" s="21"/>
      <c r="I155" s="22"/>
    </row>
    <row r="156" spans="1:9" ht="12.95">
      <c r="A156" s="21"/>
      <c r="B156" s="21"/>
      <c r="C156" s="21"/>
      <c r="D156" s="21"/>
      <c r="E156" s="21"/>
      <c r="F156" s="22"/>
      <c r="G156" s="21"/>
      <c r="H156" s="21"/>
      <c r="I156" s="22"/>
    </row>
    <row r="157" spans="1:9" ht="12.95">
      <c r="A157" s="21"/>
      <c r="B157" s="21"/>
      <c r="C157" s="21"/>
      <c r="D157" s="21"/>
      <c r="E157" s="21"/>
      <c r="F157" s="22"/>
      <c r="G157" s="21"/>
      <c r="H157" s="21"/>
      <c r="I157" s="22"/>
    </row>
    <row r="158" spans="1:9" ht="12.95">
      <c r="A158" s="21"/>
      <c r="B158" s="21"/>
      <c r="C158" s="21"/>
      <c r="D158" s="21"/>
      <c r="E158" s="21"/>
      <c r="F158" s="22"/>
      <c r="G158" s="21"/>
      <c r="H158" s="21"/>
      <c r="I158" s="22"/>
    </row>
    <row r="159" spans="1:9" ht="12.95">
      <c r="A159" s="21"/>
      <c r="B159" s="21"/>
      <c r="C159" s="21"/>
      <c r="D159" s="21"/>
      <c r="E159" s="21"/>
      <c r="F159" s="22"/>
      <c r="G159" s="21"/>
      <c r="H159" s="21"/>
      <c r="I159" s="22"/>
    </row>
    <row r="160" spans="1:9" ht="12.95">
      <c r="A160" s="21"/>
      <c r="B160" s="21"/>
      <c r="C160" s="21"/>
      <c r="D160" s="21"/>
      <c r="E160" s="21"/>
      <c r="F160" s="22"/>
      <c r="G160" s="21"/>
      <c r="H160" s="21"/>
      <c r="I160" s="22"/>
    </row>
    <row r="161" spans="1:9" ht="12.95">
      <c r="A161" s="21"/>
      <c r="B161" s="21"/>
      <c r="C161" s="21"/>
      <c r="D161" s="21"/>
      <c r="E161" s="21"/>
      <c r="F161" s="22"/>
      <c r="G161" s="21"/>
      <c r="H161" s="21"/>
      <c r="I161" s="22"/>
    </row>
    <row r="162" spans="1:9" ht="12.95">
      <c r="A162" s="21"/>
      <c r="B162" s="21"/>
      <c r="C162" s="21"/>
      <c r="D162" s="21"/>
      <c r="E162" s="21"/>
      <c r="F162" s="22"/>
      <c r="G162" s="21"/>
      <c r="H162" s="21"/>
      <c r="I162" s="22"/>
    </row>
    <row r="163" spans="1:9" ht="12.95">
      <c r="A163" s="21"/>
      <c r="B163" s="21"/>
      <c r="C163" s="21"/>
      <c r="D163" s="21"/>
      <c r="E163" s="21"/>
      <c r="F163" s="22"/>
      <c r="G163" s="21"/>
      <c r="H163" s="21"/>
      <c r="I163" s="22"/>
    </row>
    <row r="164" spans="1:9" ht="12.95">
      <c r="A164" s="21"/>
      <c r="B164" s="21"/>
      <c r="C164" s="21"/>
      <c r="D164" s="21"/>
      <c r="E164" s="21"/>
      <c r="F164" s="22"/>
      <c r="G164" s="21"/>
      <c r="H164" s="21"/>
      <c r="I164" s="22"/>
    </row>
    <row r="165" spans="1:9" ht="12.95">
      <c r="A165" s="21"/>
      <c r="B165" s="21"/>
      <c r="C165" s="21"/>
      <c r="D165" s="21"/>
      <c r="E165" s="21"/>
      <c r="F165" s="22"/>
      <c r="G165" s="21"/>
      <c r="H165" s="21"/>
      <c r="I165" s="22"/>
    </row>
    <row r="166" spans="1:9" ht="12.95">
      <c r="A166" s="21"/>
      <c r="B166" s="21"/>
      <c r="C166" s="21"/>
      <c r="D166" s="21"/>
      <c r="E166" s="21"/>
      <c r="F166" s="22"/>
      <c r="G166" s="21"/>
      <c r="H166" s="21"/>
      <c r="I166" s="22"/>
    </row>
    <row r="167" spans="1:9" ht="12.95">
      <c r="A167" s="21"/>
      <c r="B167" s="21"/>
      <c r="C167" s="21"/>
      <c r="D167" s="21"/>
      <c r="E167" s="21"/>
      <c r="F167" s="22"/>
      <c r="G167" s="21"/>
      <c r="H167" s="21"/>
      <c r="I167" s="22"/>
    </row>
    <row r="168" spans="1:9" ht="12.95">
      <c r="A168" s="21"/>
      <c r="B168" s="21"/>
      <c r="C168" s="21"/>
      <c r="D168" s="21"/>
      <c r="E168" s="21"/>
      <c r="F168" s="22"/>
      <c r="G168" s="21"/>
      <c r="H168" s="21"/>
      <c r="I168" s="22"/>
    </row>
    <row r="169" spans="1:9" ht="12.95">
      <c r="A169" s="21"/>
      <c r="B169" s="21"/>
      <c r="C169" s="21"/>
      <c r="D169" s="21"/>
      <c r="E169" s="21"/>
      <c r="F169" s="22"/>
      <c r="G169" s="21"/>
      <c r="H169" s="21"/>
      <c r="I169" s="22"/>
    </row>
    <row r="170" spans="1:9" ht="12.95">
      <c r="A170" s="21"/>
      <c r="B170" s="21"/>
      <c r="C170" s="21"/>
      <c r="D170" s="21"/>
      <c r="E170" s="21"/>
      <c r="F170" s="22"/>
      <c r="G170" s="21"/>
      <c r="H170" s="21"/>
      <c r="I170" s="22"/>
    </row>
    <row r="171" spans="1:9" ht="12.95">
      <c r="A171" s="21"/>
      <c r="B171" s="21"/>
      <c r="C171" s="21"/>
      <c r="D171" s="21"/>
      <c r="E171" s="21"/>
      <c r="F171" s="22"/>
      <c r="G171" s="21"/>
      <c r="H171" s="21"/>
      <c r="I171" s="22"/>
    </row>
    <row r="172" spans="1:9" ht="12.95">
      <c r="A172" s="21"/>
      <c r="B172" s="21"/>
      <c r="C172" s="21"/>
      <c r="D172" s="21"/>
      <c r="E172" s="21"/>
      <c r="F172" s="22"/>
      <c r="G172" s="21"/>
      <c r="H172" s="21"/>
      <c r="I172" s="22"/>
    </row>
    <row r="173" spans="1:9" ht="12.95">
      <c r="A173" s="21"/>
      <c r="B173" s="21"/>
      <c r="C173" s="21"/>
      <c r="D173" s="21"/>
      <c r="E173" s="21"/>
      <c r="F173" s="22"/>
      <c r="G173" s="21"/>
      <c r="H173" s="21"/>
      <c r="I173" s="22"/>
    </row>
    <row r="174" spans="1:9" ht="12.95">
      <c r="A174" s="21"/>
      <c r="B174" s="21"/>
      <c r="C174" s="21"/>
      <c r="D174" s="21"/>
      <c r="E174" s="21"/>
      <c r="F174" s="22"/>
      <c r="G174" s="21"/>
      <c r="H174" s="21"/>
      <c r="I174" s="22"/>
    </row>
    <row r="175" spans="1:9" ht="12.95">
      <c r="A175" s="21"/>
      <c r="B175" s="21"/>
      <c r="C175" s="21"/>
      <c r="D175" s="21"/>
      <c r="E175" s="21"/>
      <c r="F175" s="22"/>
      <c r="G175" s="21"/>
      <c r="H175" s="21"/>
      <c r="I175" s="22"/>
    </row>
    <row r="176" spans="1:9" ht="12.95">
      <c r="A176" s="21"/>
      <c r="B176" s="21"/>
      <c r="C176" s="21"/>
      <c r="D176" s="21"/>
      <c r="E176" s="21"/>
      <c r="F176" s="22"/>
      <c r="G176" s="21"/>
      <c r="H176" s="21"/>
      <c r="I176" s="22"/>
    </row>
    <row r="177" spans="1:9" ht="12.95">
      <c r="A177" s="21"/>
      <c r="B177" s="21"/>
      <c r="C177" s="21"/>
      <c r="D177" s="21"/>
      <c r="E177" s="21"/>
      <c r="F177" s="22"/>
      <c r="G177" s="21"/>
      <c r="H177" s="21"/>
      <c r="I177" s="22"/>
    </row>
    <row r="178" spans="1:9" ht="12.95">
      <c r="A178" s="21"/>
      <c r="B178" s="21"/>
      <c r="C178" s="21"/>
      <c r="D178" s="21"/>
      <c r="E178" s="21"/>
      <c r="F178" s="22"/>
      <c r="G178" s="21"/>
      <c r="H178" s="21"/>
      <c r="I178" s="22"/>
    </row>
    <row r="179" spans="1:9" ht="12.95">
      <c r="A179" s="21"/>
      <c r="B179" s="21"/>
      <c r="C179" s="21"/>
      <c r="D179" s="21"/>
      <c r="E179" s="21"/>
      <c r="F179" s="22"/>
      <c r="G179" s="21"/>
      <c r="H179" s="21"/>
      <c r="I179" s="22"/>
    </row>
    <row r="180" spans="1:9" ht="12.95">
      <c r="A180" s="21"/>
      <c r="B180" s="21"/>
      <c r="C180" s="21"/>
      <c r="D180" s="21"/>
      <c r="E180" s="21"/>
      <c r="F180" s="22"/>
      <c r="G180" s="21"/>
      <c r="H180" s="21"/>
      <c r="I180" s="22"/>
    </row>
    <row r="181" spans="1:9" ht="12.95">
      <c r="A181" s="21"/>
      <c r="B181" s="21"/>
      <c r="C181" s="21"/>
      <c r="D181" s="21"/>
      <c r="E181" s="21"/>
      <c r="F181" s="22"/>
      <c r="G181" s="21"/>
      <c r="H181" s="21"/>
      <c r="I181" s="22"/>
    </row>
    <row r="182" spans="1:9" ht="12.95">
      <c r="A182" s="21"/>
      <c r="B182" s="21"/>
      <c r="C182" s="21"/>
      <c r="D182" s="21"/>
      <c r="E182" s="21"/>
      <c r="F182" s="22"/>
      <c r="G182" s="21"/>
      <c r="H182" s="21"/>
      <c r="I182" s="22"/>
    </row>
    <row r="183" spans="1:9" ht="12.95">
      <c r="A183" s="21"/>
      <c r="B183" s="21"/>
      <c r="C183" s="21"/>
      <c r="D183" s="21"/>
      <c r="E183" s="21"/>
      <c r="F183" s="22"/>
      <c r="G183" s="21"/>
      <c r="H183" s="21"/>
      <c r="I183" s="22"/>
    </row>
    <row r="184" spans="1:9" ht="12.95">
      <c r="A184" s="21"/>
      <c r="B184" s="21"/>
      <c r="C184" s="21"/>
      <c r="D184" s="21"/>
      <c r="E184" s="21"/>
      <c r="F184" s="22"/>
      <c r="G184" s="21"/>
      <c r="H184" s="21"/>
      <c r="I184" s="22"/>
    </row>
    <row r="185" spans="1:9" ht="12.95">
      <c r="A185" s="21"/>
      <c r="B185" s="21"/>
      <c r="C185" s="21"/>
      <c r="D185" s="21"/>
      <c r="E185" s="21"/>
      <c r="F185" s="22"/>
      <c r="G185" s="21"/>
      <c r="H185" s="21"/>
      <c r="I185" s="22"/>
    </row>
    <row r="186" spans="1:9" ht="12.95">
      <c r="A186" s="21"/>
      <c r="B186" s="21"/>
      <c r="C186" s="21"/>
      <c r="D186" s="21"/>
      <c r="E186" s="21"/>
      <c r="F186" s="22"/>
      <c r="G186" s="21"/>
      <c r="H186" s="21"/>
      <c r="I186" s="22"/>
    </row>
    <row r="187" spans="1:9" ht="12.95">
      <c r="A187" s="21"/>
      <c r="B187" s="21"/>
      <c r="C187" s="21"/>
      <c r="D187" s="21"/>
      <c r="E187" s="21"/>
      <c r="F187" s="22"/>
      <c r="G187" s="21"/>
      <c r="H187" s="21"/>
      <c r="I187" s="22"/>
    </row>
    <row r="188" spans="1:9" ht="12.95">
      <c r="A188" s="21"/>
      <c r="B188" s="21"/>
      <c r="C188" s="21"/>
      <c r="D188" s="21"/>
      <c r="E188" s="21"/>
      <c r="F188" s="22"/>
      <c r="G188" s="21"/>
      <c r="H188" s="21"/>
      <c r="I188" s="22"/>
    </row>
    <row r="189" spans="1:9" ht="12.95">
      <c r="A189" s="21"/>
      <c r="B189" s="21"/>
      <c r="C189" s="21"/>
      <c r="D189" s="21"/>
      <c r="E189" s="21"/>
      <c r="F189" s="22"/>
      <c r="G189" s="21"/>
      <c r="H189" s="21"/>
      <c r="I189" s="22"/>
    </row>
    <row r="190" spans="1:9" ht="12.95">
      <c r="A190" s="21"/>
      <c r="B190" s="21"/>
      <c r="C190" s="21"/>
      <c r="D190" s="21"/>
      <c r="E190" s="21"/>
      <c r="F190" s="22"/>
      <c r="G190" s="21"/>
      <c r="H190" s="21"/>
      <c r="I190" s="22"/>
    </row>
    <row r="191" spans="1:9" ht="12.95">
      <c r="A191" s="21"/>
      <c r="B191" s="21"/>
      <c r="C191" s="21"/>
      <c r="D191" s="21"/>
      <c r="E191" s="21"/>
      <c r="F191" s="22"/>
      <c r="G191" s="21"/>
      <c r="H191" s="21"/>
      <c r="I191" s="22"/>
    </row>
    <row r="192" spans="1:9" ht="12.95">
      <c r="A192" s="21"/>
      <c r="B192" s="21"/>
      <c r="C192" s="21"/>
      <c r="D192" s="21"/>
      <c r="E192" s="21"/>
      <c r="F192" s="22"/>
      <c r="G192" s="21"/>
      <c r="H192" s="21"/>
      <c r="I192" s="22"/>
    </row>
    <row r="193" spans="1:9" ht="12.95">
      <c r="A193" s="21"/>
      <c r="B193" s="21"/>
      <c r="C193" s="21"/>
      <c r="D193" s="21"/>
      <c r="E193" s="21"/>
      <c r="F193" s="22"/>
      <c r="G193" s="21"/>
      <c r="H193" s="21"/>
      <c r="I193" s="22"/>
    </row>
    <row r="194" spans="1:9" ht="12.95">
      <c r="A194" s="21"/>
      <c r="B194" s="21"/>
      <c r="C194" s="21"/>
      <c r="D194" s="21"/>
      <c r="E194" s="21"/>
      <c r="F194" s="22"/>
      <c r="G194" s="21"/>
      <c r="H194" s="21"/>
      <c r="I194" s="22"/>
    </row>
    <row r="195" spans="1:9" ht="12.95">
      <c r="A195" s="21"/>
      <c r="B195" s="21"/>
      <c r="C195" s="21"/>
      <c r="D195" s="21"/>
      <c r="E195" s="21"/>
      <c r="F195" s="22"/>
      <c r="G195" s="21"/>
      <c r="H195" s="21"/>
      <c r="I195" s="22"/>
    </row>
    <row r="196" spans="1:9" ht="12.95">
      <c r="A196" s="21"/>
      <c r="B196" s="21"/>
      <c r="C196" s="21"/>
      <c r="D196" s="21"/>
      <c r="E196" s="21"/>
      <c r="F196" s="22"/>
      <c r="G196" s="21"/>
      <c r="H196" s="21"/>
      <c r="I196" s="22"/>
    </row>
    <row r="197" spans="1:9" ht="12.95">
      <c r="A197" s="21"/>
      <c r="B197" s="21"/>
      <c r="C197" s="21"/>
      <c r="D197" s="21"/>
      <c r="E197" s="21"/>
      <c r="F197" s="22"/>
      <c r="G197" s="21"/>
      <c r="H197" s="21"/>
      <c r="I197" s="22"/>
    </row>
    <row r="198" spans="1:9" ht="12.95">
      <c r="A198" s="21"/>
      <c r="B198" s="21"/>
      <c r="C198" s="21"/>
      <c r="D198" s="21"/>
      <c r="E198" s="21"/>
      <c r="F198" s="22"/>
      <c r="G198" s="21"/>
      <c r="H198" s="21"/>
      <c r="I198" s="22"/>
    </row>
    <row r="199" spans="1:9" ht="12.95">
      <c r="A199" s="21"/>
      <c r="B199" s="21"/>
      <c r="C199" s="21"/>
      <c r="D199" s="21"/>
      <c r="E199" s="21"/>
      <c r="F199" s="22"/>
      <c r="G199" s="21"/>
      <c r="H199" s="21"/>
      <c r="I199" s="22"/>
    </row>
    <row r="200" spans="1:9" ht="12.95">
      <c r="A200" s="21"/>
      <c r="B200" s="21"/>
      <c r="C200" s="21"/>
      <c r="D200" s="21"/>
      <c r="E200" s="21"/>
      <c r="F200" s="22"/>
      <c r="G200" s="21"/>
      <c r="H200" s="21"/>
      <c r="I200" s="22"/>
    </row>
    <row r="201" spans="1:9" ht="12.95">
      <c r="A201" s="21"/>
      <c r="B201" s="21"/>
      <c r="C201" s="21"/>
      <c r="D201" s="21"/>
      <c r="E201" s="21"/>
      <c r="F201" s="22"/>
      <c r="G201" s="21"/>
      <c r="H201" s="21"/>
      <c r="I201" s="22"/>
    </row>
    <row r="202" spans="1:9" ht="12.95">
      <c r="A202" s="21"/>
      <c r="B202" s="21"/>
      <c r="C202" s="21"/>
      <c r="D202" s="21"/>
      <c r="E202" s="21"/>
      <c r="F202" s="22"/>
      <c r="G202" s="21"/>
      <c r="H202" s="21"/>
      <c r="I202" s="22"/>
    </row>
    <row r="203" spans="1:9" ht="12.95">
      <c r="A203" s="21"/>
      <c r="B203" s="21"/>
      <c r="C203" s="21"/>
      <c r="D203" s="21"/>
      <c r="E203" s="21"/>
      <c r="F203" s="22"/>
      <c r="G203" s="21"/>
      <c r="H203" s="21"/>
      <c r="I203" s="22"/>
    </row>
    <row r="204" spans="1:9" ht="12.95">
      <c r="A204" s="21"/>
      <c r="B204" s="21"/>
      <c r="C204" s="21"/>
      <c r="D204" s="21"/>
      <c r="E204" s="21"/>
      <c r="F204" s="22"/>
      <c r="G204" s="21"/>
      <c r="H204" s="21"/>
      <c r="I204" s="22"/>
    </row>
    <row r="205" spans="1:9" ht="12.95">
      <c r="A205" s="21"/>
      <c r="B205" s="21"/>
      <c r="C205" s="21"/>
      <c r="D205" s="21"/>
      <c r="E205" s="21"/>
      <c r="F205" s="22"/>
      <c r="G205" s="21"/>
      <c r="H205" s="21"/>
      <c r="I205" s="22"/>
    </row>
    <row r="206" spans="1:9" ht="12.95">
      <c r="A206" s="21"/>
      <c r="B206" s="21"/>
      <c r="C206" s="21"/>
      <c r="D206" s="21"/>
      <c r="E206" s="21"/>
      <c r="F206" s="22"/>
      <c r="G206" s="21"/>
      <c r="H206" s="21"/>
      <c r="I206" s="22"/>
    </row>
    <row r="207" spans="1:9" ht="12.95">
      <c r="A207" s="21"/>
      <c r="B207" s="21"/>
      <c r="C207" s="21"/>
      <c r="D207" s="21"/>
      <c r="E207" s="21"/>
      <c r="F207" s="22"/>
      <c r="G207" s="21"/>
      <c r="H207" s="21"/>
      <c r="I207" s="22"/>
    </row>
    <row r="208" spans="1:9" ht="12.95">
      <c r="A208" s="21"/>
      <c r="B208" s="21"/>
      <c r="C208" s="21"/>
      <c r="D208" s="21"/>
      <c r="E208" s="21"/>
      <c r="F208" s="22"/>
      <c r="G208" s="21"/>
      <c r="H208" s="21"/>
      <c r="I208" s="22"/>
    </row>
    <row r="209" spans="1:9" ht="12.95">
      <c r="A209" s="21"/>
      <c r="B209" s="21"/>
      <c r="C209" s="21"/>
      <c r="D209" s="21"/>
      <c r="E209" s="21"/>
      <c r="F209" s="22"/>
      <c r="G209" s="21"/>
      <c r="H209" s="21"/>
      <c r="I209" s="22"/>
    </row>
    <row r="210" spans="1:9" ht="12.95">
      <c r="A210" s="21"/>
      <c r="B210" s="21"/>
      <c r="C210" s="21"/>
      <c r="D210" s="21"/>
      <c r="E210" s="21"/>
      <c r="F210" s="22"/>
      <c r="G210" s="21"/>
      <c r="H210" s="21"/>
      <c r="I210" s="22"/>
    </row>
    <row r="211" spans="1:9" ht="12.95">
      <c r="A211" s="21"/>
      <c r="B211" s="21"/>
      <c r="C211" s="21"/>
      <c r="D211" s="21"/>
      <c r="E211" s="21"/>
      <c r="F211" s="22"/>
      <c r="G211" s="21"/>
      <c r="H211" s="21"/>
      <c r="I211" s="22"/>
    </row>
    <row r="212" spans="1:9" ht="12.95">
      <c r="A212" s="21"/>
      <c r="B212" s="21"/>
      <c r="C212" s="21"/>
      <c r="D212" s="21"/>
      <c r="E212" s="21"/>
      <c r="F212" s="22"/>
      <c r="G212" s="21"/>
      <c r="H212" s="21"/>
      <c r="I212" s="22"/>
    </row>
    <row r="213" spans="1:9" ht="12.95">
      <c r="A213" s="21"/>
      <c r="B213" s="21"/>
      <c r="C213" s="21"/>
      <c r="D213" s="21"/>
      <c r="E213" s="21"/>
      <c r="F213" s="22"/>
      <c r="G213" s="21"/>
      <c r="H213" s="21"/>
      <c r="I213" s="22"/>
    </row>
    <row r="214" spans="1:9" ht="12.95">
      <c r="A214" s="21"/>
      <c r="B214" s="21"/>
      <c r="C214" s="21"/>
      <c r="D214" s="21"/>
      <c r="E214" s="21"/>
      <c r="F214" s="22"/>
      <c r="G214" s="21"/>
      <c r="H214" s="21"/>
      <c r="I214" s="22"/>
    </row>
    <row r="215" spans="1:9" ht="12.95">
      <c r="A215" s="21"/>
      <c r="B215" s="21"/>
      <c r="C215" s="21"/>
      <c r="D215" s="21"/>
      <c r="E215" s="21"/>
      <c r="F215" s="22"/>
      <c r="G215" s="21"/>
      <c r="H215" s="21"/>
      <c r="I215" s="22"/>
    </row>
    <row r="216" spans="1:9" ht="12.95">
      <c r="A216" s="21"/>
      <c r="B216" s="21"/>
      <c r="C216" s="21"/>
      <c r="D216" s="21"/>
      <c r="E216" s="21"/>
      <c r="F216" s="22"/>
      <c r="G216" s="21"/>
      <c r="H216" s="21"/>
      <c r="I216" s="22"/>
    </row>
    <row r="217" spans="1:9" ht="12.95">
      <c r="A217" s="21"/>
      <c r="B217" s="21"/>
      <c r="C217" s="21"/>
      <c r="D217" s="21"/>
      <c r="E217" s="21"/>
      <c r="F217" s="22"/>
      <c r="G217" s="21"/>
      <c r="H217" s="21"/>
      <c r="I217" s="22"/>
    </row>
    <row r="218" spans="1:9" ht="12.95">
      <c r="A218" s="21"/>
      <c r="B218" s="21"/>
      <c r="C218" s="21"/>
      <c r="D218" s="21"/>
      <c r="E218" s="21"/>
      <c r="F218" s="22"/>
      <c r="G218" s="21"/>
      <c r="H218" s="21"/>
      <c r="I218" s="22"/>
    </row>
    <row r="219" spans="1:9" ht="12.95">
      <c r="A219" s="21"/>
      <c r="B219" s="21"/>
      <c r="C219" s="21"/>
      <c r="D219" s="21"/>
      <c r="E219" s="21"/>
      <c r="F219" s="22"/>
      <c r="G219" s="21"/>
      <c r="H219" s="21"/>
      <c r="I219" s="22"/>
    </row>
    <row r="220" spans="1:9" ht="12.95">
      <c r="A220" s="21"/>
      <c r="B220" s="21"/>
      <c r="C220" s="21"/>
      <c r="D220" s="21"/>
      <c r="E220" s="21"/>
      <c r="F220" s="22"/>
      <c r="G220" s="21"/>
      <c r="H220" s="21"/>
      <c r="I220" s="22"/>
    </row>
    <row r="221" spans="1:9" ht="12.95">
      <c r="A221" s="21"/>
      <c r="B221" s="21"/>
      <c r="C221" s="21"/>
      <c r="D221" s="21"/>
      <c r="E221" s="21"/>
      <c r="F221" s="22"/>
      <c r="G221" s="21"/>
      <c r="H221" s="21"/>
      <c r="I221" s="22"/>
    </row>
    <row r="222" spans="1:9" ht="12.95">
      <c r="A222" s="21"/>
      <c r="B222" s="21"/>
      <c r="C222" s="21"/>
      <c r="D222" s="21"/>
      <c r="E222" s="21"/>
      <c r="F222" s="22"/>
      <c r="G222" s="21"/>
      <c r="H222" s="21"/>
      <c r="I222" s="22"/>
    </row>
    <row r="223" spans="1:9" ht="12.95">
      <c r="A223" s="21"/>
      <c r="B223" s="21"/>
      <c r="C223" s="21"/>
      <c r="D223" s="21"/>
      <c r="E223" s="21"/>
      <c r="F223" s="22"/>
      <c r="G223" s="21"/>
      <c r="H223" s="21"/>
      <c r="I223" s="22"/>
    </row>
    <row r="224" spans="1:9" ht="12.95">
      <c r="A224" s="21"/>
      <c r="B224" s="21"/>
      <c r="C224" s="21"/>
      <c r="D224" s="21"/>
      <c r="E224" s="21"/>
      <c r="F224" s="22"/>
      <c r="G224" s="21"/>
      <c r="H224" s="21"/>
      <c r="I224" s="22"/>
    </row>
    <row r="225" spans="1:9" ht="12.95">
      <c r="A225" s="21"/>
      <c r="B225" s="21"/>
      <c r="C225" s="21"/>
      <c r="D225" s="21"/>
      <c r="E225" s="21"/>
      <c r="F225" s="22"/>
      <c r="G225" s="21"/>
      <c r="H225" s="21"/>
      <c r="I225" s="22"/>
    </row>
    <row r="226" spans="1:9" ht="12.95">
      <c r="A226" s="21"/>
      <c r="B226" s="21"/>
      <c r="C226" s="21"/>
      <c r="D226" s="21"/>
      <c r="E226" s="21"/>
      <c r="F226" s="22"/>
      <c r="G226" s="21"/>
      <c r="H226" s="21"/>
      <c r="I226" s="22"/>
    </row>
    <row r="227" spans="1:9" ht="12.95">
      <c r="A227" s="21"/>
      <c r="B227" s="21"/>
      <c r="C227" s="21"/>
      <c r="D227" s="21"/>
      <c r="E227" s="21"/>
      <c r="F227" s="22"/>
      <c r="G227" s="21"/>
      <c r="H227" s="21"/>
      <c r="I227" s="22"/>
    </row>
    <row r="228" spans="1:9" ht="12.95">
      <c r="A228" s="21"/>
      <c r="B228" s="21"/>
      <c r="C228" s="21"/>
      <c r="D228" s="21"/>
      <c r="E228" s="21"/>
      <c r="F228" s="22"/>
      <c r="G228" s="21"/>
      <c r="H228" s="21"/>
      <c r="I228" s="22"/>
    </row>
    <row r="229" spans="1:9" ht="12.95">
      <c r="A229" s="21"/>
      <c r="B229" s="21"/>
      <c r="C229" s="21"/>
      <c r="D229" s="21"/>
      <c r="E229" s="21"/>
      <c r="F229" s="22"/>
      <c r="G229" s="21"/>
      <c r="H229" s="21"/>
      <c r="I229" s="22"/>
    </row>
    <row r="230" spans="1:9" ht="12.95">
      <c r="A230" s="21"/>
      <c r="B230" s="21"/>
      <c r="C230" s="21"/>
      <c r="D230" s="21"/>
      <c r="E230" s="21"/>
      <c r="F230" s="22"/>
      <c r="G230" s="21"/>
      <c r="H230" s="21"/>
      <c r="I230" s="22"/>
    </row>
    <row r="231" spans="1:9" ht="12.95">
      <c r="A231" s="21"/>
      <c r="B231" s="21"/>
      <c r="C231" s="21"/>
      <c r="D231" s="21"/>
      <c r="E231" s="21"/>
      <c r="F231" s="22"/>
      <c r="G231" s="21"/>
      <c r="H231" s="21"/>
      <c r="I231" s="22"/>
    </row>
    <row r="232" spans="1:9" ht="12.95">
      <c r="A232" s="21"/>
      <c r="B232" s="21"/>
      <c r="C232" s="21"/>
      <c r="D232" s="21"/>
      <c r="E232" s="21"/>
      <c r="F232" s="22"/>
      <c r="G232" s="21"/>
      <c r="H232" s="21"/>
      <c r="I232" s="22"/>
    </row>
    <row r="233" spans="1:9" ht="12.95">
      <c r="A233" s="21"/>
      <c r="B233" s="21"/>
      <c r="C233" s="21"/>
      <c r="D233" s="21"/>
      <c r="E233" s="21"/>
      <c r="F233" s="22"/>
      <c r="G233" s="21"/>
      <c r="H233" s="21"/>
      <c r="I233" s="22"/>
    </row>
    <row r="234" spans="1:9" ht="12.95">
      <c r="A234" s="21"/>
      <c r="B234" s="21"/>
      <c r="C234" s="21"/>
      <c r="D234" s="21"/>
      <c r="E234" s="21"/>
      <c r="F234" s="22"/>
      <c r="G234" s="21"/>
      <c r="H234" s="21"/>
      <c r="I234" s="22"/>
    </row>
    <row r="235" spans="1:9" ht="12.95">
      <c r="A235" s="21"/>
      <c r="B235" s="21"/>
      <c r="C235" s="21"/>
      <c r="D235" s="21"/>
      <c r="E235" s="21"/>
      <c r="F235" s="22"/>
      <c r="G235" s="21"/>
      <c r="H235" s="21"/>
      <c r="I235" s="22"/>
    </row>
    <row r="236" spans="1:9" ht="12.95">
      <c r="A236" s="21"/>
      <c r="B236" s="21"/>
      <c r="C236" s="21"/>
      <c r="D236" s="21"/>
      <c r="E236" s="21"/>
      <c r="F236" s="22"/>
      <c r="G236" s="21"/>
      <c r="H236" s="21"/>
      <c r="I236" s="22"/>
    </row>
    <row r="237" spans="1:9" ht="12.95">
      <c r="A237" s="21"/>
      <c r="B237" s="21"/>
      <c r="C237" s="21"/>
      <c r="D237" s="21"/>
      <c r="E237" s="21"/>
      <c r="F237" s="22"/>
      <c r="G237" s="21"/>
      <c r="H237" s="21"/>
      <c r="I237" s="22"/>
    </row>
    <row r="238" spans="1:9" ht="12.95">
      <c r="A238" s="21"/>
      <c r="B238" s="21"/>
      <c r="C238" s="21"/>
      <c r="D238" s="21"/>
      <c r="E238" s="21"/>
      <c r="F238" s="22"/>
      <c r="G238" s="21"/>
      <c r="H238" s="21"/>
      <c r="I238" s="22"/>
    </row>
    <row r="239" spans="1:9" ht="12.95">
      <c r="A239" s="21"/>
      <c r="B239" s="21"/>
      <c r="C239" s="21"/>
      <c r="D239" s="21"/>
      <c r="E239" s="21"/>
      <c r="F239" s="22"/>
      <c r="G239" s="21"/>
      <c r="H239" s="21"/>
      <c r="I239" s="22"/>
    </row>
    <row r="240" spans="1:9" ht="12.95">
      <c r="A240" s="21"/>
      <c r="B240" s="21"/>
      <c r="C240" s="21"/>
      <c r="D240" s="21"/>
      <c r="E240" s="21"/>
      <c r="F240" s="22"/>
      <c r="G240" s="21"/>
      <c r="H240" s="21"/>
      <c r="I240" s="22"/>
    </row>
    <row r="241" spans="1:9" ht="12.95">
      <c r="A241" s="21"/>
      <c r="B241" s="21"/>
      <c r="C241" s="21"/>
      <c r="D241" s="21"/>
      <c r="E241" s="21"/>
      <c r="F241" s="22"/>
      <c r="G241" s="21"/>
      <c r="H241" s="21"/>
      <c r="I241" s="22"/>
    </row>
    <row r="242" spans="1:9" ht="12.95">
      <c r="A242" s="21"/>
      <c r="B242" s="21"/>
      <c r="C242" s="21"/>
      <c r="D242" s="21"/>
      <c r="E242" s="21"/>
      <c r="F242" s="22"/>
      <c r="G242" s="21"/>
      <c r="H242" s="21"/>
      <c r="I242" s="22"/>
    </row>
    <row r="243" spans="1:9" ht="12.95">
      <c r="A243" s="21"/>
      <c r="B243" s="21"/>
      <c r="C243" s="21"/>
      <c r="D243" s="21"/>
      <c r="E243" s="21"/>
      <c r="F243" s="22"/>
      <c r="G243" s="21"/>
      <c r="H243" s="21"/>
      <c r="I243" s="22"/>
    </row>
    <row r="244" spans="1:9" ht="12.95">
      <c r="A244" s="21"/>
      <c r="B244" s="21"/>
      <c r="C244" s="21"/>
      <c r="D244" s="21"/>
      <c r="E244" s="21"/>
      <c r="F244" s="22"/>
      <c r="G244" s="21"/>
      <c r="H244" s="21"/>
      <c r="I244" s="22"/>
    </row>
    <row r="245" spans="1:9" ht="12.95">
      <c r="A245" s="21"/>
      <c r="B245" s="21"/>
      <c r="C245" s="21"/>
      <c r="D245" s="21"/>
      <c r="E245" s="21"/>
      <c r="F245" s="22"/>
      <c r="G245" s="21"/>
      <c r="H245" s="21"/>
      <c r="I245" s="22"/>
    </row>
    <row r="246" spans="1:9" ht="12.95">
      <c r="A246" s="21"/>
      <c r="B246" s="21"/>
      <c r="C246" s="21"/>
      <c r="D246" s="21"/>
      <c r="E246" s="21"/>
      <c r="F246" s="22"/>
      <c r="G246" s="21"/>
      <c r="H246" s="21"/>
      <c r="I246" s="22"/>
    </row>
    <row r="247" spans="1:9" ht="12.95">
      <c r="A247" s="21"/>
      <c r="B247" s="21"/>
      <c r="C247" s="21"/>
      <c r="D247" s="21"/>
      <c r="E247" s="21"/>
      <c r="F247" s="22"/>
      <c r="G247" s="21"/>
      <c r="H247" s="21"/>
      <c r="I247" s="22"/>
    </row>
    <row r="248" spans="1:9" ht="12.95">
      <c r="A248" s="21"/>
      <c r="B248" s="21"/>
      <c r="C248" s="21"/>
      <c r="D248" s="21"/>
      <c r="E248" s="21"/>
      <c r="F248" s="22"/>
      <c r="G248" s="21"/>
      <c r="H248" s="21"/>
      <c r="I248" s="22"/>
    </row>
    <row r="249" spans="1:9" ht="12.95">
      <c r="A249" s="21"/>
      <c r="B249" s="21"/>
      <c r="C249" s="21"/>
      <c r="D249" s="21"/>
      <c r="E249" s="21"/>
      <c r="F249" s="22"/>
      <c r="G249" s="21"/>
      <c r="H249" s="21"/>
      <c r="I249" s="22"/>
    </row>
    <row r="250" spans="1:9" ht="12.95">
      <c r="A250" s="21"/>
      <c r="B250" s="21"/>
      <c r="C250" s="21"/>
      <c r="D250" s="21"/>
      <c r="E250" s="21"/>
      <c r="F250" s="22"/>
      <c r="G250" s="21"/>
      <c r="H250" s="21"/>
      <c r="I250" s="22"/>
    </row>
    <row r="251" spans="1:9" ht="12.95">
      <c r="A251" s="21"/>
      <c r="B251" s="21"/>
      <c r="C251" s="21"/>
      <c r="D251" s="21"/>
      <c r="E251" s="21"/>
      <c r="F251" s="22"/>
      <c r="G251" s="21"/>
      <c r="H251" s="21"/>
      <c r="I251" s="22"/>
    </row>
    <row r="252" spans="1:9" ht="12.95">
      <c r="A252" s="21"/>
      <c r="B252" s="21"/>
      <c r="C252" s="21"/>
      <c r="D252" s="21"/>
      <c r="E252" s="21"/>
      <c r="F252" s="22"/>
      <c r="G252" s="21"/>
      <c r="H252" s="21"/>
      <c r="I252" s="22"/>
    </row>
    <row r="253" spans="1:9" ht="12.95">
      <c r="A253" s="21"/>
      <c r="B253" s="21"/>
      <c r="C253" s="21"/>
      <c r="D253" s="21"/>
      <c r="E253" s="21"/>
      <c r="F253" s="22"/>
      <c r="G253" s="21"/>
      <c r="H253" s="21"/>
      <c r="I253" s="22"/>
    </row>
    <row r="254" spans="1:9" ht="12.95">
      <c r="A254" s="21"/>
      <c r="B254" s="21"/>
      <c r="C254" s="21"/>
      <c r="D254" s="21"/>
      <c r="E254" s="21"/>
      <c r="F254" s="22"/>
      <c r="G254" s="21"/>
      <c r="H254" s="21"/>
      <c r="I254" s="22"/>
    </row>
    <row r="255" spans="1:9" ht="12.95">
      <c r="A255" s="21"/>
      <c r="B255" s="21"/>
      <c r="C255" s="21"/>
      <c r="D255" s="21"/>
      <c r="E255" s="21"/>
      <c r="F255" s="22"/>
      <c r="G255" s="21"/>
      <c r="H255" s="21"/>
      <c r="I255" s="22"/>
    </row>
    <row r="256" spans="1:9" ht="12.95">
      <c r="A256" s="21"/>
      <c r="B256" s="21"/>
      <c r="C256" s="21"/>
      <c r="D256" s="21"/>
      <c r="E256" s="21"/>
      <c r="F256" s="22"/>
      <c r="G256" s="21"/>
      <c r="H256" s="21"/>
      <c r="I256" s="22"/>
    </row>
    <row r="257" spans="1:9" ht="12.95">
      <c r="A257" s="21"/>
      <c r="B257" s="21"/>
      <c r="C257" s="21"/>
      <c r="D257" s="21"/>
      <c r="E257" s="21"/>
      <c r="F257" s="22"/>
      <c r="G257" s="21"/>
      <c r="H257" s="21"/>
      <c r="I257" s="22"/>
    </row>
    <row r="258" spans="1:9" ht="12.95">
      <c r="A258" s="21"/>
      <c r="B258" s="21"/>
      <c r="C258" s="21"/>
      <c r="D258" s="21"/>
      <c r="E258" s="21"/>
      <c r="F258" s="22"/>
      <c r="G258" s="21"/>
      <c r="H258" s="21"/>
      <c r="I258" s="22"/>
    </row>
    <row r="259" spans="1:9" ht="12.95">
      <c r="A259" s="21"/>
      <c r="B259" s="21"/>
      <c r="C259" s="21"/>
      <c r="D259" s="21"/>
      <c r="E259" s="21"/>
      <c r="F259" s="22"/>
      <c r="G259" s="21"/>
      <c r="H259" s="21"/>
      <c r="I259" s="22"/>
    </row>
    <row r="260" spans="1:9" ht="12.95">
      <c r="A260" s="21"/>
      <c r="B260" s="21"/>
      <c r="C260" s="21"/>
      <c r="D260" s="21"/>
      <c r="E260" s="21"/>
      <c r="F260" s="22"/>
      <c r="G260" s="21"/>
      <c r="H260" s="21"/>
      <c r="I260" s="22"/>
    </row>
    <row r="261" spans="1:9" ht="12.95">
      <c r="A261" s="21"/>
      <c r="B261" s="21"/>
      <c r="C261" s="21"/>
      <c r="D261" s="21"/>
      <c r="E261" s="21"/>
      <c r="F261" s="22"/>
      <c r="G261" s="21"/>
      <c r="H261" s="21"/>
      <c r="I261" s="22"/>
    </row>
    <row r="262" spans="1:9" ht="12.95">
      <c r="A262" s="21"/>
      <c r="B262" s="21"/>
      <c r="C262" s="21"/>
      <c r="D262" s="21"/>
      <c r="E262" s="21"/>
      <c r="F262" s="22"/>
      <c r="G262" s="21"/>
      <c r="H262" s="21"/>
      <c r="I262" s="22"/>
    </row>
    <row r="263" spans="1:9" ht="12.95">
      <c r="A263" s="21"/>
      <c r="B263" s="21"/>
      <c r="C263" s="21"/>
      <c r="D263" s="21"/>
      <c r="E263" s="21"/>
      <c r="F263" s="22"/>
      <c r="G263" s="21"/>
      <c r="H263" s="21"/>
      <c r="I263" s="22"/>
    </row>
    <row r="264" spans="1:9" ht="12.95">
      <c r="A264" s="21"/>
      <c r="B264" s="21"/>
      <c r="C264" s="21"/>
      <c r="D264" s="21"/>
      <c r="E264" s="21"/>
      <c r="F264" s="22"/>
      <c r="G264" s="21"/>
      <c r="H264" s="21"/>
      <c r="I264" s="22"/>
    </row>
    <row r="265" spans="1:9" ht="12.95">
      <c r="A265" s="21"/>
      <c r="B265" s="21"/>
      <c r="C265" s="21"/>
      <c r="D265" s="21"/>
      <c r="E265" s="21"/>
      <c r="F265" s="22"/>
      <c r="G265" s="21"/>
      <c r="H265" s="21"/>
      <c r="I265" s="22"/>
    </row>
    <row r="266" spans="1:9" ht="12.95">
      <c r="A266" s="21"/>
      <c r="B266" s="21"/>
      <c r="C266" s="21"/>
      <c r="D266" s="21"/>
      <c r="E266" s="21"/>
      <c r="F266" s="22"/>
      <c r="G266" s="21"/>
      <c r="H266" s="21"/>
      <c r="I266" s="22"/>
    </row>
    <row r="267" spans="1:9" ht="12.95">
      <c r="A267" s="21"/>
      <c r="B267" s="21"/>
      <c r="C267" s="21"/>
      <c r="D267" s="21"/>
      <c r="E267" s="21"/>
      <c r="F267" s="22"/>
      <c r="G267" s="21"/>
      <c r="H267" s="21"/>
      <c r="I267" s="22"/>
    </row>
    <row r="268" spans="1:9" ht="12.95">
      <c r="A268" s="21"/>
      <c r="B268" s="21"/>
      <c r="C268" s="21"/>
      <c r="D268" s="21"/>
      <c r="E268" s="21"/>
      <c r="F268" s="22"/>
      <c r="G268" s="21"/>
      <c r="H268" s="21"/>
      <c r="I268" s="22"/>
    </row>
    <row r="269" spans="1:9" ht="12.95">
      <c r="A269" s="21"/>
      <c r="B269" s="21"/>
      <c r="C269" s="21"/>
      <c r="D269" s="21"/>
      <c r="E269" s="21"/>
      <c r="F269" s="22"/>
      <c r="G269" s="21"/>
      <c r="H269" s="21"/>
      <c r="I269" s="22"/>
    </row>
    <row r="270" spans="1:9" ht="12.95">
      <c r="A270" s="21"/>
      <c r="B270" s="21"/>
      <c r="C270" s="21"/>
      <c r="D270" s="21"/>
      <c r="E270" s="21"/>
      <c r="F270" s="22"/>
      <c r="G270" s="21"/>
      <c r="H270" s="21"/>
      <c r="I270" s="22"/>
    </row>
    <row r="271" spans="1:9" ht="12.95">
      <c r="A271" s="21"/>
      <c r="B271" s="21"/>
      <c r="C271" s="21"/>
      <c r="D271" s="21"/>
      <c r="E271" s="21"/>
      <c r="F271" s="22"/>
      <c r="G271" s="21"/>
      <c r="H271" s="21"/>
      <c r="I271" s="22"/>
    </row>
    <row r="272" spans="1:9" ht="12.95">
      <c r="A272" s="21"/>
      <c r="B272" s="21"/>
      <c r="C272" s="21"/>
      <c r="D272" s="21"/>
      <c r="E272" s="21"/>
      <c r="F272" s="22"/>
      <c r="G272" s="21"/>
      <c r="H272" s="21"/>
      <c r="I272" s="22"/>
    </row>
    <row r="273" spans="1:9" ht="12.95">
      <c r="A273" s="21"/>
      <c r="B273" s="21"/>
      <c r="C273" s="21"/>
      <c r="D273" s="21"/>
      <c r="E273" s="21"/>
      <c r="F273" s="22"/>
      <c r="G273" s="21"/>
      <c r="H273" s="21"/>
      <c r="I273" s="22"/>
    </row>
    <row r="274" spans="1:9" ht="12.95">
      <c r="A274" s="21"/>
      <c r="B274" s="21"/>
      <c r="C274" s="21"/>
      <c r="D274" s="21"/>
      <c r="E274" s="21"/>
      <c r="F274" s="22"/>
      <c r="G274" s="21"/>
      <c r="H274" s="21"/>
      <c r="I274" s="22"/>
    </row>
    <row r="275" spans="1:9" ht="12.95">
      <c r="A275" s="21"/>
      <c r="B275" s="21"/>
      <c r="C275" s="21"/>
      <c r="D275" s="21"/>
      <c r="E275" s="21"/>
      <c r="F275" s="22"/>
      <c r="G275" s="21"/>
      <c r="H275" s="21"/>
      <c r="I275" s="22"/>
    </row>
    <row r="276" spans="1:9" ht="12.95">
      <c r="A276" s="21"/>
      <c r="B276" s="21"/>
      <c r="C276" s="21"/>
      <c r="D276" s="21"/>
      <c r="E276" s="21"/>
      <c r="F276" s="22"/>
      <c r="G276" s="21"/>
      <c r="H276" s="21"/>
      <c r="I276" s="22"/>
    </row>
    <row r="277" spans="1:9" ht="12.95">
      <c r="A277" s="21"/>
      <c r="B277" s="21"/>
      <c r="C277" s="21"/>
      <c r="D277" s="21"/>
      <c r="E277" s="21"/>
      <c r="F277" s="22"/>
      <c r="G277" s="21"/>
      <c r="H277" s="21"/>
      <c r="I277" s="22"/>
    </row>
    <row r="278" spans="1:9" ht="12.95">
      <c r="A278" s="21"/>
      <c r="B278" s="21"/>
      <c r="C278" s="21"/>
      <c r="D278" s="21"/>
      <c r="E278" s="21"/>
      <c r="F278" s="22"/>
      <c r="G278" s="21"/>
      <c r="H278" s="21"/>
      <c r="I278" s="22"/>
    </row>
    <row r="279" spans="1:9" ht="12.95">
      <c r="A279" s="21"/>
      <c r="B279" s="21"/>
      <c r="C279" s="21"/>
      <c r="D279" s="21"/>
      <c r="E279" s="21"/>
      <c r="F279" s="22"/>
      <c r="G279" s="21"/>
      <c r="H279" s="21"/>
      <c r="I279" s="22"/>
    </row>
    <row r="280" spans="1:9" ht="12.95">
      <c r="A280" s="21"/>
      <c r="B280" s="21"/>
      <c r="C280" s="21"/>
      <c r="D280" s="21"/>
      <c r="E280" s="21"/>
      <c r="F280" s="22"/>
      <c r="G280" s="21"/>
      <c r="H280" s="21"/>
      <c r="I280" s="22"/>
    </row>
    <row r="281" spans="1:9" ht="12.95">
      <c r="A281" s="21"/>
      <c r="B281" s="21"/>
      <c r="C281" s="21"/>
      <c r="D281" s="21"/>
      <c r="E281" s="21"/>
      <c r="F281" s="22"/>
      <c r="G281" s="21"/>
      <c r="H281" s="21"/>
      <c r="I281" s="22"/>
    </row>
    <row r="282" spans="1:9" ht="12.95">
      <c r="A282" s="21"/>
      <c r="B282" s="21"/>
      <c r="C282" s="21"/>
      <c r="D282" s="21"/>
      <c r="E282" s="21"/>
      <c r="F282" s="22"/>
      <c r="G282" s="21"/>
      <c r="H282" s="21"/>
      <c r="I282" s="22"/>
    </row>
    <row r="283" spans="1:9" ht="12.95">
      <c r="A283" s="21"/>
      <c r="B283" s="21"/>
      <c r="C283" s="21"/>
      <c r="D283" s="21"/>
      <c r="E283" s="21"/>
      <c r="F283" s="22"/>
      <c r="G283" s="21"/>
      <c r="H283" s="21"/>
      <c r="I283" s="22"/>
    </row>
    <row r="284" spans="1:9" ht="12.95">
      <c r="A284" s="21"/>
      <c r="B284" s="21"/>
      <c r="C284" s="21"/>
      <c r="D284" s="21"/>
      <c r="E284" s="21"/>
      <c r="F284" s="22"/>
      <c r="G284" s="21"/>
      <c r="H284" s="21"/>
      <c r="I284" s="22"/>
    </row>
    <row r="285" spans="1:9" ht="12.95">
      <c r="A285" s="21"/>
      <c r="B285" s="21"/>
      <c r="C285" s="21"/>
      <c r="D285" s="21"/>
      <c r="E285" s="21"/>
      <c r="F285" s="22"/>
      <c r="G285" s="21"/>
      <c r="H285" s="21"/>
      <c r="I285" s="22"/>
    </row>
    <row r="286" spans="1:9" ht="12.95">
      <c r="A286" s="21"/>
      <c r="B286" s="21"/>
      <c r="C286" s="21"/>
      <c r="D286" s="21"/>
      <c r="E286" s="21"/>
      <c r="F286" s="22"/>
      <c r="G286" s="21"/>
      <c r="H286" s="21"/>
      <c r="I286" s="22"/>
    </row>
    <row r="287" spans="1:9" ht="12.95">
      <c r="A287" s="21"/>
      <c r="B287" s="21"/>
      <c r="C287" s="21"/>
      <c r="D287" s="21"/>
      <c r="E287" s="21"/>
      <c r="F287" s="22"/>
      <c r="G287" s="21"/>
      <c r="H287" s="21"/>
      <c r="I287" s="22"/>
    </row>
    <row r="288" spans="1:9" ht="12.95">
      <c r="A288" s="21"/>
      <c r="B288" s="21"/>
      <c r="C288" s="21"/>
      <c r="D288" s="21"/>
      <c r="E288" s="21"/>
      <c r="F288" s="22"/>
      <c r="G288" s="21"/>
      <c r="H288" s="21"/>
      <c r="I288" s="22"/>
    </row>
    <row r="289" spans="1:9" ht="12.95">
      <c r="A289" s="21"/>
      <c r="B289" s="21"/>
      <c r="C289" s="21"/>
      <c r="D289" s="21"/>
      <c r="E289" s="21"/>
      <c r="F289" s="22"/>
      <c r="G289" s="21"/>
      <c r="H289" s="21"/>
      <c r="I289" s="22"/>
    </row>
    <row r="290" spans="1:9" ht="12.95">
      <c r="A290" s="21"/>
      <c r="B290" s="21"/>
      <c r="C290" s="21"/>
      <c r="D290" s="21"/>
      <c r="E290" s="21"/>
      <c r="F290" s="22"/>
      <c r="G290" s="21"/>
      <c r="H290" s="21"/>
      <c r="I290" s="22"/>
    </row>
    <row r="291" spans="1:9" ht="12.95">
      <c r="A291" s="21"/>
      <c r="B291" s="21"/>
      <c r="C291" s="21"/>
      <c r="D291" s="21"/>
      <c r="E291" s="21"/>
      <c r="F291" s="22"/>
      <c r="G291" s="21"/>
      <c r="H291" s="21"/>
      <c r="I291" s="22"/>
    </row>
    <row r="292" spans="1:9" ht="12.95">
      <c r="A292" s="21"/>
      <c r="B292" s="21"/>
      <c r="C292" s="21"/>
      <c r="D292" s="21"/>
      <c r="E292" s="21"/>
      <c r="F292" s="22"/>
      <c r="G292" s="21"/>
      <c r="H292" s="21"/>
      <c r="I292" s="22"/>
    </row>
    <row r="293" spans="1:9" ht="12.95">
      <c r="A293" s="21"/>
      <c r="B293" s="21"/>
      <c r="C293" s="21"/>
      <c r="D293" s="21"/>
      <c r="E293" s="21"/>
      <c r="F293" s="22"/>
      <c r="G293" s="21"/>
      <c r="H293" s="21"/>
      <c r="I293" s="22"/>
    </row>
    <row r="294" spans="1:9" ht="12.95">
      <c r="A294" s="21"/>
      <c r="B294" s="21"/>
      <c r="C294" s="21"/>
      <c r="D294" s="21"/>
      <c r="E294" s="21"/>
      <c r="F294" s="22"/>
      <c r="G294" s="21"/>
      <c r="H294" s="21"/>
      <c r="I294" s="22"/>
    </row>
    <row r="295" spans="1:9" ht="12.95">
      <c r="A295" s="21"/>
      <c r="B295" s="21"/>
      <c r="C295" s="21"/>
      <c r="D295" s="21"/>
      <c r="E295" s="21"/>
      <c r="F295" s="22"/>
      <c r="G295" s="21"/>
      <c r="H295" s="21"/>
      <c r="I295" s="22"/>
    </row>
    <row r="296" spans="1:9" ht="12.95">
      <c r="A296" s="21"/>
      <c r="B296" s="21"/>
      <c r="C296" s="21"/>
      <c r="D296" s="21"/>
      <c r="E296" s="21"/>
      <c r="F296" s="22"/>
      <c r="G296" s="21"/>
      <c r="H296" s="21"/>
      <c r="I296" s="22"/>
    </row>
    <row r="297" spans="1:9" ht="12.95">
      <c r="A297" s="21"/>
      <c r="B297" s="21"/>
      <c r="C297" s="21"/>
      <c r="D297" s="21"/>
      <c r="E297" s="21"/>
      <c r="F297" s="22"/>
      <c r="G297" s="21"/>
      <c r="H297" s="21"/>
      <c r="I297" s="22"/>
    </row>
    <row r="298" spans="1:9" ht="12.95">
      <c r="A298" s="21"/>
      <c r="B298" s="21"/>
      <c r="C298" s="21"/>
      <c r="D298" s="21"/>
      <c r="E298" s="21"/>
      <c r="F298" s="22"/>
      <c r="G298" s="21"/>
      <c r="H298" s="21"/>
      <c r="I298" s="22"/>
    </row>
    <row r="299" spans="1:9" ht="12.95">
      <c r="A299" s="21"/>
      <c r="B299" s="21"/>
      <c r="C299" s="21"/>
      <c r="D299" s="21"/>
      <c r="E299" s="21"/>
      <c r="F299" s="22"/>
      <c r="G299" s="21"/>
      <c r="H299" s="21"/>
      <c r="I299" s="22"/>
    </row>
    <row r="300" spans="1:9" ht="12.95">
      <c r="A300" s="21"/>
      <c r="B300" s="21"/>
      <c r="C300" s="21"/>
      <c r="D300" s="21"/>
      <c r="E300" s="21"/>
      <c r="F300" s="22"/>
      <c r="G300" s="21"/>
      <c r="H300" s="21"/>
      <c r="I300" s="22"/>
    </row>
    <row r="301" spans="1:9" ht="12.95">
      <c r="A301" s="21"/>
      <c r="B301" s="21"/>
      <c r="C301" s="21"/>
      <c r="D301" s="21"/>
      <c r="E301" s="21"/>
      <c r="F301" s="22"/>
      <c r="G301" s="21"/>
      <c r="H301" s="21"/>
      <c r="I301" s="22"/>
    </row>
    <row r="302" spans="1:9" ht="12.95">
      <c r="A302" s="21"/>
      <c r="B302" s="21"/>
      <c r="C302" s="21"/>
      <c r="D302" s="21"/>
      <c r="E302" s="21"/>
      <c r="F302" s="22"/>
      <c r="G302" s="21"/>
      <c r="H302" s="21"/>
      <c r="I302" s="22"/>
    </row>
    <row r="303" spans="1:9" ht="12.95">
      <c r="A303" s="21"/>
      <c r="B303" s="21"/>
      <c r="C303" s="21"/>
      <c r="D303" s="21"/>
      <c r="E303" s="21"/>
      <c r="F303" s="22"/>
      <c r="G303" s="21"/>
      <c r="H303" s="21"/>
      <c r="I303" s="22"/>
    </row>
    <row r="304" spans="1:9" ht="12.95">
      <c r="A304" s="21"/>
      <c r="B304" s="21"/>
      <c r="C304" s="21"/>
      <c r="D304" s="21"/>
      <c r="E304" s="21"/>
      <c r="F304" s="22"/>
      <c r="G304" s="21"/>
      <c r="H304" s="21"/>
      <c r="I304" s="22"/>
    </row>
    <row r="305" spans="1:9" ht="12.95">
      <c r="A305" s="21"/>
      <c r="B305" s="21"/>
      <c r="C305" s="21"/>
      <c r="D305" s="21"/>
      <c r="E305" s="21"/>
      <c r="F305" s="22"/>
      <c r="G305" s="21"/>
      <c r="H305" s="21"/>
      <c r="I305" s="22"/>
    </row>
    <row r="306" spans="1:9" ht="12.95">
      <c r="A306" s="21"/>
      <c r="B306" s="21"/>
      <c r="C306" s="21"/>
      <c r="D306" s="21"/>
      <c r="E306" s="21"/>
      <c r="F306" s="22"/>
      <c r="G306" s="21"/>
      <c r="H306" s="21"/>
      <c r="I306" s="22"/>
    </row>
    <row r="307" spans="1:9" ht="12.95">
      <c r="A307" s="21"/>
      <c r="B307" s="21"/>
      <c r="C307" s="21"/>
      <c r="D307" s="21"/>
      <c r="E307" s="21"/>
      <c r="F307" s="22"/>
      <c r="G307" s="21"/>
      <c r="H307" s="21"/>
      <c r="I307" s="22"/>
    </row>
    <row r="308" spans="1:9" ht="12.95">
      <c r="A308" s="21"/>
      <c r="B308" s="21"/>
      <c r="C308" s="21"/>
      <c r="D308" s="21"/>
      <c r="E308" s="21"/>
      <c r="F308" s="22"/>
      <c r="G308" s="21"/>
      <c r="H308" s="21"/>
      <c r="I308" s="22"/>
    </row>
    <row r="309" spans="1:9" ht="12.95">
      <c r="A309" s="21"/>
      <c r="B309" s="21"/>
      <c r="C309" s="21"/>
      <c r="D309" s="21"/>
      <c r="E309" s="21"/>
      <c r="F309" s="22"/>
      <c r="G309" s="21"/>
      <c r="H309" s="21"/>
      <c r="I309" s="22"/>
    </row>
    <row r="310" spans="1:9" ht="12.95">
      <c r="A310" s="21"/>
      <c r="B310" s="21"/>
      <c r="C310" s="21"/>
      <c r="D310" s="21"/>
      <c r="E310" s="21"/>
      <c r="F310" s="22"/>
      <c r="G310" s="21"/>
      <c r="H310" s="21"/>
      <c r="I310" s="22"/>
    </row>
    <row r="311" spans="1:9" ht="12.95">
      <c r="A311" s="21"/>
      <c r="B311" s="21"/>
      <c r="C311" s="21"/>
      <c r="D311" s="21"/>
      <c r="E311" s="21"/>
      <c r="F311" s="22"/>
      <c r="G311" s="21"/>
      <c r="H311" s="21"/>
      <c r="I311" s="22"/>
    </row>
    <row r="312" spans="1:9" ht="12.95">
      <c r="A312" s="21"/>
      <c r="B312" s="21"/>
      <c r="C312" s="21"/>
      <c r="D312" s="21"/>
      <c r="E312" s="21"/>
      <c r="F312" s="22"/>
      <c r="G312" s="21"/>
      <c r="H312" s="21"/>
      <c r="I312" s="22"/>
    </row>
    <row r="313" spans="1:9" ht="12.95">
      <c r="A313" s="21"/>
      <c r="B313" s="21"/>
      <c r="C313" s="21"/>
      <c r="D313" s="21"/>
      <c r="E313" s="21"/>
      <c r="F313" s="22"/>
      <c r="G313" s="21"/>
      <c r="H313" s="21"/>
      <c r="I313" s="22"/>
    </row>
    <row r="314" spans="1:9" ht="12.95">
      <c r="A314" s="21"/>
      <c r="B314" s="21"/>
      <c r="C314" s="21"/>
      <c r="D314" s="21"/>
      <c r="E314" s="21"/>
      <c r="F314" s="22"/>
      <c r="G314" s="21"/>
      <c r="H314" s="21"/>
      <c r="I314" s="22"/>
    </row>
    <row r="315" spans="1:9" ht="12.95">
      <c r="A315" s="21"/>
      <c r="B315" s="21"/>
      <c r="C315" s="21"/>
      <c r="D315" s="21"/>
      <c r="E315" s="21"/>
      <c r="F315" s="22"/>
      <c r="G315" s="21"/>
      <c r="H315" s="21"/>
      <c r="I315" s="22"/>
    </row>
    <row r="316" spans="1:9" ht="12.95">
      <c r="A316" s="21"/>
      <c r="B316" s="21"/>
      <c r="C316" s="21"/>
      <c r="D316" s="21"/>
      <c r="E316" s="21"/>
      <c r="F316" s="22"/>
      <c r="G316" s="21"/>
      <c r="H316" s="21"/>
      <c r="I316" s="22"/>
    </row>
    <row r="317" spans="1:9" ht="12.95">
      <c r="A317" s="21"/>
      <c r="B317" s="21"/>
      <c r="C317" s="21"/>
      <c r="D317" s="21"/>
      <c r="E317" s="21"/>
      <c r="F317" s="22"/>
      <c r="G317" s="21"/>
      <c r="H317" s="21"/>
      <c r="I317" s="22"/>
    </row>
    <row r="318" spans="1:9" ht="12.95">
      <c r="A318" s="21"/>
      <c r="B318" s="21"/>
      <c r="C318" s="21"/>
      <c r="D318" s="21"/>
      <c r="E318" s="21"/>
      <c r="F318" s="22"/>
      <c r="G318" s="21"/>
      <c r="H318" s="21"/>
      <c r="I318" s="22"/>
    </row>
    <row r="319" spans="1:9" ht="12.95">
      <c r="A319" s="21"/>
      <c r="B319" s="21"/>
      <c r="C319" s="21"/>
      <c r="D319" s="21"/>
      <c r="E319" s="21"/>
      <c r="F319" s="22"/>
      <c r="G319" s="21"/>
      <c r="H319" s="21"/>
      <c r="I319" s="22"/>
    </row>
    <row r="320" spans="1:9" ht="12.95">
      <c r="A320" s="21"/>
      <c r="B320" s="21"/>
      <c r="C320" s="21"/>
      <c r="D320" s="21"/>
      <c r="E320" s="21"/>
      <c r="F320" s="22"/>
      <c r="G320" s="21"/>
      <c r="H320" s="21"/>
      <c r="I320" s="22"/>
    </row>
    <row r="321" spans="1:9" ht="12.95">
      <c r="A321" s="21"/>
      <c r="B321" s="21"/>
      <c r="C321" s="21"/>
      <c r="D321" s="21"/>
      <c r="E321" s="21"/>
      <c r="F321" s="22"/>
      <c r="G321" s="21"/>
      <c r="H321" s="21"/>
      <c r="I321" s="22"/>
    </row>
    <row r="322" spans="1:9" ht="12.95">
      <c r="A322" s="21"/>
      <c r="B322" s="21"/>
      <c r="C322" s="21"/>
      <c r="D322" s="21"/>
      <c r="E322" s="21"/>
      <c r="F322" s="22"/>
      <c r="G322" s="21"/>
      <c r="H322" s="21"/>
      <c r="I322" s="22"/>
    </row>
    <row r="323" spans="1:9" ht="12.95">
      <c r="A323" s="21"/>
      <c r="B323" s="21"/>
      <c r="C323" s="21"/>
      <c r="D323" s="21"/>
      <c r="E323" s="21"/>
      <c r="F323" s="22"/>
      <c r="G323" s="21"/>
      <c r="H323" s="21"/>
      <c r="I323" s="22"/>
    </row>
    <row r="324" spans="1:9" ht="12.95">
      <c r="A324" s="21"/>
      <c r="B324" s="21"/>
      <c r="C324" s="21"/>
      <c r="D324" s="21"/>
      <c r="E324" s="21"/>
      <c r="F324" s="22"/>
      <c r="G324" s="21"/>
      <c r="H324" s="21"/>
      <c r="I324" s="22"/>
    </row>
    <row r="325" spans="1:9" ht="12.95">
      <c r="A325" s="21"/>
      <c r="B325" s="21"/>
      <c r="C325" s="21"/>
      <c r="D325" s="21"/>
      <c r="E325" s="21"/>
      <c r="F325" s="22"/>
      <c r="G325" s="21"/>
      <c r="H325" s="21"/>
      <c r="I325" s="22"/>
    </row>
    <row r="326" spans="1:9" ht="12.95">
      <c r="A326" s="21"/>
      <c r="B326" s="21"/>
      <c r="C326" s="21"/>
      <c r="D326" s="21"/>
      <c r="E326" s="21"/>
      <c r="F326" s="22"/>
      <c r="G326" s="21"/>
      <c r="H326" s="21"/>
      <c r="I326" s="22"/>
    </row>
    <row r="327" spans="1:9" ht="12.95">
      <c r="A327" s="21"/>
      <c r="B327" s="21"/>
      <c r="C327" s="21"/>
      <c r="D327" s="21"/>
      <c r="E327" s="21"/>
      <c r="F327" s="22"/>
      <c r="G327" s="21"/>
      <c r="H327" s="21"/>
      <c r="I327" s="22"/>
    </row>
    <row r="328" spans="1:9" ht="12.95">
      <c r="A328" s="21"/>
      <c r="B328" s="21"/>
      <c r="C328" s="21"/>
      <c r="D328" s="21"/>
      <c r="E328" s="21"/>
      <c r="F328" s="22"/>
      <c r="G328" s="21"/>
      <c r="H328" s="21"/>
      <c r="I328" s="22"/>
    </row>
    <row r="329" spans="1:9" ht="12.95">
      <c r="A329" s="21"/>
      <c r="B329" s="21"/>
      <c r="C329" s="21"/>
      <c r="D329" s="21"/>
      <c r="E329" s="21"/>
      <c r="F329" s="22"/>
      <c r="G329" s="21"/>
      <c r="H329" s="21"/>
      <c r="I329" s="22"/>
    </row>
    <row r="330" spans="1:9" ht="12.95">
      <c r="A330" s="21"/>
      <c r="B330" s="21"/>
      <c r="C330" s="21"/>
      <c r="D330" s="21"/>
      <c r="E330" s="21"/>
      <c r="F330" s="22"/>
      <c r="G330" s="21"/>
      <c r="H330" s="21"/>
      <c r="I330" s="22"/>
    </row>
    <row r="331" spans="1:9" ht="12.95">
      <c r="A331" s="21"/>
      <c r="B331" s="21"/>
      <c r="C331" s="21"/>
      <c r="D331" s="21"/>
      <c r="E331" s="21"/>
      <c r="F331" s="22"/>
      <c r="G331" s="21"/>
      <c r="H331" s="21"/>
      <c r="I331" s="22"/>
    </row>
    <row r="332" spans="1:9" ht="12.95">
      <c r="A332" s="21"/>
      <c r="B332" s="21"/>
      <c r="C332" s="21"/>
      <c r="D332" s="21"/>
      <c r="E332" s="21"/>
      <c r="F332" s="22"/>
      <c r="G332" s="21"/>
      <c r="H332" s="21"/>
      <c r="I332" s="22"/>
    </row>
    <row r="333" spans="1:9" ht="12.95">
      <c r="A333" s="21"/>
      <c r="B333" s="21"/>
      <c r="C333" s="21"/>
      <c r="D333" s="21"/>
      <c r="E333" s="21"/>
      <c r="F333" s="22"/>
      <c r="G333" s="21"/>
      <c r="H333" s="21"/>
      <c r="I333" s="22"/>
    </row>
    <row r="334" spans="1:9" ht="12.95">
      <c r="A334" s="21"/>
      <c r="B334" s="21"/>
      <c r="C334" s="21"/>
      <c r="D334" s="21"/>
      <c r="E334" s="21"/>
      <c r="F334" s="22"/>
      <c r="G334" s="21"/>
      <c r="H334" s="21"/>
      <c r="I334" s="22"/>
    </row>
    <row r="335" spans="1:9" ht="12.95">
      <c r="A335" s="21"/>
      <c r="B335" s="21"/>
      <c r="C335" s="21"/>
      <c r="D335" s="21"/>
      <c r="E335" s="21"/>
      <c r="F335" s="22"/>
      <c r="G335" s="21"/>
      <c r="H335" s="21"/>
      <c r="I335" s="22"/>
    </row>
    <row r="336" spans="1:9" ht="12.95">
      <c r="A336" s="21"/>
      <c r="B336" s="21"/>
      <c r="C336" s="21"/>
      <c r="D336" s="21"/>
      <c r="E336" s="21"/>
      <c r="F336" s="22"/>
      <c r="G336" s="21"/>
      <c r="H336" s="21"/>
      <c r="I336" s="22"/>
    </row>
    <row r="337" spans="1:9" ht="12.95">
      <c r="A337" s="21"/>
      <c r="B337" s="21"/>
      <c r="C337" s="21"/>
      <c r="D337" s="21"/>
      <c r="E337" s="21"/>
      <c r="F337" s="22"/>
      <c r="G337" s="21"/>
      <c r="H337" s="21"/>
      <c r="I337" s="22"/>
    </row>
    <row r="338" spans="1:9" ht="12.95">
      <c r="A338" s="21"/>
      <c r="B338" s="21"/>
      <c r="C338" s="21"/>
      <c r="D338" s="21"/>
      <c r="E338" s="21"/>
      <c r="F338" s="22"/>
      <c r="G338" s="21"/>
      <c r="H338" s="21"/>
      <c r="I338" s="22"/>
    </row>
    <row r="339" spans="1:9" ht="12.95">
      <c r="A339" s="21"/>
      <c r="B339" s="21"/>
      <c r="C339" s="21"/>
      <c r="D339" s="21"/>
      <c r="E339" s="21"/>
      <c r="F339" s="22"/>
      <c r="G339" s="21"/>
      <c r="H339" s="21"/>
      <c r="I339" s="22"/>
    </row>
    <row r="340" spans="1:9" ht="12.95">
      <c r="A340" s="21"/>
      <c r="B340" s="21"/>
      <c r="C340" s="21"/>
      <c r="D340" s="21"/>
      <c r="E340" s="21"/>
      <c r="F340" s="22"/>
      <c r="G340" s="21"/>
      <c r="H340" s="21"/>
      <c r="I340" s="22"/>
    </row>
    <row r="341" spans="1:9" ht="12.95">
      <c r="A341" s="21"/>
      <c r="B341" s="21"/>
      <c r="C341" s="21"/>
      <c r="D341" s="21"/>
      <c r="E341" s="21"/>
      <c r="F341" s="22"/>
      <c r="G341" s="21"/>
      <c r="H341" s="21"/>
      <c r="I341" s="22"/>
    </row>
    <row r="342" spans="1:9" ht="12.95">
      <c r="A342" s="21"/>
      <c r="B342" s="21"/>
      <c r="C342" s="21"/>
      <c r="D342" s="21"/>
      <c r="E342" s="21"/>
      <c r="F342" s="22"/>
      <c r="G342" s="21"/>
      <c r="H342" s="21"/>
      <c r="I342" s="22"/>
    </row>
  </sheetData>
  <sortState xmlns:xlrd2="http://schemas.microsoft.com/office/spreadsheetml/2017/richdata2" ref="A3:I4">
    <sortCondition ref="A3:A4"/>
  </sortState>
  <mergeCells count="4">
    <mergeCell ref="G1:I1"/>
    <mergeCell ref="A1:C1"/>
    <mergeCell ref="D1:F1"/>
    <mergeCell ref="A2:B2"/>
  </mergeCells>
  <conditionalFormatting sqref="F2 I2 F4:F100 I4:I100">
    <cfRule type="cellIs" dxfId="56" priority="1" stopIfTrue="1" operator="lessThanOrEqual">
      <formula>-0.1</formula>
    </cfRule>
    <cfRule type="expression" dxfId="55"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42"/>
  <sheetViews>
    <sheetView workbookViewId="0">
      <pane xSplit="2" ySplit="3" topLeftCell="C46" activePane="bottomRight" state="frozen"/>
      <selection pane="bottomRight" activeCell="K52" sqref="K52"/>
      <selection pane="bottomLeft"/>
      <selection pane="topRight"/>
    </sheetView>
  </sheetViews>
  <sheetFormatPr defaultRowHeight="12.6"/>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20" t="str" cm="1">
        <f t="array" ref="A1">portfolio</f>
        <v>Silicon Ranch</v>
      </c>
      <c r="B1" s="120"/>
      <c r="C1" s="120"/>
      <c r="D1" s="121" t="s">
        <v>14</v>
      </c>
      <c r="E1" s="121"/>
      <c r="F1" s="121"/>
      <c r="G1" s="119" t="s">
        <v>15</v>
      </c>
      <c r="H1" s="119"/>
      <c r="I1" s="119"/>
    </row>
    <row r="2" spans="1:9" ht="19.5" customHeight="1">
      <c r="A2" s="122" t="s">
        <v>2</v>
      </c>
      <c r="B2" s="122"/>
      <c r="C2" s="5">
        <f>SUM(C4:C100)</f>
        <v>0</v>
      </c>
      <c r="D2" s="5">
        <f>SUM(D4:D100)</f>
        <v>0</v>
      </c>
      <c r="E2" s="5">
        <f>C2-D2</f>
        <v>0</v>
      </c>
      <c r="F2" s="6">
        <f>IFERROR(E2/D2, 0)</f>
        <v>0</v>
      </c>
      <c r="G2" s="5">
        <f>SUM(G4:G100)</f>
        <v>0</v>
      </c>
      <c r="H2" s="7">
        <f>C2-G2</f>
        <v>0</v>
      </c>
      <c r="I2" s="6">
        <f>IFERROR(H2/G2, 0)</f>
        <v>0</v>
      </c>
    </row>
    <row r="3" spans="1:9" ht="14.25" customHeight="1">
      <c r="A3" s="8" t="s">
        <v>3</v>
      </c>
      <c r="B3" s="8" t="s">
        <v>4</v>
      </c>
      <c r="C3" s="23" t="s">
        <v>5</v>
      </c>
      <c r="D3" s="35" t="s">
        <v>6</v>
      </c>
      <c r="E3" s="35" t="s">
        <v>7</v>
      </c>
      <c r="F3" s="36" t="s">
        <v>8</v>
      </c>
      <c r="G3" s="37" t="s">
        <v>9</v>
      </c>
      <c r="H3" s="38" t="s">
        <v>7</v>
      </c>
      <c r="I3" s="39" t="s">
        <v>8</v>
      </c>
    </row>
    <row r="4" spans="1:9" ht="15.6">
      <c r="A4" s="48" t="str" cm="1">
        <f t="array" ref="A4:A69">Sites[Site]</f>
        <v>Iron Mountain - Windsor</v>
      </c>
      <c r="B4" s="9" t="str" cm="1">
        <f t="array" ref="B4:B69">Sites[State]</f>
        <v>CT</v>
      </c>
      <c r="C4" s="24">
        <f>SUM(Jul!C4, Aug!C4, Sep!C4)</f>
        <v>0</v>
      </c>
      <c r="D4" s="13">
        <f>SUM(Jul!D4, Aug!D4, Sep!D4)</f>
        <v>0</v>
      </c>
      <c r="E4" s="13">
        <f>IF(AND(ISNUMBER(C4),ISNUMBER(D4)), C4-D4, "")</f>
        <v>0</v>
      </c>
      <c r="F4" s="14" t="str">
        <f>IFERROR(E4/D4, "")</f>
        <v/>
      </c>
      <c r="G4" s="15">
        <f>SUM(Jul!G4, Aug!G4, Sep!G4)</f>
        <v>0</v>
      </c>
      <c r="H4" s="15">
        <f>SUM(Jul!H4, Aug!H4, Sep!H4)</f>
        <v>0</v>
      </c>
      <c r="I4" s="16" t="str">
        <f>IFERROR(H4/G4, "")</f>
        <v/>
      </c>
    </row>
    <row r="5" spans="1:9" ht="15.6">
      <c r="A5" s="49" t="str">
        <v>Kohls - Auburn</v>
      </c>
      <c r="B5" s="10" t="str">
        <v>NY</v>
      </c>
      <c r="C5" s="11">
        <f>SUM(Jul!C5, Aug!C5, Sep!C5)</f>
        <v>0</v>
      </c>
      <c r="D5" s="18">
        <f>SUM(Jul!D5, Aug!D5, Sep!D5)</f>
        <v>0</v>
      </c>
      <c r="E5" s="18">
        <f t="shared" ref="E5:E15" si="0">IF(AND(ISNUMBER(C5),ISNUMBER(D5)), C5-D5, "")</f>
        <v>0</v>
      </c>
      <c r="F5" s="19" t="str">
        <f>IFERROR(E5/D5, "")</f>
        <v/>
      </c>
      <c r="G5" s="20">
        <f>SUM(Jul!G5, Aug!G5, Sep!G5)</f>
        <v>0</v>
      </c>
      <c r="H5" s="20">
        <f>SUM(Jul!H5, Aug!H5, Sep!H5)</f>
        <v>0</v>
      </c>
      <c r="I5" s="19" t="str">
        <f>IFERROR(H5/G5, "")</f>
        <v/>
      </c>
    </row>
    <row r="6" spans="1:9" ht="15.6">
      <c r="A6" s="48" t="str">
        <v>Kohls - Bensalem</v>
      </c>
      <c r="B6" s="9" t="str">
        <v>PA</v>
      </c>
      <c r="C6" s="24">
        <f>SUM(Jul!C6, Aug!C6, Sep!C6)</f>
        <v>0</v>
      </c>
      <c r="D6" s="13">
        <f>SUM(Jul!D6, Aug!D6, Sep!D6)</f>
        <v>0</v>
      </c>
      <c r="E6" s="13">
        <f t="shared" si="0"/>
        <v>0</v>
      </c>
      <c r="F6" s="14" t="str">
        <f t="shared" ref="F6:F15" si="1">IFERROR(E6/D6, "")</f>
        <v/>
      </c>
      <c r="G6" s="15">
        <f>SUM(Jul!G6, Aug!G6, Sep!G6)</f>
        <v>0</v>
      </c>
      <c r="H6" s="15">
        <f>SUM(Jul!H6, Aug!H6, Sep!H6)</f>
        <v>0</v>
      </c>
      <c r="I6" s="16" t="str">
        <f t="shared" ref="I6:I15" si="2">IFERROR(H6/G6, "")</f>
        <v/>
      </c>
    </row>
    <row r="7" spans="1:9" ht="15.6">
      <c r="A7" s="49" t="str">
        <v>Kohls - Brick</v>
      </c>
      <c r="B7" s="10" t="str">
        <v>NJ</v>
      </c>
      <c r="C7" s="11">
        <f>SUM(Jul!C7, Aug!C7, Sep!C7)</f>
        <v>0</v>
      </c>
      <c r="D7" s="18">
        <f>SUM(Jul!D7, Aug!D7, Sep!D7)</f>
        <v>0</v>
      </c>
      <c r="E7" s="18">
        <f t="shared" si="0"/>
        <v>0</v>
      </c>
      <c r="F7" s="19" t="str">
        <f t="shared" si="1"/>
        <v/>
      </c>
      <c r="G7" s="20">
        <f>SUM(Jul!G7, Aug!G7, Sep!G7)</f>
        <v>0</v>
      </c>
      <c r="H7" s="20">
        <f>SUM(Jul!H7, Aug!H7, Sep!H7)</f>
        <v>0</v>
      </c>
      <c r="I7" s="19" t="str">
        <f t="shared" si="2"/>
        <v/>
      </c>
    </row>
    <row r="8" spans="1:9" ht="15.6">
      <c r="A8" s="48" t="str">
        <v>Kohls - Buffalo</v>
      </c>
      <c r="B8" s="9" t="str">
        <v>NY</v>
      </c>
      <c r="C8" s="24">
        <f>SUM(Jul!C8, Aug!C8, Sep!C8)</f>
        <v>0</v>
      </c>
      <c r="D8" s="13">
        <f>SUM(Jul!D8, Aug!D8, Sep!D8)</f>
        <v>0</v>
      </c>
      <c r="E8" s="13">
        <f t="shared" si="0"/>
        <v>0</v>
      </c>
      <c r="F8" s="14" t="str">
        <f t="shared" si="1"/>
        <v/>
      </c>
      <c r="G8" s="15">
        <f>SUM(Jul!G8, Aug!G8, Sep!G8)</f>
        <v>0</v>
      </c>
      <c r="H8" s="15">
        <f>SUM(Jul!H8, Aug!H8, Sep!H8)</f>
        <v>0</v>
      </c>
      <c r="I8" s="16" t="str">
        <f t="shared" si="2"/>
        <v/>
      </c>
    </row>
    <row r="9" spans="1:9" ht="15.6">
      <c r="A9" s="49" t="str">
        <v>Kohls - Canton</v>
      </c>
      <c r="B9" s="10" t="str">
        <v>CT</v>
      </c>
      <c r="C9" s="11">
        <f>SUM(Jul!C9, Aug!C9, Sep!C9)</f>
        <v>0</v>
      </c>
      <c r="D9" s="18">
        <f>SUM(Jul!D9, Aug!D9, Sep!D9)</f>
        <v>0</v>
      </c>
      <c r="E9" s="18">
        <f t="shared" si="0"/>
        <v>0</v>
      </c>
      <c r="F9" s="19" t="str">
        <f t="shared" si="1"/>
        <v/>
      </c>
      <c r="G9" s="20">
        <f>SUM(Jul!G9, Aug!G9, Sep!G9)</f>
        <v>0</v>
      </c>
      <c r="H9" s="20">
        <f>SUM(Jul!H9, Aug!H9, Sep!H9)</f>
        <v>0</v>
      </c>
      <c r="I9" s="19" t="str">
        <f t="shared" si="2"/>
        <v/>
      </c>
    </row>
    <row r="10" spans="1:9" ht="15.6">
      <c r="A10" s="48" t="str">
        <v>Kohls - East Amherst</v>
      </c>
      <c r="B10" s="9" t="str">
        <v>NY</v>
      </c>
      <c r="C10" s="24">
        <f>SUM(Jul!C10, Aug!C10, Sep!C10)</f>
        <v>0</v>
      </c>
      <c r="D10" s="13">
        <f>SUM(Jul!D10, Aug!D10, Sep!D10)</f>
        <v>0</v>
      </c>
      <c r="E10" s="13">
        <f t="shared" si="0"/>
        <v>0</v>
      </c>
      <c r="F10" s="14" t="str">
        <f t="shared" si="1"/>
        <v/>
      </c>
      <c r="G10" s="15">
        <f>SUM(Jul!G10, Aug!G10, Sep!G10)</f>
        <v>0</v>
      </c>
      <c r="H10" s="15">
        <f>SUM(Jul!H10, Aug!H10, Sep!H10)</f>
        <v>0</v>
      </c>
      <c r="I10" s="16" t="str">
        <f t="shared" si="2"/>
        <v/>
      </c>
    </row>
    <row r="11" spans="1:9" ht="15.6">
      <c r="A11" s="49" t="str">
        <v>Kohls - East Brunswick</v>
      </c>
      <c r="B11" s="10" t="str">
        <v>NJ</v>
      </c>
      <c r="C11" s="11">
        <f>SUM(Jul!C11, Aug!C11, Sep!C11)</f>
        <v>0</v>
      </c>
      <c r="D11" s="18">
        <f>SUM(Jul!D11, Aug!D11, Sep!D11)</f>
        <v>0</v>
      </c>
      <c r="E11" s="18">
        <f t="shared" si="0"/>
        <v>0</v>
      </c>
      <c r="F11" s="19" t="str">
        <f t="shared" si="1"/>
        <v/>
      </c>
      <c r="G11" s="20">
        <f>SUM(Jul!G11, Aug!G11, Sep!G11)</f>
        <v>0</v>
      </c>
      <c r="H11" s="20">
        <f>SUM(Jul!H11, Aug!H11, Sep!H11)</f>
        <v>0</v>
      </c>
      <c r="I11" s="19" t="str">
        <f t="shared" si="2"/>
        <v/>
      </c>
    </row>
    <row r="12" spans="1:9" ht="15.6">
      <c r="A12" s="48" t="str">
        <v>Kohls - Edgewood</v>
      </c>
      <c r="B12" s="9" t="str">
        <v>MD</v>
      </c>
      <c r="C12" s="24">
        <f>SUM(Jul!C12, Aug!C12, Sep!C12)</f>
        <v>0</v>
      </c>
      <c r="D12" s="13">
        <f>SUM(Jul!D12, Aug!D12, Sep!D12)</f>
        <v>0</v>
      </c>
      <c r="E12" s="13">
        <f t="shared" si="0"/>
        <v>0</v>
      </c>
      <c r="F12" s="14" t="str">
        <f t="shared" si="1"/>
        <v/>
      </c>
      <c r="G12" s="15">
        <f>SUM(Jul!G12, Aug!G12, Sep!G12)</f>
        <v>0</v>
      </c>
      <c r="H12" s="15">
        <f>SUM(Jul!H12, Aug!H12, Sep!H12)</f>
        <v>0</v>
      </c>
      <c r="I12" s="16" t="str">
        <f t="shared" si="2"/>
        <v/>
      </c>
    </row>
    <row r="13" spans="1:9" ht="15.6">
      <c r="A13" s="49" t="str">
        <v>Kohls - Granite Run</v>
      </c>
      <c r="B13" s="10" t="str">
        <v>PA</v>
      </c>
      <c r="C13" s="11">
        <f>SUM(Jul!C13, Aug!C13, Sep!C13)</f>
        <v>0</v>
      </c>
      <c r="D13" s="18">
        <f>SUM(Jul!D13, Aug!D13, Sep!D13)</f>
        <v>0</v>
      </c>
      <c r="E13" s="18">
        <f t="shared" si="0"/>
        <v>0</v>
      </c>
      <c r="F13" s="19" t="str">
        <f t="shared" si="1"/>
        <v/>
      </c>
      <c r="G13" s="20">
        <f>SUM(Jul!G13, Aug!G13, Sep!G13)</f>
        <v>0</v>
      </c>
      <c r="H13" s="20">
        <f>SUM(Jul!H13, Aug!H13, Sep!H13)</f>
        <v>0</v>
      </c>
      <c r="I13" s="19" t="str">
        <f t="shared" si="2"/>
        <v/>
      </c>
    </row>
    <row r="14" spans="1:9" ht="15.6">
      <c r="A14" s="48" t="str">
        <v>Kohls - Greece</v>
      </c>
      <c r="B14" s="9" t="str">
        <v>NY</v>
      </c>
      <c r="C14" s="24">
        <f>SUM(Jul!C14, Aug!C14, Sep!C14)</f>
        <v>0</v>
      </c>
      <c r="D14" s="13">
        <f>SUM(Jul!D14, Aug!D14, Sep!D14)</f>
        <v>0</v>
      </c>
      <c r="E14" s="13">
        <f t="shared" si="0"/>
        <v>0</v>
      </c>
      <c r="F14" s="14" t="str">
        <f t="shared" si="1"/>
        <v/>
      </c>
      <c r="G14" s="15">
        <f>SUM(Jul!G14, Aug!G14, Sep!G14)</f>
        <v>0</v>
      </c>
      <c r="H14" s="15">
        <f>SUM(Jul!H14, Aug!H14, Sep!H14)</f>
        <v>0</v>
      </c>
      <c r="I14" s="16" t="str">
        <f t="shared" si="2"/>
        <v/>
      </c>
    </row>
    <row r="15" spans="1:9" ht="15.6">
      <c r="A15" s="49" t="str">
        <v>Kohls - Hanover</v>
      </c>
      <c r="B15" s="10" t="str">
        <v>PA</v>
      </c>
      <c r="C15" s="11">
        <f>SUM(Jul!C15, Aug!C15, Sep!C15)</f>
        <v>0</v>
      </c>
      <c r="D15" s="18">
        <f>SUM(Jul!D15, Aug!D15, Sep!D15)</f>
        <v>0</v>
      </c>
      <c r="E15" s="18">
        <f t="shared" si="0"/>
        <v>0</v>
      </c>
      <c r="F15" s="19" t="str">
        <f t="shared" si="1"/>
        <v/>
      </c>
      <c r="G15" s="20">
        <f>SUM(Jul!G15, Aug!G15, Sep!G15)</f>
        <v>0</v>
      </c>
      <c r="H15" s="20">
        <f>SUM(Jul!H15, Aug!H15, Sep!H15)</f>
        <v>0</v>
      </c>
      <c r="I15" s="19" t="str">
        <f t="shared" si="2"/>
        <v/>
      </c>
    </row>
    <row r="16" spans="1:9" ht="15.6">
      <c r="A16" s="48" t="str">
        <v>Kohls - Horsehead</v>
      </c>
      <c r="B16" s="9" t="str">
        <v>NY</v>
      </c>
      <c r="C16" s="24">
        <f>SUM(Jul!C16, Aug!C16, Sep!C16)</f>
        <v>0</v>
      </c>
      <c r="D16" s="13">
        <f>SUM(Jul!D16, Aug!D16, Sep!D16)</f>
        <v>0</v>
      </c>
      <c r="E16" s="13">
        <f t="shared" ref="E16:E19" si="3">IF(AND(ISNUMBER(C16),ISNUMBER(D16)), C16-D16, "")</f>
        <v>0</v>
      </c>
      <c r="F16" s="14" t="str">
        <f t="shared" ref="F16:F19" si="4">IFERROR(E16/D16, "")</f>
        <v/>
      </c>
      <c r="G16" s="15">
        <f>SUM(Jul!G16, Aug!G16, Sep!G16)</f>
        <v>0</v>
      </c>
      <c r="H16" s="15">
        <f>SUM(Jul!H16, Aug!H16, Sep!H16)</f>
        <v>0</v>
      </c>
      <c r="I16" s="16" t="str">
        <f t="shared" ref="I16:I19" si="5">IFERROR(H16/G16, "")</f>
        <v/>
      </c>
    </row>
    <row r="17" spans="1:9" ht="15.6">
      <c r="A17" s="49" t="str">
        <v>Kohls - Hudson</v>
      </c>
      <c r="B17" s="10" t="str">
        <v>NY</v>
      </c>
      <c r="C17" s="11">
        <f>SUM(Jul!C17, Aug!C17, Sep!C17)</f>
        <v>0</v>
      </c>
      <c r="D17" s="18">
        <f>SUM(Jul!D17, Aug!D17, Sep!D17)</f>
        <v>0</v>
      </c>
      <c r="E17" s="18">
        <f t="shared" si="3"/>
        <v>0</v>
      </c>
      <c r="F17" s="19" t="str">
        <f t="shared" si="4"/>
        <v/>
      </c>
      <c r="G17" s="20">
        <f>SUM(Jul!G17, Aug!G17, Sep!G17)</f>
        <v>0</v>
      </c>
      <c r="H17" s="20">
        <f>SUM(Jul!H17, Aug!H17, Sep!H17)</f>
        <v>0</v>
      </c>
      <c r="I17" s="19" t="str">
        <f t="shared" si="5"/>
        <v/>
      </c>
    </row>
    <row r="18" spans="1:9" ht="12.75" customHeight="1">
      <c r="A18" s="48" t="str">
        <v>Kohls - Ithaca</v>
      </c>
      <c r="B18" s="12" t="str">
        <v>NY</v>
      </c>
      <c r="C18" s="24">
        <f>SUM(Jul!C18, Aug!C18, Sep!C18)</f>
        <v>0</v>
      </c>
      <c r="D18" s="13">
        <f>SUM(Jul!D18, Aug!D18, Sep!D18)</f>
        <v>0</v>
      </c>
      <c r="E18" s="13">
        <f t="shared" si="3"/>
        <v>0</v>
      </c>
      <c r="F18" s="14" t="str">
        <f t="shared" si="4"/>
        <v/>
      </c>
      <c r="G18" s="15">
        <f>SUM(Jul!G18, Aug!G18, Sep!G18)</f>
        <v>0</v>
      </c>
      <c r="H18" s="15">
        <f>SUM(Jul!H18, Aug!H18, Sep!H18)</f>
        <v>0</v>
      </c>
      <c r="I18" s="16" t="str">
        <f t="shared" si="5"/>
        <v/>
      </c>
    </row>
    <row r="19" spans="1:9" ht="15.6">
      <c r="A19" s="49" t="str">
        <v>Kohls - Kingston</v>
      </c>
      <c r="B19" s="17" t="str">
        <v>NY</v>
      </c>
      <c r="C19" s="11">
        <f>SUM(Jul!C19, Aug!C19, Sep!C21)</f>
        <v>0</v>
      </c>
      <c r="D19" s="18">
        <f>SUM(Jul!D19, Aug!D19, Sep!D21)</f>
        <v>0</v>
      </c>
      <c r="E19" s="18">
        <f t="shared" si="3"/>
        <v>0</v>
      </c>
      <c r="F19" s="19" t="str">
        <f t="shared" si="4"/>
        <v/>
      </c>
      <c r="G19" s="20">
        <f>SUM(Jul!G19, Aug!G19, Sep!G19)</f>
        <v>0</v>
      </c>
      <c r="H19" s="20">
        <f>SUM(Jul!H19, Aug!H19, Sep!H21)</f>
        <v>0</v>
      </c>
      <c r="I19" s="19" t="str">
        <f t="shared" si="5"/>
        <v/>
      </c>
    </row>
    <row r="20" spans="1:9" ht="15.6">
      <c r="A20" s="48" t="str">
        <v>Kohls - Mechanicsburg</v>
      </c>
      <c r="B20" s="12" t="str">
        <v>PA</v>
      </c>
      <c r="C20" s="24">
        <f>SUM(Jul!C20, Aug!C20, Sep!C22)</f>
        <v>0</v>
      </c>
      <c r="D20" s="13">
        <f>SUM(Jul!D20, Aug!D20, Sep!D22)</f>
        <v>0</v>
      </c>
      <c r="E20" s="13">
        <f t="shared" ref="E20:E25" si="6">IF(AND(ISNUMBER(C20),ISNUMBER(D20)), C20-D20, "")</f>
        <v>0</v>
      </c>
      <c r="F20" s="14" t="str">
        <f t="shared" ref="F20:F25" si="7">IFERROR(E20/D20, "")</f>
        <v/>
      </c>
      <c r="G20" s="15">
        <f>SUM(Jul!G20, Aug!G20, Sep!G20)</f>
        <v>0</v>
      </c>
      <c r="H20" s="15">
        <f>SUM(Jul!H20, Aug!H20, Sep!H22)</f>
        <v>0</v>
      </c>
      <c r="I20" s="16" t="str">
        <f t="shared" ref="I20:I25" si="8">IFERROR(H20/G20, "")</f>
        <v/>
      </c>
    </row>
    <row r="21" spans="1:9" ht="15.6">
      <c r="A21" s="49" t="str">
        <v>Kohls - Middletown</v>
      </c>
      <c r="B21" s="17" t="str">
        <v>NJ</v>
      </c>
      <c r="C21" s="11">
        <f>SUM(Jul!C21, Aug!C21, Sep!C23)</f>
        <v>0</v>
      </c>
      <c r="D21" s="18">
        <f>SUM(Jul!D21, Aug!D21, Sep!D23)</f>
        <v>0</v>
      </c>
      <c r="E21" s="18">
        <f t="shared" si="6"/>
        <v>0</v>
      </c>
      <c r="F21" s="19" t="str">
        <f t="shared" si="7"/>
        <v/>
      </c>
      <c r="G21" s="20">
        <f>SUM(Jul!G21, Aug!G21, Sep!G21)</f>
        <v>0</v>
      </c>
      <c r="H21" s="20">
        <f>SUM(Jul!H21, Aug!H21, Sep!H23)</f>
        <v>0</v>
      </c>
      <c r="I21" s="19" t="str">
        <f t="shared" si="8"/>
        <v/>
      </c>
    </row>
    <row r="22" spans="1:9" ht="15.6">
      <c r="A22" s="48" t="str">
        <v>Kohls - North Amherst</v>
      </c>
      <c r="B22" s="12" t="str">
        <v>NY</v>
      </c>
      <c r="C22" s="24">
        <f>SUM(Jul!C22, Aug!C22, Sep!C24)</f>
        <v>0</v>
      </c>
      <c r="D22" s="13">
        <f>SUM(Jul!D22, Aug!D22, Sep!D24)</f>
        <v>0</v>
      </c>
      <c r="E22" s="13">
        <f t="shared" si="6"/>
        <v>0</v>
      </c>
      <c r="F22" s="14" t="str">
        <f t="shared" si="7"/>
        <v/>
      </c>
      <c r="G22" s="15">
        <f>SUM(Jul!G22, Aug!G22, Sep!G22)</f>
        <v>0</v>
      </c>
      <c r="H22" s="15">
        <f>SUM(Jul!H22, Aug!H22, Sep!H24)</f>
        <v>0</v>
      </c>
      <c r="I22" s="16" t="str">
        <f t="shared" si="8"/>
        <v/>
      </c>
    </row>
    <row r="23" spans="1:9" ht="15.6">
      <c r="A23" s="49" t="str">
        <v>Kohls - Staten Island</v>
      </c>
      <c r="B23" s="17" t="str">
        <v>NY</v>
      </c>
      <c r="C23" s="11">
        <f>SUM(Jul!C23, Aug!C23, Sep!C25)</f>
        <v>0</v>
      </c>
      <c r="D23" s="18">
        <f>SUM(Jul!D23, Aug!D23, Sep!D25)</f>
        <v>0</v>
      </c>
      <c r="E23" s="18">
        <f t="shared" si="6"/>
        <v>0</v>
      </c>
      <c r="F23" s="19" t="str">
        <f t="shared" si="7"/>
        <v/>
      </c>
      <c r="G23" s="20">
        <f>SUM(Jul!G23, Aug!G23, Sep!G23)</f>
        <v>0</v>
      </c>
      <c r="H23" s="20">
        <f>SUM(Jul!H23, Aug!H23, Sep!H25)</f>
        <v>0</v>
      </c>
      <c r="I23" s="19" t="str">
        <f t="shared" si="8"/>
        <v/>
      </c>
    </row>
    <row r="24" spans="1:9" ht="15.6">
      <c r="A24" s="48" t="str">
        <v>Kohls - Warminster</v>
      </c>
      <c r="B24" s="12" t="str">
        <v>PA</v>
      </c>
      <c r="C24" s="24">
        <f>SUM(Jul!C24, Aug!C24, Sep!C26)</f>
        <v>0</v>
      </c>
      <c r="D24" s="13">
        <f>SUM(Jul!D24, Aug!D24, Sep!D26)</f>
        <v>0</v>
      </c>
      <c r="E24" s="13">
        <f t="shared" si="6"/>
        <v>0</v>
      </c>
      <c r="F24" s="14" t="str">
        <f t="shared" si="7"/>
        <v/>
      </c>
      <c r="G24" s="15">
        <f>SUM(Jul!G24, Aug!G24, Sep!G24)</f>
        <v>0</v>
      </c>
      <c r="H24" s="15">
        <f>SUM(Jul!H24, Aug!H24, Sep!H26)</f>
        <v>0</v>
      </c>
      <c r="I24" s="16" t="str">
        <f t="shared" si="8"/>
        <v/>
      </c>
    </row>
    <row r="25" spans="1:9" ht="15.6">
      <c r="A25" s="49" t="str">
        <v xml:space="preserve">Kohls - Waterbury </v>
      </c>
      <c r="B25" s="17" t="str">
        <v>CT</v>
      </c>
      <c r="C25" s="11">
        <f>SUM(Jul!C25, Aug!C25, Sep!C27)</f>
        <v>0</v>
      </c>
      <c r="D25" s="18">
        <f>SUM(Jul!D25, Aug!D25, Sep!D27)</f>
        <v>0</v>
      </c>
      <c r="E25" s="18">
        <f t="shared" si="6"/>
        <v>0</v>
      </c>
      <c r="F25" s="19" t="str">
        <f t="shared" si="7"/>
        <v/>
      </c>
      <c r="G25" s="20">
        <f>SUM(Jul!G25, Aug!G25, Sep!G27)</f>
        <v>0</v>
      </c>
      <c r="H25" s="20">
        <f>SUM(Jul!H25, Aug!H25, Sep!H27)</f>
        <v>0</v>
      </c>
      <c r="I25" s="19" t="str">
        <f t="shared" si="8"/>
        <v/>
      </c>
    </row>
    <row r="26" spans="1:9" ht="15.6">
      <c r="A26" s="48" t="str">
        <v>Mojave Water Agency - Headquarters</v>
      </c>
      <c r="B26" s="12" t="str">
        <v>CA</v>
      </c>
      <c r="C26" s="24">
        <f>SUM(Jul!C26, Aug!C26, Sep!C28)</f>
        <v>0</v>
      </c>
      <c r="D26" s="13">
        <f>SUM(Jul!D26, Aug!D26, Sep!D28)</f>
        <v>0</v>
      </c>
      <c r="E26" s="13">
        <f t="shared" ref="E26:E68" si="9">IF(AND(ISNUMBER(C26),ISNUMBER(D26)), C26-D26, "")</f>
        <v>0</v>
      </c>
      <c r="F26" s="14" t="str">
        <f t="shared" ref="F26:F68" si="10">IFERROR(E26/D26, "")</f>
        <v/>
      </c>
      <c r="G26" s="15">
        <f>SUM(Jul!G26, Aug!G26, Sep!G26)</f>
        <v>0</v>
      </c>
      <c r="H26" s="15">
        <f>SUM(Jul!H26, Aug!H26, Sep!H28)</f>
        <v>0</v>
      </c>
      <c r="I26" s="16" t="str">
        <f t="shared" ref="I26:I68" si="11">IFERROR(H26/G26, "")</f>
        <v/>
      </c>
    </row>
    <row r="27" spans="1:9" ht="15.6">
      <c r="A27" s="49" t="str">
        <v>CSU - Bakersfield</v>
      </c>
      <c r="B27" s="17" t="str">
        <v>CA</v>
      </c>
      <c r="C27" s="11">
        <f>SUM(Jul!C27, Aug!C27, Sep!C29)</f>
        <v>0</v>
      </c>
      <c r="D27" s="18">
        <f>SUM(Jul!D27, Aug!D27, Sep!D29)</f>
        <v>0</v>
      </c>
      <c r="E27" s="18">
        <f t="shared" si="9"/>
        <v>0</v>
      </c>
      <c r="F27" s="19" t="str">
        <f t="shared" si="10"/>
        <v/>
      </c>
      <c r="G27" s="20">
        <f>SUM(Jul!G27, Aug!G27, Sep!G29)</f>
        <v>0</v>
      </c>
      <c r="H27" s="20">
        <f>SUM(Jul!H27, Aug!H27, Sep!H29)</f>
        <v>0</v>
      </c>
      <c r="I27" s="19" t="str">
        <f t="shared" si="11"/>
        <v/>
      </c>
    </row>
    <row r="28" spans="1:9" ht="15.6">
      <c r="A28" s="48" t="str">
        <v>Greenfield USD - Fairfield ES</v>
      </c>
      <c r="B28" s="12" t="str">
        <v>CA</v>
      </c>
      <c r="C28" s="24">
        <f>SUM(Jul!C28, Aug!C28, Sep!C30)</f>
        <v>0</v>
      </c>
      <c r="D28" s="13">
        <f>SUM(Jul!D28, Aug!D28, Sep!D30)</f>
        <v>0</v>
      </c>
      <c r="E28" s="13">
        <f t="shared" si="9"/>
        <v>0</v>
      </c>
      <c r="F28" s="14" t="str">
        <f t="shared" si="10"/>
        <v/>
      </c>
      <c r="G28" s="15">
        <f>SUM(Jul!G28, Aug!G28, Sep!G28)</f>
        <v>0</v>
      </c>
      <c r="H28" s="15">
        <f>SUM(Jul!H28, Aug!H28, Sep!H30)</f>
        <v>0</v>
      </c>
      <c r="I28" s="16" t="str">
        <f t="shared" si="11"/>
        <v/>
      </c>
    </row>
    <row r="29" spans="1:9" ht="15.6">
      <c r="A29" s="49" t="str">
        <v>Greenfield USD - Granite Point ES</v>
      </c>
      <c r="B29" s="17" t="str">
        <v>CA</v>
      </c>
      <c r="C29" s="11">
        <f>SUM(Jul!C29, Aug!C29, Sep!C31)</f>
        <v>0</v>
      </c>
      <c r="D29" s="18">
        <f>SUM(Jul!D29, Aug!D29, Sep!D31)</f>
        <v>0</v>
      </c>
      <c r="E29" s="18">
        <f t="shared" si="9"/>
        <v>0</v>
      </c>
      <c r="F29" s="19" t="str">
        <f t="shared" si="10"/>
        <v/>
      </c>
      <c r="G29" s="20">
        <f>SUM(Jul!G29, Aug!G29, Sep!G29)</f>
        <v>0</v>
      </c>
      <c r="H29" s="20">
        <f>SUM(Jul!H29, Aug!H29, Sep!H31)</f>
        <v>0</v>
      </c>
      <c r="I29" s="19" t="str">
        <f t="shared" si="11"/>
        <v/>
      </c>
    </row>
    <row r="30" spans="1:9" ht="15.6">
      <c r="A30" s="48" t="str">
        <v>Greenfield USD - Greenfield MS</v>
      </c>
      <c r="B30" s="12" t="str">
        <v>CA</v>
      </c>
      <c r="C30" s="24">
        <f>SUM(Jul!C30, Aug!C30, Sep!C32)</f>
        <v>0</v>
      </c>
      <c r="D30" s="13">
        <f>SUM(Jul!D30, Aug!D30, Sep!D32)</f>
        <v>0</v>
      </c>
      <c r="E30" s="13">
        <f t="shared" si="9"/>
        <v>0</v>
      </c>
      <c r="F30" s="14" t="str">
        <f t="shared" si="10"/>
        <v/>
      </c>
      <c r="G30" s="15">
        <f>SUM(Jul!G30, Aug!G30, Sep!G30)</f>
        <v>0</v>
      </c>
      <c r="H30" s="15">
        <f>SUM(Jul!H30, Aug!H30, Sep!H32)</f>
        <v>0</v>
      </c>
      <c r="I30" s="16" t="str">
        <f t="shared" si="11"/>
        <v/>
      </c>
    </row>
    <row r="31" spans="1:9" ht="15.6">
      <c r="A31" s="49" t="str">
        <v>Greenfield USD - Horizon ES</v>
      </c>
      <c r="B31" s="17" t="str">
        <v>CA</v>
      </c>
      <c r="C31" s="11">
        <f>SUM(Jul!C31, Aug!C31, Sep!C33)</f>
        <v>0</v>
      </c>
      <c r="D31" s="18">
        <f>SUM(Jul!D31, Aug!D31, Sep!D33)</f>
        <v>0</v>
      </c>
      <c r="E31" s="18">
        <f t="shared" si="9"/>
        <v>0</v>
      </c>
      <c r="F31" s="19" t="str">
        <f t="shared" si="10"/>
        <v/>
      </c>
      <c r="G31" s="20">
        <f>SUM(Jul!G31, Aug!G31, Sep!G31)</f>
        <v>0</v>
      </c>
      <c r="H31" s="20">
        <f>SUM(Jul!H31, Aug!H31, Sep!H33)</f>
        <v>0</v>
      </c>
      <c r="I31" s="19" t="str">
        <f t="shared" si="11"/>
        <v/>
      </c>
    </row>
    <row r="32" spans="1:9" ht="15.6">
      <c r="A32" s="48" t="str">
        <v>Greenfield USD - McKee MS</v>
      </c>
      <c r="B32" s="12" t="str">
        <v>CA</v>
      </c>
      <c r="C32" s="24">
        <f>SUM(Jul!C32, Aug!C32, Sep!C34)</f>
        <v>0</v>
      </c>
      <c r="D32" s="13">
        <f>SUM(Jul!D32, Aug!D32, Sep!D34)</f>
        <v>0</v>
      </c>
      <c r="E32" s="13">
        <f t="shared" si="9"/>
        <v>0</v>
      </c>
      <c r="F32" s="14" t="str">
        <f t="shared" si="10"/>
        <v/>
      </c>
      <c r="G32" s="15">
        <f>SUM(Jul!G32, Aug!G32, Sep!G32)</f>
        <v>0</v>
      </c>
      <c r="H32" s="15">
        <f>SUM(Jul!H32, Aug!H32, Sep!H34)</f>
        <v>0</v>
      </c>
      <c r="I32" s="16" t="str">
        <f t="shared" si="11"/>
        <v/>
      </c>
    </row>
    <row r="33" spans="1:9" ht="15.6">
      <c r="A33" s="49" t="str">
        <v>Greenfield USD - Plantation ES</v>
      </c>
      <c r="B33" s="17" t="str">
        <v>CA</v>
      </c>
      <c r="C33" s="11">
        <f>SUM(Jul!C33, Aug!C33, Sep!C35)</f>
        <v>0</v>
      </c>
      <c r="D33" s="18">
        <f>SUM(Jul!D33, Aug!D33, Sep!D35)</f>
        <v>0</v>
      </c>
      <c r="E33" s="18">
        <f t="shared" si="9"/>
        <v>0</v>
      </c>
      <c r="F33" s="19" t="str">
        <f t="shared" si="10"/>
        <v/>
      </c>
      <c r="G33" s="20">
        <f>SUM(Jul!G33, Aug!G33, Sep!G33)</f>
        <v>0</v>
      </c>
      <c r="H33" s="20">
        <f>SUM(Jul!H33, Aug!H33, Sep!H35)</f>
        <v>0</v>
      </c>
      <c r="I33" s="19" t="str">
        <f t="shared" si="11"/>
        <v/>
      </c>
    </row>
    <row r="34" spans="1:9" ht="15.6">
      <c r="A34" s="48" t="str">
        <v>Greenfield USD - Planz ES</v>
      </c>
      <c r="B34" s="12" t="str">
        <v>CA</v>
      </c>
      <c r="C34" s="24">
        <f>SUM(Jul!C34, Aug!C34, Sep!C36)</f>
        <v>0</v>
      </c>
      <c r="D34" s="13">
        <f>SUM(Jul!D34, Aug!D34, Sep!D36)</f>
        <v>0</v>
      </c>
      <c r="E34" s="13">
        <f t="shared" si="9"/>
        <v>0</v>
      </c>
      <c r="F34" s="14" t="str">
        <f t="shared" si="10"/>
        <v/>
      </c>
      <c r="G34" s="15">
        <f>SUM(Jul!G34, Aug!G34, Sep!G34)</f>
        <v>0</v>
      </c>
      <c r="H34" s="15">
        <f>SUM(Jul!H34, Aug!H34, Sep!H36)</f>
        <v>0</v>
      </c>
      <c r="I34" s="16" t="str">
        <f t="shared" si="11"/>
        <v/>
      </c>
    </row>
    <row r="35" spans="1:9" ht="15.6">
      <c r="A35" s="49" t="str">
        <v>Greenfield USD - Raffaello Palla ES</v>
      </c>
      <c r="B35" s="17" t="str">
        <v>CA</v>
      </c>
      <c r="C35" s="11">
        <f>SUM(Jul!C35, Aug!C35, Sep!C37)</f>
        <v>0</v>
      </c>
      <c r="D35" s="18">
        <f>SUM(Jul!D35, Aug!D35, Sep!D37)</f>
        <v>0</v>
      </c>
      <c r="E35" s="18">
        <f t="shared" si="9"/>
        <v>0</v>
      </c>
      <c r="F35" s="19" t="str">
        <f t="shared" si="10"/>
        <v/>
      </c>
      <c r="G35" s="20">
        <f>SUM(Jul!G35, Aug!G35, Sep!G35)</f>
        <v>0</v>
      </c>
      <c r="H35" s="20">
        <f>SUM(Jul!H35, Aug!H35, Sep!H37)</f>
        <v>0</v>
      </c>
      <c r="I35" s="19" t="str">
        <f t="shared" si="11"/>
        <v/>
      </c>
    </row>
    <row r="36" spans="1:9" ht="15.6">
      <c r="A36" s="48" t="str">
        <v>Greenfield USD - Valle Verde ES</v>
      </c>
      <c r="B36" s="12" t="str">
        <v>CA</v>
      </c>
      <c r="C36" s="24">
        <f>SUM(Jul!C36, Aug!C36, Sep!C38)</f>
        <v>0</v>
      </c>
      <c r="D36" s="13">
        <f>SUM(Jul!D36, Aug!D36, Sep!D38)</f>
        <v>0</v>
      </c>
      <c r="E36" s="13">
        <f t="shared" si="9"/>
        <v>0</v>
      </c>
      <c r="F36" s="14" t="str">
        <f t="shared" si="10"/>
        <v/>
      </c>
      <c r="G36" s="15">
        <f>SUM(Jul!G36, Aug!G36, Sep!G36)</f>
        <v>0</v>
      </c>
      <c r="H36" s="15">
        <f>SUM(Jul!H36, Aug!H36, Sep!H38)</f>
        <v>0</v>
      </c>
      <c r="I36" s="16" t="str">
        <f t="shared" si="11"/>
        <v/>
      </c>
    </row>
    <row r="37" spans="1:9" ht="15.6">
      <c r="A37" s="49" t="str">
        <v>Greenfield USD - W.A. Kendrick ES</v>
      </c>
      <c r="B37" s="17" t="str">
        <v>CA</v>
      </c>
      <c r="C37" s="11">
        <f>SUM(Jul!C37, Aug!C37, Sep!C39)</f>
        <v>0</v>
      </c>
      <c r="D37" s="18">
        <f>SUM(Jul!D37, Aug!D37, Sep!D39)</f>
        <v>0</v>
      </c>
      <c r="E37" s="18">
        <f t="shared" si="9"/>
        <v>0</v>
      </c>
      <c r="F37" s="19" t="str">
        <f t="shared" si="10"/>
        <v/>
      </c>
      <c r="G37" s="20">
        <f>SUM(Jul!G37, Aug!G37, Sep!G37)</f>
        <v>0</v>
      </c>
      <c r="H37" s="20">
        <f>SUM(Jul!H37, Aug!H37, Sep!H39)</f>
        <v>0</v>
      </c>
      <c r="I37" s="19" t="str">
        <f t="shared" si="11"/>
        <v/>
      </c>
    </row>
    <row r="38" spans="1:9" ht="15.6">
      <c r="A38" s="48" t="str">
        <v>Muroc Joint USD - Boron HS</v>
      </c>
      <c r="B38" s="12" t="str">
        <v>CA</v>
      </c>
      <c r="C38" s="24">
        <f>SUM(Jul!C38, Aug!C38, Sep!C40)</f>
        <v>0</v>
      </c>
      <c r="D38" s="13">
        <f>SUM(Jul!D38, Aug!D38, Sep!D40)</f>
        <v>0</v>
      </c>
      <c r="E38" s="13">
        <f t="shared" si="9"/>
        <v>0</v>
      </c>
      <c r="F38" s="14" t="str">
        <f t="shared" si="10"/>
        <v/>
      </c>
      <c r="G38" s="15">
        <f>SUM(Jul!G38, Aug!G38, Sep!G40)</f>
        <v>0</v>
      </c>
      <c r="H38" s="15">
        <f>SUM(Jul!H38, Aug!H38, Sep!H40)</f>
        <v>0</v>
      </c>
      <c r="I38" s="16" t="str">
        <f t="shared" si="11"/>
        <v/>
      </c>
    </row>
    <row r="39" spans="1:9" ht="15.6">
      <c r="A39" s="49" t="str">
        <v>Muroc Joint USD - W. Boron ES</v>
      </c>
      <c r="B39" s="17" t="str">
        <v>CA</v>
      </c>
      <c r="C39" s="11">
        <f>SUM(Jul!C39, Aug!C39, Sep!C41)</f>
        <v>0</v>
      </c>
      <c r="D39" s="18">
        <f>SUM(Jul!D39, Aug!D39, Sep!D41)</f>
        <v>0</v>
      </c>
      <c r="E39" s="18">
        <f t="shared" si="9"/>
        <v>0</v>
      </c>
      <c r="F39" s="19" t="str">
        <f t="shared" si="10"/>
        <v/>
      </c>
      <c r="G39" s="20">
        <f>SUM(Jul!G39, Aug!G39, Sep!G41)</f>
        <v>0</v>
      </c>
      <c r="H39" s="20">
        <f>SUM(Jul!H39, Aug!H39, Sep!H41)</f>
        <v>0</v>
      </c>
      <c r="I39" s="19" t="str">
        <f t="shared" si="11"/>
        <v/>
      </c>
    </row>
    <row r="40" spans="1:9" ht="15.6">
      <c r="A40" s="48" t="str">
        <v>Colusa - WTP</v>
      </c>
      <c r="B40" s="12" t="str">
        <v>CA</v>
      </c>
      <c r="C40" s="24">
        <f>SUM(Jul!C40, Aug!C40, Sep!C42)</f>
        <v>0</v>
      </c>
      <c r="D40" s="13">
        <f>SUM(Jul!D40, Aug!D40, Sep!D42)</f>
        <v>0</v>
      </c>
      <c r="E40" s="13">
        <f t="shared" si="9"/>
        <v>0</v>
      </c>
      <c r="F40" s="14" t="str">
        <f t="shared" si="10"/>
        <v/>
      </c>
      <c r="G40" s="64">
        <f>SUM(Jul!G40, Aug!G40, Sep!G42)</f>
        <v>0</v>
      </c>
      <c r="H40" s="15">
        <f>SUM(Jul!H40, Aug!H40, Sep!H42)</f>
        <v>0</v>
      </c>
      <c r="I40" s="16" t="str">
        <f t="shared" si="11"/>
        <v/>
      </c>
    </row>
    <row r="41" spans="1:9" ht="15.6">
      <c r="A41" s="49" t="str">
        <v>CDCR-North Kern State Prision</v>
      </c>
      <c r="B41" s="17" t="str">
        <v>CA</v>
      </c>
      <c r="C41" s="11">
        <f>SUM(Jul!C41, Aug!C41, Sep!C43)</f>
        <v>0</v>
      </c>
      <c r="D41" s="18">
        <f>SUM(Jul!D41, Aug!D41, Sep!D43)</f>
        <v>0</v>
      </c>
      <c r="E41" s="18">
        <f t="shared" si="9"/>
        <v>0</v>
      </c>
      <c r="F41" s="19" t="str">
        <f t="shared" si="10"/>
        <v/>
      </c>
      <c r="G41" s="20">
        <f>SUM(Jul!G41, Aug!G41, Sep!G43)</f>
        <v>0</v>
      </c>
      <c r="H41" s="20">
        <f>SUM(Jul!H41, Aug!H41, Sep!H43)</f>
        <v>0</v>
      </c>
      <c r="I41" s="19" t="str">
        <f t="shared" si="11"/>
        <v/>
      </c>
    </row>
    <row r="42" spans="1:9" ht="15.6">
      <c r="A42" s="48" t="str">
        <v>Muroc Joint USD - District Office</v>
      </c>
      <c r="B42" s="12" t="str">
        <v>CA</v>
      </c>
      <c r="C42" s="24">
        <f>SUM(Jul!C42, Aug!C42, Sep!C44)</f>
        <v>0</v>
      </c>
      <c r="D42" s="13">
        <f>SUM(Jul!D42, Aug!D42, Sep!D44)</f>
        <v>0</v>
      </c>
      <c r="E42" s="13">
        <f t="shared" si="9"/>
        <v>0</v>
      </c>
      <c r="F42" s="14" t="str">
        <f t="shared" si="10"/>
        <v/>
      </c>
      <c r="G42" s="15">
        <f>SUM(Jul!G42, Aug!G42, Sep!G42)</f>
        <v>0</v>
      </c>
      <c r="H42" s="15">
        <f>SUM(Jul!H42, Aug!H42, Sep!H44)</f>
        <v>0</v>
      </c>
      <c r="I42" s="16" t="str">
        <f t="shared" si="11"/>
        <v/>
      </c>
    </row>
    <row r="43" spans="1:9" ht="15.6">
      <c r="A43" s="49" t="str">
        <v>Whole Foods - Manhattan Beach</v>
      </c>
      <c r="B43" s="17" t="str">
        <v>CA</v>
      </c>
      <c r="C43" s="11">
        <f>SUM(Jul!C43, Aug!C43, Sep!C45)</f>
        <v>0</v>
      </c>
      <c r="D43" s="18">
        <f>SUM(Jul!D43, Aug!D43, Sep!D45)</f>
        <v>0</v>
      </c>
      <c r="E43" s="18">
        <f t="shared" si="9"/>
        <v>0</v>
      </c>
      <c r="F43" s="19" t="str">
        <f t="shared" si="10"/>
        <v/>
      </c>
      <c r="G43" s="20">
        <f>SUM(Jul!G43, Aug!G43, Sep!G45)</f>
        <v>0</v>
      </c>
      <c r="H43" s="20">
        <f>SUM(Jul!H43, Aug!H43, Sep!H45)</f>
        <v>0</v>
      </c>
      <c r="I43" s="19" t="str">
        <f t="shared" si="11"/>
        <v/>
      </c>
    </row>
    <row r="44" spans="1:9" ht="15.6">
      <c r="A44" s="48" t="str">
        <v>Pioneer USD - Frontier ES</v>
      </c>
      <c r="B44" s="12" t="str">
        <v>CA</v>
      </c>
      <c r="C44" s="24">
        <f>SUM(Jul!C44, Aug!C44, Sep!C46)</f>
        <v>0</v>
      </c>
      <c r="D44" s="13">
        <f>SUM(Jul!D44, Aug!D44, Sep!D46)</f>
        <v>0</v>
      </c>
      <c r="E44" s="13">
        <f t="shared" si="9"/>
        <v>0</v>
      </c>
      <c r="F44" s="14" t="str">
        <f t="shared" si="10"/>
        <v/>
      </c>
      <c r="G44" s="15">
        <f>SUM(Jul!G44, Aug!G44, Sep!G46)</f>
        <v>0</v>
      </c>
      <c r="H44" s="15">
        <f>SUM(Jul!H44, Aug!H44, Sep!H46)</f>
        <v>0</v>
      </c>
      <c r="I44" s="16" t="str">
        <f t="shared" si="11"/>
        <v/>
      </c>
    </row>
    <row r="45" spans="1:9" ht="15.6">
      <c r="A45" s="49" t="str">
        <v>Pioneer USD - Pioneer ES</v>
      </c>
      <c r="B45" s="17" t="str">
        <v>CA</v>
      </c>
      <c r="C45" s="11">
        <f>SUM(Jul!C45, Aug!C45, Sep!C47)</f>
        <v>0</v>
      </c>
      <c r="D45" s="18">
        <f>SUM(Jul!D45, Aug!D45, Sep!D47)</f>
        <v>0</v>
      </c>
      <c r="E45" s="18">
        <f t="shared" si="9"/>
        <v>0</v>
      </c>
      <c r="F45" s="19" t="str">
        <f t="shared" si="10"/>
        <v/>
      </c>
      <c r="G45" s="20">
        <f>SUM(Jul!G45, Aug!G45, Sep!G47)</f>
        <v>0</v>
      </c>
      <c r="H45" s="20">
        <f>SUM(Jul!H45, Aug!H45, Sep!H47)</f>
        <v>0</v>
      </c>
      <c r="I45" s="19" t="str">
        <f t="shared" si="11"/>
        <v/>
      </c>
    </row>
    <row r="46" spans="1:9" ht="15.6">
      <c r="A46" s="48" t="str">
        <v>Pioneer USD - Pioneer MS</v>
      </c>
      <c r="B46" s="12" t="str">
        <v>CA</v>
      </c>
      <c r="C46" s="24">
        <f>SUM(Jul!C46, Aug!C46, Sep!C48)</f>
        <v>0</v>
      </c>
      <c r="D46" s="13">
        <f>SUM(Jul!D46, Aug!D46, Sep!D48)</f>
        <v>0</v>
      </c>
      <c r="E46" s="13">
        <f t="shared" si="9"/>
        <v>0</v>
      </c>
      <c r="F46" s="14" t="str">
        <f t="shared" si="10"/>
        <v/>
      </c>
      <c r="G46" s="15">
        <f>SUM(Jul!G46, Aug!G46, Sep!G48)</f>
        <v>0</v>
      </c>
      <c r="H46" s="15">
        <f>SUM(Jul!H46, Aug!H46, Sep!H48)</f>
        <v>0</v>
      </c>
      <c r="I46" s="16" t="str">
        <f t="shared" si="11"/>
        <v/>
      </c>
    </row>
    <row r="47" spans="1:9" ht="15.6">
      <c r="A47" s="49" t="str">
        <v>Kingsburg Joint UHSD - Kingsburg HS</v>
      </c>
      <c r="B47" s="17" t="str">
        <v>CA</v>
      </c>
      <c r="C47" s="11">
        <f>SUM(Jul!C47, Aug!C47, Sep!C49)</f>
        <v>0</v>
      </c>
      <c r="D47" s="18">
        <f>SUM(Jul!D47, Aug!D47, Sep!D49)</f>
        <v>0</v>
      </c>
      <c r="E47" s="18">
        <f t="shared" si="9"/>
        <v>0</v>
      </c>
      <c r="F47" s="19" t="str">
        <f t="shared" si="10"/>
        <v/>
      </c>
      <c r="G47" s="20">
        <f>SUM(Jul!G47, Aug!G47, Sep!G49)</f>
        <v>0</v>
      </c>
      <c r="H47" s="20">
        <f>SUM(Jul!H47, Aug!H47, Sep!H49)</f>
        <v>0</v>
      </c>
      <c r="I47" s="19" t="str">
        <f t="shared" si="11"/>
        <v/>
      </c>
    </row>
    <row r="48" spans="1:9" ht="15.6">
      <c r="A48" s="48" t="str">
        <v>CADRB</v>
      </c>
      <c r="B48" s="12" t="str">
        <v>CA</v>
      </c>
      <c r="C48" s="24">
        <f>SUM(Jul!C48, Aug!C48, Sep!C50)</f>
        <v>0</v>
      </c>
      <c r="D48" s="13">
        <f>SUM(Jul!D48, Aug!D48, Sep!D50)</f>
        <v>0</v>
      </c>
      <c r="E48" s="13">
        <f t="shared" si="9"/>
        <v>0</v>
      </c>
      <c r="F48" s="14" t="str">
        <f t="shared" si="10"/>
        <v/>
      </c>
      <c r="G48" s="15">
        <f>SUM(Jul!G48, Aug!G48, Sep!G48)</f>
        <v>0</v>
      </c>
      <c r="H48" s="15">
        <f>SUM(Jul!H48, Aug!H48, Sep!H50)</f>
        <v>0</v>
      </c>
      <c r="I48" s="16" t="str">
        <f t="shared" si="11"/>
        <v/>
      </c>
    </row>
    <row r="49" spans="1:9" ht="15.6">
      <c r="A49" s="49" t="str">
        <v>CDCR-CA State Prison LA County</v>
      </c>
      <c r="B49" s="17" t="str">
        <v>CA</v>
      </c>
      <c r="C49" s="11">
        <f>SUM(Jul!C49, Aug!C49, Sep!C51)</f>
        <v>0</v>
      </c>
      <c r="D49" s="18">
        <f>SUM(Jul!D49, Aug!D49, Sep!D51)</f>
        <v>0</v>
      </c>
      <c r="E49" s="18">
        <f t="shared" si="9"/>
        <v>0</v>
      </c>
      <c r="F49" s="19" t="str">
        <f t="shared" si="10"/>
        <v/>
      </c>
      <c r="G49" s="20">
        <f>SUM(Jul!G49, Aug!G49, Sep!G51)</f>
        <v>0</v>
      </c>
      <c r="H49" s="20">
        <f>SUM(Jul!H49, Aug!H49, Sep!H51)</f>
        <v>0</v>
      </c>
      <c r="I49" s="19" t="str">
        <f t="shared" si="11"/>
        <v/>
      </c>
    </row>
    <row r="50" spans="1:9" ht="15.6">
      <c r="A50" s="48" t="str">
        <v>Central USD Akers ES</v>
      </c>
      <c r="B50" s="12" t="str">
        <v>CA</v>
      </c>
      <c r="C50" s="24">
        <f>SUM(Jul!C50, Aug!C50, Sep!C52)</f>
        <v>0</v>
      </c>
      <c r="D50" s="13">
        <f>SUM(Jul!D50, Aug!D50, Sep!D52)</f>
        <v>0</v>
      </c>
      <c r="E50" s="13">
        <f t="shared" si="9"/>
        <v>0</v>
      </c>
      <c r="F50" s="14" t="str">
        <f t="shared" si="10"/>
        <v/>
      </c>
      <c r="G50" s="15">
        <f>SUM(Jul!G50, Aug!G50, Sep!G52)</f>
        <v>0</v>
      </c>
      <c r="H50" s="15">
        <f>SUM(Jul!H50, Aug!H50, Sep!H52)</f>
        <v>0</v>
      </c>
      <c r="I50" s="16" t="str">
        <f t="shared" si="11"/>
        <v/>
      </c>
    </row>
    <row r="51" spans="1:9" ht="15.6">
      <c r="A51" s="49" t="str">
        <v>CUSD - District Office</v>
      </c>
      <c r="B51" s="17" t="str">
        <v>CA</v>
      </c>
      <c r="C51" s="11">
        <f>SUM(Jul!C51, Aug!C51, Sep!C53)</f>
        <v>0</v>
      </c>
      <c r="D51" s="18">
        <f>SUM(Jul!D51, Aug!D51, Sep!D53)</f>
        <v>0</v>
      </c>
      <c r="E51" s="18">
        <f t="shared" si="9"/>
        <v>0</v>
      </c>
      <c r="F51" s="19" t="str">
        <f t="shared" si="10"/>
        <v/>
      </c>
      <c r="G51" s="20">
        <f>SUM(Jul!G51, Aug!G51, Sep!G53)</f>
        <v>0</v>
      </c>
      <c r="H51" s="20">
        <f>SUM(Jul!H51, Aug!H51, Sep!H53)</f>
        <v>0</v>
      </c>
      <c r="I51" s="19" t="str">
        <f t="shared" si="11"/>
        <v/>
      </c>
    </row>
    <row r="52" spans="1:9" ht="15.6">
      <c r="A52" s="48" t="str">
        <v>Parlier - WTP</v>
      </c>
      <c r="B52" s="12" t="str">
        <v>CA</v>
      </c>
      <c r="C52" s="24">
        <f>SUM(Jul!C52, Aug!C52, Sep!C54)</f>
        <v>0</v>
      </c>
      <c r="D52" s="13">
        <f>SUM(Jul!D52, Aug!D52, Sep!D54)</f>
        <v>0</v>
      </c>
      <c r="E52" s="13">
        <f t="shared" si="9"/>
        <v>0</v>
      </c>
      <c r="F52" s="14" t="str">
        <f t="shared" si="10"/>
        <v/>
      </c>
      <c r="G52" s="15">
        <f>SUM(Jul!G52, Aug!G52, Sep!G54)</f>
        <v>0</v>
      </c>
      <c r="H52" s="15">
        <f>SUM(Jul!H52, Aug!H52, Sep!H54)</f>
        <v>0</v>
      </c>
      <c r="I52" s="16" t="str">
        <f t="shared" si="11"/>
        <v/>
      </c>
    </row>
    <row r="53" spans="1:9" ht="15.6">
      <c r="A53" s="49" t="str">
        <v>Snowline SD - Quail Valley MS</v>
      </c>
      <c r="B53" s="17" t="str">
        <v>CA</v>
      </c>
      <c r="C53" s="11">
        <f>SUM(Jul!C53, Aug!C53, Sep!C55)</f>
        <v>0</v>
      </c>
      <c r="D53" s="18">
        <f>SUM(Jul!D53, Aug!D53, Sep!D55)</f>
        <v>0</v>
      </c>
      <c r="E53" s="18">
        <f t="shared" si="9"/>
        <v>0</v>
      </c>
      <c r="F53" s="19" t="str">
        <f t="shared" si="10"/>
        <v/>
      </c>
      <c r="G53" s="20">
        <f>SUM(Jul!G53, Aug!G53, Sep!G55)</f>
        <v>0</v>
      </c>
      <c r="H53" s="20">
        <f>SUM(Jul!H53, Aug!H53, Sep!H55)</f>
        <v>0</v>
      </c>
      <c r="I53" s="19" t="str">
        <f t="shared" si="11"/>
        <v/>
      </c>
    </row>
    <row r="54" spans="1:9" ht="15.6">
      <c r="A54" s="48" t="str">
        <v>Snowline SD - Serrano HS - Middle Lot</v>
      </c>
      <c r="B54" s="12" t="str">
        <v>CA</v>
      </c>
      <c r="C54" s="24">
        <f>SUM(Jul!C54, Aug!C54, Sep!C56)</f>
        <v>0</v>
      </c>
      <c r="D54" s="13">
        <f>SUM(Jul!D54, Aug!D54, Sep!D56)</f>
        <v>0</v>
      </c>
      <c r="E54" s="13">
        <f t="shared" si="9"/>
        <v>0</v>
      </c>
      <c r="F54" s="14" t="str">
        <f t="shared" si="10"/>
        <v/>
      </c>
      <c r="G54" s="15">
        <f>SUM(Jul!G54, Aug!G54, Sep!G56)</f>
        <v>0</v>
      </c>
      <c r="H54" s="15">
        <f>SUM(Jul!H54, Aug!H54, Sep!H56)</f>
        <v>0</v>
      </c>
      <c r="I54" s="16" t="str">
        <f t="shared" si="11"/>
        <v/>
      </c>
    </row>
    <row r="55" spans="1:9" ht="15.6">
      <c r="A55" s="49" t="str">
        <v>Snowline SD - Pinon Hills ES</v>
      </c>
      <c r="B55" s="17" t="str">
        <v>CA</v>
      </c>
      <c r="C55" s="11">
        <f>SUM(Jul!C55, Aug!C55, Sep!C57)</f>
        <v>0</v>
      </c>
      <c r="D55" s="18">
        <f>SUM(Jul!D55, Aug!D55, Sep!D57)</f>
        <v>0</v>
      </c>
      <c r="E55" s="18">
        <f t="shared" si="9"/>
        <v>0</v>
      </c>
      <c r="F55" s="19" t="str">
        <f t="shared" si="10"/>
        <v/>
      </c>
      <c r="G55" s="20">
        <f>SUM(Jul!G55, Aug!G55, Sep!G57)</f>
        <v>0</v>
      </c>
      <c r="H55" s="20">
        <f>SUM(Jul!H55, Aug!H55, Sep!H57)</f>
        <v>0</v>
      </c>
      <c r="I55" s="19" t="str">
        <f t="shared" si="11"/>
        <v/>
      </c>
    </row>
    <row r="56" spans="1:9" ht="15.6">
      <c r="A56" s="48" t="str">
        <v>Ramona - Santa Maria WTP</v>
      </c>
      <c r="B56" s="12" t="str">
        <v>CA</v>
      </c>
      <c r="C56" s="24">
        <f>SUM(Jul!C56, Aug!C56, Sep!C58)</f>
        <v>0</v>
      </c>
      <c r="D56" s="13">
        <f>SUM(Jul!D56, Aug!D56, Sep!D58)</f>
        <v>0</v>
      </c>
      <c r="E56" s="13">
        <f t="shared" si="9"/>
        <v>0</v>
      </c>
      <c r="F56" s="14" t="str">
        <f t="shared" si="10"/>
        <v/>
      </c>
      <c r="G56" s="15">
        <f>SUM(Jul!G56, Aug!G56, Sep!G58)</f>
        <v>0</v>
      </c>
      <c r="H56" s="15">
        <f>SUM(Jul!H56, Aug!H56, Sep!H58)</f>
        <v>0</v>
      </c>
      <c r="I56" s="16" t="str">
        <f t="shared" si="11"/>
        <v/>
      </c>
    </row>
    <row r="57" spans="1:9" ht="15.6">
      <c r="A57" s="49" t="str">
        <v>Kohls - Redding</v>
      </c>
      <c r="B57" s="17" t="str">
        <v>CA</v>
      </c>
      <c r="C57" s="11">
        <f>SUM(Jul!C57, Aug!C57, Sep!C59)</f>
        <v>0</v>
      </c>
      <c r="D57" s="18">
        <f>SUM(Jul!D57, Aug!D57, Sep!D59)</f>
        <v>0</v>
      </c>
      <c r="E57" s="18">
        <f t="shared" si="9"/>
        <v>0</v>
      </c>
      <c r="F57" s="19" t="str">
        <f t="shared" si="10"/>
        <v/>
      </c>
      <c r="G57" s="20">
        <f>SUM(Jul!G57, Aug!G57, Sep!G59)</f>
        <v>0</v>
      </c>
      <c r="H57" s="20">
        <f>SUM(Jul!H57, Aug!H57, Sep!H59)</f>
        <v>0</v>
      </c>
      <c r="I57" s="19" t="str">
        <f t="shared" si="11"/>
        <v/>
      </c>
    </row>
    <row r="58" spans="1:9" ht="15.6">
      <c r="A58" s="48" t="str">
        <v>Kohls - Salinas</v>
      </c>
      <c r="B58" s="12" t="str">
        <v>CA</v>
      </c>
      <c r="C58" s="24">
        <f>SUM(Jul!C58, Aug!C58, Sep!C60)</f>
        <v>0</v>
      </c>
      <c r="D58" s="13">
        <f>SUM(Jul!D58, Aug!D58, Sep!D60)</f>
        <v>0</v>
      </c>
      <c r="E58" s="13">
        <f t="shared" si="9"/>
        <v>0</v>
      </c>
      <c r="F58" s="14" t="str">
        <f t="shared" si="10"/>
        <v/>
      </c>
      <c r="G58" s="15">
        <f>SUM(Jul!G58, Aug!G58, Sep!G58)</f>
        <v>0</v>
      </c>
      <c r="H58" s="15">
        <f>SUM(Jul!H58, Aug!H58, Sep!H60)</f>
        <v>0</v>
      </c>
      <c r="I58" s="16" t="str">
        <f t="shared" si="11"/>
        <v/>
      </c>
    </row>
    <row r="59" spans="1:9" ht="15.6">
      <c r="A59" s="49" t="str">
        <v>Kohls - San Bernardino - Central</v>
      </c>
      <c r="B59" s="17" t="str">
        <v>CA</v>
      </c>
      <c r="C59" s="11">
        <f>SUM(Jul!C59, Aug!C59, Sep!C61)</f>
        <v>0</v>
      </c>
      <c r="D59" s="18">
        <f>SUM(Jul!D59, Aug!D59, Sep!D61)</f>
        <v>0</v>
      </c>
      <c r="E59" s="18">
        <f t="shared" si="9"/>
        <v>0</v>
      </c>
      <c r="F59" s="19" t="str">
        <f t="shared" si="10"/>
        <v/>
      </c>
      <c r="G59" s="20">
        <f>SUM(Jul!G59, Aug!G59, Sep!G61)</f>
        <v>0</v>
      </c>
      <c r="H59" s="20">
        <f>SUM(Jul!H59, Aug!H59, Sep!H61)</f>
        <v>0</v>
      </c>
      <c r="I59" s="19" t="str">
        <f t="shared" si="11"/>
        <v/>
      </c>
    </row>
    <row r="60" spans="1:9" ht="15.6">
      <c r="A60" s="48" t="str">
        <v>Kohls - Sonora</v>
      </c>
      <c r="B60" s="12" t="str">
        <v>CA</v>
      </c>
      <c r="C60" s="24">
        <f>SUM(Jul!C60, Aug!C60, Sep!C62)</f>
        <v>0</v>
      </c>
      <c r="D60" s="13">
        <f>SUM(Jul!D60, Aug!D60, Sep!D62)</f>
        <v>0</v>
      </c>
      <c r="E60" s="13">
        <f t="shared" si="9"/>
        <v>0</v>
      </c>
      <c r="F60" s="14" t="str">
        <f t="shared" si="10"/>
        <v/>
      </c>
      <c r="G60" s="15">
        <f>SUM(Jul!G60, Aug!G60, Sep!G60)</f>
        <v>0</v>
      </c>
      <c r="H60" s="15">
        <f>SUM(Jul!H60, Aug!H60, Sep!H62)</f>
        <v>0</v>
      </c>
      <c r="I60" s="16" t="str">
        <f t="shared" si="11"/>
        <v/>
      </c>
    </row>
    <row r="61" spans="1:9" ht="15.6">
      <c r="A61" s="49" t="str">
        <v>CUSD - Stratford ES</v>
      </c>
      <c r="B61" s="17" t="str">
        <v>CA</v>
      </c>
      <c r="C61" s="11">
        <f>SUM(Jul!C61, Aug!C61, Sep!C63)</f>
        <v>0</v>
      </c>
      <c r="D61" s="18">
        <f>SUM(Jul!D61, Aug!D61, Sep!D63)</f>
        <v>0</v>
      </c>
      <c r="E61" s="18">
        <f t="shared" si="9"/>
        <v>0</v>
      </c>
      <c r="F61" s="19" t="str">
        <f t="shared" si="10"/>
        <v/>
      </c>
      <c r="G61" s="20">
        <f>SUM(Jul!G61, Aug!G61, Sep!G63)</f>
        <v>0</v>
      </c>
      <c r="H61" s="20">
        <f>SUM(Jul!H61, Aug!H61, Sep!H63)</f>
        <v>0</v>
      </c>
      <c r="I61" s="19" t="str">
        <f t="shared" si="11"/>
        <v/>
      </c>
    </row>
    <row r="62" spans="1:9" ht="15.6">
      <c r="A62" s="48" t="str">
        <v>Taft - City Hall</v>
      </c>
      <c r="B62" s="12" t="str">
        <v>CA</v>
      </c>
      <c r="C62" s="24">
        <f>SUM(Jul!C62, Aug!C62, Sep!C64)</f>
        <v>0</v>
      </c>
      <c r="D62" s="13">
        <f>SUM(Jul!D62, Aug!D62, Sep!D64)</f>
        <v>0</v>
      </c>
      <c r="E62" s="13">
        <f t="shared" si="9"/>
        <v>0</v>
      </c>
      <c r="F62" s="14" t="str">
        <f t="shared" si="10"/>
        <v/>
      </c>
      <c r="G62" s="15">
        <f>SUM(Jul!G62, Aug!G62, Sep!G62)</f>
        <v>0</v>
      </c>
      <c r="H62" s="15">
        <f>SUM(Jul!H62, Aug!H62, Sep!H64)</f>
        <v>0</v>
      </c>
      <c r="I62" s="16" t="str">
        <f t="shared" si="11"/>
        <v/>
      </c>
    </row>
    <row r="63" spans="1:9" ht="15.6">
      <c r="A63" s="49" t="str">
        <v>Taft - Federal Prison</v>
      </c>
      <c r="B63" s="17" t="str">
        <v>CA</v>
      </c>
      <c r="C63" s="11">
        <f>SUM(Jul!C63, Aug!C63, Sep!C65)</f>
        <v>0</v>
      </c>
      <c r="D63" s="18">
        <f>SUM(Jul!D63, Aug!D63, Sep!D65)</f>
        <v>0</v>
      </c>
      <c r="E63" s="18">
        <f t="shared" si="9"/>
        <v>0</v>
      </c>
      <c r="F63" s="19" t="str">
        <f t="shared" si="10"/>
        <v/>
      </c>
      <c r="G63" s="20">
        <f>SUM(Jul!G63, Aug!G63, Sep!G65)</f>
        <v>0</v>
      </c>
      <c r="H63" s="20">
        <f>SUM(Jul!H63, Aug!H63, Sep!H65)</f>
        <v>0</v>
      </c>
      <c r="I63" s="19" t="str">
        <f t="shared" si="11"/>
        <v/>
      </c>
    </row>
    <row r="64" spans="1:9" ht="15.6">
      <c r="A64" s="48" t="str">
        <v>Taft - Police Department</v>
      </c>
      <c r="B64" s="12" t="str">
        <v>CA</v>
      </c>
      <c r="C64" s="24">
        <f>SUM(Jul!C64, Aug!C64, Sep!C66)</f>
        <v>0</v>
      </c>
      <c r="D64" s="13">
        <f>SUM(Jul!D64, Aug!D64, Sep!D66)</f>
        <v>0</v>
      </c>
      <c r="E64" s="13">
        <f t="shared" si="9"/>
        <v>0</v>
      </c>
      <c r="F64" s="14" t="str">
        <f t="shared" si="10"/>
        <v/>
      </c>
      <c r="G64" s="15">
        <f>SUM(Jul!G64, Aug!G64, Sep!G64)</f>
        <v>0</v>
      </c>
      <c r="H64" s="15">
        <f>SUM(Jul!H64, Aug!H64, Sep!H66)</f>
        <v>0</v>
      </c>
      <c r="I64" s="16" t="str">
        <f t="shared" si="11"/>
        <v/>
      </c>
    </row>
    <row r="65" spans="1:9" ht="15.6">
      <c r="A65" s="49" t="str">
        <v>Taft - WTP</v>
      </c>
      <c r="B65" s="17" t="str">
        <v>CA</v>
      </c>
      <c r="C65" s="11">
        <f>SUM(Jul!C65, Aug!C65, Sep!C67)</f>
        <v>0</v>
      </c>
      <c r="D65" s="18">
        <f>SUM(Jul!D65, Aug!D65, Sep!D67)</f>
        <v>0</v>
      </c>
      <c r="E65" s="18">
        <f t="shared" si="9"/>
        <v>0</v>
      </c>
      <c r="F65" s="19" t="str">
        <f t="shared" si="10"/>
        <v/>
      </c>
      <c r="G65" s="20">
        <f>SUM(Jul!G65, Aug!G65, Sep!G67)</f>
        <v>0</v>
      </c>
      <c r="H65" s="20">
        <f>SUM(Jul!H65, Aug!H65, Sep!H67)</f>
        <v>0</v>
      </c>
      <c r="I65" s="19" t="str">
        <f t="shared" si="11"/>
        <v/>
      </c>
    </row>
    <row r="66" spans="1:9" ht="15.6">
      <c r="A66" s="48" t="str">
        <v>CDCR - CA Correctional Institution</v>
      </c>
      <c r="B66" s="12" t="str">
        <v>CA</v>
      </c>
      <c r="C66" s="24">
        <f>SUM(Jul!C66, Aug!C66, Sep!C68)</f>
        <v>0</v>
      </c>
      <c r="D66" s="13">
        <f>SUM(Jul!D66, Aug!D66, Sep!D68)</f>
        <v>0</v>
      </c>
      <c r="E66" s="13">
        <f t="shared" si="9"/>
        <v>0</v>
      </c>
      <c r="F66" s="14" t="str">
        <f t="shared" si="10"/>
        <v/>
      </c>
      <c r="G66" s="15">
        <f>SUM(Jul!G66, Aug!G66, Sep!G66)</f>
        <v>0</v>
      </c>
      <c r="H66" s="15">
        <f>SUM(Jul!H66, Aug!H66, Sep!H68)</f>
        <v>0</v>
      </c>
      <c r="I66" s="16" t="str">
        <f t="shared" si="11"/>
        <v/>
      </c>
    </row>
    <row r="67" spans="1:9" ht="15.6">
      <c r="A67" s="49" t="str">
        <v>CDCR - CA Correctional Institution II</v>
      </c>
      <c r="B67" s="17" t="str">
        <v>CA</v>
      </c>
      <c r="C67" s="11">
        <f>SUM(Jul!C67, Aug!C67, Sep!C69)</f>
        <v>0</v>
      </c>
      <c r="D67" s="18">
        <f>SUM(Jul!D67, Aug!D67, Sep!D69)</f>
        <v>0</v>
      </c>
      <c r="E67" s="18">
        <f t="shared" si="9"/>
        <v>0</v>
      </c>
      <c r="F67" s="19" t="str">
        <f t="shared" si="10"/>
        <v/>
      </c>
      <c r="G67" s="20">
        <f>SUM(Jul!G67, Aug!G67, Sep!G69)</f>
        <v>0</v>
      </c>
      <c r="H67" s="20">
        <f>SUM(Jul!H67, Aug!H67, Sep!H69)</f>
        <v>0</v>
      </c>
      <c r="I67" s="19" t="str">
        <f t="shared" si="11"/>
        <v/>
      </c>
    </row>
    <row r="68" spans="1:9" ht="15.6">
      <c r="A68" s="48" t="str">
        <v>Snowline SD - Vista Verde ES</v>
      </c>
      <c r="B68" s="12" t="str">
        <v>CA</v>
      </c>
      <c r="C68" s="24">
        <f>SUM(Jul!C68, Aug!C68, Sep!C70)</f>
        <v>0</v>
      </c>
      <c r="D68" s="13">
        <f>SUM(Jul!D68, Aug!D68, Sep!D70)</f>
        <v>0</v>
      </c>
      <c r="E68" s="13">
        <f t="shared" si="9"/>
        <v>0</v>
      </c>
      <c r="F68" s="14" t="str">
        <f t="shared" si="10"/>
        <v/>
      </c>
      <c r="G68" s="15">
        <f>SUM(Jul!G68, Aug!G68, Sep!G68)</f>
        <v>0</v>
      </c>
      <c r="H68" s="15">
        <f>SUM(Jul!H68, Aug!H68, Sep!H70)</f>
        <v>0</v>
      </c>
      <c r="I68" s="16" t="str">
        <f t="shared" si="11"/>
        <v/>
      </c>
    </row>
    <row r="69" spans="1:9" ht="12.95">
      <c r="A69" s="21" t="str">
        <v>North Stonington</v>
      </c>
      <c r="B69" s="21" t="str">
        <v>CT</v>
      </c>
      <c r="C69" s="21"/>
      <c r="D69" s="21"/>
      <c r="E69" s="21"/>
      <c r="F69" s="22"/>
      <c r="G69" s="21"/>
      <c r="H69" s="21"/>
      <c r="I69" s="22"/>
    </row>
    <row r="70" spans="1:9" ht="12.95">
      <c r="A70" s="21"/>
      <c r="B70" s="21"/>
      <c r="C70" s="21"/>
      <c r="D70" s="21"/>
      <c r="E70" s="21"/>
      <c r="F70" s="22"/>
      <c r="G70" s="21"/>
      <c r="H70" s="21"/>
      <c r="I70" s="22"/>
    </row>
    <row r="71" spans="1:9" ht="12.95">
      <c r="A71" s="21"/>
      <c r="B71" s="21"/>
      <c r="C71" s="21"/>
      <c r="D71" s="21"/>
      <c r="E71" s="21"/>
      <c r="F71" s="22"/>
      <c r="G71" s="21"/>
      <c r="H71" s="21"/>
      <c r="I71" s="22"/>
    </row>
    <row r="72" spans="1:9" ht="12.95">
      <c r="A72" s="21"/>
      <c r="B72" s="21"/>
      <c r="C72" s="21"/>
      <c r="D72" s="21"/>
      <c r="E72" s="21"/>
      <c r="F72" s="22"/>
      <c r="G72" s="21"/>
      <c r="H72" s="21"/>
      <c r="I72" s="22"/>
    </row>
    <row r="73" spans="1:9" ht="12.95">
      <c r="A73" s="21"/>
      <c r="B73" s="21"/>
      <c r="C73" s="21"/>
      <c r="D73" s="21"/>
      <c r="E73" s="21"/>
      <c r="F73" s="22"/>
      <c r="G73" s="21"/>
      <c r="H73" s="21"/>
      <c r="I73" s="22"/>
    </row>
    <row r="74" spans="1:9" ht="12.95">
      <c r="A74" s="21"/>
      <c r="B74" s="21"/>
      <c r="C74" s="21"/>
      <c r="D74" s="21"/>
      <c r="E74" s="21"/>
      <c r="F74" s="22"/>
      <c r="G74" s="21"/>
      <c r="H74" s="21"/>
      <c r="I74" s="22"/>
    </row>
    <row r="75" spans="1:9" ht="12.95">
      <c r="A75" s="21"/>
      <c r="B75" s="21"/>
      <c r="C75" s="21"/>
      <c r="D75" s="21"/>
      <c r="E75" s="21"/>
      <c r="F75" s="22"/>
      <c r="G75" s="21"/>
      <c r="H75" s="21"/>
      <c r="I75" s="22"/>
    </row>
    <row r="76" spans="1:9" ht="12.95">
      <c r="A76" s="21"/>
      <c r="B76" s="21"/>
      <c r="C76" s="21"/>
      <c r="D76" s="21"/>
      <c r="E76" s="21"/>
      <c r="F76" s="22"/>
      <c r="G76" s="21"/>
      <c r="H76" s="21"/>
      <c r="I76" s="22"/>
    </row>
    <row r="77" spans="1:9" ht="12.95">
      <c r="A77" s="21"/>
      <c r="B77" s="21"/>
      <c r="C77" s="21"/>
      <c r="D77" s="21"/>
      <c r="E77" s="21"/>
      <c r="F77" s="22"/>
      <c r="G77" s="21"/>
      <c r="H77" s="21"/>
      <c r="I77" s="22"/>
    </row>
    <row r="78" spans="1:9" ht="12.95">
      <c r="A78" s="21"/>
      <c r="B78" s="21"/>
      <c r="C78" s="21"/>
      <c r="D78" s="21"/>
      <c r="E78" s="21"/>
      <c r="F78" s="22"/>
      <c r="G78" s="21"/>
      <c r="H78" s="21"/>
      <c r="I78" s="22"/>
    </row>
    <row r="79" spans="1:9" ht="12.95">
      <c r="A79" s="21"/>
      <c r="B79" s="21"/>
      <c r="C79" s="21"/>
      <c r="D79" s="21"/>
      <c r="E79" s="21"/>
      <c r="F79" s="22"/>
      <c r="G79" s="21"/>
      <c r="H79" s="21"/>
      <c r="I79" s="22"/>
    </row>
    <row r="80" spans="1:9" ht="12.95">
      <c r="A80" s="21"/>
      <c r="B80" s="21"/>
      <c r="C80" s="21"/>
      <c r="D80" s="21"/>
      <c r="E80" s="21"/>
      <c r="F80" s="22"/>
      <c r="G80" s="21"/>
      <c r="H80" s="21"/>
      <c r="I80" s="22"/>
    </row>
    <row r="81" spans="1:9" ht="12.95">
      <c r="A81" s="21"/>
      <c r="B81" s="21"/>
      <c r="C81" s="21"/>
      <c r="D81" s="21"/>
      <c r="E81" s="21"/>
      <c r="F81" s="22"/>
      <c r="G81" s="21"/>
      <c r="H81" s="21"/>
      <c r="I81" s="22"/>
    </row>
    <row r="82" spans="1:9" ht="12.95">
      <c r="A82" s="21"/>
      <c r="B82" s="21"/>
      <c r="C82" s="21"/>
      <c r="D82" s="21"/>
      <c r="E82" s="21"/>
      <c r="F82" s="22"/>
      <c r="G82" s="21"/>
      <c r="H82" s="21"/>
      <c r="I82" s="22"/>
    </row>
    <row r="83" spans="1:9" ht="12.95">
      <c r="A83" s="21"/>
      <c r="B83" s="21"/>
      <c r="C83" s="21"/>
      <c r="D83" s="21"/>
      <c r="E83" s="21"/>
      <c r="F83" s="22"/>
      <c r="G83" s="21"/>
      <c r="H83" s="21"/>
      <c r="I83" s="22"/>
    </row>
    <row r="84" spans="1:9" ht="12.95">
      <c r="A84" s="21"/>
      <c r="B84" s="21"/>
      <c r="C84" s="21"/>
      <c r="D84" s="21"/>
      <c r="E84" s="21"/>
      <c r="F84" s="22"/>
      <c r="G84" s="21"/>
      <c r="H84" s="21"/>
      <c r="I84" s="22"/>
    </row>
    <row r="85" spans="1:9" ht="12.95">
      <c r="A85" s="21"/>
      <c r="B85" s="21"/>
      <c r="C85" s="21"/>
      <c r="D85" s="21"/>
      <c r="E85" s="21"/>
      <c r="F85" s="22"/>
      <c r="G85" s="21"/>
      <c r="H85" s="21"/>
      <c r="I85" s="22"/>
    </row>
    <row r="86" spans="1:9" ht="12.95">
      <c r="A86" s="21"/>
      <c r="B86" s="21"/>
      <c r="C86" s="21"/>
      <c r="D86" s="21"/>
      <c r="E86" s="21"/>
      <c r="F86" s="22"/>
      <c r="G86" s="21"/>
      <c r="H86" s="21"/>
      <c r="I86" s="22"/>
    </row>
    <row r="87" spans="1:9" ht="12.95">
      <c r="A87" s="21"/>
      <c r="B87" s="21"/>
      <c r="C87" s="21"/>
      <c r="D87" s="21"/>
      <c r="E87" s="21"/>
      <c r="F87" s="22"/>
      <c r="G87" s="21"/>
      <c r="H87" s="21"/>
      <c r="I87" s="22"/>
    </row>
    <row r="88" spans="1:9" ht="12.95">
      <c r="A88" s="21"/>
      <c r="B88" s="21"/>
      <c r="C88" s="21"/>
      <c r="D88" s="21"/>
      <c r="E88" s="21"/>
      <c r="F88" s="22"/>
      <c r="G88" s="21"/>
      <c r="H88" s="21"/>
      <c r="I88" s="22"/>
    </row>
    <row r="89" spans="1:9" ht="12.95">
      <c r="A89" s="21"/>
      <c r="B89" s="21"/>
      <c r="C89" s="21"/>
      <c r="D89" s="21"/>
      <c r="E89" s="21"/>
      <c r="F89" s="22"/>
      <c r="G89" s="21"/>
      <c r="H89" s="21"/>
      <c r="I89" s="22"/>
    </row>
    <row r="90" spans="1:9" ht="12.95">
      <c r="A90" s="21"/>
      <c r="B90" s="21"/>
      <c r="C90" s="21"/>
      <c r="D90" s="21"/>
      <c r="E90" s="21"/>
      <c r="F90" s="22"/>
      <c r="G90" s="21"/>
      <c r="H90" s="21"/>
      <c r="I90" s="22"/>
    </row>
    <row r="91" spans="1:9" ht="12.95">
      <c r="A91" s="21"/>
      <c r="B91" s="21"/>
      <c r="C91" s="21"/>
      <c r="D91" s="21"/>
      <c r="E91" s="21"/>
      <c r="F91" s="22"/>
      <c r="G91" s="21"/>
      <c r="H91" s="21"/>
      <c r="I91" s="22"/>
    </row>
    <row r="92" spans="1:9" ht="12.95">
      <c r="A92" s="21"/>
      <c r="B92" s="21"/>
      <c r="C92" s="21"/>
      <c r="D92" s="21"/>
      <c r="E92" s="21"/>
      <c r="F92" s="22"/>
      <c r="G92" s="21"/>
      <c r="H92" s="21"/>
      <c r="I92" s="22"/>
    </row>
    <row r="93" spans="1:9" ht="12.95">
      <c r="A93" s="21"/>
      <c r="B93" s="21"/>
      <c r="C93" s="21"/>
      <c r="D93" s="21"/>
      <c r="E93" s="21"/>
      <c r="F93" s="22"/>
      <c r="G93" s="21"/>
      <c r="H93" s="21"/>
      <c r="I93" s="22"/>
    </row>
    <row r="94" spans="1:9" ht="12.95">
      <c r="A94" s="21"/>
      <c r="B94" s="21"/>
      <c r="C94" s="21"/>
      <c r="D94" s="21"/>
      <c r="E94" s="21"/>
      <c r="F94" s="22"/>
      <c r="G94" s="21"/>
      <c r="H94" s="21"/>
      <c r="I94" s="22"/>
    </row>
    <row r="95" spans="1:9" ht="12.95">
      <c r="A95" s="21"/>
      <c r="B95" s="21"/>
      <c r="C95" s="21"/>
      <c r="D95" s="21"/>
      <c r="E95" s="21"/>
      <c r="F95" s="22"/>
      <c r="G95" s="21"/>
      <c r="H95" s="21"/>
      <c r="I95" s="22"/>
    </row>
    <row r="96" spans="1:9" ht="12.95">
      <c r="A96" s="21"/>
      <c r="B96" s="21"/>
      <c r="C96" s="21"/>
      <c r="D96" s="21"/>
      <c r="E96" s="21"/>
      <c r="F96" s="22"/>
      <c r="G96" s="21"/>
      <c r="H96" s="21"/>
      <c r="I96" s="22"/>
    </row>
    <row r="97" spans="1:9" ht="12.95">
      <c r="A97" s="21"/>
      <c r="B97" s="21"/>
      <c r="C97" s="21"/>
      <c r="D97" s="21"/>
      <c r="E97" s="21"/>
      <c r="F97" s="22"/>
      <c r="G97" s="21"/>
      <c r="H97" s="21"/>
      <c r="I97" s="22"/>
    </row>
    <row r="98" spans="1:9" ht="12.95">
      <c r="A98" s="21"/>
      <c r="B98" s="21"/>
      <c r="C98" s="21"/>
      <c r="D98" s="21"/>
      <c r="E98" s="21"/>
      <c r="F98" s="22"/>
      <c r="G98" s="21"/>
      <c r="H98" s="21"/>
      <c r="I98" s="22"/>
    </row>
    <row r="99" spans="1:9" ht="12.95">
      <c r="A99" s="21"/>
      <c r="B99" s="21"/>
      <c r="C99" s="21"/>
      <c r="D99" s="21"/>
      <c r="E99" s="21"/>
      <c r="F99" s="22"/>
      <c r="G99" s="21"/>
      <c r="H99" s="21"/>
      <c r="I99" s="22"/>
    </row>
    <row r="100" spans="1:9" ht="12.95">
      <c r="A100" s="21"/>
      <c r="B100" s="21"/>
      <c r="C100" s="21"/>
      <c r="D100" s="21"/>
      <c r="E100" s="21"/>
      <c r="F100" s="22"/>
      <c r="G100" s="21"/>
      <c r="H100" s="21"/>
      <c r="I100" s="22"/>
    </row>
    <row r="101" spans="1:9" ht="12.95">
      <c r="A101" s="21"/>
      <c r="B101" s="21"/>
      <c r="C101" s="21"/>
      <c r="D101" s="21"/>
      <c r="E101" s="21"/>
      <c r="F101" s="22"/>
      <c r="G101" s="21"/>
      <c r="H101" s="21"/>
      <c r="I101" s="22"/>
    </row>
    <row r="102" spans="1:9" ht="12.95">
      <c r="A102" s="21"/>
      <c r="B102" s="21"/>
      <c r="C102" s="21"/>
      <c r="D102" s="21"/>
      <c r="E102" s="21"/>
      <c r="F102" s="22"/>
      <c r="G102" s="21"/>
      <c r="H102" s="21"/>
      <c r="I102" s="22"/>
    </row>
    <row r="103" spans="1:9" ht="12.95">
      <c r="A103" s="21"/>
      <c r="B103" s="21"/>
      <c r="C103" s="21"/>
      <c r="D103" s="21"/>
      <c r="E103" s="21"/>
      <c r="F103" s="22"/>
      <c r="G103" s="21"/>
      <c r="H103" s="21"/>
      <c r="I103" s="22"/>
    </row>
    <row r="104" spans="1:9" ht="12.95">
      <c r="A104" s="21"/>
      <c r="B104" s="21"/>
      <c r="C104" s="21"/>
      <c r="D104" s="21"/>
      <c r="E104" s="21"/>
      <c r="F104" s="22"/>
      <c r="G104" s="21"/>
      <c r="H104" s="21"/>
      <c r="I104" s="22"/>
    </row>
    <row r="105" spans="1:9" ht="12.95">
      <c r="A105" s="21"/>
      <c r="B105" s="21"/>
      <c r="C105" s="21"/>
      <c r="D105" s="21"/>
      <c r="E105" s="21"/>
      <c r="F105" s="22"/>
      <c r="G105" s="21"/>
      <c r="H105" s="21"/>
      <c r="I105" s="22"/>
    </row>
    <row r="106" spans="1:9" ht="12.95">
      <c r="A106" s="21"/>
      <c r="B106" s="21"/>
      <c r="C106" s="21"/>
      <c r="D106" s="21"/>
      <c r="E106" s="21"/>
      <c r="F106" s="22"/>
      <c r="G106" s="21"/>
      <c r="H106" s="21"/>
      <c r="I106" s="22"/>
    </row>
    <row r="107" spans="1:9" ht="12.95">
      <c r="A107" s="21"/>
      <c r="B107" s="21"/>
      <c r="C107" s="21"/>
      <c r="D107" s="21"/>
      <c r="E107" s="21"/>
      <c r="F107" s="22"/>
      <c r="G107" s="21"/>
      <c r="H107" s="21"/>
      <c r="I107" s="22"/>
    </row>
    <row r="108" spans="1:9" ht="12.95">
      <c r="A108" s="21"/>
      <c r="B108" s="21"/>
      <c r="C108" s="21"/>
      <c r="D108" s="21"/>
      <c r="E108" s="21"/>
      <c r="F108" s="22"/>
      <c r="G108" s="21"/>
      <c r="H108" s="21"/>
      <c r="I108" s="22"/>
    </row>
    <row r="109" spans="1:9" ht="12.95">
      <c r="A109" s="21"/>
      <c r="B109" s="21"/>
      <c r="C109" s="21"/>
      <c r="D109" s="21"/>
      <c r="E109" s="21"/>
      <c r="F109" s="22"/>
      <c r="G109" s="21"/>
      <c r="H109" s="21"/>
      <c r="I109" s="22"/>
    </row>
    <row r="110" spans="1:9" ht="12.95">
      <c r="A110" s="21"/>
      <c r="B110" s="21"/>
      <c r="C110" s="21"/>
      <c r="D110" s="21"/>
      <c r="E110" s="21"/>
      <c r="F110" s="22"/>
      <c r="G110" s="21"/>
      <c r="H110" s="21"/>
      <c r="I110" s="22"/>
    </row>
    <row r="111" spans="1:9" ht="12.95">
      <c r="A111" s="21"/>
      <c r="B111" s="21"/>
      <c r="C111" s="21"/>
      <c r="D111" s="21"/>
      <c r="E111" s="21"/>
      <c r="F111" s="22"/>
      <c r="G111" s="21"/>
      <c r="H111" s="21"/>
      <c r="I111" s="22"/>
    </row>
    <row r="112" spans="1:9" ht="12.95">
      <c r="A112" s="21"/>
      <c r="B112" s="21"/>
      <c r="C112" s="21"/>
      <c r="D112" s="21"/>
      <c r="E112" s="21"/>
      <c r="F112" s="22"/>
      <c r="G112" s="21"/>
      <c r="H112" s="21"/>
      <c r="I112" s="22"/>
    </row>
    <row r="113" spans="1:9" ht="12.95">
      <c r="A113" s="21"/>
      <c r="B113" s="21"/>
      <c r="C113" s="21"/>
      <c r="D113" s="21"/>
      <c r="E113" s="21"/>
      <c r="F113" s="22"/>
      <c r="G113" s="21"/>
      <c r="H113" s="21"/>
      <c r="I113" s="22"/>
    </row>
    <row r="114" spans="1:9" ht="12.95">
      <c r="A114" s="21"/>
      <c r="B114" s="21"/>
      <c r="C114" s="21"/>
      <c r="D114" s="21"/>
      <c r="E114" s="21"/>
      <c r="F114" s="22"/>
      <c r="G114" s="21"/>
      <c r="H114" s="21"/>
      <c r="I114" s="22"/>
    </row>
    <row r="115" spans="1:9" ht="12.95">
      <c r="A115" s="21"/>
      <c r="B115" s="21"/>
      <c r="C115" s="21"/>
      <c r="D115" s="21"/>
      <c r="E115" s="21"/>
      <c r="F115" s="22"/>
      <c r="G115" s="21"/>
      <c r="H115" s="21"/>
      <c r="I115" s="22"/>
    </row>
    <row r="116" spans="1:9" ht="12.95">
      <c r="A116" s="21"/>
      <c r="B116" s="21"/>
      <c r="C116" s="21"/>
      <c r="D116" s="21"/>
      <c r="E116" s="21"/>
      <c r="F116" s="22"/>
      <c r="G116" s="21"/>
      <c r="H116" s="21"/>
      <c r="I116" s="22"/>
    </row>
    <row r="117" spans="1:9" ht="12.95">
      <c r="A117" s="21"/>
      <c r="B117" s="21"/>
      <c r="C117" s="21"/>
      <c r="D117" s="21"/>
      <c r="E117" s="21"/>
      <c r="F117" s="22"/>
      <c r="G117" s="21"/>
      <c r="H117" s="21"/>
      <c r="I117" s="22"/>
    </row>
    <row r="118" spans="1:9" ht="12.95">
      <c r="A118" s="21"/>
      <c r="B118" s="21"/>
      <c r="C118" s="21"/>
      <c r="D118" s="21"/>
      <c r="E118" s="21"/>
      <c r="F118" s="22"/>
      <c r="G118" s="21"/>
      <c r="H118" s="21"/>
      <c r="I118" s="22"/>
    </row>
    <row r="119" spans="1:9" ht="12.95">
      <c r="A119" s="21"/>
      <c r="B119" s="21"/>
      <c r="C119" s="21"/>
      <c r="D119" s="21"/>
      <c r="E119" s="21"/>
      <c r="F119" s="22"/>
      <c r="G119" s="21"/>
      <c r="H119" s="21"/>
      <c r="I119" s="22"/>
    </row>
    <row r="120" spans="1:9" ht="12.95">
      <c r="A120" s="21"/>
      <c r="B120" s="21"/>
      <c r="C120" s="21"/>
      <c r="D120" s="21"/>
      <c r="E120" s="21"/>
      <c r="F120" s="22"/>
      <c r="G120" s="21"/>
      <c r="H120" s="21"/>
      <c r="I120" s="22"/>
    </row>
    <row r="121" spans="1:9" ht="12.95">
      <c r="A121" s="21"/>
      <c r="B121" s="21"/>
      <c r="C121" s="21"/>
      <c r="D121" s="21"/>
      <c r="E121" s="21"/>
      <c r="F121" s="22"/>
      <c r="G121" s="21"/>
      <c r="H121" s="21"/>
      <c r="I121" s="22"/>
    </row>
    <row r="122" spans="1:9" ht="12.95">
      <c r="A122" s="21"/>
      <c r="B122" s="21"/>
      <c r="C122" s="21"/>
      <c r="D122" s="21"/>
      <c r="E122" s="21"/>
      <c r="F122" s="22"/>
      <c r="G122" s="21"/>
      <c r="H122" s="21"/>
      <c r="I122" s="22"/>
    </row>
    <row r="123" spans="1:9" ht="12.95">
      <c r="A123" s="21"/>
      <c r="B123" s="21"/>
      <c r="C123" s="21"/>
      <c r="D123" s="21"/>
      <c r="E123" s="21"/>
      <c r="F123" s="22"/>
      <c r="G123" s="21"/>
      <c r="H123" s="21"/>
      <c r="I123" s="22"/>
    </row>
    <row r="124" spans="1:9" ht="12.95">
      <c r="A124" s="21"/>
      <c r="B124" s="21"/>
      <c r="C124" s="21"/>
      <c r="D124" s="21"/>
      <c r="E124" s="21"/>
      <c r="F124" s="22"/>
      <c r="G124" s="21"/>
      <c r="H124" s="21"/>
      <c r="I124" s="22"/>
    </row>
    <row r="125" spans="1:9" ht="12.95">
      <c r="A125" s="21"/>
      <c r="B125" s="21"/>
      <c r="C125" s="21"/>
      <c r="D125" s="21"/>
      <c r="E125" s="21"/>
      <c r="F125" s="22"/>
      <c r="G125" s="21"/>
      <c r="H125" s="21"/>
      <c r="I125" s="22"/>
    </row>
    <row r="126" spans="1:9" ht="12.95">
      <c r="A126" s="21"/>
      <c r="B126" s="21"/>
      <c r="C126" s="21"/>
      <c r="D126" s="21"/>
      <c r="E126" s="21"/>
      <c r="F126" s="22"/>
      <c r="G126" s="21"/>
      <c r="H126" s="21"/>
      <c r="I126" s="22"/>
    </row>
    <row r="127" spans="1:9" ht="12.95">
      <c r="A127" s="21"/>
      <c r="B127" s="21"/>
      <c r="C127" s="21"/>
      <c r="D127" s="21"/>
      <c r="E127" s="21"/>
      <c r="F127" s="22"/>
      <c r="G127" s="21"/>
      <c r="H127" s="21"/>
      <c r="I127" s="22"/>
    </row>
    <row r="128" spans="1:9" ht="12.95">
      <c r="A128" s="21"/>
      <c r="B128" s="21"/>
      <c r="C128" s="21"/>
      <c r="D128" s="21"/>
      <c r="E128" s="21"/>
      <c r="F128" s="22"/>
      <c r="G128" s="21"/>
      <c r="H128" s="21"/>
      <c r="I128" s="22"/>
    </row>
    <row r="129" spans="1:9" ht="12.95">
      <c r="A129" s="21"/>
      <c r="B129" s="21"/>
      <c r="C129" s="21"/>
      <c r="D129" s="21"/>
      <c r="E129" s="21"/>
      <c r="F129" s="22"/>
      <c r="G129" s="21"/>
      <c r="H129" s="21"/>
      <c r="I129" s="22"/>
    </row>
    <row r="130" spans="1:9" ht="12.95">
      <c r="A130" s="21"/>
      <c r="B130" s="21"/>
      <c r="C130" s="21"/>
      <c r="D130" s="21"/>
      <c r="E130" s="21"/>
      <c r="F130" s="22"/>
      <c r="G130" s="21"/>
      <c r="H130" s="21"/>
      <c r="I130" s="22"/>
    </row>
    <row r="131" spans="1:9" ht="12.95">
      <c r="A131" s="21"/>
      <c r="B131" s="21"/>
      <c r="C131" s="21"/>
      <c r="D131" s="21"/>
      <c r="E131" s="21"/>
      <c r="F131" s="22"/>
      <c r="G131" s="21"/>
      <c r="H131" s="21"/>
      <c r="I131" s="22"/>
    </row>
    <row r="132" spans="1:9" ht="12.95">
      <c r="A132" s="21"/>
      <c r="B132" s="21"/>
      <c r="C132" s="21"/>
      <c r="D132" s="21"/>
      <c r="E132" s="21"/>
      <c r="F132" s="22"/>
      <c r="G132" s="21"/>
      <c r="H132" s="21"/>
      <c r="I132" s="22"/>
    </row>
    <row r="133" spans="1:9" ht="12.95">
      <c r="A133" s="21"/>
      <c r="B133" s="21"/>
      <c r="C133" s="21"/>
      <c r="D133" s="21"/>
      <c r="E133" s="21"/>
      <c r="F133" s="22"/>
      <c r="G133" s="21"/>
      <c r="H133" s="21"/>
      <c r="I133" s="22"/>
    </row>
    <row r="134" spans="1:9" ht="12.95">
      <c r="A134" s="21"/>
      <c r="B134" s="21"/>
      <c r="C134" s="21"/>
      <c r="D134" s="21"/>
      <c r="E134" s="21"/>
      <c r="F134" s="22"/>
      <c r="G134" s="21"/>
      <c r="H134" s="21"/>
      <c r="I134" s="22"/>
    </row>
    <row r="135" spans="1:9" ht="12.95">
      <c r="A135" s="21"/>
      <c r="B135" s="21"/>
      <c r="C135" s="21"/>
      <c r="D135" s="21"/>
      <c r="E135" s="21"/>
      <c r="F135" s="22"/>
      <c r="G135" s="21"/>
      <c r="H135" s="21"/>
      <c r="I135" s="22"/>
    </row>
    <row r="136" spans="1:9" ht="12.95">
      <c r="A136" s="21"/>
      <c r="B136" s="21"/>
      <c r="C136" s="21"/>
      <c r="D136" s="21"/>
      <c r="E136" s="21"/>
      <c r="F136" s="22"/>
      <c r="G136" s="21"/>
      <c r="H136" s="21"/>
      <c r="I136" s="22"/>
    </row>
    <row r="137" spans="1:9" ht="12.95">
      <c r="A137" s="21"/>
      <c r="B137" s="21"/>
      <c r="C137" s="21"/>
      <c r="D137" s="21"/>
      <c r="E137" s="21"/>
      <c r="F137" s="22"/>
      <c r="G137" s="21"/>
      <c r="H137" s="21"/>
      <c r="I137" s="22"/>
    </row>
    <row r="138" spans="1:9" ht="12.95">
      <c r="A138" s="21"/>
      <c r="B138" s="21"/>
      <c r="C138" s="21"/>
      <c r="D138" s="21"/>
      <c r="E138" s="21"/>
      <c r="F138" s="22"/>
      <c r="G138" s="21"/>
      <c r="H138" s="21"/>
      <c r="I138" s="22"/>
    </row>
    <row r="139" spans="1:9" ht="12.95">
      <c r="A139" s="21"/>
      <c r="B139" s="21"/>
      <c r="C139" s="21"/>
      <c r="D139" s="21"/>
      <c r="E139" s="21"/>
      <c r="F139" s="22"/>
      <c r="G139" s="21"/>
      <c r="H139" s="21"/>
      <c r="I139" s="22"/>
    </row>
    <row r="140" spans="1:9" ht="12.95">
      <c r="A140" s="21"/>
      <c r="B140" s="21"/>
      <c r="C140" s="21"/>
      <c r="D140" s="21"/>
      <c r="E140" s="21"/>
      <c r="F140" s="22"/>
      <c r="G140" s="21"/>
      <c r="H140" s="21"/>
      <c r="I140" s="22"/>
    </row>
    <row r="141" spans="1:9" ht="12.95">
      <c r="A141" s="21"/>
      <c r="B141" s="21"/>
      <c r="C141" s="21"/>
      <c r="D141" s="21"/>
      <c r="E141" s="21"/>
      <c r="F141" s="22"/>
      <c r="G141" s="21"/>
      <c r="H141" s="21"/>
      <c r="I141" s="22"/>
    </row>
    <row r="142" spans="1:9" ht="12.95">
      <c r="A142" s="21"/>
      <c r="B142" s="21"/>
      <c r="C142" s="21"/>
      <c r="D142" s="21"/>
      <c r="E142" s="21"/>
      <c r="F142" s="22"/>
      <c r="G142" s="21"/>
      <c r="H142" s="21"/>
      <c r="I142" s="22"/>
    </row>
    <row r="143" spans="1:9" ht="12.95">
      <c r="A143" s="21"/>
      <c r="B143" s="21"/>
      <c r="C143" s="21"/>
      <c r="D143" s="21"/>
      <c r="E143" s="21"/>
      <c r="F143" s="22"/>
      <c r="G143" s="21"/>
      <c r="H143" s="21"/>
      <c r="I143" s="22"/>
    </row>
    <row r="144" spans="1:9" ht="12.95">
      <c r="A144" s="21"/>
      <c r="B144" s="21"/>
      <c r="C144" s="21"/>
      <c r="D144" s="21"/>
      <c r="E144" s="21"/>
      <c r="F144" s="22"/>
      <c r="G144" s="21"/>
      <c r="H144" s="21"/>
      <c r="I144" s="22"/>
    </row>
    <row r="145" spans="1:9" ht="12.95">
      <c r="A145" s="21"/>
      <c r="B145" s="21"/>
      <c r="C145" s="21"/>
      <c r="D145" s="21"/>
      <c r="E145" s="21"/>
      <c r="F145" s="22"/>
      <c r="G145" s="21"/>
      <c r="H145" s="21"/>
      <c r="I145" s="22"/>
    </row>
    <row r="146" spans="1:9" ht="12.95">
      <c r="A146" s="21"/>
      <c r="B146" s="21"/>
      <c r="C146" s="21"/>
      <c r="D146" s="21"/>
      <c r="E146" s="21"/>
      <c r="F146" s="22"/>
      <c r="G146" s="21"/>
      <c r="H146" s="21"/>
      <c r="I146" s="22"/>
    </row>
    <row r="147" spans="1:9" ht="12.95">
      <c r="A147" s="21"/>
      <c r="B147" s="21"/>
      <c r="C147" s="21"/>
      <c r="D147" s="21"/>
      <c r="E147" s="21"/>
      <c r="F147" s="22"/>
      <c r="G147" s="21"/>
      <c r="H147" s="21"/>
      <c r="I147" s="22"/>
    </row>
    <row r="148" spans="1:9" ht="12.95">
      <c r="A148" s="21"/>
      <c r="B148" s="21"/>
      <c r="C148" s="21"/>
      <c r="D148" s="21"/>
      <c r="E148" s="21"/>
      <c r="F148" s="22"/>
      <c r="G148" s="21"/>
      <c r="H148" s="21"/>
      <c r="I148" s="22"/>
    </row>
    <row r="149" spans="1:9" ht="12.95">
      <c r="A149" s="21"/>
      <c r="B149" s="21"/>
      <c r="C149" s="21"/>
      <c r="D149" s="21"/>
      <c r="E149" s="21"/>
      <c r="F149" s="22"/>
      <c r="G149" s="21"/>
      <c r="H149" s="21"/>
      <c r="I149" s="22"/>
    </row>
    <row r="150" spans="1:9" ht="12.95">
      <c r="A150" s="21"/>
      <c r="B150" s="21"/>
      <c r="C150" s="21"/>
      <c r="D150" s="21"/>
      <c r="E150" s="21"/>
      <c r="F150" s="22"/>
      <c r="G150" s="21"/>
      <c r="H150" s="21"/>
      <c r="I150" s="22"/>
    </row>
    <row r="151" spans="1:9" ht="12.95">
      <c r="A151" s="21"/>
      <c r="B151" s="21"/>
      <c r="C151" s="21"/>
      <c r="D151" s="21"/>
      <c r="E151" s="21"/>
      <c r="F151" s="22"/>
      <c r="G151" s="21"/>
      <c r="H151" s="21"/>
      <c r="I151" s="22"/>
    </row>
    <row r="152" spans="1:9" ht="12.95">
      <c r="A152" s="21"/>
      <c r="B152" s="21"/>
      <c r="C152" s="21"/>
      <c r="D152" s="21"/>
      <c r="E152" s="21"/>
      <c r="F152" s="22"/>
      <c r="G152" s="21"/>
      <c r="H152" s="21"/>
      <c r="I152" s="22"/>
    </row>
    <row r="153" spans="1:9" ht="12.95">
      <c r="A153" s="21"/>
      <c r="B153" s="21"/>
      <c r="C153" s="21"/>
      <c r="D153" s="21"/>
      <c r="E153" s="21"/>
      <c r="F153" s="22"/>
      <c r="G153" s="21"/>
      <c r="H153" s="21"/>
      <c r="I153" s="22"/>
    </row>
    <row r="154" spans="1:9" ht="12.95">
      <c r="A154" s="21"/>
      <c r="B154" s="21"/>
      <c r="C154" s="21"/>
      <c r="D154" s="21"/>
      <c r="E154" s="21"/>
      <c r="F154" s="22"/>
      <c r="G154" s="21"/>
      <c r="H154" s="21"/>
      <c r="I154" s="22"/>
    </row>
    <row r="155" spans="1:9" ht="12.95">
      <c r="A155" s="21"/>
      <c r="B155" s="21"/>
      <c r="C155" s="21"/>
      <c r="D155" s="21"/>
      <c r="E155" s="21"/>
      <c r="F155" s="22"/>
      <c r="G155" s="21"/>
      <c r="H155" s="21"/>
      <c r="I155" s="22"/>
    </row>
    <row r="156" spans="1:9" ht="12.95">
      <c r="A156" s="21"/>
      <c r="B156" s="21"/>
      <c r="C156" s="21"/>
      <c r="D156" s="21"/>
      <c r="E156" s="21"/>
      <c r="F156" s="22"/>
      <c r="G156" s="21"/>
      <c r="H156" s="21"/>
      <c r="I156" s="22"/>
    </row>
    <row r="157" spans="1:9" ht="12.95">
      <c r="A157" s="21"/>
      <c r="B157" s="21"/>
      <c r="C157" s="21"/>
      <c r="D157" s="21"/>
      <c r="E157" s="21"/>
      <c r="F157" s="22"/>
      <c r="G157" s="21"/>
      <c r="H157" s="21"/>
      <c r="I157" s="22"/>
    </row>
    <row r="158" spans="1:9" ht="12.95">
      <c r="A158" s="21"/>
      <c r="B158" s="21"/>
      <c r="C158" s="21"/>
      <c r="D158" s="21"/>
      <c r="E158" s="21"/>
      <c r="F158" s="22"/>
      <c r="G158" s="21"/>
      <c r="H158" s="21"/>
      <c r="I158" s="22"/>
    </row>
    <row r="159" spans="1:9" ht="12.95">
      <c r="A159" s="21"/>
      <c r="B159" s="21"/>
      <c r="C159" s="21"/>
      <c r="D159" s="21"/>
      <c r="E159" s="21"/>
      <c r="F159" s="22"/>
      <c r="G159" s="21"/>
      <c r="H159" s="21"/>
      <c r="I159" s="22"/>
    </row>
    <row r="160" spans="1:9" ht="12.95">
      <c r="A160" s="21"/>
      <c r="B160" s="21"/>
      <c r="C160" s="21"/>
      <c r="D160" s="21"/>
      <c r="E160" s="21"/>
      <c r="F160" s="22"/>
      <c r="G160" s="21"/>
      <c r="H160" s="21"/>
      <c r="I160" s="22"/>
    </row>
    <row r="161" spans="1:9" ht="12.95">
      <c r="A161" s="21"/>
      <c r="B161" s="21"/>
      <c r="C161" s="21"/>
      <c r="D161" s="21"/>
      <c r="E161" s="21"/>
      <c r="F161" s="22"/>
      <c r="G161" s="21"/>
      <c r="H161" s="21"/>
      <c r="I161" s="22"/>
    </row>
    <row r="162" spans="1:9" ht="12.95">
      <c r="A162" s="21"/>
      <c r="B162" s="21"/>
      <c r="C162" s="21"/>
      <c r="D162" s="21"/>
      <c r="E162" s="21"/>
      <c r="F162" s="22"/>
      <c r="G162" s="21"/>
      <c r="H162" s="21"/>
      <c r="I162" s="22"/>
    </row>
    <row r="163" spans="1:9" ht="12.95">
      <c r="A163" s="21"/>
      <c r="B163" s="21"/>
      <c r="C163" s="21"/>
      <c r="D163" s="21"/>
      <c r="E163" s="21"/>
      <c r="F163" s="22"/>
      <c r="G163" s="21"/>
      <c r="H163" s="21"/>
      <c r="I163" s="22"/>
    </row>
    <row r="164" spans="1:9" ht="12.95">
      <c r="A164" s="21"/>
      <c r="B164" s="21"/>
      <c r="C164" s="21"/>
      <c r="D164" s="21"/>
      <c r="E164" s="21"/>
      <c r="F164" s="22"/>
      <c r="G164" s="21"/>
      <c r="H164" s="21"/>
      <c r="I164" s="22"/>
    </row>
    <row r="165" spans="1:9" ht="12.95">
      <c r="A165" s="21"/>
      <c r="B165" s="21"/>
      <c r="C165" s="21"/>
      <c r="D165" s="21"/>
      <c r="E165" s="21"/>
      <c r="F165" s="22"/>
      <c r="G165" s="21"/>
      <c r="H165" s="21"/>
      <c r="I165" s="22"/>
    </row>
    <row r="166" spans="1:9" ht="12.95">
      <c r="A166" s="21"/>
      <c r="B166" s="21"/>
      <c r="C166" s="21"/>
      <c r="D166" s="21"/>
      <c r="E166" s="21"/>
      <c r="F166" s="22"/>
      <c r="G166" s="21"/>
      <c r="H166" s="21"/>
      <c r="I166" s="22"/>
    </row>
    <row r="167" spans="1:9" ht="12.95">
      <c r="A167" s="21"/>
      <c r="B167" s="21"/>
      <c r="C167" s="21"/>
      <c r="D167" s="21"/>
      <c r="E167" s="21"/>
      <c r="F167" s="22"/>
      <c r="G167" s="21"/>
      <c r="H167" s="21"/>
      <c r="I167" s="22"/>
    </row>
    <row r="168" spans="1:9" ht="12.95">
      <c r="A168" s="21"/>
      <c r="B168" s="21"/>
      <c r="C168" s="21"/>
      <c r="D168" s="21"/>
      <c r="E168" s="21"/>
      <c r="F168" s="22"/>
      <c r="G168" s="21"/>
      <c r="H168" s="21"/>
      <c r="I168" s="22"/>
    </row>
    <row r="169" spans="1:9" ht="12.95">
      <c r="A169" s="21"/>
      <c r="B169" s="21"/>
      <c r="C169" s="21"/>
      <c r="D169" s="21"/>
      <c r="E169" s="21"/>
      <c r="F169" s="22"/>
      <c r="G169" s="21"/>
      <c r="H169" s="21"/>
      <c r="I169" s="22"/>
    </row>
    <row r="170" spans="1:9" ht="12.95">
      <c r="A170" s="21"/>
      <c r="B170" s="21"/>
      <c r="C170" s="21"/>
      <c r="D170" s="21"/>
      <c r="E170" s="21"/>
      <c r="F170" s="22"/>
      <c r="G170" s="21"/>
      <c r="H170" s="21"/>
      <c r="I170" s="22"/>
    </row>
    <row r="171" spans="1:9" ht="12.95">
      <c r="A171" s="21"/>
      <c r="B171" s="21"/>
      <c r="C171" s="21"/>
      <c r="D171" s="21"/>
      <c r="E171" s="21"/>
      <c r="F171" s="22"/>
      <c r="G171" s="21"/>
      <c r="H171" s="21"/>
      <c r="I171" s="22"/>
    </row>
    <row r="172" spans="1:9" ht="12.95">
      <c r="A172" s="21"/>
      <c r="B172" s="21"/>
      <c r="C172" s="21"/>
      <c r="D172" s="21"/>
      <c r="E172" s="21"/>
      <c r="F172" s="22"/>
      <c r="G172" s="21"/>
      <c r="H172" s="21"/>
      <c r="I172" s="22"/>
    </row>
    <row r="173" spans="1:9" ht="12.95">
      <c r="A173" s="21"/>
      <c r="B173" s="21"/>
      <c r="C173" s="21"/>
      <c r="D173" s="21"/>
      <c r="E173" s="21"/>
      <c r="F173" s="22"/>
      <c r="G173" s="21"/>
      <c r="H173" s="21"/>
      <c r="I173" s="22"/>
    </row>
    <row r="174" spans="1:9" ht="12.95">
      <c r="A174" s="21"/>
      <c r="B174" s="21"/>
      <c r="C174" s="21"/>
      <c r="D174" s="21"/>
      <c r="E174" s="21"/>
      <c r="F174" s="22"/>
      <c r="G174" s="21"/>
      <c r="H174" s="21"/>
      <c r="I174" s="22"/>
    </row>
    <row r="175" spans="1:9" ht="12.95">
      <c r="A175" s="21"/>
      <c r="B175" s="21"/>
      <c r="C175" s="21"/>
      <c r="D175" s="21"/>
      <c r="E175" s="21"/>
      <c r="F175" s="22"/>
      <c r="G175" s="21"/>
      <c r="H175" s="21"/>
      <c r="I175" s="22"/>
    </row>
    <row r="176" spans="1:9" ht="12.95">
      <c r="A176" s="21"/>
      <c r="B176" s="21"/>
      <c r="C176" s="21"/>
      <c r="D176" s="21"/>
      <c r="E176" s="21"/>
      <c r="F176" s="22"/>
      <c r="G176" s="21"/>
      <c r="H176" s="21"/>
      <c r="I176" s="22"/>
    </row>
    <row r="177" spans="1:9" ht="12.95">
      <c r="A177" s="21"/>
      <c r="B177" s="21"/>
      <c r="C177" s="21"/>
      <c r="D177" s="21"/>
      <c r="E177" s="21"/>
      <c r="F177" s="22"/>
      <c r="G177" s="21"/>
      <c r="H177" s="21"/>
      <c r="I177" s="22"/>
    </row>
    <row r="178" spans="1:9" ht="12.95">
      <c r="A178" s="21"/>
      <c r="B178" s="21"/>
      <c r="C178" s="21"/>
      <c r="D178" s="21"/>
      <c r="E178" s="21"/>
      <c r="F178" s="22"/>
      <c r="G178" s="21"/>
      <c r="H178" s="21"/>
      <c r="I178" s="22"/>
    </row>
    <row r="179" spans="1:9" ht="12.95">
      <c r="A179" s="21"/>
      <c r="B179" s="21"/>
      <c r="C179" s="21"/>
      <c r="D179" s="21"/>
      <c r="E179" s="21"/>
      <c r="F179" s="22"/>
      <c r="G179" s="21"/>
      <c r="H179" s="21"/>
      <c r="I179" s="22"/>
    </row>
    <row r="180" spans="1:9" ht="12.95">
      <c r="A180" s="21"/>
      <c r="B180" s="21"/>
      <c r="C180" s="21"/>
      <c r="D180" s="21"/>
      <c r="E180" s="21"/>
      <c r="F180" s="22"/>
      <c r="G180" s="21"/>
      <c r="H180" s="21"/>
      <c r="I180" s="22"/>
    </row>
    <row r="181" spans="1:9" ht="12.95">
      <c r="A181" s="21"/>
      <c r="B181" s="21"/>
      <c r="C181" s="21"/>
      <c r="D181" s="21"/>
      <c r="E181" s="21"/>
      <c r="F181" s="22"/>
      <c r="G181" s="21"/>
      <c r="H181" s="21"/>
      <c r="I181" s="22"/>
    </row>
    <row r="182" spans="1:9" ht="12.95">
      <c r="A182" s="21"/>
      <c r="B182" s="21"/>
      <c r="C182" s="21"/>
      <c r="D182" s="21"/>
      <c r="E182" s="21"/>
      <c r="F182" s="22"/>
      <c r="G182" s="21"/>
      <c r="H182" s="21"/>
      <c r="I182" s="22"/>
    </row>
    <row r="183" spans="1:9" ht="12.95">
      <c r="A183" s="21"/>
      <c r="B183" s="21"/>
      <c r="C183" s="21"/>
      <c r="D183" s="21"/>
      <c r="E183" s="21"/>
      <c r="F183" s="22"/>
      <c r="G183" s="21"/>
      <c r="H183" s="21"/>
      <c r="I183" s="22"/>
    </row>
    <row r="184" spans="1:9" ht="12.95">
      <c r="A184" s="21"/>
      <c r="B184" s="21"/>
      <c r="C184" s="21"/>
      <c r="D184" s="21"/>
      <c r="E184" s="21"/>
      <c r="F184" s="22"/>
      <c r="G184" s="21"/>
      <c r="H184" s="21"/>
      <c r="I184" s="22"/>
    </row>
    <row r="185" spans="1:9" ht="12.95">
      <c r="A185" s="21"/>
      <c r="B185" s="21"/>
      <c r="C185" s="21"/>
      <c r="D185" s="21"/>
      <c r="E185" s="21"/>
      <c r="F185" s="22"/>
      <c r="G185" s="21"/>
      <c r="H185" s="21"/>
      <c r="I185" s="22"/>
    </row>
    <row r="186" spans="1:9" ht="12.95">
      <c r="A186" s="21"/>
      <c r="B186" s="21"/>
      <c r="C186" s="21"/>
      <c r="D186" s="21"/>
      <c r="E186" s="21"/>
      <c r="F186" s="22"/>
      <c r="G186" s="21"/>
      <c r="H186" s="21"/>
      <c r="I186" s="22"/>
    </row>
    <row r="187" spans="1:9" ht="12.95">
      <c r="A187" s="21"/>
      <c r="B187" s="21"/>
      <c r="C187" s="21"/>
      <c r="D187" s="21"/>
      <c r="E187" s="21"/>
      <c r="F187" s="22"/>
      <c r="G187" s="21"/>
      <c r="H187" s="21"/>
      <c r="I187" s="22"/>
    </row>
    <row r="188" spans="1:9" ht="12.95">
      <c r="A188" s="21"/>
      <c r="B188" s="21"/>
      <c r="C188" s="21"/>
      <c r="D188" s="21"/>
      <c r="E188" s="21"/>
      <c r="F188" s="22"/>
      <c r="G188" s="21"/>
      <c r="H188" s="21"/>
      <c r="I188" s="22"/>
    </row>
    <row r="189" spans="1:9" ht="12.95">
      <c r="A189" s="21"/>
      <c r="B189" s="21"/>
      <c r="C189" s="21"/>
      <c r="D189" s="21"/>
      <c r="E189" s="21"/>
      <c r="F189" s="22"/>
      <c r="G189" s="21"/>
      <c r="H189" s="21"/>
      <c r="I189" s="22"/>
    </row>
    <row r="190" spans="1:9" ht="12.95">
      <c r="A190" s="21"/>
      <c r="B190" s="21"/>
      <c r="C190" s="21"/>
      <c r="D190" s="21"/>
      <c r="E190" s="21"/>
      <c r="F190" s="22"/>
      <c r="G190" s="21"/>
      <c r="H190" s="21"/>
      <c r="I190" s="22"/>
    </row>
    <row r="191" spans="1:9" ht="12.95">
      <c r="A191" s="21"/>
      <c r="B191" s="21"/>
      <c r="C191" s="21"/>
      <c r="D191" s="21"/>
      <c r="E191" s="21"/>
      <c r="F191" s="22"/>
      <c r="G191" s="21"/>
      <c r="H191" s="21"/>
      <c r="I191" s="22"/>
    </row>
    <row r="192" spans="1:9" ht="12.95">
      <c r="A192" s="21"/>
      <c r="B192" s="21"/>
      <c r="C192" s="21"/>
      <c r="D192" s="21"/>
      <c r="E192" s="21"/>
      <c r="F192" s="22"/>
      <c r="G192" s="21"/>
      <c r="H192" s="21"/>
      <c r="I192" s="22"/>
    </row>
    <row r="193" spans="1:9" ht="12.95">
      <c r="A193" s="21"/>
      <c r="B193" s="21"/>
      <c r="C193" s="21"/>
      <c r="D193" s="21"/>
      <c r="E193" s="21"/>
      <c r="F193" s="22"/>
      <c r="G193" s="21"/>
      <c r="H193" s="21"/>
      <c r="I193" s="22"/>
    </row>
    <row r="194" spans="1:9" ht="12.95">
      <c r="A194" s="21"/>
      <c r="B194" s="21"/>
      <c r="C194" s="21"/>
      <c r="D194" s="21"/>
      <c r="E194" s="21"/>
      <c r="F194" s="22"/>
      <c r="G194" s="21"/>
      <c r="H194" s="21"/>
      <c r="I194" s="22"/>
    </row>
    <row r="195" spans="1:9" ht="12.95">
      <c r="A195" s="21"/>
      <c r="B195" s="21"/>
      <c r="C195" s="21"/>
      <c r="D195" s="21"/>
      <c r="E195" s="21"/>
      <c r="F195" s="22"/>
      <c r="G195" s="21"/>
      <c r="H195" s="21"/>
      <c r="I195" s="22"/>
    </row>
    <row r="196" spans="1:9" ht="12.95">
      <c r="A196" s="21"/>
      <c r="B196" s="21"/>
      <c r="C196" s="21"/>
      <c r="D196" s="21"/>
      <c r="E196" s="21"/>
      <c r="F196" s="22"/>
      <c r="G196" s="21"/>
      <c r="H196" s="21"/>
      <c r="I196" s="22"/>
    </row>
    <row r="197" spans="1:9" ht="12.95">
      <c r="A197" s="21"/>
      <c r="B197" s="21"/>
      <c r="C197" s="21"/>
      <c r="D197" s="21"/>
      <c r="E197" s="21"/>
      <c r="F197" s="22"/>
      <c r="G197" s="21"/>
      <c r="H197" s="21"/>
      <c r="I197" s="22"/>
    </row>
    <row r="198" spans="1:9" ht="12.95">
      <c r="A198" s="21"/>
      <c r="B198" s="21"/>
      <c r="C198" s="21"/>
      <c r="D198" s="21"/>
      <c r="E198" s="21"/>
      <c r="F198" s="22"/>
      <c r="G198" s="21"/>
      <c r="H198" s="21"/>
      <c r="I198" s="22"/>
    </row>
    <row r="199" spans="1:9" ht="12.95">
      <c r="A199" s="21"/>
      <c r="B199" s="21"/>
      <c r="C199" s="21"/>
      <c r="D199" s="21"/>
      <c r="E199" s="21"/>
      <c r="F199" s="22"/>
      <c r="G199" s="21"/>
      <c r="H199" s="21"/>
      <c r="I199" s="22"/>
    </row>
    <row r="200" spans="1:9" ht="12.95">
      <c r="A200" s="21"/>
      <c r="B200" s="21"/>
      <c r="C200" s="21"/>
      <c r="D200" s="21"/>
      <c r="E200" s="21"/>
      <c r="F200" s="22"/>
      <c r="G200" s="21"/>
      <c r="H200" s="21"/>
      <c r="I200" s="22"/>
    </row>
    <row r="201" spans="1:9" ht="12.95">
      <c r="A201" s="21"/>
      <c r="B201" s="21"/>
      <c r="C201" s="21"/>
      <c r="D201" s="21"/>
      <c r="E201" s="21"/>
      <c r="F201" s="22"/>
      <c r="G201" s="21"/>
      <c r="H201" s="21"/>
      <c r="I201" s="22"/>
    </row>
    <row r="202" spans="1:9" ht="12.95">
      <c r="A202" s="21"/>
      <c r="B202" s="21"/>
      <c r="C202" s="21"/>
      <c r="D202" s="21"/>
      <c r="E202" s="21"/>
      <c r="F202" s="22"/>
      <c r="G202" s="21"/>
      <c r="H202" s="21"/>
      <c r="I202" s="22"/>
    </row>
    <row r="203" spans="1:9" ht="12.95">
      <c r="A203" s="21"/>
      <c r="B203" s="21"/>
      <c r="C203" s="21"/>
      <c r="D203" s="21"/>
      <c r="E203" s="21"/>
      <c r="F203" s="22"/>
      <c r="G203" s="21"/>
      <c r="H203" s="21"/>
      <c r="I203" s="22"/>
    </row>
    <row r="204" spans="1:9" ht="12.95">
      <c r="A204" s="21"/>
      <c r="B204" s="21"/>
      <c r="C204" s="21"/>
      <c r="D204" s="21"/>
      <c r="E204" s="21"/>
      <c r="F204" s="22"/>
      <c r="G204" s="21"/>
      <c r="H204" s="21"/>
      <c r="I204" s="22"/>
    </row>
    <row r="205" spans="1:9" ht="12.95">
      <c r="A205" s="21"/>
      <c r="B205" s="21"/>
      <c r="C205" s="21"/>
      <c r="D205" s="21"/>
      <c r="E205" s="21"/>
      <c r="F205" s="22"/>
      <c r="G205" s="21"/>
      <c r="H205" s="21"/>
      <c r="I205" s="22"/>
    </row>
    <row r="206" spans="1:9" ht="12.95">
      <c r="A206" s="21"/>
      <c r="B206" s="21"/>
      <c r="C206" s="21"/>
      <c r="D206" s="21"/>
      <c r="E206" s="21"/>
      <c r="F206" s="22"/>
      <c r="G206" s="21"/>
      <c r="H206" s="21"/>
      <c r="I206" s="22"/>
    </row>
    <row r="207" spans="1:9" ht="12.95">
      <c r="A207" s="21"/>
      <c r="B207" s="21"/>
      <c r="C207" s="21"/>
      <c r="D207" s="21"/>
      <c r="E207" s="21"/>
      <c r="F207" s="22"/>
      <c r="G207" s="21"/>
      <c r="H207" s="21"/>
      <c r="I207" s="22"/>
    </row>
    <row r="208" spans="1:9" ht="12.95">
      <c r="A208" s="21"/>
      <c r="B208" s="21"/>
      <c r="C208" s="21"/>
      <c r="D208" s="21"/>
      <c r="E208" s="21"/>
      <c r="F208" s="22"/>
      <c r="G208" s="21"/>
      <c r="H208" s="21"/>
      <c r="I208" s="22"/>
    </row>
    <row r="209" spans="1:9" ht="12.95">
      <c r="A209" s="21"/>
      <c r="B209" s="21"/>
      <c r="C209" s="21"/>
      <c r="D209" s="21"/>
      <c r="E209" s="21"/>
      <c r="F209" s="22"/>
      <c r="G209" s="21"/>
      <c r="H209" s="21"/>
      <c r="I209" s="22"/>
    </row>
    <row r="210" spans="1:9" ht="12.95">
      <c r="A210" s="21"/>
      <c r="B210" s="21"/>
      <c r="C210" s="21"/>
      <c r="D210" s="21"/>
      <c r="E210" s="21"/>
      <c r="F210" s="22"/>
      <c r="G210" s="21"/>
      <c r="H210" s="21"/>
      <c r="I210" s="22"/>
    </row>
    <row r="211" spans="1:9" ht="12.95">
      <c r="A211" s="21"/>
      <c r="B211" s="21"/>
      <c r="C211" s="21"/>
      <c r="D211" s="21"/>
      <c r="E211" s="21"/>
      <c r="F211" s="22"/>
      <c r="G211" s="21"/>
      <c r="H211" s="21"/>
      <c r="I211" s="22"/>
    </row>
    <row r="212" spans="1:9" ht="12.95">
      <c r="A212" s="21"/>
      <c r="B212" s="21"/>
      <c r="C212" s="21"/>
      <c r="D212" s="21"/>
      <c r="E212" s="21"/>
      <c r="F212" s="22"/>
      <c r="G212" s="21"/>
      <c r="H212" s="21"/>
      <c r="I212" s="22"/>
    </row>
    <row r="213" spans="1:9" ht="12.95">
      <c r="A213" s="21"/>
      <c r="B213" s="21"/>
      <c r="C213" s="21"/>
      <c r="D213" s="21"/>
      <c r="E213" s="21"/>
      <c r="F213" s="22"/>
      <c r="G213" s="21"/>
      <c r="H213" s="21"/>
      <c r="I213" s="22"/>
    </row>
    <row r="214" spans="1:9" ht="12.95">
      <c r="A214" s="21"/>
      <c r="B214" s="21"/>
      <c r="C214" s="21"/>
      <c r="D214" s="21"/>
      <c r="E214" s="21"/>
      <c r="F214" s="22"/>
      <c r="G214" s="21"/>
      <c r="H214" s="21"/>
      <c r="I214" s="22"/>
    </row>
    <row r="215" spans="1:9" ht="12.95">
      <c r="A215" s="21"/>
      <c r="B215" s="21"/>
      <c r="C215" s="21"/>
      <c r="D215" s="21"/>
      <c r="E215" s="21"/>
      <c r="F215" s="22"/>
      <c r="G215" s="21"/>
      <c r="H215" s="21"/>
      <c r="I215" s="22"/>
    </row>
    <row r="216" spans="1:9" ht="12.95">
      <c r="A216" s="21"/>
      <c r="B216" s="21"/>
      <c r="C216" s="21"/>
      <c r="D216" s="21"/>
      <c r="E216" s="21"/>
      <c r="F216" s="22"/>
      <c r="G216" s="21"/>
      <c r="H216" s="21"/>
      <c r="I216" s="22"/>
    </row>
    <row r="217" spans="1:9" ht="12.95">
      <c r="A217" s="21"/>
      <c r="B217" s="21"/>
      <c r="C217" s="21"/>
      <c r="D217" s="21"/>
      <c r="E217" s="21"/>
      <c r="F217" s="22"/>
      <c r="G217" s="21"/>
      <c r="H217" s="21"/>
      <c r="I217" s="22"/>
    </row>
    <row r="218" spans="1:9" ht="12.95">
      <c r="A218" s="21"/>
      <c r="B218" s="21"/>
      <c r="C218" s="21"/>
      <c r="D218" s="21"/>
      <c r="E218" s="21"/>
      <c r="F218" s="22"/>
      <c r="G218" s="21"/>
      <c r="H218" s="21"/>
      <c r="I218" s="22"/>
    </row>
    <row r="219" spans="1:9" ht="12.95">
      <c r="A219" s="21"/>
      <c r="B219" s="21"/>
      <c r="C219" s="21"/>
      <c r="D219" s="21"/>
      <c r="E219" s="21"/>
      <c r="F219" s="22"/>
      <c r="G219" s="21"/>
      <c r="H219" s="21"/>
      <c r="I219" s="22"/>
    </row>
    <row r="220" spans="1:9" ht="12.95">
      <c r="A220" s="21"/>
      <c r="B220" s="21"/>
      <c r="C220" s="21"/>
      <c r="D220" s="21"/>
      <c r="E220" s="21"/>
      <c r="F220" s="22"/>
      <c r="G220" s="21"/>
      <c r="H220" s="21"/>
      <c r="I220" s="22"/>
    </row>
    <row r="221" spans="1:9" ht="12.95">
      <c r="A221" s="21"/>
      <c r="B221" s="21"/>
      <c r="C221" s="21"/>
      <c r="D221" s="21"/>
      <c r="E221" s="21"/>
      <c r="F221" s="22"/>
      <c r="G221" s="21"/>
      <c r="H221" s="21"/>
      <c r="I221" s="22"/>
    </row>
    <row r="222" spans="1:9" ht="12.95">
      <c r="A222" s="21"/>
      <c r="B222" s="21"/>
      <c r="C222" s="21"/>
      <c r="D222" s="21"/>
      <c r="E222" s="21"/>
      <c r="F222" s="22"/>
      <c r="G222" s="21"/>
      <c r="H222" s="21"/>
      <c r="I222" s="22"/>
    </row>
    <row r="223" spans="1:9" ht="12.95">
      <c r="A223" s="21"/>
      <c r="B223" s="21"/>
      <c r="C223" s="21"/>
      <c r="D223" s="21"/>
      <c r="E223" s="21"/>
      <c r="F223" s="22"/>
      <c r="G223" s="21"/>
      <c r="H223" s="21"/>
      <c r="I223" s="22"/>
    </row>
    <row r="224" spans="1:9" ht="12.95">
      <c r="A224" s="21"/>
      <c r="B224" s="21"/>
      <c r="C224" s="21"/>
      <c r="D224" s="21"/>
      <c r="E224" s="21"/>
      <c r="F224" s="22"/>
      <c r="G224" s="21"/>
      <c r="H224" s="21"/>
      <c r="I224" s="22"/>
    </row>
    <row r="225" spans="1:9" ht="12.95">
      <c r="A225" s="21"/>
      <c r="B225" s="21"/>
      <c r="C225" s="21"/>
      <c r="D225" s="21"/>
      <c r="E225" s="21"/>
      <c r="F225" s="22"/>
      <c r="G225" s="21"/>
      <c r="H225" s="21"/>
      <c r="I225" s="22"/>
    </row>
    <row r="226" spans="1:9" ht="12.95">
      <c r="A226" s="21"/>
      <c r="B226" s="21"/>
      <c r="C226" s="21"/>
      <c r="D226" s="21"/>
      <c r="E226" s="21"/>
      <c r="F226" s="22"/>
      <c r="G226" s="21"/>
      <c r="H226" s="21"/>
      <c r="I226" s="22"/>
    </row>
    <row r="227" spans="1:9" ht="12.95">
      <c r="A227" s="21"/>
      <c r="B227" s="21"/>
      <c r="C227" s="21"/>
      <c r="D227" s="21"/>
      <c r="E227" s="21"/>
      <c r="F227" s="22"/>
      <c r="G227" s="21"/>
      <c r="H227" s="21"/>
      <c r="I227" s="22"/>
    </row>
    <row r="228" spans="1:9" ht="12.95">
      <c r="A228" s="21"/>
      <c r="B228" s="21"/>
      <c r="C228" s="21"/>
      <c r="D228" s="21"/>
      <c r="E228" s="21"/>
      <c r="F228" s="22"/>
      <c r="G228" s="21"/>
      <c r="H228" s="21"/>
      <c r="I228" s="22"/>
    </row>
    <row r="229" spans="1:9" ht="12.95">
      <c r="A229" s="21"/>
      <c r="B229" s="21"/>
      <c r="C229" s="21"/>
      <c r="D229" s="21"/>
      <c r="E229" s="21"/>
      <c r="F229" s="22"/>
      <c r="G229" s="21"/>
      <c r="H229" s="21"/>
      <c r="I229" s="22"/>
    </row>
    <row r="230" spans="1:9" ht="12.95">
      <c r="A230" s="21"/>
      <c r="B230" s="21"/>
      <c r="C230" s="21"/>
      <c r="D230" s="21"/>
      <c r="E230" s="21"/>
      <c r="F230" s="22"/>
      <c r="G230" s="21"/>
      <c r="H230" s="21"/>
      <c r="I230" s="22"/>
    </row>
    <row r="231" spans="1:9" ht="12.95">
      <c r="A231" s="21"/>
      <c r="B231" s="21"/>
      <c r="C231" s="21"/>
      <c r="D231" s="21"/>
      <c r="E231" s="21"/>
      <c r="F231" s="22"/>
      <c r="G231" s="21"/>
      <c r="H231" s="21"/>
      <c r="I231" s="22"/>
    </row>
    <row r="232" spans="1:9" ht="12.95">
      <c r="A232" s="21"/>
      <c r="B232" s="21"/>
      <c r="C232" s="21"/>
      <c r="D232" s="21"/>
      <c r="E232" s="21"/>
      <c r="F232" s="22"/>
      <c r="G232" s="21"/>
      <c r="H232" s="21"/>
      <c r="I232" s="22"/>
    </row>
    <row r="233" spans="1:9" ht="12.95">
      <c r="A233" s="21"/>
      <c r="B233" s="21"/>
      <c r="C233" s="21"/>
      <c r="D233" s="21"/>
      <c r="E233" s="21"/>
      <c r="F233" s="22"/>
      <c r="G233" s="21"/>
      <c r="H233" s="21"/>
      <c r="I233" s="22"/>
    </row>
    <row r="234" spans="1:9" ht="12.95">
      <c r="A234" s="21"/>
      <c r="B234" s="21"/>
      <c r="C234" s="21"/>
      <c r="D234" s="21"/>
      <c r="E234" s="21"/>
      <c r="F234" s="22"/>
      <c r="G234" s="21"/>
      <c r="H234" s="21"/>
      <c r="I234" s="22"/>
    </row>
    <row r="235" spans="1:9" ht="12.95">
      <c r="A235" s="21"/>
      <c r="B235" s="21"/>
      <c r="C235" s="21"/>
      <c r="D235" s="21"/>
      <c r="E235" s="21"/>
      <c r="F235" s="22"/>
      <c r="G235" s="21"/>
      <c r="H235" s="21"/>
      <c r="I235" s="22"/>
    </row>
    <row r="236" spans="1:9" ht="12.95">
      <c r="A236" s="21"/>
      <c r="B236" s="21"/>
      <c r="C236" s="21"/>
      <c r="D236" s="21"/>
      <c r="E236" s="21"/>
      <c r="F236" s="22"/>
      <c r="G236" s="21"/>
      <c r="H236" s="21"/>
      <c r="I236" s="22"/>
    </row>
    <row r="237" spans="1:9" ht="12.95">
      <c r="A237" s="21"/>
      <c r="B237" s="21"/>
      <c r="C237" s="21"/>
      <c r="D237" s="21"/>
      <c r="E237" s="21"/>
      <c r="F237" s="22"/>
      <c r="G237" s="21"/>
      <c r="H237" s="21"/>
      <c r="I237" s="22"/>
    </row>
    <row r="238" spans="1:9" ht="12.95">
      <c r="A238" s="21"/>
      <c r="B238" s="21"/>
      <c r="C238" s="21"/>
      <c r="D238" s="21"/>
      <c r="E238" s="21"/>
      <c r="F238" s="22"/>
      <c r="G238" s="21"/>
      <c r="H238" s="21"/>
      <c r="I238" s="22"/>
    </row>
    <row r="239" spans="1:9" ht="12.95">
      <c r="A239" s="21"/>
      <c r="B239" s="21"/>
      <c r="C239" s="21"/>
      <c r="D239" s="21"/>
      <c r="E239" s="21"/>
      <c r="F239" s="22"/>
      <c r="G239" s="21"/>
      <c r="H239" s="21"/>
      <c r="I239" s="22"/>
    </row>
    <row r="240" spans="1:9" ht="12.95">
      <c r="A240" s="21"/>
      <c r="B240" s="21"/>
      <c r="C240" s="21"/>
      <c r="D240" s="21"/>
      <c r="E240" s="21"/>
      <c r="F240" s="22"/>
      <c r="G240" s="21"/>
      <c r="H240" s="21"/>
      <c r="I240" s="22"/>
    </row>
    <row r="241" spans="1:9" ht="12.95">
      <c r="A241" s="21"/>
      <c r="B241" s="21"/>
      <c r="C241" s="21"/>
      <c r="D241" s="21"/>
      <c r="E241" s="21"/>
      <c r="F241" s="22"/>
      <c r="G241" s="21"/>
      <c r="H241" s="21"/>
      <c r="I241" s="22"/>
    </row>
    <row r="242" spans="1:9" ht="12.95">
      <c r="A242" s="21"/>
      <c r="B242" s="21"/>
      <c r="C242" s="21"/>
      <c r="D242" s="21"/>
      <c r="E242" s="21"/>
      <c r="F242" s="22"/>
      <c r="G242" s="21"/>
      <c r="H242" s="21"/>
      <c r="I242" s="22"/>
    </row>
    <row r="243" spans="1:9" ht="12.95">
      <c r="A243" s="21"/>
      <c r="B243" s="21"/>
      <c r="C243" s="21"/>
      <c r="D243" s="21"/>
      <c r="E243" s="21"/>
      <c r="F243" s="22"/>
      <c r="G243" s="21"/>
      <c r="H243" s="21"/>
      <c r="I243" s="22"/>
    </row>
    <row r="244" spans="1:9" ht="12.95">
      <c r="A244" s="21"/>
      <c r="B244" s="21"/>
      <c r="C244" s="21"/>
      <c r="D244" s="21"/>
      <c r="E244" s="21"/>
      <c r="F244" s="22"/>
      <c r="G244" s="21"/>
      <c r="H244" s="21"/>
      <c r="I244" s="22"/>
    </row>
    <row r="245" spans="1:9" ht="12.95">
      <c r="A245" s="21"/>
      <c r="B245" s="21"/>
      <c r="C245" s="21"/>
      <c r="D245" s="21"/>
      <c r="E245" s="21"/>
      <c r="F245" s="22"/>
      <c r="G245" s="21"/>
      <c r="H245" s="21"/>
      <c r="I245" s="22"/>
    </row>
    <row r="246" spans="1:9" ht="12.95">
      <c r="A246" s="21"/>
      <c r="B246" s="21"/>
      <c r="C246" s="21"/>
      <c r="D246" s="21"/>
      <c r="E246" s="21"/>
      <c r="F246" s="22"/>
      <c r="G246" s="21"/>
      <c r="H246" s="21"/>
      <c r="I246" s="22"/>
    </row>
    <row r="247" spans="1:9" ht="12.95">
      <c r="A247" s="21"/>
      <c r="B247" s="21"/>
      <c r="C247" s="21"/>
      <c r="D247" s="21"/>
      <c r="E247" s="21"/>
      <c r="F247" s="22"/>
      <c r="G247" s="21"/>
      <c r="H247" s="21"/>
      <c r="I247" s="22"/>
    </row>
    <row r="248" spans="1:9" ht="12.95">
      <c r="A248" s="21"/>
      <c r="B248" s="21"/>
      <c r="C248" s="21"/>
      <c r="D248" s="21"/>
      <c r="E248" s="21"/>
      <c r="F248" s="22"/>
      <c r="G248" s="21"/>
      <c r="H248" s="21"/>
      <c r="I248" s="22"/>
    </row>
    <row r="249" spans="1:9" ht="12.95">
      <c r="A249" s="21"/>
      <c r="B249" s="21"/>
      <c r="C249" s="21"/>
      <c r="D249" s="21"/>
      <c r="E249" s="21"/>
      <c r="F249" s="22"/>
      <c r="G249" s="21"/>
      <c r="H249" s="21"/>
      <c r="I249" s="22"/>
    </row>
    <row r="250" spans="1:9" ht="12.95">
      <c r="A250" s="21"/>
      <c r="B250" s="21"/>
      <c r="C250" s="21"/>
      <c r="D250" s="21"/>
      <c r="E250" s="21"/>
      <c r="F250" s="22"/>
      <c r="G250" s="21"/>
      <c r="H250" s="21"/>
      <c r="I250" s="22"/>
    </row>
    <row r="251" spans="1:9" ht="12.95">
      <c r="A251" s="21"/>
      <c r="B251" s="21"/>
      <c r="C251" s="21"/>
      <c r="D251" s="21"/>
      <c r="E251" s="21"/>
      <c r="F251" s="22"/>
      <c r="G251" s="21"/>
      <c r="H251" s="21"/>
      <c r="I251" s="22"/>
    </row>
    <row r="252" spans="1:9" ht="12.95">
      <c r="A252" s="21"/>
      <c r="B252" s="21"/>
      <c r="C252" s="21"/>
      <c r="D252" s="21"/>
      <c r="E252" s="21"/>
      <c r="F252" s="22"/>
      <c r="G252" s="21"/>
      <c r="H252" s="21"/>
      <c r="I252" s="22"/>
    </row>
    <row r="253" spans="1:9" ht="12.95">
      <c r="A253" s="21"/>
      <c r="B253" s="21"/>
      <c r="C253" s="21"/>
      <c r="D253" s="21"/>
      <c r="E253" s="21"/>
      <c r="F253" s="22"/>
      <c r="G253" s="21"/>
      <c r="H253" s="21"/>
      <c r="I253" s="22"/>
    </row>
    <row r="254" spans="1:9" ht="12.95">
      <c r="A254" s="21"/>
      <c r="B254" s="21"/>
      <c r="C254" s="21"/>
      <c r="D254" s="21"/>
      <c r="E254" s="21"/>
      <c r="F254" s="22"/>
      <c r="G254" s="21"/>
      <c r="H254" s="21"/>
      <c r="I254" s="22"/>
    </row>
    <row r="255" spans="1:9" ht="12.95">
      <c r="A255" s="21"/>
      <c r="B255" s="21"/>
      <c r="C255" s="21"/>
      <c r="D255" s="21"/>
      <c r="E255" s="21"/>
      <c r="F255" s="22"/>
      <c r="G255" s="21"/>
      <c r="H255" s="21"/>
      <c r="I255" s="22"/>
    </row>
    <row r="256" spans="1:9" ht="12.95">
      <c r="A256" s="21"/>
      <c r="B256" s="21"/>
      <c r="C256" s="21"/>
      <c r="D256" s="21"/>
      <c r="E256" s="21"/>
      <c r="F256" s="22"/>
      <c r="G256" s="21"/>
      <c r="H256" s="21"/>
      <c r="I256" s="22"/>
    </row>
    <row r="257" spans="1:9" ht="12.95">
      <c r="A257" s="21"/>
      <c r="B257" s="21"/>
      <c r="C257" s="21"/>
      <c r="D257" s="21"/>
      <c r="E257" s="21"/>
      <c r="F257" s="22"/>
      <c r="G257" s="21"/>
      <c r="H257" s="21"/>
      <c r="I257" s="22"/>
    </row>
    <row r="258" spans="1:9" ht="12.95">
      <c r="A258" s="21"/>
      <c r="B258" s="21"/>
      <c r="C258" s="21"/>
      <c r="D258" s="21"/>
      <c r="E258" s="21"/>
      <c r="F258" s="22"/>
      <c r="G258" s="21"/>
      <c r="H258" s="21"/>
      <c r="I258" s="22"/>
    </row>
    <row r="259" spans="1:9" ht="12.95">
      <c r="A259" s="21"/>
      <c r="B259" s="21"/>
      <c r="C259" s="21"/>
      <c r="D259" s="21"/>
      <c r="E259" s="21"/>
      <c r="F259" s="22"/>
      <c r="G259" s="21"/>
      <c r="H259" s="21"/>
      <c r="I259" s="22"/>
    </row>
    <row r="260" spans="1:9" ht="12.95">
      <c r="A260" s="21"/>
      <c r="B260" s="21"/>
      <c r="C260" s="21"/>
      <c r="D260" s="21"/>
      <c r="E260" s="21"/>
      <c r="F260" s="22"/>
      <c r="G260" s="21"/>
      <c r="H260" s="21"/>
      <c r="I260" s="22"/>
    </row>
    <row r="261" spans="1:9" ht="12.95">
      <c r="A261" s="21"/>
      <c r="B261" s="21"/>
      <c r="C261" s="21"/>
      <c r="D261" s="21"/>
      <c r="E261" s="21"/>
      <c r="F261" s="22"/>
      <c r="G261" s="21"/>
      <c r="H261" s="21"/>
      <c r="I261" s="22"/>
    </row>
    <row r="262" spans="1:9" ht="12.95">
      <c r="A262" s="21"/>
      <c r="B262" s="21"/>
      <c r="C262" s="21"/>
      <c r="D262" s="21"/>
      <c r="E262" s="21"/>
      <c r="F262" s="22"/>
      <c r="G262" s="21"/>
      <c r="H262" s="21"/>
      <c r="I262" s="22"/>
    </row>
    <row r="263" spans="1:9" ht="12.95">
      <c r="A263" s="21"/>
      <c r="B263" s="21"/>
      <c r="C263" s="21"/>
      <c r="D263" s="21"/>
      <c r="E263" s="21"/>
      <c r="F263" s="22"/>
      <c r="G263" s="21"/>
      <c r="H263" s="21"/>
      <c r="I263" s="22"/>
    </row>
    <row r="264" spans="1:9" ht="12.95">
      <c r="A264" s="21"/>
      <c r="B264" s="21"/>
      <c r="C264" s="21"/>
      <c r="D264" s="21"/>
      <c r="E264" s="21"/>
      <c r="F264" s="22"/>
      <c r="G264" s="21"/>
      <c r="H264" s="21"/>
      <c r="I264" s="22"/>
    </row>
    <row r="265" spans="1:9" ht="12.95">
      <c r="A265" s="21"/>
      <c r="B265" s="21"/>
      <c r="C265" s="21"/>
      <c r="D265" s="21"/>
      <c r="E265" s="21"/>
      <c r="F265" s="22"/>
      <c r="G265" s="21"/>
      <c r="H265" s="21"/>
      <c r="I265" s="22"/>
    </row>
    <row r="266" spans="1:9" ht="12.95">
      <c r="A266" s="21"/>
      <c r="B266" s="21"/>
      <c r="C266" s="21"/>
      <c r="D266" s="21"/>
      <c r="E266" s="21"/>
      <c r="F266" s="22"/>
      <c r="G266" s="21"/>
      <c r="H266" s="21"/>
      <c r="I266" s="22"/>
    </row>
    <row r="267" spans="1:9" ht="12.95">
      <c r="A267" s="21"/>
      <c r="B267" s="21"/>
      <c r="C267" s="21"/>
      <c r="D267" s="21"/>
      <c r="E267" s="21"/>
      <c r="F267" s="22"/>
      <c r="G267" s="21"/>
      <c r="H267" s="21"/>
      <c r="I267" s="22"/>
    </row>
    <row r="268" spans="1:9" ht="12.95">
      <c r="A268" s="21"/>
      <c r="B268" s="21"/>
      <c r="C268" s="21"/>
      <c r="D268" s="21"/>
      <c r="E268" s="21"/>
      <c r="F268" s="22"/>
      <c r="G268" s="21"/>
      <c r="H268" s="21"/>
      <c r="I268" s="22"/>
    </row>
    <row r="269" spans="1:9" ht="12.95">
      <c r="A269" s="21"/>
      <c r="B269" s="21"/>
      <c r="C269" s="21"/>
      <c r="D269" s="21"/>
      <c r="E269" s="21"/>
      <c r="F269" s="22"/>
      <c r="G269" s="21"/>
      <c r="H269" s="21"/>
      <c r="I269" s="22"/>
    </row>
    <row r="270" spans="1:9" ht="12.95">
      <c r="A270" s="21"/>
      <c r="B270" s="21"/>
      <c r="C270" s="21"/>
      <c r="D270" s="21"/>
      <c r="E270" s="21"/>
      <c r="F270" s="22"/>
      <c r="G270" s="21"/>
      <c r="H270" s="21"/>
      <c r="I270" s="22"/>
    </row>
    <row r="271" spans="1:9" ht="12.95">
      <c r="A271" s="21"/>
      <c r="B271" s="21"/>
      <c r="C271" s="21"/>
      <c r="D271" s="21"/>
      <c r="E271" s="21"/>
      <c r="F271" s="22"/>
      <c r="G271" s="21"/>
      <c r="H271" s="21"/>
      <c r="I271" s="22"/>
    </row>
    <row r="272" spans="1:9" ht="12.95">
      <c r="A272" s="21"/>
      <c r="B272" s="21"/>
      <c r="C272" s="21"/>
      <c r="D272" s="21"/>
      <c r="E272" s="21"/>
      <c r="F272" s="22"/>
      <c r="G272" s="21"/>
      <c r="H272" s="21"/>
      <c r="I272" s="22"/>
    </row>
    <row r="273" spans="1:9" ht="12.95">
      <c r="A273" s="21"/>
      <c r="B273" s="21"/>
      <c r="C273" s="21"/>
      <c r="D273" s="21"/>
      <c r="E273" s="21"/>
      <c r="F273" s="22"/>
      <c r="G273" s="21"/>
      <c r="H273" s="21"/>
      <c r="I273" s="22"/>
    </row>
    <row r="274" spans="1:9" ht="12.95">
      <c r="A274" s="21"/>
      <c r="B274" s="21"/>
      <c r="C274" s="21"/>
      <c r="D274" s="21"/>
      <c r="E274" s="21"/>
      <c r="F274" s="22"/>
      <c r="G274" s="21"/>
      <c r="H274" s="21"/>
      <c r="I274" s="22"/>
    </row>
    <row r="275" spans="1:9" ht="12.95">
      <c r="A275" s="21"/>
      <c r="B275" s="21"/>
      <c r="C275" s="21"/>
      <c r="D275" s="21"/>
      <c r="E275" s="21"/>
      <c r="F275" s="22"/>
      <c r="G275" s="21"/>
      <c r="H275" s="21"/>
      <c r="I275" s="22"/>
    </row>
    <row r="276" spans="1:9" ht="12.95">
      <c r="A276" s="21"/>
      <c r="B276" s="21"/>
      <c r="C276" s="21"/>
      <c r="D276" s="21"/>
      <c r="E276" s="21"/>
      <c r="F276" s="22"/>
      <c r="G276" s="21"/>
      <c r="H276" s="21"/>
      <c r="I276" s="22"/>
    </row>
    <row r="277" spans="1:9" ht="12.95">
      <c r="A277" s="21"/>
      <c r="B277" s="21"/>
      <c r="C277" s="21"/>
      <c r="D277" s="21"/>
      <c r="E277" s="21"/>
      <c r="F277" s="22"/>
      <c r="G277" s="21"/>
      <c r="H277" s="21"/>
      <c r="I277" s="22"/>
    </row>
    <row r="278" spans="1:9" ht="12.95">
      <c r="A278" s="21"/>
      <c r="B278" s="21"/>
      <c r="C278" s="21"/>
      <c r="D278" s="21"/>
      <c r="E278" s="21"/>
      <c r="F278" s="22"/>
      <c r="G278" s="21"/>
      <c r="H278" s="21"/>
      <c r="I278" s="22"/>
    </row>
    <row r="279" spans="1:9" ht="12.95">
      <c r="A279" s="21"/>
      <c r="B279" s="21"/>
      <c r="C279" s="21"/>
      <c r="D279" s="21"/>
      <c r="E279" s="21"/>
      <c r="F279" s="22"/>
      <c r="G279" s="21"/>
      <c r="H279" s="21"/>
      <c r="I279" s="22"/>
    </row>
    <row r="280" spans="1:9" ht="12.95">
      <c r="A280" s="21"/>
      <c r="B280" s="21"/>
      <c r="C280" s="21"/>
      <c r="D280" s="21"/>
      <c r="E280" s="21"/>
      <c r="F280" s="22"/>
      <c r="G280" s="21"/>
      <c r="H280" s="21"/>
      <c r="I280" s="22"/>
    </row>
    <row r="281" spans="1:9" ht="12.95">
      <c r="A281" s="21"/>
      <c r="B281" s="21"/>
      <c r="C281" s="21"/>
      <c r="D281" s="21"/>
      <c r="E281" s="21"/>
      <c r="F281" s="22"/>
      <c r="G281" s="21"/>
      <c r="H281" s="21"/>
      <c r="I281" s="22"/>
    </row>
    <row r="282" spans="1:9" ht="12.95">
      <c r="A282" s="21"/>
      <c r="B282" s="21"/>
      <c r="C282" s="21"/>
      <c r="D282" s="21"/>
      <c r="E282" s="21"/>
      <c r="F282" s="22"/>
      <c r="G282" s="21"/>
      <c r="H282" s="21"/>
      <c r="I282" s="22"/>
    </row>
    <row r="283" spans="1:9" ht="12.95">
      <c r="A283" s="21"/>
      <c r="B283" s="21"/>
      <c r="C283" s="21"/>
      <c r="D283" s="21"/>
      <c r="E283" s="21"/>
      <c r="F283" s="22"/>
      <c r="G283" s="21"/>
      <c r="H283" s="21"/>
      <c r="I283" s="22"/>
    </row>
    <row r="284" spans="1:9" ht="12.95">
      <c r="A284" s="21"/>
      <c r="B284" s="21"/>
      <c r="C284" s="21"/>
      <c r="D284" s="21"/>
      <c r="E284" s="21"/>
      <c r="F284" s="22"/>
      <c r="G284" s="21"/>
      <c r="H284" s="21"/>
      <c r="I284" s="22"/>
    </row>
    <row r="285" spans="1:9" ht="12.95">
      <c r="A285" s="21"/>
      <c r="B285" s="21"/>
      <c r="C285" s="21"/>
      <c r="D285" s="21"/>
      <c r="E285" s="21"/>
      <c r="F285" s="22"/>
      <c r="G285" s="21"/>
      <c r="H285" s="21"/>
      <c r="I285" s="22"/>
    </row>
    <row r="286" spans="1:9" ht="12.95">
      <c r="A286" s="21"/>
      <c r="B286" s="21"/>
      <c r="C286" s="21"/>
      <c r="D286" s="21"/>
      <c r="E286" s="21"/>
      <c r="F286" s="22"/>
      <c r="G286" s="21"/>
      <c r="H286" s="21"/>
      <c r="I286" s="22"/>
    </row>
    <row r="287" spans="1:9" ht="12.95">
      <c r="A287" s="21"/>
      <c r="B287" s="21"/>
      <c r="C287" s="21"/>
      <c r="D287" s="21"/>
      <c r="E287" s="21"/>
      <c r="F287" s="22"/>
      <c r="G287" s="21"/>
      <c r="H287" s="21"/>
      <c r="I287" s="22"/>
    </row>
    <row r="288" spans="1:9" ht="12.95">
      <c r="A288" s="21"/>
      <c r="B288" s="21"/>
      <c r="C288" s="21"/>
      <c r="D288" s="21"/>
      <c r="E288" s="21"/>
      <c r="F288" s="22"/>
      <c r="G288" s="21"/>
      <c r="H288" s="21"/>
      <c r="I288" s="22"/>
    </row>
    <row r="289" spans="1:9" ht="12.95">
      <c r="A289" s="21"/>
      <c r="B289" s="21"/>
      <c r="C289" s="21"/>
      <c r="D289" s="21"/>
      <c r="E289" s="21"/>
      <c r="F289" s="22"/>
      <c r="G289" s="21"/>
      <c r="H289" s="21"/>
      <c r="I289" s="22"/>
    </row>
    <row r="290" spans="1:9" ht="12.95">
      <c r="A290" s="21"/>
      <c r="B290" s="21"/>
      <c r="C290" s="21"/>
      <c r="D290" s="21"/>
      <c r="E290" s="21"/>
      <c r="F290" s="22"/>
      <c r="G290" s="21"/>
      <c r="H290" s="21"/>
      <c r="I290" s="22"/>
    </row>
    <row r="291" spans="1:9" ht="12.95">
      <c r="A291" s="21"/>
      <c r="B291" s="21"/>
      <c r="C291" s="21"/>
      <c r="D291" s="21"/>
      <c r="E291" s="21"/>
      <c r="F291" s="22"/>
      <c r="G291" s="21"/>
      <c r="H291" s="21"/>
      <c r="I291" s="22"/>
    </row>
    <row r="292" spans="1:9" ht="12.95">
      <c r="A292" s="21"/>
      <c r="B292" s="21"/>
      <c r="C292" s="21"/>
      <c r="D292" s="21"/>
      <c r="E292" s="21"/>
      <c r="F292" s="22"/>
      <c r="G292" s="21"/>
      <c r="H292" s="21"/>
      <c r="I292" s="22"/>
    </row>
    <row r="293" spans="1:9" ht="12.95">
      <c r="A293" s="21"/>
      <c r="B293" s="21"/>
      <c r="C293" s="21"/>
      <c r="D293" s="21"/>
      <c r="E293" s="21"/>
      <c r="F293" s="22"/>
      <c r="G293" s="21"/>
      <c r="H293" s="21"/>
      <c r="I293" s="22"/>
    </row>
    <row r="294" spans="1:9" ht="12.95">
      <c r="A294" s="21"/>
      <c r="B294" s="21"/>
      <c r="C294" s="21"/>
      <c r="D294" s="21"/>
      <c r="E294" s="21"/>
      <c r="F294" s="22"/>
      <c r="G294" s="21"/>
      <c r="H294" s="21"/>
      <c r="I294" s="22"/>
    </row>
    <row r="295" spans="1:9" ht="12.95">
      <c r="A295" s="21"/>
      <c r="B295" s="21"/>
      <c r="C295" s="21"/>
      <c r="D295" s="21"/>
      <c r="E295" s="21"/>
      <c r="F295" s="22"/>
      <c r="G295" s="21"/>
      <c r="H295" s="21"/>
      <c r="I295" s="22"/>
    </row>
    <row r="296" spans="1:9" ht="12.95">
      <c r="A296" s="21"/>
      <c r="B296" s="21"/>
      <c r="C296" s="21"/>
      <c r="D296" s="21"/>
      <c r="E296" s="21"/>
      <c r="F296" s="22"/>
      <c r="G296" s="21"/>
      <c r="H296" s="21"/>
      <c r="I296" s="22"/>
    </row>
    <row r="297" spans="1:9" ht="12.95">
      <c r="A297" s="21"/>
      <c r="B297" s="21"/>
      <c r="C297" s="21"/>
      <c r="D297" s="21"/>
      <c r="E297" s="21"/>
      <c r="F297" s="22"/>
      <c r="G297" s="21"/>
      <c r="H297" s="21"/>
      <c r="I297" s="22"/>
    </row>
    <row r="298" spans="1:9" ht="12.95">
      <c r="A298" s="21"/>
      <c r="B298" s="21"/>
      <c r="C298" s="21"/>
      <c r="D298" s="21"/>
      <c r="E298" s="21"/>
      <c r="F298" s="22"/>
      <c r="G298" s="21"/>
      <c r="H298" s="21"/>
      <c r="I298" s="22"/>
    </row>
    <row r="299" spans="1:9" ht="12.95">
      <c r="A299" s="21"/>
      <c r="B299" s="21"/>
      <c r="C299" s="21"/>
      <c r="D299" s="21"/>
      <c r="E299" s="21"/>
      <c r="F299" s="22"/>
      <c r="G299" s="21"/>
      <c r="H299" s="21"/>
      <c r="I299" s="22"/>
    </row>
    <row r="300" spans="1:9" ht="12.95">
      <c r="A300" s="21"/>
      <c r="B300" s="21"/>
      <c r="C300" s="21"/>
      <c r="D300" s="21"/>
      <c r="E300" s="21"/>
      <c r="F300" s="22"/>
      <c r="G300" s="21"/>
      <c r="H300" s="21"/>
      <c r="I300" s="22"/>
    </row>
    <row r="301" spans="1:9" ht="12.95">
      <c r="A301" s="21"/>
      <c r="B301" s="21"/>
      <c r="C301" s="21"/>
      <c r="D301" s="21"/>
      <c r="E301" s="21"/>
      <c r="F301" s="22"/>
      <c r="G301" s="21"/>
      <c r="H301" s="21"/>
      <c r="I301" s="22"/>
    </row>
    <row r="302" spans="1:9" ht="12.95">
      <c r="A302" s="21"/>
      <c r="B302" s="21"/>
      <c r="C302" s="21"/>
      <c r="D302" s="21"/>
      <c r="E302" s="21"/>
      <c r="F302" s="22"/>
      <c r="G302" s="21"/>
      <c r="H302" s="21"/>
      <c r="I302" s="22"/>
    </row>
    <row r="303" spans="1:9" ht="12.95">
      <c r="A303" s="21"/>
      <c r="B303" s="21"/>
      <c r="C303" s="21"/>
      <c r="D303" s="21"/>
      <c r="E303" s="21"/>
      <c r="F303" s="22"/>
      <c r="G303" s="21"/>
      <c r="H303" s="21"/>
      <c r="I303" s="22"/>
    </row>
    <row r="304" spans="1:9" ht="12.95">
      <c r="A304" s="21"/>
      <c r="B304" s="21"/>
      <c r="C304" s="21"/>
      <c r="D304" s="21"/>
      <c r="E304" s="21"/>
      <c r="F304" s="22"/>
      <c r="G304" s="21"/>
      <c r="H304" s="21"/>
      <c r="I304" s="22"/>
    </row>
    <row r="305" spans="1:9" ht="12.95">
      <c r="A305" s="21"/>
      <c r="B305" s="21"/>
      <c r="C305" s="21"/>
      <c r="D305" s="21"/>
      <c r="E305" s="21"/>
      <c r="F305" s="22"/>
      <c r="G305" s="21"/>
      <c r="H305" s="21"/>
      <c r="I305" s="22"/>
    </row>
    <row r="306" spans="1:9" ht="12.95">
      <c r="A306" s="21"/>
      <c r="B306" s="21"/>
      <c r="C306" s="21"/>
      <c r="D306" s="21"/>
      <c r="E306" s="21"/>
      <c r="F306" s="22"/>
      <c r="G306" s="21"/>
      <c r="H306" s="21"/>
      <c r="I306" s="22"/>
    </row>
    <row r="307" spans="1:9" ht="12.95">
      <c r="A307" s="21"/>
      <c r="B307" s="21"/>
      <c r="C307" s="21"/>
      <c r="D307" s="21"/>
      <c r="E307" s="21"/>
      <c r="F307" s="22"/>
      <c r="G307" s="21"/>
      <c r="H307" s="21"/>
      <c r="I307" s="22"/>
    </row>
    <row r="308" spans="1:9" ht="12.95">
      <c r="A308" s="21"/>
      <c r="B308" s="21"/>
      <c r="C308" s="21"/>
      <c r="D308" s="21"/>
      <c r="E308" s="21"/>
      <c r="F308" s="22"/>
      <c r="G308" s="21"/>
      <c r="H308" s="21"/>
      <c r="I308" s="22"/>
    </row>
    <row r="309" spans="1:9" ht="12.95">
      <c r="A309" s="21"/>
      <c r="B309" s="21"/>
      <c r="C309" s="21"/>
      <c r="D309" s="21"/>
      <c r="E309" s="21"/>
      <c r="F309" s="22"/>
      <c r="G309" s="21"/>
      <c r="H309" s="21"/>
      <c r="I309" s="22"/>
    </row>
    <row r="310" spans="1:9" ht="12.95">
      <c r="A310" s="21"/>
      <c r="B310" s="21"/>
      <c r="C310" s="21"/>
      <c r="D310" s="21"/>
      <c r="E310" s="21"/>
      <c r="F310" s="22"/>
      <c r="G310" s="21"/>
      <c r="H310" s="21"/>
      <c r="I310" s="22"/>
    </row>
    <row r="311" spans="1:9" ht="12.95">
      <c r="A311" s="21"/>
      <c r="B311" s="21"/>
      <c r="C311" s="21"/>
      <c r="D311" s="21"/>
      <c r="E311" s="21"/>
      <c r="F311" s="22"/>
      <c r="G311" s="21"/>
      <c r="H311" s="21"/>
      <c r="I311" s="22"/>
    </row>
    <row r="312" spans="1:9" ht="12.95">
      <c r="A312" s="21"/>
      <c r="B312" s="21"/>
      <c r="C312" s="21"/>
      <c r="D312" s="21"/>
      <c r="E312" s="21"/>
      <c r="F312" s="22"/>
      <c r="G312" s="21"/>
      <c r="H312" s="21"/>
      <c r="I312" s="22"/>
    </row>
    <row r="313" spans="1:9" ht="12.95">
      <c r="A313" s="21"/>
      <c r="B313" s="21"/>
      <c r="C313" s="21"/>
      <c r="D313" s="21"/>
      <c r="E313" s="21"/>
      <c r="F313" s="22"/>
      <c r="G313" s="21"/>
      <c r="H313" s="21"/>
      <c r="I313" s="22"/>
    </row>
    <row r="314" spans="1:9" ht="12.95">
      <c r="A314" s="21"/>
      <c r="B314" s="21"/>
      <c r="C314" s="21"/>
      <c r="D314" s="21"/>
      <c r="E314" s="21"/>
      <c r="F314" s="22"/>
      <c r="G314" s="21"/>
      <c r="H314" s="21"/>
      <c r="I314" s="22"/>
    </row>
    <row r="315" spans="1:9" ht="12.95">
      <c r="A315" s="21"/>
      <c r="B315" s="21"/>
      <c r="C315" s="21"/>
      <c r="D315" s="21"/>
      <c r="E315" s="21"/>
      <c r="F315" s="22"/>
      <c r="G315" s="21"/>
      <c r="H315" s="21"/>
      <c r="I315" s="22"/>
    </row>
    <row r="316" spans="1:9" ht="12.95">
      <c r="A316" s="21"/>
      <c r="B316" s="21"/>
      <c r="C316" s="21"/>
      <c r="D316" s="21"/>
      <c r="E316" s="21"/>
      <c r="F316" s="22"/>
      <c r="G316" s="21"/>
      <c r="H316" s="21"/>
      <c r="I316" s="22"/>
    </row>
    <row r="317" spans="1:9" ht="12.95">
      <c r="A317" s="21"/>
      <c r="B317" s="21"/>
      <c r="C317" s="21"/>
      <c r="D317" s="21"/>
      <c r="E317" s="21"/>
      <c r="F317" s="22"/>
      <c r="G317" s="21"/>
      <c r="H317" s="21"/>
      <c r="I317" s="22"/>
    </row>
    <row r="318" spans="1:9" ht="12.95">
      <c r="A318" s="21"/>
      <c r="B318" s="21"/>
      <c r="C318" s="21"/>
      <c r="D318" s="21"/>
      <c r="E318" s="21"/>
      <c r="F318" s="22"/>
      <c r="G318" s="21"/>
      <c r="H318" s="21"/>
      <c r="I318" s="22"/>
    </row>
    <row r="319" spans="1:9" ht="12.95">
      <c r="A319" s="21"/>
      <c r="B319" s="21"/>
      <c r="C319" s="21"/>
      <c r="D319" s="21"/>
      <c r="E319" s="21"/>
      <c r="F319" s="22"/>
      <c r="G319" s="21"/>
      <c r="H319" s="21"/>
      <c r="I319" s="22"/>
    </row>
    <row r="320" spans="1:9" ht="12.95">
      <c r="A320" s="21"/>
      <c r="B320" s="21"/>
      <c r="C320" s="21"/>
      <c r="D320" s="21"/>
      <c r="E320" s="21"/>
      <c r="F320" s="22"/>
      <c r="G320" s="21"/>
      <c r="H320" s="21"/>
      <c r="I320" s="22"/>
    </row>
    <row r="321" spans="1:9" ht="12.95">
      <c r="A321" s="21"/>
      <c r="B321" s="21"/>
      <c r="C321" s="21"/>
      <c r="D321" s="21"/>
      <c r="E321" s="21"/>
      <c r="F321" s="22"/>
      <c r="G321" s="21"/>
      <c r="H321" s="21"/>
      <c r="I321" s="22"/>
    </row>
    <row r="322" spans="1:9" ht="12.95">
      <c r="A322" s="21"/>
      <c r="B322" s="21"/>
      <c r="C322" s="21"/>
      <c r="D322" s="21"/>
      <c r="E322" s="21"/>
      <c r="F322" s="22"/>
      <c r="G322" s="21"/>
      <c r="H322" s="21"/>
      <c r="I322" s="22"/>
    </row>
    <row r="323" spans="1:9" ht="12.95">
      <c r="A323" s="21"/>
      <c r="B323" s="21"/>
      <c r="C323" s="21"/>
      <c r="D323" s="21"/>
      <c r="E323" s="21"/>
      <c r="F323" s="22"/>
      <c r="G323" s="21"/>
      <c r="H323" s="21"/>
      <c r="I323" s="22"/>
    </row>
    <row r="324" spans="1:9" ht="12.95">
      <c r="A324" s="21"/>
      <c r="B324" s="21"/>
      <c r="C324" s="21"/>
      <c r="D324" s="21"/>
      <c r="E324" s="21"/>
      <c r="F324" s="22"/>
      <c r="G324" s="21"/>
      <c r="H324" s="21"/>
      <c r="I324" s="22"/>
    </row>
    <row r="325" spans="1:9" ht="12.95">
      <c r="A325" s="21"/>
      <c r="B325" s="21"/>
      <c r="C325" s="21"/>
      <c r="D325" s="21"/>
      <c r="E325" s="21"/>
      <c r="F325" s="22"/>
      <c r="G325" s="21"/>
      <c r="H325" s="21"/>
      <c r="I325" s="22"/>
    </row>
    <row r="326" spans="1:9" ht="12.95">
      <c r="A326" s="21"/>
      <c r="B326" s="21"/>
      <c r="C326" s="21"/>
      <c r="D326" s="21"/>
      <c r="E326" s="21"/>
      <c r="F326" s="22"/>
      <c r="G326" s="21"/>
      <c r="H326" s="21"/>
      <c r="I326" s="22"/>
    </row>
    <row r="327" spans="1:9" ht="12.95">
      <c r="A327" s="21"/>
      <c r="B327" s="21"/>
      <c r="C327" s="21"/>
      <c r="D327" s="21"/>
      <c r="E327" s="21"/>
      <c r="F327" s="22"/>
      <c r="G327" s="21"/>
      <c r="H327" s="21"/>
      <c r="I327" s="22"/>
    </row>
    <row r="328" spans="1:9" ht="12.95">
      <c r="A328" s="21"/>
      <c r="B328" s="21"/>
      <c r="C328" s="21"/>
      <c r="D328" s="21"/>
      <c r="E328" s="21"/>
      <c r="F328" s="22"/>
      <c r="G328" s="21"/>
      <c r="H328" s="21"/>
      <c r="I328" s="22"/>
    </row>
    <row r="329" spans="1:9" ht="12.95">
      <c r="A329" s="21"/>
      <c r="B329" s="21"/>
      <c r="C329" s="21"/>
      <c r="D329" s="21"/>
      <c r="E329" s="21"/>
      <c r="F329" s="22"/>
      <c r="G329" s="21"/>
      <c r="H329" s="21"/>
      <c r="I329" s="22"/>
    </row>
    <row r="330" spans="1:9" ht="12.95">
      <c r="A330" s="21"/>
      <c r="B330" s="21"/>
      <c r="C330" s="21"/>
      <c r="D330" s="21"/>
      <c r="E330" s="21"/>
      <c r="F330" s="22"/>
      <c r="G330" s="21"/>
      <c r="H330" s="21"/>
      <c r="I330" s="22"/>
    </row>
    <row r="331" spans="1:9" ht="12.95">
      <c r="A331" s="21"/>
      <c r="B331" s="21"/>
      <c r="C331" s="21"/>
      <c r="D331" s="21"/>
      <c r="E331" s="21"/>
      <c r="F331" s="22"/>
      <c r="G331" s="21"/>
      <c r="H331" s="21"/>
      <c r="I331" s="22"/>
    </row>
    <row r="332" spans="1:9" ht="12.95">
      <c r="A332" s="21"/>
      <c r="B332" s="21"/>
      <c r="C332" s="21"/>
      <c r="D332" s="21"/>
      <c r="E332" s="21"/>
      <c r="F332" s="22"/>
      <c r="G332" s="21"/>
      <c r="H332" s="21"/>
      <c r="I332" s="22"/>
    </row>
    <row r="333" spans="1:9" ht="12.95">
      <c r="A333" s="21"/>
      <c r="B333" s="21"/>
      <c r="C333" s="21"/>
      <c r="D333" s="21"/>
      <c r="E333" s="21"/>
      <c r="F333" s="22"/>
      <c r="G333" s="21"/>
      <c r="H333" s="21"/>
      <c r="I333" s="22"/>
    </row>
    <row r="334" spans="1:9" ht="12.95">
      <c r="A334" s="21"/>
      <c r="B334" s="21"/>
      <c r="C334" s="21"/>
      <c r="D334" s="21"/>
      <c r="E334" s="21"/>
      <c r="F334" s="22"/>
      <c r="G334" s="21"/>
      <c r="H334" s="21"/>
      <c r="I334" s="22"/>
    </row>
    <row r="335" spans="1:9" ht="12.95">
      <c r="A335" s="21"/>
      <c r="B335" s="21"/>
      <c r="C335" s="21"/>
      <c r="D335" s="21"/>
      <c r="E335" s="21"/>
      <c r="F335" s="22"/>
      <c r="G335" s="21"/>
      <c r="H335" s="21"/>
      <c r="I335" s="22"/>
    </row>
    <row r="336" spans="1:9" ht="12.95">
      <c r="A336" s="21"/>
      <c r="B336" s="21"/>
      <c r="C336" s="21"/>
      <c r="D336" s="21"/>
      <c r="E336" s="21"/>
      <c r="F336" s="22"/>
      <c r="G336" s="21"/>
      <c r="H336" s="21"/>
      <c r="I336" s="22"/>
    </row>
    <row r="337" spans="1:9" ht="12.95">
      <c r="A337" s="21"/>
      <c r="B337" s="21"/>
      <c r="C337" s="21"/>
      <c r="D337" s="21"/>
      <c r="E337" s="21"/>
      <c r="F337" s="22"/>
      <c r="G337" s="21"/>
      <c r="H337" s="21"/>
      <c r="I337" s="22"/>
    </row>
    <row r="338" spans="1:9" ht="12.95">
      <c r="A338" s="21"/>
      <c r="B338" s="21"/>
      <c r="C338" s="21"/>
      <c r="D338" s="21"/>
      <c r="E338" s="21"/>
      <c r="F338" s="22"/>
      <c r="G338" s="21"/>
      <c r="H338" s="21"/>
      <c r="I338" s="22"/>
    </row>
    <row r="339" spans="1:9" ht="12.95">
      <c r="A339" s="21"/>
      <c r="B339" s="21"/>
      <c r="C339" s="21"/>
      <c r="D339" s="21"/>
      <c r="E339" s="21"/>
      <c r="F339" s="22"/>
      <c r="G339" s="21"/>
      <c r="H339" s="21"/>
      <c r="I339" s="22"/>
    </row>
    <row r="340" spans="1:9" ht="12.95">
      <c r="A340" s="21"/>
      <c r="B340" s="21"/>
      <c r="C340" s="21"/>
      <c r="D340" s="21"/>
      <c r="E340" s="21"/>
      <c r="F340" s="22"/>
      <c r="G340" s="21"/>
      <c r="H340" s="21"/>
      <c r="I340" s="22"/>
    </row>
    <row r="341" spans="1:9" ht="12.95">
      <c r="A341" s="21"/>
      <c r="B341" s="21"/>
      <c r="C341" s="21"/>
      <c r="D341" s="21"/>
      <c r="E341" s="21"/>
      <c r="F341" s="22"/>
      <c r="G341" s="21"/>
      <c r="H341" s="21"/>
      <c r="I341" s="22"/>
    </row>
    <row r="342" spans="1:9" ht="12.95">
      <c r="A342" s="21"/>
      <c r="B342" s="21"/>
      <c r="C342" s="21"/>
      <c r="D342" s="21"/>
      <c r="E342" s="21"/>
      <c r="F342" s="22"/>
      <c r="G342" s="21"/>
      <c r="H342" s="21"/>
      <c r="I342" s="22"/>
    </row>
  </sheetData>
  <mergeCells count="4">
    <mergeCell ref="G1:I1"/>
    <mergeCell ref="A1:C1"/>
    <mergeCell ref="D1:F1"/>
    <mergeCell ref="A2:B2"/>
  </mergeCells>
  <conditionalFormatting sqref="F2 I2 F4:F100 I4:I100">
    <cfRule type="cellIs" dxfId="54" priority="1" stopIfTrue="1" operator="lessThanOrEqual">
      <formula>-0.1</formula>
    </cfRule>
    <cfRule type="expression" dxfId="53"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42"/>
  <sheetViews>
    <sheetView workbookViewId="0">
      <pane xSplit="2" ySplit="3" topLeftCell="F71" activePane="bottomRight" state="frozen"/>
      <selection pane="bottomRight" activeCell="F71" sqref="F71"/>
      <selection pane="bottomLeft"/>
      <selection pane="topRight"/>
    </sheetView>
  </sheetViews>
  <sheetFormatPr defaultRowHeight="12.6"/>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20" t="str" cm="1">
        <f t="array" ref="A1">portfolio</f>
        <v>Silicon Ranch</v>
      </c>
      <c r="B1" s="120"/>
      <c r="C1" s="120"/>
      <c r="D1" s="121" t="s">
        <v>16</v>
      </c>
      <c r="E1" s="121"/>
      <c r="F1" s="121"/>
      <c r="G1" s="119" t="s">
        <v>17</v>
      </c>
      <c r="H1" s="119"/>
      <c r="I1" s="119"/>
    </row>
    <row r="2" spans="1:9" ht="19.5" customHeight="1">
      <c r="A2" s="122" t="s">
        <v>2</v>
      </c>
      <c r="B2" s="122"/>
      <c r="C2" s="5">
        <f>SUM(C4:C100)</f>
        <v>0</v>
      </c>
      <c r="D2" s="5">
        <f>SUM(D4:D100)</f>
        <v>0</v>
      </c>
      <c r="E2" s="5">
        <f>C2-D2</f>
        <v>0</v>
      </c>
      <c r="F2" s="6">
        <f>IFERROR(E2/D2, 0)</f>
        <v>0</v>
      </c>
      <c r="G2" s="5">
        <f>SUM(G4:G100)</f>
        <v>0</v>
      </c>
      <c r="H2" s="7">
        <f>C2-G2</f>
        <v>0</v>
      </c>
      <c r="I2" s="6">
        <f>IFERROR(H2/G2, 0)</f>
        <v>0</v>
      </c>
    </row>
    <row r="3" spans="1:9" ht="14.25" customHeight="1">
      <c r="A3" s="8" t="s">
        <v>3</v>
      </c>
      <c r="B3" s="8" t="s">
        <v>4</v>
      </c>
      <c r="C3" s="23" t="s">
        <v>5</v>
      </c>
      <c r="D3" s="35" t="s">
        <v>6</v>
      </c>
      <c r="E3" s="35" t="s">
        <v>7</v>
      </c>
      <c r="F3" s="36" t="s">
        <v>8</v>
      </c>
      <c r="G3" s="37" t="s">
        <v>9</v>
      </c>
      <c r="H3" s="38" t="s">
        <v>7</v>
      </c>
      <c r="I3" s="39" t="s">
        <v>8</v>
      </c>
    </row>
    <row r="4" spans="1:9" ht="15.6">
      <c r="A4" s="48" t="str" cm="1">
        <f t="array" ref="A4:A69">Sites[Site]</f>
        <v>Iron Mountain - Windsor</v>
      </c>
      <c r="B4" s="9" t="str" cm="1">
        <f t="array" ref="B4:B69">Sites[State]</f>
        <v>CT</v>
      </c>
      <c r="C4" s="24">
        <f>SUM(Oct!C4, Nov!C4, Dec!C4)</f>
        <v>0</v>
      </c>
      <c r="D4" s="13">
        <f>SUM(Oct!D4, Nov!D4, Dec!D4)</f>
        <v>0</v>
      </c>
      <c r="E4" s="13">
        <f>IF(AND(ISNUMBER(C4),ISNUMBER(D4)), C4-D4, "")</f>
        <v>0</v>
      </c>
      <c r="F4" s="14" t="str">
        <f>IFERROR(E4/D4, "")</f>
        <v/>
      </c>
      <c r="G4" s="15">
        <f>SUM(Oct!G4,Nov!G4,Dec!G4)</f>
        <v>0</v>
      </c>
      <c r="H4" s="15">
        <f>SUM(Oct!H4, Nov!H4, Dec!H4)</f>
        <v>0</v>
      </c>
      <c r="I4" s="16" t="str">
        <f>IFERROR(H4/G4, "")</f>
        <v/>
      </c>
    </row>
    <row r="5" spans="1:9" ht="15.6">
      <c r="A5" s="49" t="str">
        <v>Kohls - Auburn</v>
      </c>
      <c r="B5" s="10" t="str">
        <v>NY</v>
      </c>
      <c r="C5" s="11">
        <f>SUM(Oct!C5, Nov!C5, Dec!C5)</f>
        <v>0</v>
      </c>
      <c r="D5" s="18">
        <f>SUM(Oct!D5, Nov!D5, Dec!D5)</f>
        <v>0</v>
      </c>
      <c r="E5" s="18">
        <f t="shared" ref="E5:E15" si="0">IF(AND(ISNUMBER(C5),ISNUMBER(D5)), C5-D5, "")</f>
        <v>0</v>
      </c>
      <c r="F5" s="19" t="str">
        <f>IFERROR(E5/D5, "")</f>
        <v/>
      </c>
      <c r="G5" s="63">
        <f>SUM(Oct!G5,Nov!G5,Dec!G5)</f>
        <v>0</v>
      </c>
      <c r="H5" s="20">
        <f>SUM(Oct!H5, Nov!H5, Dec!H5)</f>
        <v>0</v>
      </c>
      <c r="I5" s="19" t="str">
        <f>IFERROR(H5/G5, "")</f>
        <v/>
      </c>
    </row>
    <row r="6" spans="1:9" ht="15.6">
      <c r="A6" s="48" t="str">
        <v>Kohls - Bensalem</v>
      </c>
      <c r="B6" s="9" t="str">
        <v>PA</v>
      </c>
      <c r="C6" s="24">
        <f>SUM(Oct!C6, Nov!C6, Dec!C6)</f>
        <v>0</v>
      </c>
      <c r="D6" s="13">
        <f>SUM(Oct!D6, Nov!D6, Dec!D6)</f>
        <v>0</v>
      </c>
      <c r="E6" s="13">
        <f t="shared" si="0"/>
        <v>0</v>
      </c>
      <c r="F6" s="14" t="str">
        <f t="shared" ref="F6:F15" si="1">IFERROR(E6/D6, "")</f>
        <v/>
      </c>
      <c r="G6" s="15">
        <f>SUM(Oct!G6,Nov!G6,Dec!G6)</f>
        <v>0</v>
      </c>
      <c r="H6" s="15">
        <f>SUM(Oct!H6, Nov!H6, Dec!H6)</f>
        <v>0</v>
      </c>
      <c r="I6" s="16" t="str">
        <f t="shared" ref="I6:I15" si="2">IFERROR(H6/G6, "")</f>
        <v/>
      </c>
    </row>
    <row r="7" spans="1:9" ht="15.6">
      <c r="A7" s="49" t="str">
        <v>Kohls - Brick</v>
      </c>
      <c r="B7" s="10" t="str">
        <v>NJ</v>
      </c>
      <c r="C7" s="11">
        <f>SUM(Oct!C7, Nov!C7, Dec!C7)</f>
        <v>0</v>
      </c>
      <c r="D7" s="18">
        <f>SUM(Oct!D7, Nov!D7, Dec!D7)</f>
        <v>0</v>
      </c>
      <c r="E7" s="18">
        <f t="shared" si="0"/>
        <v>0</v>
      </c>
      <c r="F7" s="19" t="str">
        <f t="shared" si="1"/>
        <v/>
      </c>
      <c r="G7" s="20">
        <f>SUM(Oct!G7,Nov!G7,Dec!G7)</f>
        <v>0</v>
      </c>
      <c r="H7" s="20">
        <f>SUM(Oct!H7, Nov!H7, Dec!H7)</f>
        <v>0</v>
      </c>
      <c r="I7" s="19" t="str">
        <f t="shared" si="2"/>
        <v/>
      </c>
    </row>
    <row r="8" spans="1:9" ht="15.6">
      <c r="A8" s="48" t="str">
        <v>Kohls - Buffalo</v>
      </c>
      <c r="B8" s="9" t="str">
        <v>NY</v>
      </c>
      <c r="C8" s="24">
        <f>SUM(Oct!C8, Nov!C8, Dec!C8)</f>
        <v>0</v>
      </c>
      <c r="D8" s="13">
        <f>SUM(Oct!D8, Nov!D8, Dec!D8)</f>
        <v>0</v>
      </c>
      <c r="E8" s="13">
        <f t="shared" si="0"/>
        <v>0</v>
      </c>
      <c r="F8" s="14" t="str">
        <f t="shared" si="1"/>
        <v/>
      </c>
      <c r="G8" s="15">
        <f>SUM(Oct!G8,Nov!G8,Dec!G8)</f>
        <v>0</v>
      </c>
      <c r="H8" s="15">
        <f>SUM(Oct!H8, Nov!H8, Dec!H8)</f>
        <v>0</v>
      </c>
      <c r="I8" s="16" t="str">
        <f t="shared" si="2"/>
        <v/>
      </c>
    </row>
    <row r="9" spans="1:9" ht="15.6">
      <c r="A9" s="49" t="str">
        <v>Kohls - Canton</v>
      </c>
      <c r="B9" s="10" t="str">
        <v>CT</v>
      </c>
      <c r="C9" s="11">
        <f>SUM(Oct!C9, Nov!C9, Dec!C9)</f>
        <v>0</v>
      </c>
      <c r="D9" s="18">
        <f>SUM(Oct!D9, Nov!D9, Dec!D9)</f>
        <v>0</v>
      </c>
      <c r="E9" s="18">
        <f t="shared" si="0"/>
        <v>0</v>
      </c>
      <c r="F9" s="19" t="str">
        <f t="shared" si="1"/>
        <v/>
      </c>
      <c r="G9" s="20">
        <f>SUM(Oct!G9,Nov!G9,Dec!G9)</f>
        <v>0</v>
      </c>
      <c r="H9" s="20">
        <f>SUM(Oct!H9, Nov!H9, Dec!H9)</f>
        <v>0</v>
      </c>
      <c r="I9" s="19" t="str">
        <f t="shared" si="2"/>
        <v/>
      </c>
    </row>
    <row r="10" spans="1:9" ht="15.6">
      <c r="A10" s="48" t="str">
        <v>Kohls - East Amherst</v>
      </c>
      <c r="B10" s="9" t="str">
        <v>NY</v>
      </c>
      <c r="C10" s="24">
        <f>SUM(Oct!C10, Nov!C10, Dec!C10)</f>
        <v>0</v>
      </c>
      <c r="D10" s="13">
        <f>SUM(Oct!D10, Nov!D10, Dec!D10)</f>
        <v>0</v>
      </c>
      <c r="E10" s="13">
        <f t="shared" si="0"/>
        <v>0</v>
      </c>
      <c r="F10" s="14" t="str">
        <f t="shared" si="1"/>
        <v/>
      </c>
      <c r="G10" s="15">
        <f>SUM(Oct!G10,Nov!G10,Dec!G10)</f>
        <v>0</v>
      </c>
      <c r="H10" s="15">
        <f>SUM(Oct!H10, Nov!H10, Dec!H10)</f>
        <v>0</v>
      </c>
      <c r="I10" s="16" t="str">
        <f t="shared" si="2"/>
        <v/>
      </c>
    </row>
    <row r="11" spans="1:9" ht="15.6">
      <c r="A11" s="49" t="str">
        <v>Kohls - East Brunswick</v>
      </c>
      <c r="B11" s="10" t="str">
        <v>NJ</v>
      </c>
      <c r="C11" s="11">
        <f>SUM(Oct!C11, Nov!C11, Dec!C11)</f>
        <v>0</v>
      </c>
      <c r="D11" s="18">
        <f>SUM(Oct!D11, Nov!D11, Dec!D11)</f>
        <v>0</v>
      </c>
      <c r="E11" s="18">
        <f t="shared" si="0"/>
        <v>0</v>
      </c>
      <c r="F11" s="19" t="str">
        <f t="shared" si="1"/>
        <v/>
      </c>
      <c r="G11" s="20">
        <f>SUM(Oct!G11,Nov!G11,Dec!G11)</f>
        <v>0</v>
      </c>
      <c r="H11" s="20">
        <f>SUM(Oct!H11, Nov!H11, Dec!H11)</f>
        <v>0</v>
      </c>
      <c r="I11" s="19" t="str">
        <f t="shared" si="2"/>
        <v/>
      </c>
    </row>
    <row r="12" spans="1:9" ht="15.6">
      <c r="A12" s="48" t="str">
        <v>Kohls - Edgewood</v>
      </c>
      <c r="B12" s="9" t="str">
        <v>MD</v>
      </c>
      <c r="C12" s="24">
        <f>SUM(Oct!C12, Nov!C12, Dec!C12)</f>
        <v>0</v>
      </c>
      <c r="D12" s="13">
        <f>SUM(Oct!D12, Nov!D12, Dec!D12)</f>
        <v>0</v>
      </c>
      <c r="E12" s="13">
        <f t="shared" si="0"/>
        <v>0</v>
      </c>
      <c r="F12" s="14" t="str">
        <f t="shared" si="1"/>
        <v/>
      </c>
      <c r="G12" s="15">
        <f>SUM(Oct!G12,Nov!G12,Dec!G12)</f>
        <v>0</v>
      </c>
      <c r="H12" s="15">
        <f>SUM(Oct!H12, Nov!H12, Dec!H12)</f>
        <v>0</v>
      </c>
      <c r="I12" s="16" t="str">
        <f t="shared" si="2"/>
        <v/>
      </c>
    </row>
    <row r="13" spans="1:9" ht="15.6">
      <c r="A13" s="49" t="str">
        <v>Kohls - Granite Run</v>
      </c>
      <c r="B13" s="10" t="str">
        <v>PA</v>
      </c>
      <c r="C13" s="11">
        <f>SUM(Oct!C13, Nov!C13, Dec!C13)</f>
        <v>0</v>
      </c>
      <c r="D13" s="18">
        <f>SUM(Oct!D13, Nov!D13, Dec!D13)</f>
        <v>0</v>
      </c>
      <c r="E13" s="18">
        <f t="shared" si="0"/>
        <v>0</v>
      </c>
      <c r="F13" s="19" t="str">
        <f t="shared" si="1"/>
        <v/>
      </c>
      <c r="G13" s="20">
        <f>SUM(Oct!G13,Nov!G13,Dec!G13)</f>
        <v>0</v>
      </c>
      <c r="H13" s="20">
        <f>SUM(Oct!H13, Nov!H13, Dec!H13)</f>
        <v>0</v>
      </c>
      <c r="I13" s="19" t="str">
        <f t="shared" si="2"/>
        <v/>
      </c>
    </row>
    <row r="14" spans="1:9" ht="15.6">
      <c r="A14" s="48" t="str">
        <v>Kohls - Greece</v>
      </c>
      <c r="B14" s="9" t="str">
        <v>NY</v>
      </c>
      <c r="C14" s="24">
        <f>SUM(Oct!C14, Nov!C14, Dec!C14)</f>
        <v>0</v>
      </c>
      <c r="D14" s="13">
        <f>SUM(Oct!D14, Nov!D14, Dec!D14)</f>
        <v>0</v>
      </c>
      <c r="E14" s="13">
        <f t="shared" si="0"/>
        <v>0</v>
      </c>
      <c r="F14" s="14" t="str">
        <f t="shared" si="1"/>
        <v/>
      </c>
      <c r="G14" s="15">
        <f>SUM(Oct!G14,Nov!G14,Dec!G14)</f>
        <v>0</v>
      </c>
      <c r="H14" s="15">
        <f>SUM(Oct!H14, Nov!H14, Dec!H14)</f>
        <v>0</v>
      </c>
      <c r="I14" s="16" t="str">
        <f t="shared" si="2"/>
        <v/>
      </c>
    </row>
    <row r="15" spans="1:9" ht="15.6">
      <c r="A15" s="49" t="str">
        <v>Kohls - Hanover</v>
      </c>
      <c r="B15" s="10" t="str">
        <v>PA</v>
      </c>
      <c r="C15" s="11">
        <f>SUM(Oct!C15, Nov!C15, Dec!C15)</f>
        <v>0</v>
      </c>
      <c r="D15" s="18">
        <f>SUM(Oct!D15, Nov!D15, Dec!D15)</f>
        <v>0</v>
      </c>
      <c r="E15" s="18">
        <f t="shared" si="0"/>
        <v>0</v>
      </c>
      <c r="F15" s="19" t="str">
        <f t="shared" si="1"/>
        <v/>
      </c>
      <c r="G15" s="20">
        <f>SUM(Oct!G15,Nov!G15,Dec!G15)</f>
        <v>0</v>
      </c>
      <c r="H15" s="20">
        <f>SUM(Oct!H15, Nov!H15, Dec!H15)</f>
        <v>0</v>
      </c>
      <c r="I15" s="19" t="str">
        <f t="shared" si="2"/>
        <v/>
      </c>
    </row>
    <row r="16" spans="1:9" ht="15.6">
      <c r="A16" s="48" t="str">
        <v>Kohls - Horsehead</v>
      </c>
      <c r="B16" s="9" t="str">
        <v>NY</v>
      </c>
      <c r="C16" s="24">
        <f>SUM(Oct!C16, Nov!C16, Dec!C16)</f>
        <v>0</v>
      </c>
      <c r="D16" s="13">
        <f>SUM(Oct!D16, Nov!D16, Dec!D16)</f>
        <v>0</v>
      </c>
      <c r="E16" s="13">
        <f t="shared" ref="E16:E17" si="3">IF(AND(ISNUMBER(C16),ISNUMBER(D16)), C16-D16, "")</f>
        <v>0</v>
      </c>
      <c r="F16" s="14" t="str">
        <f t="shared" ref="F16:F17" si="4">IFERROR(E16/D16, "")</f>
        <v/>
      </c>
      <c r="G16" s="15">
        <f>SUM(Oct!G16,Nov!G16,Dec!G16)</f>
        <v>0</v>
      </c>
      <c r="H16" s="15">
        <f>SUM(Oct!H16, Nov!H16, Dec!H16)</f>
        <v>0</v>
      </c>
      <c r="I16" s="16" t="str">
        <f t="shared" ref="I16:I17" si="5">IFERROR(H16/G16, "")</f>
        <v/>
      </c>
    </row>
    <row r="17" spans="1:9" ht="15.6">
      <c r="A17" s="49" t="str">
        <v>Kohls - Hudson</v>
      </c>
      <c r="B17" s="10" t="str">
        <v>NY</v>
      </c>
      <c r="C17" s="11">
        <f>SUM(Oct!C17, Nov!C17, Dec!C17)</f>
        <v>0</v>
      </c>
      <c r="D17" s="18">
        <f>SUM(Oct!D17, Nov!D17, Dec!D17)</f>
        <v>0</v>
      </c>
      <c r="E17" s="18">
        <f t="shared" si="3"/>
        <v>0</v>
      </c>
      <c r="F17" s="19" t="str">
        <f t="shared" si="4"/>
        <v/>
      </c>
      <c r="G17" s="20">
        <f>SUM(Oct!G17,Nov!G17,Dec!G17)</f>
        <v>0</v>
      </c>
      <c r="H17" s="20">
        <f>SUM(Oct!H17, Nov!H17, Dec!H17)</f>
        <v>0</v>
      </c>
      <c r="I17" s="19" t="str">
        <f t="shared" si="5"/>
        <v/>
      </c>
    </row>
    <row r="18" spans="1:9" ht="12.75" customHeight="1">
      <c r="A18" s="48" t="str">
        <v>Kohls - Ithaca</v>
      </c>
      <c r="B18" s="9" t="str">
        <v>NY</v>
      </c>
      <c r="C18" s="24">
        <f>SUM(Oct!C18, Nov!C18, Dec!C18)</f>
        <v>0</v>
      </c>
      <c r="D18" s="13">
        <f>SUM(Oct!D18, Nov!D18, Dec!D18)</f>
        <v>0</v>
      </c>
      <c r="E18" s="13">
        <f t="shared" ref="E18:E68" si="6">IF(AND(ISNUMBER(C18),ISNUMBER(D18)), C18-D18, "")</f>
        <v>0</v>
      </c>
      <c r="F18" s="14" t="str">
        <f t="shared" ref="F18:F68" si="7">IFERROR(E18/D18, "")</f>
        <v/>
      </c>
      <c r="G18" s="15">
        <f>SUM(Oct!G18,Nov!G18,Dec!G18)</f>
        <v>0</v>
      </c>
      <c r="H18" s="15">
        <f>SUM(Oct!H18, Nov!H18, Dec!H18)</f>
        <v>0</v>
      </c>
      <c r="I18" s="16" t="str">
        <f t="shared" ref="I18:I68" si="8">IFERROR(H18/G18, "")</f>
        <v/>
      </c>
    </row>
    <row r="19" spans="1:9" ht="15.6">
      <c r="A19" s="49" t="str">
        <v>Kohls - Kingston</v>
      </c>
      <c r="B19" s="10" t="str">
        <v>NY</v>
      </c>
      <c r="C19" s="11">
        <f>SUM(Oct!C19, Nov!C19, Dec!C19)</f>
        <v>0</v>
      </c>
      <c r="D19" s="18">
        <f>SUM(Oct!D19, Nov!D19, Dec!D19)</f>
        <v>0</v>
      </c>
      <c r="E19" s="18">
        <f t="shared" si="6"/>
        <v>0</v>
      </c>
      <c r="F19" s="19" t="str">
        <f t="shared" si="7"/>
        <v/>
      </c>
      <c r="G19" s="20">
        <f>SUM(Oct!G19,Nov!G19,Dec!G19)</f>
        <v>0</v>
      </c>
      <c r="H19" s="20">
        <f>SUM(Oct!H19, Nov!H19, Dec!H19)</f>
        <v>0</v>
      </c>
      <c r="I19" s="19" t="str">
        <f t="shared" si="8"/>
        <v/>
      </c>
    </row>
    <row r="20" spans="1:9" ht="15.6">
      <c r="A20" s="48" t="str">
        <v>Kohls - Mechanicsburg</v>
      </c>
      <c r="B20" s="9" t="str">
        <v>PA</v>
      </c>
      <c r="C20" s="24">
        <f>SUM(Oct!C20, Nov!C20, Dec!C20)</f>
        <v>0</v>
      </c>
      <c r="D20" s="13">
        <f>SUM(Oct!D20, Nov!D20, Dec!D20)</f>
        <v>0</v>
      </c>
      <c r="E20" s="13">
        <f t="shared" si="6"/>
        <v>0</v>
      </c>
      <c r="F20" s="14" t="str">
        <f t="shared" si="7"/>
        <v/>
      </c>
      <c r="G20" s="15">
        <f>SUM(Oct!G20,Nov!G20,Dec!G20)</f>
        <v>0</v>
      </c>
      <c r="H20" s="15">
        <f>SUM(Oct!H20, Nov!H20, Dec!H20)</f>
        <v>0</v>
      </c>
      <c r="I20" s="16" t="str">
        <f t="shared" si="8"/>
        <v/>
      </c>
    </row>
    <row r="21" spans="1:9" ht="15.6">
      <c r="A21" s="49" t="str">
        <v>Kohls - Middletown</v>
      </c>
      <c r="B21" s="10" t="str">
        <v>NJ</v>
      </c>
      <c r="C21" s="11">
        <f>SUM(Oct!C21, Nov!C21, Dec!C21)</f>
        <v>0</v>
      </c>
      <c r="D21" s="18">
        <f>SUM(Oct!D21, Nov!D21, Dec!D21)</f>
        <v>0</v>
      </c>
      <c r="E21" s="18">
        <f t="shared" si="6"/>
        <v>0</v>
      </c>
      <c r="F21" s="19" t="str">
        <f t="shared" si="7"/>
        <v/>
      </c>
      <c r="G21" s="20">
        <f>SUM(Oct!G21,Nov!G21,Dec!G21)</f>
        <v>0</v>
      </c>
      <c r="H21" s="20">
        <f>SUM(Oct!H21, Nov!H21, Dec!H21)</f>
        <v>0</v>
      </c>
      <c r="I21" s="19" t="str">
        <f t="shared" si="8"/>
        <v/>
      </c>
    </row>
    <row r="22" spans="1:9" ht="15.6">
      <c r="A22" s="48" t="str">
        <v>Kohls - North Amherst</v>
      </c>
      <c r="B22" s="9" t="str">
        <v>NY</v>
      </c>
      <c r="C22" s="24">
        <f>SUM(Oct!C22, Nov!C22, Dec!C22)</f>
        <v>0</v>
      </c>
      <c r="D22" s="13">
        <f>SUM(Oct!D22, Nov!D22, Dec!D22)</f>
        <v>0</v>
      </c>
      <c r="E22" s="13">
        <f t="shared" si="6"/>
        <v>0</v>
      </c>
      <c r="F22" s="14" t="str">
        <f t="shared" si="7"/>
        <v/>
      </c>
      <c r="G22" s="15">
        <f>SUM(Oct!G22,Nov!G22,Dec!G22)</f>
        <v>0</v>
      </c>
      <c r="H22" s="15">
        <f>SUM(Oct!H22, Nov!H22, Dec!H22)</f>
        <v>0</v>
      </c>
      <c r="I22" s="16" t="str">
        <f t="shared" si="8"/>
        <v/>
      </c>
    </row>
    <row r="23" spans="1:9" ht="15.6">
      <c r="A23" s="49" t="str">
        <v>Kohls - Staten Island</v>
      </c>
      <c r="B23" s="10" t="str">
        <v>NY</v>
      </c>
      <c r="C23" s="11">
        <f>SUM(Oct!C23, Nov!C23, Dec!C23)</f>
        <v>0</v>
      </c>
      <c r="D23" s="18">
        <f>SUM(Oct!D23, Nov!D23, Dec!D23)</f>
        <v>0</v>
      </c>
      <c r="E23" s="18">
        <f t="shared" si="6"/>
        <v>0</v>
      </c>
      <c r="F23" s="19" t="str">
        <f t="shared" si="7"/>
        <v/>
      </c>
      <c r="G23" s="20">
        <f>SUM(Oct!G23,Nov!G23,Dec!G23)</f>
        <v>0</v>
      </c>
      <c r="H23" s="20">
        <f>SUM(Oct!H23, Nov!H23, Dec!H23)</f>
        <v>0</v>
      </c>
      <c r="I23" s="19" t="str">
        <f t="shared" si="8"/>
        <v/>
      </c>
    </row>
    <row r="24" spans="1:9" ht="15.6">
      <c r="A24" s="48" t="str">
        <v>Kohls - Warminster</v>
      </c>
      <c r="B24" s="9" t="str">
        <v>PA</v>
      </c>
      <c r="C24" s="24">
        <f>SUM(Oct!C24, Nov!C24, Dec!C24)</f>
        <v>0</v>
      </c>
      <c r="D24" s="13">
        <f>SUM(Oct!D24, Nov!D24, Dec!D24)</f>
        <v>0</v>
      </c>
      <c r="E24" s="13">
        <f t="shared" si="6"/>
        <v>0</v>
      </c>
      <c r="F24" s="14" t="str">
        <f t="shared" si="7"/>
        <v/>
      </c>
      <c r="G24" s="15">
        <f>SUM(Oct!G24,Nov!G24,Dec!G24)</f>
        <v>0</v>
      </c>
      <c r="H24" s="15">
        <f>SUM(Oct!H24, Nov!H24, Dec!H24)</f>
        <v>0</v>
      </c>
      <c r="I24" s="16" t="str">
        <f t="shared" si="8"/>
        <v/>
      </c>
    </row>
    <row r="25" spans="1:9" ht="15.6">
      <c r="A25" s="49" t="str">
        <v xml:space="preserve">Kohls - Waterbury </v>
      </c>
      <c r="B25" s="10" t="str">
        <v>CT</v>
      </c>
      <c r="C25" s="11">
        <f>SUM(Oct!C25, Nov!C25, Dec!C25)</f>
        <v>0</v>
      </c>
      <c r="D25" s="18">
        <f>SUM(Oct!D25, Nov!D25, Dec!D25)</f>
        <v>0</v>
      </c>
      <c r="E25" s="18">
        <f t="shared" si="6"/>
        <v>0</v>
      </c>
      <c r="F25" s="19" t="str">
        <f t="shared" si="7"/>
        <v/>
      </c>
      <c r="G25" s="20">
        <f>SUM(Oct!G25,Nov!G25,Dec!G25)</f>
        <v>0</v>
      </c>
      <c r="H25" s="20">
        <f>SUM(Oct!H25, Nov!H25, Dec!H25)</f>
        <v>0</v>
      </c>
      <c r="I25" s="19" t="str">
        <f t="shared" si="8"/>
        <v/>
      </c>
    </row>
    <row r="26" spans="1:9" ht="15.6">
      <c r="A26" s="48" t="str">
        <v>Mojave Water Agency - Headquarters</v>
      </c>
      <c r="B26" s="9" t="str">
        <v>CA</v>
      </c>
      <c r="C26" s="24">
        <f>SUM(Oct!C26, Nov!C26, Dec!C26)</f>
        <v>0</v>
      </c>
      <c r="D26" s="13">
        <f>SUM(Oct!D26, Nov!D26, Dec!D26)</f>
        <v>0</v>
      </c>
      <c r="E26" s="13">
        <f t="shared" si="6"/>
        <v>0</v>
      </c>
      <c r="F26" s="14" t="str">
        <f t="shared" si="7"/>
        <v/>
      </c>
      <c r="G26" s="15">
        <f>SUM(Oct!G26,Nov!G26,Dec!G26)</f>
        <v>0</v>
      </c>
      <c r="H26" s="15">
        <f>SUM(Oct!H26, Nov!H26, Dec!H26)</f>
        <v>0</v>
      </c>
      <c r="I26" s="16" t="str">
        <f t="shared" si="8"/>
        <v/>
      </c>
    </row>
    <row r="27" spans="1:9" ht="15.6">
      <c r="A27" s="49" t="str">
        <v>CSU - Bakersfield</v>
      </c>
      <c r="B27" s="10" t="str">
        <v>CA</v>
      </c>
      <c r="C27" s="11">
        <f>SUM(Oct!C27, Nov!C27, Dec!C27)</f>
        <v>0</v>
      </c>
      <c r="D27" s="18">
        <f>SUM(Oct!D27, Nov!D27, Dec!D27)</f>
        <v>0</v>
      </c>
      <c r="E27" s="18">
        <f t="shared" si="6"/>
        <v>0</v>
      </c>
      <c r="F27" s="19" t="str">
        <f t="shared" si="7"/>
        <v/>
      </c>
      <c r="G27" s="20">
        <f>SUM(Oct!G27,Nov!G27,Dec!G27)</f>
        <v>0</v>
      </c>
      <c r="H27" s="20">
        <f>SUM(Oct!H27, Nov!H27, Dec!H27)</f>
        <v>0</v>
      </c>
      <c r="I27" s="19" t="str">
        <f t="shared" si="8"/>
        <v/>
      </c>
    </row>
    <row r="28" spans="1:9" ht="15.6">
      <c r="A28" s="48" t="str">
        <v>Greenfield USD - Fairfield ES</v>
      </c>
      <c r="B28" s="9" t="str">
        <v>CA</v>
      </c>
      <c r="C28" s="24">
        <f>SUM(Oct!C28, Nov!C28, Dec!C28)</f>
        <v>0</v>
      </c>
      <c r="D28" s="13">
        <f>SUM(Oct!D28, Nov!D28, Dec!D28)</f>
        <v>0</v>
      </c>
      <c r="E28" s="13">
        <f t="shared" si="6"/>
        <v>0</v>
      </c>
      <c r="F28" s="14" t="str">
        <f t="shared" si="7"/>
        <v/>
      </c>
      <c r="G28" s="15">
        <f>SUM(Oct!G28,Nov!G28,Dec!G28)</f>
        <v>0</v>
      </c>
      <c r="H28" s="15">
        <f>SUM(Oct!H28, Nov!H28, Dec!H28)</f>
        <v>0</v>
      </c>
      <c r="I28" s="16" t="str">
        <f t="shared" si="8"/>
        <v/>
      </c>
    </row>
    <row r="29" spans="1:9" ht="15.6">
      <c r="A29" s="49" t="str">
        <v>Greenfield USD - Granite Point ES</v>
      </c>
      <c r="B29" s="10" t="str">
        <v>CA</v>
      </c>
      <c r="C29" s="11">
        <f>SUM(Oct!C29, Nov!C29, Dec!C29)</f>
        <v>0</v>
      </c>
      <c r="D29" s="18">
        <f>SUM(Oct!D29, Nov!D29, Dec!D29)</f>
        <v>0</v>
      </c>
      <c r="E29" s="18">
        <f t="shared" si="6"/>
        <v>0</v>
      </c>
      <c r="F29" s="19" t="str">
        <f t="shared" si="7"/>
        <v/>
      </c>
      <c r="G29" s="20">
        <f>SUM(Oct!G29,Nov!G29,Dec!G29)</f>
        <v>0</v>
      </c>
      <c r="H29" s="20">
        <f>SUM(Oct!H29, Nov!H29, Dec!H29)</f>
        <v>0</v>
      </c>
      <c r="I29" s="19" t="str">
        <f t="shared" si="8"/>
        <v/>
      </c>
    </row>
    <row r="30" spans="1:9" ht="15.6">
      <c r="A30" s="48" t="str">
        <v>Greenfield USD - Greenfield MS</v>
      </c>
      <c r="B30" s="9" t="str">
        <v>CA</v>
      </c>
      <c r="C30" s="24">
        <f>SUM(Oct!C30, Nov!C30, Dec!C30)</f>
        <v>0</v>
      </c>
      <c r="D30" s="13">
        <f>SUM(Oct!D30, Nov!D30, Dec!D30)</f>
        <v>0</v>
      </c>
      <c r="E30" s="13">
        <f t="shared" si="6"/>
        <v>0</v>
      </c>
      <c r="F30" s="14" t="str">
        <f t="shared" si="7"/>
        <v/>
      </c>
      <c r="G30" s="15">
        <f>SUM(Oct!G30,Nov!G30,Dec!G30)</f>
        <v>0</v>
      </c>
      <c r="H30" s="15">
        <f>SUM(Oct!H30, Nov!H30, Dec!H30)</f>
        <v>0</v>
      </c>
      <c r="I30" s="16" t="str">
        <f t="shared" si="8"/>
        <v/>
      </c>
    </row>
    <row r="31" spans="1:9" ht="15.6">
      <c r="A31" s="49" t="str">
        <v>Greenfield USD - Horizon ES</v>
      </c>
      <c r="B31" s="10" t="str">
        <v>CA</v>
      </c>
      <c r="C31" s="11">
        <f>SUM(Oct!C31, Nov!C31, Dec!C31)</f>
        <v>0</v>
      </c>
      <c r="D31" s="18">
        <f>SUM(Oct!D31, Nov!D31, Dec!D31)</f>
        <v>0</v>
      </c>
      <c r="E31" s="18">
        <f t="shared" si="6"/>
        <v>0</v>
      </c>
      <c r="F31" s="19" t="str">
        <f t="shared" si="7"/>
        <v/>
      </c>
      <c r="G31" s="20">
        <f>SUM(Oct!G31,Nov!G31,Dec!G31)</f>
        <v>0</v>
      </c>
      <c r="H31" s="20">
        <f>SUM(Oct!H31, Nov!H31, Dec!H31)</f>
        <v>0</v>
      </c>
      <c r="I31" s="19" t="str">
        <f t="shared" si="8"/>
        <v/>
      </c>
    </row>
    <row r="32" spans="1:9" ht="15.6">
      <c r="A32" s="48" t="str">
        <v>Greenfield USD - McKee MS</v>
      </c>
      <c r="B32" s="9" t="str">
        <v>CA</v>
      </c>
      <c r="C32" s="24">
        <f>SUM(Oct!C32, Nov!C32, Dec!C32)</f>
        <v>0</v>
      </c>
      <c r="D32" s="13">
        <f>SUM(Oct!D32, Nov!D32, Dec!D32)</f>
        <v>0</v>
      </c>
      <c r="E32" s="13">
        <f t="shared" si="6"/>
        <v>0</v>
      </c>
      <c r="F32" s="14" t="str">
        <f t="shared" si="7"/>
        <v/>
      </c>
      <c r="G32" s="15">
        <f>SUM(Oct!G32,Nov!G32,Dec!G32)</f>
        <v>0</v>
      </c>
      <c r="H32" s="15">
        <f>SUM(Oct!H32, Nov!H32, Dec!H32)</f>
        <v>0</v>
      </c>
      <c r="I32" s="16" t="str">
        <f t="shared" si="8"/>
        <v/>
      </c>
    </row>
    <row r="33" spans="1:9" ht="15.6">
      <c r="A33" s="49" t="str">
        <v>Greenfield USD - Plantation ES</v>
      </c>
      <c r="B33" s="10" t="str">
        <v>CA</v>
      </c>
      <c r="C33" s="11">
        <f>SUM(Oct!C33, Nov!C33, Dec!C33)</f>
        <v>0</v>
      </c>
      <c r="D33" s="18">
        <f>SUM(Oct!D33, Nov!D33, Dec!D33)</f>
        <v>0</v>
      </c>
      <c r="E33" s="18">
        <f t="shared" si="6"/>
        <v>0</v>
      </c>
      <c r="F33" s="19" t="str">
        <f t="shared" si="7"/>
        <v/>
      </c>
      <c r="G33" s="20">
        <f>SUM(Oct!G33,Nov!G33,Dec!G33)</f>
        <v>0</v>
      </c>
      <c r="H33" s="20">
        <f>SUM(Oct!H33, Nov!H33, Dec!H33)</f>
        <v>0</v>
      </c>
      <c r="I33" s="19" t="str">
        <f t="shared" si="8"/>
        <v/>
      </c>
    </row>
    <row r="34" spans="1:9" ht="15.6">
      <c r="A34" s="48" t="str">
        <v>Greenfield USD - Planz ES</v>
      </c>
      <c r="B34" s="9" t="str">
        <v>CA</v>
      </c>
      <c r="C34" s="24">
        <f>SUM(Oct!C34, Nov!C34, Dec!C34)</f>
        <v>0</v>
      </c>
      <c r="D34" s="13">
        <f>SUM(Oct!D34, Nov!D34, Dec!D34)</f>
        <v>0</v>
      </c>
      <c r="E34" s="13">
        <f t="shared" si="6"/>
        <v>0</v>
      </c>
      <c r="F34" s="14" t="str">
        <f t="shared" si="7"/>
        <v/>
      </c>
      <c r="G34" s="15">
        <f>SUM(Oct!G34,Nov!G34,Dec!G34)</f>
        <v>0</v>
      </c>
      <c r="H34" s="15">
        <f>SUM(Oct!H34, Nov!H34, Dec!H34)</f>
        <v>0</v>
      </c>
      <c r="I34" s="16" t="str">
        <f t="shared" si="8"/>
        <v/>
      </c>
    </row>
    <row r="35" spans="1:9" ht="15.6">
      <c r="A35" s="49" t="str">
        <v>Greenfield USD - Raffaello Palla ES</v>
      </c>
      <c r="B35" s="10" t="str">
        <v>CA</v>
      </c>
      <c r="C35" s="11">
        <f>SUM(Oct!C35, Nov!C35, Dec!C35)</f>
        <v>0</v>
      </c>
      <c r="D35" s="18">
        <f>SUM(Oct!D35, Nov!D35, Dec!D35)</f>
        <v>0</v>
      </c>
      <c r="E35" s="18">
        <f t="shared" si="6"/>
        <v>0</v>
      </c>
      <c r="F35" s="19" t="str">
        <f t="shared" si="7"/>
        <v/>
      </c>
      <c r="G35" s="20">
        <f>SUM(Oct!G35,Nov!G35,Dec!G35)</f>
        <v>0</v>
      </c>
      <c r="H35" s="20">
        <f>SUM(Oct!H35, Nov!H35, Dec!H35)</f>
        <v>0</v>
      </c>
      <c r="I35" s="19" t="str">
        <f t="shared" si="8"/>
        <v/>
      </c>
    </row>
    <row r="36" spans="1:9" ht="15.6">
      <c r="A36" s="48" t="str">
        <v>Greenfield USD - Valle Verde ES</v>
      </c>
      <c r="B36" s="9" t="str">
        <v>CA</v>
      </c>
      <c r="C36" s="24">
        <f>SUM(Oct!C36, Nov!C36, Dec!C36)</f>
        <v>0</v>
      </c>
      <c r="D36" s="13">
        <f>SUM(Oct!D36, Nov!D36, Dec!D36)</f>
        <v>0</v>
      </c>
      <c r="E36" s="13">
        <f t="shared" si="6"/>
        <v>0</v>
      </c>
      <c r="F36" s="14" t="str">
        <f t="shared" si="7"/>
        <v/>
      </c>
      <c r="G36" s="15">
        <f>SUM(Oct!G36,Nov!G36,Dec!G36)</f>
        <v>0</v>
      </c>
      <c r="H36" s="15">
        <f>SUM(Oct!H36, Nov!H36, Dec!H36)</f>
        <v>0</v>
      </c>
      <c r="I36" s="16" t="str">
        <f t="shared" si="8"/>
        <v/>
      </c>
    </row>
    <row r="37" spans="1:9" ht="15.6">
      <c r="A37" s="49" t="str">
        <v>Greenfield USD - W.A. Kendrick ES</v>
      </c>
      <c r="B37" s="10" t="str">
        <v>CA</v>
      </c>
      <c r="C37" s="11">
        <f>SUM(Oct!C37, Nov!C37, Dec!C37)</f>
        <v>0</v>
      </c>
      <c r="D37" s="18">
        <f>SUM(Oct!D37, Nov!D37, Dec!D37)</f>
        <v>0</v>
      </c>
      <c r="E37" s="18">
        <f t="shared" si="6"/>
        <v>0</v>
      </c>
      <c r="F37" s="19" t="str">
        <f t="shared" si="7"/>
        <v/>
      </c>
      <c r="G37" s="20">
        <f>SUM(Oct!G37,Nov!G37,Dec!G37)</f>
        <v>0</v>
      </c>
      <c r="H37" s="20">
        <f>SUM(Oct!H37, Nov!H37, Dec!H37)</f>
        <v>0</v>
      </c>
      <c r="I37" s="19" t="str">
        <f t="shared" si="8"/>
        <v/>
      </c>
    </row>
    <row r="38" spans="1:9" ht="15.6">
      <c r="A38" s="48" t="str">
        <v>Muroc Joint USD - Boron HS</v>
      </c>
      <c r="B38" s="9" t="str">
        <v>CA</v>
      </c>
      <c r="C38" s="24">
        <f>SUM(Oct!C38, Nov!C38, Dec!C38)</f>
        <v>0</v>
      </c>
      <c r="D38" s="13">
        <f>SUM(Oct!D38, Nov!D38, Dec!D38)</f>
        <v>0</v>
      </c>
      <c r="E38" s="13">
        <f t="shared" si="6"/>
        <v>0</v>
      </c>
      <c r="F38" s="14" t="str">
        <f t="shared" si="7"/>
        <v/>
      </c>
      <c r="G38" s="15">
        <f>SUM(Oct!G38,Nov!G38,Dec!G38)</f>
        <v>0</v>
      </c>
      <c r="H38" s="15">
        <f>SUM(Oct!H38, Nov!H38, Dec!H38)</f>
        <v>0</v>
      </c>
      <c r="I38" s="16" t="str">
        <f t="shared" si="8"/>
        <v/>
      </c>
    </row>
    <row r="39" spans="1:9" ht="15.6">
      <c r="A39" s="49" t="str">
        <v>Muroc Joint USD - W. Boron ES</v>
      </c>
      <c r="B39" s="10" t="str">
        <v>CA</v>
      </c>
      <c r="C39" s="11">
        <f>SUM(Oct!C39, Nov!C39, Dec!C39)</f>
        <v>0</v>
      </c>
      <c r="D39" s="18">
        <f>SUM(Oct!D39, Nov!D39, Dec!D39)</f>
        <v>0</v>
      </c>
      <c r="E39" s="18">
        <f t="shared" si="6"/>
        <v>0</v>
      </c>
      <c r="F39" s="19" t="str">
        <f t="shared" si="7"/>
        <v/>
      </c>
      <c r="G39" s="20">
        <f>SUM(Oct!G39,Nov!G39,Dec!G39)</f>
        <v>0</v>
      </c>
      <c r="H39" s="20">
        <f>SUM(Oct!H39, Nov!H39, Dec!H39)</f>
        <v>0</v>
      </c>
      <c r="I39" s="19" t="str">
        <f t="shared" si="8"/>
        <v/>
      </c>
    </row>
    <row r="40" spans="1:9" ht="15.6">
      <c r="A40" s="48" t="str">
        <v>Colusa - WTP</v>
      </c>
      <c r="B40" s="9" t="str">
        <v>CA</v>
      </c>
      <c r="C40" s="24">
        <f>SUM(Oct!C40, Nov!C40, Dec!C40)</f>
        <v>0</v>
      </c>
      <c r="D40" s="13">
        <f>SUM(Oct!D40, Nov!D40, Dec!D40)</f>
        <v>0</v>
      </c>
      <c r="E40" s="13">
        <f t="shared" si="6"/>
        <v>0</v>
      </c>
      <c r="F40" s="14" t="str">
        <f t="shared" si="7"/>
        <v/>
      </c>
      <c r="G40" s="15">
        <f>SUM(Oct!G40,Nov!G40,Dec!G40)</f>
        <v>0</v>
      </c>
      <c r="H40" s="15">
        <f>SUM(Oct!H40, Nov!H40, Dec!H40)</f>
        <v>0</v>
      </c>
      <c r="I40" s="16" t="str">
        <f t="shared" si="8"/>
        <v/>
      </c>
    </row>
    <row r="41" spans="1:9" ht="15.6">
      <c r="A41" s="49" t="str">
        <v>CDCR-North Kern State Prision</v>
      </c>
      <c r="B41" s="10" t="str">
        <v>CA</v>
      </c>
      <c r="C41" s="11">
        <f>SUM(Oct!C41, Nov!C41, Dec!C41)</f>
        <v>0</v>
      </c>
      <c r="D41" s="18">
        <f>SUM(Oct!D41, Nov!D41, Dec!D41)</f>
        <v>0</v>
      </c>
      <c r="E41" s="18">
        <f t="shared" si="6"/>
        <v>0</v>
      </c>
      <c r="F41" s="19" t="str">
        <f t="shared" si="7"/>
        <v/>
      </c>
      <c r="G41" s="20">
        <f>SUM(Oct!G41,Nov!G41,Dec!G41)</f>
        <v>0</v>
      </c>
      <c r="H41" s="20">
        <f>SUM(Oct!H41, Nov!H41, Dec!H41)</f>
        <v>0</v>
      </c>
      <c r="I41" s="19" t="str">
        <f t="shared" si="8"/>
        <v/>
      </c>
    </row>
    <row r="42" spans="1:9" ht="15.6">
      <c r="A42" s="48" t="str">
        <v>Muroc Joint USD - District Office</v>
      </c>
      <c r="B42" s="9" t="str">
        <v>CA</v>
      </c>
      <c r="C42" s="24">
        <f>SUM(Oct!C42, Nov!C42, Dec!C42)</f>
        <v>0</v>
      </c>
      <c r="D42" s="13">
        <f>SUM(Oct!D42, Nov!D42, Dec!D42)</f>
        <v>0</v>
      </c>
      <c r="E42" s="13">
        <f t="shared" si="6"/>
        <v>0</v>
      </c>
      <c r="F42" s="14" t="str">
        <f t="shared" si="7"/>
        <v/>
      </c>
      <c r="G42" s="15">
        <f>SUM(Oct!G42,Nov!G42,Dec!G42)</f>
        <v>0</v>
      </c>
      <c r="H42" s="15">
        <f>SUM(Oct!H42, Nov!H42, Dec!H42)</f>
        <v>0</v>
      </c>
      <c r="I42" s="16" t="str">
        <f t="shared" si="8"/>
        <v/>
      </c>
    </row>
    <row r="43" spans="1:9" ht="15.6">
      <c r="A43" s="49" t="str">
        <v>Whole Foods - Manhattan Beach</v>
      </c>
      <c r="B43" s="10" t="str">
        <v>CA</v>
      </c>
      <c r="C43" s="11">
        <f>SUM(Oct!C43, Nov!C43, Dec!C43)</f>
        <v>0</v>
      </c>
      <c r="D43" s="18">
        <f>SUM(Oct!D43, Nov!D43, Dec!D43)</f>
        <v>0</v>
      </c>
      <c r="E43" s="18">
        <f t="shared" si="6"/>
        <v>0</v>
      </c>
      <c r="F43" s="19" t="str">
        <f t="shared" si="7"/>
        <v/>
      </c>
      <c r="G43" s="20">
        <f>SUM(Oct!G43,Nov!G43,Dec!G43)</f>
        <v>0</v>
      </c>
      <c r="H43" s="20">
        <f>SUM(Oct!H43, Nov!H43, Dec!H43)</f>
        <v>0</v>
      </c>
      <c r="I43" s="19" t="str">
        <f t="shared" si="8"/>
        <v/>
      </c>
    </row>
    <row r="44" spans="1:9" ht="15.6">
      <c r="A44" s="48" t="str">
        <v>Pioneer USD - Frontier ES</v>
      </c>
      <c r="B44" s="9" t="str">
        <v>CA</v>
      </c>
      <c r="C44" s="24">
        <f>SUM(Oct!C44, Nov!C44, Dec!C44)</f>
        <v>0</v>
      </c>
      <c r="D44" s="13">
        <f>SUM(Oct!D44, Nov!D44, Dec!D44)</f>
        <v>0</v>
      </c>
      <c r="E44" s="13">
        <f t="shared" si="6"/>
        <v>0</v>
      </c>
      <c r="F44" s="14" t="str">
        <f t="shared" si="7"/>
        <v/>
      </c>
      <c r="G44" s="15">
        <f>SUM(Oct!G44,Nov!G44,Dec!G44)</f>
        <v>0</v>
      </c>
      <c r="H44" s="15">
        <f>SUM(Oct!H44, Nov!H44, Dec!H44)</f>
        <v>0</v>
      </c>
      <c r="I44" s="16" t="str">
        <f t="shared" si="8"/>
        <v/>
      </c>
    </row>
    <row r="45" spans="1:9" ht="15.6">
      <c r="A45" s="49" t="str">
        <v>Pioneer USD - Pioneer ES</v>
      </c>
      <c r="B45" s="10" t="str">
        <v>CA</v>
      </c>
      <c r="C45" s="11">
        <f>SUM(Oct!C45, Nov!C45, Dec!C45)</f>
        <v>0</v>
      </c>
      <c r="D45" s="18">
        <f>SUM(Oct!D45, Nov!D45, Dec!D45)</f>
        <v>0</v>
      </c>
      <c r="E45" s="18">
        <f t="shared" si="6"/>
        <v>0</v>
      </c>
      <c r="F45" s="19" t="str">
        <f t="shared" si="7"/>
        <v/>
      </c>
      <c r="G45" s="20">
        <f>SUM(Oct!G45,Nov!G45,Dec!G45)</f>
        <v>0</v>
      </c>
      <c r="H45" s="20">
        <f>SUM(Oct!H45, Nov!H45, Dec!H45)</f>
        <v>0</v>
      </c>
      <c r="I45" s="19" t="str">
        <f t="shared" si="8"/>
        <v/>
      </c>
    </row>
    <row r="46" spans="1:9" ht="15.6">
      <c r="A46" s="48" t="str">
        <v>Pioneer USD - Pioneer MS</v>
      </c>
      <c r="B46" s="9" t="str">
        <v>CA</v>
      </c>
      <c r="C46" s="24">
        <f>SUM(Oct!C46, Nov!C46, Dec!C46)</f>
        <v>0</v>
      </c>
      <c r="D46" s="13">
        <f>SUM(Oct!D46, Nov!D46, Dec!D46)</f>
        <v>0</v>
      </c>
      <c r="E46" s="13">
        <f t="shared" si="6"/>
        <v>0</v>
      </c>
      <c r="F46" s="14" t="str">
        <f t="shared" si="7"/>
        <v/>
      </c>
      <c r="G46" s="15">
        <f>SUM(Oct!G46,Nov!G46,Dec!G46)</f>
        <v>0</v>
      </c>
      <c r="H46" s="15">
        <f>SUM(Oct!H46, Nov!H46, Dec!H46)</f>
        <v>0</v>
      </c>
      <c r="I46" s="16" t="str">
        <f t="shared" si="8"/>
        <v/>
      </c>
    </row>
    <row r="47" spans="1:9" ht="15.6">
      <c r="A47" s="49" t="str">
        <v>Kingsburg Joint UHSD - Kingsburg HS</v>
      </c>
      <c r="B47" s="10" t="str">
        <v>CA</v>
      </c>
      <c r="C47" s="11">
        <f>SUM(Oct!C47, Nov!C47, Dec!C47)</f>
        <v>0</v>
      </c>
      <c r="D47" s="18">
        <f>SUM(Oct!D47, Nov!D47, Dec!D47)</f>
        <v>0</v>
      </c>
      <c r="E47" s="18">
        <f t="shared" si="6"/>
        <v>0</v>
      </c>
      <c r="F47" s="19" t="str">
        <f t="shared" si="7"/>
        <v/>
      </c>
      <c r="G47" s="20">
        <f>SUM(Oct!G47,Nov!G47,Dec!G47)</f>
        <v>0</v>
      </c>
      <c r="H47" s="20">
        <f>SUM(Oct!H47, Nov!H47, Dec!H47)</f>
        <v>0</v>
      </c>
      <c r="I47" s="19" t="str">
        <f t="shared" si="8"/>
        <v/>
      </c>
    </row>
    <row r="48" spans="1:9" ht="15.6">
      <c r="A48" s="48" t="str">
        <v>CADRB</v>
      </c>
      <c r="B48" s="9" t="str">
        <v>CA</v>
      </c>
      <c r="C48" s="24">
        <f>SUM(Oct!C48, Nov!C48, Dec!C48)</f>
        <v>0</v>
      </c>
      <c r="D48" s="13">
        <f>SUM(Oct!D48, Nov!D48, Dec!D48)</f>
        <v>0</v>
      </c>
      <c r="E48" s="13">
        <f t="shared" si="6"/>
        <v>0</v>
      </c>
      <c r="F48" s="14" t="str">
        <f t="shared" si="7"/>
        <v/>
      </c>
      <c r="G48" s="15">
        <f>SUM(Oct!G48,Nov!G48,Dec!G48)</f>
        <v>0</v>
      </c>
      <c r="H48" s="15">
        <f>SUM(Oct!H48, Nov!H48, Dec!H48)</f>
        <v>0</v>
      </c>
      <c r="I48" s="16" t="str">
        <f t="shared" si="8"/>
        <v/>
      </c>
    </row>
    <row r="49" spans="1:9" ht="15.6">
      <c r="A49" s="49" t="str">
        <v>CDCR-CA State Prison LA County</v>
      </c>
      <c r="B49" s="10" t="str">
        <v>CA</v>
      </c>
      <c r="C49" s="11">
        <f>SUM(Oct!C49, Nov!C49, Dec!C49)</f>
        <v>0</v>
      </c>
      <c r="D49" s="18">
        <f>SUM(Oct!D49, Nov!D49, Dec!D49)</f>
        <v>0</v>
      </c>
      <c r="E49" s="18">
        <f t="shared" si="6"/>
        <v>0</v>
      </c>
      <c r="F49" s="19" t="str">
        <f t="shared" si="7"/>
        <v/>
      </c>
      <c r="G49" s="20">
        <f>SUM(Oct!G49,Nov!G49,Dec!G49)</f>
        <v>0</v>
      </c>
      <c r="H49" s="20">
        <f>SUM(Oct!H49, Nov!H49, Dec!H49)</f>
        <v>0</v>
      </c>
      <c r="I49" s="19" t="str">
        <f t="shared" si="8"/>
        <v/>
      </c>
    </row>
    <row r="50" spans="1:9" ht="15.6">
      <c r="A50" s="48" t="str">
        <v>Central USD Akers ES</v>
      </c>
      <c r="B50" s="9" t="str">
        <v>CA</v>
      </c>
      <c r="C50" s="24">
        <f>SUM(Oct!C50, Nov!C50, Dec!C50)</f>
        <v>0</v>
      </c>
      <c r="D50" s="13">
        <f>SUM(Oct!D50, Nov!D50, Dec!D50)</f>
        <v>0</v>
      </c>
      <c r="E50" s="13">
        <f t="shared" si="6"/>
        <v>0</v>
      </c>
      <c r="F50" s="14" t="str">
        <f t="shared" si="7"/>
        <v/>
      </c>
      <c r="G50" s="15">
        <f>SUM(Oct!G50,Nov!G50,Dec!G50)</f>
        <v>0</v>
      </c>
      <c r="H50" s="15">
        <f>SUM(Oct!H50, Nov!H50, Dec!H50)</f>
        <v>0</v>
      </c>
      <c r="I50" s="16" t="str">
        <f t="shared" si="8"/>
        <v/>
      </c>
    </row>
    <row r="51" spans="1:9" ht="15.6">
      <c r="A51" s="49" t="str">
        <v>CUSD - District Office</v>
      </c>
      <c r="B51" s="10" t="str">
        <v>CA</v>
      </c>
      <c r="C51" s="11">
        <f>SUM(Oct!C51, Nov!C51, Dec!C51)</f>
        <v>0</v>
      </c>
      <c r="D51" s="18">
        <f>SUM(Oct!D51, Nov!D51, Dec!D51)</f>
        <v>0</v>
      </c>
      <c r="E51" s="18">
        <f t="shared" si="6"/>
        <v>0</v>
      </c>
      <c r="F51" s="19" t="str">
        <f t="shared" si="7"/>
        <v/>
      </c>
      <c r="G51" s="20">
        <f>SUM(Oct!G51,Nov!G51,Dec!G51)</f>
        <v>0</v>
      </c>
      <c r="H51" s="20">
        <f>SUM(Oct!H51, Nov!H51, Dec!H51)</f>
        <v>0</v>
      </c>
      <c r="I51" s="19" t="str">
        <f t="shared" si="8"/>
        <v/>
      </c>
    </row>
    <row r="52" spans="1:9" ht="15.6">
      <c r="A52" s="48" t="str">
        <v>Parlier - WTP</v>
      </c>
      <c r="B52" s="9" t="str">
        <v>CA</v>
      </c>
      <c r="C52" s="24">
        <f>SUM(Oct!C52, Nov!C52, Dec!C52)</f>
        <v>0</v>
      </c>
      <c r="D52" s="13">
        <f>SUM(Oct!D52, Nov!D52, Dec!D52)</f>
        <v>0</v>
      </c>
      <c r="E52" s="13">
        <f t="shared" si="6"/>
        <v>0</v>
      </c>
      <c r="F52" s="14" t="str">
        <f t="shared" si="7"/>
        <v/>
      </c>
      <c r="G52" s="15">
        <f>SUM(Oct!G52,Nov!G52,Dec!G52)</f>
        <v>0</v>
      </c>
      <c r="H52" s="15">
        <f>SUM(Oct!H52, Nov!H52, Dec!H52)</f>
        <v>0</v>
      </c>
      <c r="I52" s="16" t="str">
        <f t="shared" si="8"/>
        <v/>
      </c>
    </row>
    <row r="53" spans="1:9" ht="15.6">
      <c r="A53" s="49" t="str">
        <v>Snowline SD - Quail Valley MS</v>
      </c>
      <c r="B53" s="10" t="str">
        <v>CA</v>
      </c>
      <c r="C53" s="11">
        <f>SUM(Oct!C53, Nov!C53, Dec!C53)</f>
        <v>0</v>
      </c>
      <c r="D53" s="18">
        <f>SUM(Oct!D53, Nov!D53, Dec!D53)</f>
        <v>0</v>
      </c>
      <c r="E53" s="18">
        <f t="shared" si="6"/>
        <v>0</v>
      </c>
      <c r="F53" s="19" t="str">
        <f t="shared" si="7"/>
        <v/>
      </c>
      <c r="G53" s="20">
        <f>SUM(Oct!G53,Nov!G53,Dec!G53)</f>
        <v>0</v>
      </c>
      <c r="H53" s="20">
        <f>SUM(Oct!H53, Nov!H53, Dec!H53)</f>
        <v>0</v>
      </c>
      <c r="I53" s="19" t="str">
        <f t="shared" si="8"/>
        <v/>
      </c>
    </row>
    <row r="54" spans="1:9" ht="15.6">
      <c r="A54" s="48" t="str">
        <v>Snowline SD - Serrano HS - Middle Lot</v>
      </c>
      <c r="B54" s="9" t="str">
        <v>CA</v>
      </c>
      <c r="C54" s="24">
        <f>SUM(Oct!C54, Nov!C54, Dec!C54)</f>
        <v>0</v>
      </c>
      <c r="D54" s="13">
        <f>SUM(Oct!D54, Nov!D54, Dec!D54)</f>
        <v>0</v>
      </c>
      <c r="E54" s="13">
        <f t="shared" si="6"/>
        <v>0</v>
      </c>
      <c r="F54" s="14" t="str">
        <f t="shared" si="7"/>
        <v/>
      </c>
      <c r="G54" s="15">
        <f>SUM(Oct!G54,Nov!G54,Dec!G54)</f>
        <v>0</v>
      </c>
      <c r="H54" s="15">
        <f>SUM(Oct!H54, Nov!H54, Dec!H54)</f>
        <v>0</v>
      </c>
      <c r="I54" s="16" t="str">
        <f t="shared" si="8"/>
        <v/>
      </c>
    </row>
    <row r="55" spans="1:9" ht="15.6">
      <c r="A55" s="49" t="str">
        <v>Snowline SD - Pinon Hills ES</v>
      </c>
      <c r="B55" s="10" t="str">
        <v>CA</v>
      </c>
      <c r="C55" s="11">
        <f>SUM(Oct!C55, Nov!C55, Dec!C55)</f>
        <v>0</v>
      </c>
      <c r="D55" s="18">
        <f>SUM(Oct!D55, Nov!D55, Dec!D55)</f>
        <v>0</v>
      </c>
      <c r="E55" s="18">
        <f t="shared" si="6"/>
        <v>0</v>
      </c>
      <c r="F55" s="19" t="str">
        <f t="shared" si="7"/>
        <v/>
      </c>
      <c r="G55" s="20">
        <f>SUM(Oct!G55,Nov!G55,Dec!G55)</f>
        <v>0</v>
      </c>
      <c r="H55" s="20">
        <f>SUM(Oct!H55, Nov!H55, Dec!H55)</f>
        <v>0</v>
      </c>
      <c r="I55" s="19" t="str">
        <f t="shared" si="8"/>
        <v/>
      </c>
    </row>
    <row r="56" spans="1:9" ht="15.6">
      <c r="A56" s="48" t="str">
        <v>Ramona - Santa Maria WTP</v>
      </c>
      <c r="B56" s="9" t="str">
        <v>CA</v>
      </c>
      <c r="C56" s="24">
        <f>SUM(Oct!C56, Nov!C56, Dec!C56)</f>
        <v>0</v>
      </c>
      <c r="D56" s="13">
        <f>SUM(Oct!D56, Nov!D56, Dec!D56)</f>
        <v>0</v>
      </c>
      <c r="E56" s="13">
        <f t="shared" si="6"/>
        <v>0</v>
      </c>
      <c r="F56" s="14" t="str">
        <f t="shared" si="7"/>
        <v/>
      </c>
      <c r="G56" s="15">
        <f>SUM(Oct!G56,Nov!G56,Dec!G56)</f>
        <v>0</v>
      </c>
      <c r="H56" s="15">
        <f>SUM(Oct!H56, Nov!H56, Dec!H56)</f>
        <v>0</v>
      </c>
      <c r="I56" s="16" t="str">
        <f t="shared" si="8"/>
        <v/>
      </c>
    </row>
    <row r="57" spans="1:9" ht="15.6">
      <c r="A57" s="49" t="str">
        <v>Kohls - Redding</v>
      </c>
      <c r="B57" s="10" t="str">
        <v>CA</v>
      </c>
      <c r="C57" s="11">
        <f>SUM(Oct!C57, Nov!C57, Dec!C57)</f>
        <v>0</v>
      </c>
      <c r="D57" s="18">
        <f>SUM(Oct!D57, Nov!D57, Dec!D57)</f>
        <v>0</v>
      </c>
      <c r="E57" s="18">
        <f t="shared" si="6"/>
        <v>0</v>
      </c>
      <c r="F57" s="19" t="str">
        <f t="shared" si="7"/>
        <v/>
      </c>
      <c r="G57" s="20">
        <f>SUM(Oct!G57,Nov!G57,Dec!G57)</f>
        <v>0</v>
      </c>
      <c r="H57" s="20">
        <f>SUM(Oct!H57, Nov!H57, Dec!H57)</f>
        <v>0</v>
      </c>
      <c r="I57" s="19" t="str">
        <f t="shared" si="8"/>
        <v/>
      </c>
    </row>
    <row r="58" spans="1:9" ht="15.6">
      <c r="A58" s="48" t="str">
        <v>Kohls - Salinas</v>
      </c>
      <c r="B58" s="9" t="str">
        <v>CA</v>
      </c>
      <c r="C58" s="24">
        <f>SUM(Oct!C58, Nov!C58, Dec!C58)</f>
        <v>0</v>
      </c>
      <c r="D58" s="13">
        <f>SUM(Oct!D58, Nov!D58, Dec!D58)</f>
        <v>0</v>
      </c>
      <c r="E58" s="13">
        <f t="shared" si="6"/>
        <v>0</v>
      </c>
      <c r="F58" s="14" t="str">
        <f t="shared" si="7"/>
        <v/>
      </c>
      <c r="G58" s="15">
        <f>SUM(Oct!G58,Nov!G58,Dec!G58)</f>
        <v>0</v>
      </c>
      <c r="H58" s="15">
        <f>SUM(Oct!H58, Nov!H58, Dec!H58)</f>
        <v>0</v>
      </c>
      <c r="I58" s="16" t="str">
        <f t="shared" si="8"/>
        <v/>
      </c>
    </row>
    <row r="59" spans="1:9" ht="15.6">
      <c r="A59" s="49" t="str">
        <v>Kohls - San Bernardino - Central</v>
      </c>
      <c r="B59" s="10" t="str">
        <v>CA</v>
      </c>
      <c r="C59" s="11">
        <f>SUM(Oct!C59, Nov!C59, Dec!C59)</f>
        <v>0</v>
      </c>
      <c r="D59" s="18">
        <f>SUM(Oct!D59, Nov!D59, Dec!D59)</f>
        <v>0</v>
      </c>
      <c r="E59" s="18">
        <f t="shared" si="6"/>
        <v>0</v>
      </c>
      <c r="F59" s="19" t="str">
        <f t="shared" si="7"/>
        <v/>
      </c>
      <c r="G59" s="20">
        <f>SUM(Oct!G59,Nov!G59,Dec!G59)</f>
        <v>0</v>
      </c>
      <c r="H59" s="20">
        <f>SUM(Oct!H59, Nov!H59, Dec!H59)</f>
        <v>0</v>
      </c>
      <c r="I59" s="19" t="str">
        <f t="shared" si="8"/>
        <v/>
      </c>
    </row>
    <row r="60" spans="1:9" ht="15.6">
      <c r="A60" s="48" t="str">
        <v>Kohls - Sonora</v>
      </c>
      <c r="B60" s="9" t="str">
        <v>CA</v>
      </c>
      <c r="C60" s="24">
        <f>SUM(Oct!C60, Nov!C60, Dec!C60)</f>
        <v>0</v>
      </c>
      <c r="D60" s="13">
        <f>SUM(Oct!D60, Nov!D60, Dec!D60)</f>
        <v>0</v>
      </c>
      <c r="E60" s="13">
        <f t="shared" si="6"/>
        <v>0</v>
      </c>
      <c r="F60" s="14" t="str">
        <f t="shared" si="7"/>
        <v/>
      </c>
      <c r="G60" s="15">
        <f>SUM(Oct!G60,Nov!G60,Dec!G60)</f>
        <v>0</v>
      </c>
      <c r="H60" s="15">
        <f>SUM(Oct!H60, Nov!H60, Dec!H60)</f>
        <v>0</v>
      </c>
      <c r="I60" s="16" t="str">
        <f t="shared" si="8"/>
        <v/>
      </c>
    </row>
    <row r="61" spans="1:9" ht="15.6">
      <c r="A61" s="49" t="str">
        <v>CUSD - Stratford ES</v>
      </c>
      <c r="B61" s="10" t="str">
        <v>CA</v>
      </c>
      <c r="C61" s="11">
        <f>SUM(Oct!C61, Nov!C61, Dec!C61)</f>
        <v>0</v>
      </c>
      <c r="D61" s="18">
        <f>SUM(Oct!D61, Nov!D61, Dec!D61)</f>
        <v>0</v>
      </c>
      <c r="E61" s="18">
        <f t="shared" si="6"/>
        <v>0</v>
      </c>
      <c r="F61" s="19" t="str">
        <f t="shared" si="7"/>
        <v/>
      </c>
      <c r="G61" s="20">
        <f>SUM(Oct!G61,Nov!G61,Dec!G61)</f>
        <v>0</v>
      </c>
      <c r="H61" s="20">
        <f>SUM(Oct!H61, Nov!H61, Dec!H61)</f>
        <v>0</v>
      </c>
      <c r="I61" s="19" t="str">
        <f t="shared" si="8"/>
        <v/>
      </c>
    </row>
    <row r="62" spans="1:9" ht="15.6">
      <c r="A62" s="48" t="str">
        <v>Taft - City Hall</v>
      </c>
      <c r="B62" s="9" t="str">
        <v>CA</v>
      </c>
      <c r="C62" s="24">
        <f>SUM(Oct!C62, Nov!C62, Dec!C62)</f>
        <v>0</v>
      </c>
      <c r="D62" s="13">
        <f>SUM(Oct!D62, Nov!D62, Dec!D62)</f>
        <v>0</v>
      </c>
      <c r="E62" s="13">
        <f t="shared" si="6"/>
        <v>0</v>
      </c>
      <c r="F62" s="14" t="str">
        <f t="shared" si="7"/>
        <v/>
      </c>
      <c r="G62" s="15">
        <f>SUM(Oct!G62,Nov!G62,Dec!G62)</f>
        <v>0</v>
      </c>
      <c r="H62" s="15">
        <f>SUM(Oct!H62, Nov!H62, Dec!H62)</f>
        <v>0</v>
      </c>
      <c r="I62" s="16" t="str">
        <f t="shared" si="8"/>
        <v/>
      </c>
    </row>
    <row r="63" spans="1:9" ht="15.6">
      <c r="A63" s="49" t="str">
        <v>Taft - Federal Prison</v>
      </c>
      <c r="B63" s="10" t="str">
        <v>CA</v>
      </c>
      <c r="C63" s="11">
        <f>SUM(Oct!C63, Nov!C63, Dec!C63)</f>
        <v>0</v>
      </c>
      <c r="D63" s="18">
        <f>SUM(Oct!D63, Nov!D63, Dec!D63)</f>
        <v>0</v>
      </c>
      <c r="E63" s="18">
        <f t="shared" si="6"/>
        <v>0</v>
      </c>
      <c r="F63" s="19" t="str">
        <f t="shared" si="7"/>
        <v/>
      </c>
      <c r="G63" s="20">
        <f>SUM(Oct!G63,Nov!G63,Dec!G63)</f>
        <v>0</v>
      </c>
      <c r="H63" s="20">
        <f>SUM(Oct!H63, Nov!H63, Dec!H63)</f>
        <v>0</v>
      </c>
      <c r="I63" s="19" t="str">
        <f t="shared" si="8"/>
        <v/>
      </c>
    </row>
    <row r="64" spans="1:9" ht="15.6">
      <c r="A64" s="48" t="str">
        <v>Taft - Police Department</v>
      </c>
      <c r="B64" s="9" t="str">
        <v>CA</v>
      </c>
      <c r="C64" s="24">
        <f>SUM(Oct!C64, Nov!C64, Dec!C64)</f>
        <v>0</v>
      </c>
      <c r="D64" s="13">
        <f>SUM(Oct!D64, Nov!D64, Dec!D64)</f>
        <v>0</v>
      </c>
      <c r="E64" s="13">
        <f t="shared" si="6"/>
        <v>0</v>
      </c>
      <c r="F64" s="14" t="str">
        <f t="shared" si="7"/>
        <v/>
      </c>
      <c r="G64" s="15">
        <f>SUM(Oct!G64,Nov!G64,Dec!G64)</f>
        <v>0</v>
      </c>
      <c r="H64" s="15">
        <f>SUM(Oct!H64, Nov!H64, Dec!H64)</f>
        <v>0</v>
      </c>
      <c r="I64" s="16" t="str">
        <f t="shared" si="8"/>
        <v/>
      </c>
    </row>
    <row r="65" spans="1:9" ht="15.6">
      <c r="A65" s="49" t="str">
        <v>Taft - WTP</v>
      </c>
      <c r="B65" s="10" t="str">
        <v>CA</v>
      </c>
      <c r="C65" s="11">
        <f>SUM(Oct!C65, Nov!C65, Dec!C65)</f>
        <v>0</v>
      </c>
      <c r="D65" s="18">
        <f>SUM(Oct!D65, Nov!D65, Dec!D65)</f>
        <v>0</v>
      </c>
      <c r="E65" s="18">
        <f t="shared" si="6"/>
        <v>0</v>
      </c>
      <c r="F65" s="19" t="str">
        <f t="shared" si="7"/>
        <v/>
      </c>
      <c r="G65" s="20">
        <f>SUM(Oct!G65,Nov!G65,Dec!G65)</f>
        <v>0</v>
      </c>
      <c r="H65" s="20">
        <f>SUM(Oct!H65, Nov!H65, Dec!H65)</f>
        <v>0</v>
      </c>
      <c r="I65" s="19" t="str">
        <f t="shared" si="8"/>
        <v/>
      </c>
    </row>
    <row r="66" spans="1:9" ht="15.6">
      <c r="A66" s="48" t="str">
        <v>CDCR - CA Correctional Institution</v>
      </c>
      <c r="B66" s="9" t="str">
        <v>CA</v>
      </c>
      <c r="C66" s="24">
        <f>SUM(Oct!C66, Nov!C66, Dec!C66)</f>
        <v>0</v>
      </c>
      <c r="D66" s="13">
        <f>SUM(Oct!D66, Nov!D66, Dec!D66)</f>
        <v>0</v>
      </c>
      <c r="E66" s="13">
        <f t="shared" si="6"/>
        <v>0</v>
      </c>
      <c r="F66" s="14" t="str">
        <f t="shared" si="7"/>
        <v/>
      </c>
      <c r="G66" s="15">
        <f>SUM(Oct!G66,Nov!G66,Dec!G66)</f>
        <v>0</v>
      </c>
      <c r="H66" s="15">
        <f>SUM(Oct!H66, Nov!H66, Dec!H66)</f>
        <v>0</v>
      </c>
      <c r="I66" s="16" t="str">
        <f t="shared" si="8"/>
        <v/>
      </c>
    </row>
    <row r="67" spans="1:9" ht="15.6">
      <c r="A67" s="49" t="str">
        <v>CDCR - CA Correctional Institution II</v>
      </c>
      <c r="B67" s="10" t="str">
        <v>CA</v>
      </c>
      <c r="C67" s="11">
        <f>SUM(Oct!C67, Nov!C67, Dec!C67)</f>
        <v>0</v>
      </c>
      <c r="D67" s="18">
        <f>SUM(Oct!D67, Nov!D67, Dec!D67)</f>
        <v>0</v>
      </c>
      <c r="E67" s="18">
        <f t="shared" si="6"/>
        <v>0</v>
      </c>
      <c r="F67" s="19" t="str">
        <f t="shared" si="7"/>
        <v/>
      </c>
      <c r="G67" s="20">
        <f>SUM(Oct!G67,Nov!G67,Dec!G67)</f>
        <v>0</v>
      </c>
      <c r="H67" s="20">
        <f>SUM(Oct!H67, Nov!H67, Dec!H67)</f>
        <v>0</v>
      </c>
      <c r="I67" s="19" t="str">
        <f t="shared" si="8"/>
        <v/>
      </c>
    </row>
    <row r="68" spans="1:9" ht="15.6">
      <c r="A68" s="48" t="str">
        <v>Snowline SD - Vista Verde ES</v>
      </c>
      <c r="B68" s="9" t="str">
        <v>CA</v>
      </c>
      <c r="C68" s="24">
        <f>SUM(Oct!C68, Nov!C68, Dec!C68)</f>
        <v>0</v>
      </c>
      <c r="D68" s="13">
        <f>SUM(Oct!D68, Nov!D68, Dec!D68)</f>
        <v>0</v>
      </c>
      <c r="E68" s="13">
        <f t="shared" si="6"/>
        <v>0</v>
      </c>
      <c r="F68" s="14" t="str">
        <f t="shared" si="7"/>
        <v/>
      </c>
      <c r="G68" s="15">
        <f>SUM(Oct!G68,Nov!G68,Dec!G68)</f>
        <v>0</v>
      </c>
      <c r="H68" s="15">
        <f>SUM(Oct!H68, Nov!H68, Dec!H68)</f>
        <v>0</v>
      </c>
      <c r="I68" s="16" t="str">
        <f t="shared" si="8"/>
        <v/>
      </c>
    </row>
    <row r="69" spans="1:9" ht="12.95">
      <c r="A69" s="21" t="str">
        <v>North Stonington</v>
      </c>
      <c r="B69" s="21" t="str">
        <v>CT</v>
      </c>
      <c r="C69" s="21"/>
      <c r="D69" s="21"/>
      <c r="E69" s="21"/>
      <c r="F69" s="22"/>
      <c r="G69" s="21"/>
      <c r="H69" s="21"/>
      <c r="I69" s="22"/>
    </row>
    <row r="70" spans="1:9" ht="12.95">
      <c r="A70" s="21"/>
      <c r="B70" s="21"/>
      <c r="C70" s="21"/>
      <c r="D70" s="21"/>
      <c r="E70" s="21"/>
      <c r="F70" s="22"/>
      <c r="G70" s="21"/>
      <c r="H70" s="21"/>
      <c r="I70" s="22"/>
    </row>
    <row r="71" spans="1:9" ht="12.95">
      <c r="A71" s="21"/>
      <c r="B71" s="21"/>
      <c r="C71" s="21"/>
      <c r="D71" s="21"/>
      <c r="E71" s="21"/>
      <c r="F71" s="22"/>
      <c r="G71" s="21"/>
      <c r="H71" s="21"/>
      <c r="I71" s="22"/>
    </row>
    <row r="72" spans="1:9" ht="12.95">
      <c r="A72" s="21"/>
      <c r="B72" s="21"/>
      <c r="C72" s="21"/>
      <c r="D72" s="21"/>
      <c r="E72" s="21"/>
      <c r="F72" s="22"/>
      <c r="G72" s="21"/>
      <c r="H72" s="21"/>
      <c r="I72" s="22"/>
    </row>
    <row r="73" spans="1:9" ht="12.95">
      <c r="A73" s="21"/>
      <c r="B73" s="21"/>
      <c r="C73" s="21"/>
      <c r="D73" s="21"/>
      <c r="E73" s="21"/>
      <c r="F73" s="22"/>
      <c r="G73" s="21"/>
      <c r="H73" s="21"/>
      <c r="I73" s="22"/>
    </row>
    <row r="74" spans="1:9" ht="12.95">
      <c r="A74" s="21"/>
      <c r="B74" s="21"/>
      <c r="C74" s="21"/>
      <c r="D74" s="21"/>
      <c r="E74" s="21"/>
      <c r="F74" s="22"/>
      <c r="G74" s="21"/>
      <c r="H74" s="21"/>
      <c r="I74" s="22"/>
    </row>
    <row r="75" spans="1:9" ht="12.95">
      <c r="A75" s="21"/>
      <c r="B75" s="21"/>
      <c r="C75" s="21"/>
      <c r="D75" s="21"/>
      <c r="E75" s="21"/>
      <c r="F75" s="22"/>
      <c r="G75" s="21"/>
      <c r="H75" s="21"/>
      <c r="I75" s="22"/>
    </row>
    <row r="76" spans="1:9" ht="12.95">
      <c r="A76" s="21"/>
      <c r="B76" s="21"/>
      <c r="C76" s="21"/>
      <c r="D76" s="21"/>
      <c r="E76" s="21"/>
      <c r="F76" s="22"/>
      <c r="G76" s="21"/>
      <c r="H76" s="21"/>
      <c r="I76" s="22"/>
    </row>
    <row r="77" spans="1:9" ht="12.95">
      <c r="A77" s="21"/>
      <c r="B77" s="21"/>
      <c r="C77" s="21"/>
      <c r="D77" s="21"/>
      <c r="E77" s="21"/>
      <c r="F77" s="22"/>
      <c r="G77" s="21"/>
      <c r="H77" s="21"/>
      <c r="I77" s="22"/>
    </row>
    <row r="78" spans="1:9" ht="12.95">
      <c r="A78" s="21"/>
      <c r="B78" s="21"/>
      <c r="C78" s="21"/>
      <c r="D78" s="21"/>
      <c r="E78" s="21"/>
      <c r="F78" s="22"/>
      <c r="G78" s="21"/>
      <c r="H78" s="21"/>
      <c r="I78" s="22"/>
    </row>
    <row r="79" spans="1:9" ht="12.95">
      <c r="A79" s="21"/>
      <c r="B79" s="21"/>
      <c r="C79" s="21"/>
      <c r="D79" s="21"/>
      <c r="E79" s="21"/>
      <c r="F79" s="22"/>
      <c r="G79" s="21"/>
      <c r="H79" s="21"/>
      <c r="I79" s="22"/>
    </row>
    <row r="80" spans="1:9" ht="12.95">
      <c r="A80" s="21"/>
      <c r="B80" s="21"/>
      <c r="C80" s="21"/>
      <c r="D80" s="21"/>
      <c r="E80" s="21"/>
      <c r="F80" s="22"/>
      <c r="G80" s="21"/>
      <c r="H80" s="21"/>
      <c r="I80" s="22"/>
    </row>
    <row r="81" spans="1:9" ht="12.95">
      <c r="A81" s="21"/>
      <c r="B81" s="21"/>
      <c r="C81" s="21"/>
      <c r="D81" s="21"/>
      <c r="E81" s="21"/>
      <c r="F81" s="22"/>
      <c r="G81" s="21"/>
      <c r="H81" s="21"/>
      <c r="I81" s="22"/>
    </row>
    <row r="82" spans="1:9" ht="12.95">
      <c r="A82" s="21"/>
      <c r="B82" s="21"/>
      <c r="C82" s="21"/>
      <c r="D82" s="21"/>
      <c r="E82" s="21"/>
      <c r="F82" s="22"/>
      <c r="G82" s="21"/>
      <c r="H82" s="21"/>
      <c r="I82" s="22"/>
    </row>
    <row r="83" spans="1:9" ht="12.95">
      <c r="A83" s="21"/>
      <c r="B83" s="21"/>
      <c r="C83" s="21"/>
      <c r="D83" s="21"/>
      <c r="E83" s="21"/>
      <c r="F83" s="22"/>
      <c r="G83" s="21"/>
      <c r="H83" s="21"/>
      <c r="I83" s="22"/>
    </row>
    <row r="84" spans="1:9" ht="12.95">
      <c r="A84" s="21"/>
      <c r="B84" s="21"/>
      <c r="C84" s="21"/>
      <c r="D84" s="21"/>
      <c r="E84" s="21"/>
      <c r="F84" s="22"/>
      <c r="G84" s="21"/>
      <c r="H84" s="21"/>
      <c r="I84" s="22"/>
    </row>
    <row r="85" spans="1:9" ht="12.95">
      <c r="A85" s="21"/>
      <c r="B85" s="21"/>
      <c r="C85" s="21"/>
      <c r="D85" s="21"/>
      <c r="E85" s="21"/>
      <c r="F85" s="22"/>
      <c r="G85" s="21"/>
      <c r="H85" s="21"/>
      <c r="I85" s="22"/>
    </row>
    <row r="86" spans="1:9" ht="12.95">
      <c r="A86" s="21"/>
      <c r="B86" s="21"/>
      <c r="C86" s="21"/>
      <c r="D86" s="21"/>
      <c r="E86" s="21"/>
      <c r="F86" s="22"/>
      <c r="G86" s="21"/>
      <c r="H86" s="21"/>
      <c r="I86" s="22"/>
    </row>
    <row r="87" spans="1:9" ht="12.95">
      <c r="A87" s="21"/>
      <c r="B87" s="21"/>
      <c r="C87" s="21"/>
      <c r="D87" s="21"/>
      <c r="E87" s="21"/>
      <c r="F87" s="22"/>
      <c r="G87" s="21"/>
      <c r="H87" s="21"/>
      <c r="I87" s="22"/>
    </row>
    <row r="88" spans="1:9" ht="12.95">
      <c r="A88" s="21"/>
      <c r="B88" s="21"/>
      <c r="C88" s="21"/>
      <c r="D88" s="21"/>
      <c r="E88" s="21"/>
      <c r="F88" s="22"/>
      <c r="G88" s="21"/>
      <c r="H88" s="21"/>
      <c r="I88" s="22"/>
    </row>
    <row r="89" spans="1:9" ht="12.95">
      <c r="A89" s="21"/>
      <c r="B89" s="21"/>
      <c r="C89" s="21"/>
      <c r="D89" s="21"/>
      <c r="E89" s="21"/>
      <c r="F89" s="22"/>
      <c r="G89" s="21"/>
      <c r="H89" s="21"/>
      <c r="I89" s="22"/>
    </row>
    <row r="90" spans="1:9" ht="12.95">
      <c r="A90" s="21"/>
      <c r="B90" s="21"/>
      <c r="C90" s="21"/>
      <c r="D90" s="21"/>
      <c r="E90" s="21"/>
      <c r="F90" s="22"/>
      <c r="G90" s="21"/>
      <c r="H90" s="21"/>
      <c r="I90" s="22"/>
    </row>
    <row r="91" spans="1:9" ht="12.95">
      <c r="A91" s="21"/>
      <c r="B91" s="21"/>
      <c r="C91" s="21"/>
      <c r="D91" s="21"/>
      <c r="E91" s="21"/>
      <c r="F91" s="22"/>
      <c r="G91" s="21"/>
      <c r="H91" s="21"/>
      <c r="I91" s="22"/>
    </row>
    <row r="92" spans="1:9" ht="12.95">
      <c r="A92" s="21"/>
      <c r="B92" s="21"/>
      <c r="C92" s="21"/>
      <c r="D92" s="21"/>
      <c r="E92" s="21"/>
      <c r="F92" s="22"/>
      <c r="G92" s="21"/>
      <c r="H92" s="21"/>
      <c r="I92" s="22"/>
    </row>
    <row r="93" spans="1:9" ht="12.95">
      <c r="A93" s="21"/>
      <c r="B93" s="21"/>
      <c r="C93" s="21"/>
      <c r="D93" s="21"/>
      <c r="E93" s="21"/>
      <c r="F93" s="22"/>
      <c r="G93" s="21"/>
      <c r="H93" s="21"/>
      <c r="I93" s="22"/>
    </row>
    <row r="94" spans="1:9" ht="12.95">
      <c r="A94" s="21"/>
      <c r="B94" s="21"/>
      <c r="C94" s="21"/>
      <c r="D94" s="21"/>
      <c r="E94" s="21"/>
      <c r="F94" s="22"/>
      <c r="G94" s="21"/>
      <c r="H94" s="21"/>
      <c r="I94" s="22"/>
    </row>
    <row r="95" spans="1:9" ht="12.95">
      <c r="A95" s="21"/>
      <c r="B95" s="21"/>
      <c r="C95" s="21"/>
      <c r="D95" s="21"/>
      <c r="E95" s="21"/>
      <c r="F95" s="22"/>
      <c r="G95" s="21"/>
      <c r="H95" s="21"/>
      <c r="I95" s="22"/>
    </row>
    <row r="96" spans="1:9" ht="12.95">
      <c r="A96" s="21"/>
      <c r="B96" s="21"/>
      <c r="C96" s="21"/>
      <c r="D96" s="21"/>
      <c r="E96" s="21"/>
      <c r="F96" s="22"/>
      <c r="G96" s="21"/>
      <c r="H96" s="21"/>
      <c r="I96" s="22"/>
    </row>
    <row r="97" spans="1:9" ht="12.95">
      <c r="A97" s="21"/>
      <c r="B97" s="21"/>
      <c r="C97" s="21"/>
      <c r="D97" s="21"/>
      <c r="E97" s="21"/>
      <c r="F97" s="22"/>
      <c r="G97" s="21"/>
      <c r="H97" s="21"/>
      <c r="I97" s="22"/>
    </row>
    <row r="98" spans="1:9" ht="12.95">
      <c r="A98" s="21"/>
      <c r="B98" s="21"/>
      <c r="C98" s="21"/>
      <c r="D98" s="21"/>
      <c r="E98" s="21"/>
      <c r="F98" s="22"/>
      <c r="G98" s="21"/>
      <c r="H98" s="21"/>
      <c r="I98" s="22"/>
    </row>
    <row r="99" spans="1:9" ht="12.95">
      <c r="A99" s="21"/>
      <c r="B99" s="21"/>
      <c r="C99" s="21"/>
      <c r="D99" s="21"/>
      <c r="E99" s="21"/>
      <c r="F99" s="22"/>
      <c r="G99" s="21"/>
      <c r="H99" s="21"/>
      <c r="I99" s="22"/>
    </row>
    <row r="100" spans="1:9" ht="12.95">
      <c r="A100" s="21"/>
      <c r="B100" s="21"/>
      <c r="C100" s="21"/>
      <c r="D100" s="21"/>
      <c r="E100" s="21"/>
      <c r="F100" s="22"/>
      <c r="G100" s="21"/>
      <c r="H100" s="21"/>
      <c r="I100" s="22"/>
    </row>
    <row r="101" spans="1:9" ht="12.95">
      <c r="A101" s="21"/>
      <c r="B101" s="21"/>
      <c r="C101" s="21"/>
      <c r="D101" s="21"/>
      <c r="E101" s="21"/>
      <c r="F101" s="22"/>
      <c r="G101" s="21"/>
      <c r="H101" s="21"/>
      <c r="I101" s="22"/>
    </row>
    <row r="102" spans="1:9" ht="12.95">
      <c r="A102" s="21"/>
      <c r="B102" s="21"/>
      <c r="C102" s="21"/>
      <c r="D102" s="21"/>
      <c r="E102" s="21"/>
      <c r="F102" s="22"/>
      <c r="G102" s="21"/>
      <c r="H102" s="21"/>
      <c r="I102" s="22"/>
    </row>
    <row r="103" spans="1:9" ht="12.95">
      <c r="A103" s="21"/>
      <c r="B103" s="21"/>
      <c r="C103" s="21"/>
      <c r="D103" s="21"/>
      <c r="E103" s="21"/>
      <c r="F103" s="22"/>
      <c r="G103" s="21"/>
      <c r="H103" s="21"/>
      <c r="I103" s="22"/>
    </row>
    <row r="104" spans="1:9" ht="12.95">
      <c r="A104" s="21"/>
      <c r="B104" s="21"/>
      <c r="C104" s="21"/>
      <c r="D104" s="21"/>
      <c r="E104" s="21"/>
      <c r="F104" s="22"/>
      <c r="G104" s="21"/>
      <c r="H104" s="21"/>
      <c r="I104" s="22"/>
    </row>
    <row r="105" spans="1:9" ht="12.95">
      <c r="A105" s="21"/>
      <c r="B105" s="21"/>
      <c r="C105" s="21"/>
      <c r="D105" s="21"/>
      <c r="E105" s="21"/>
      <c r="F105" s="22"/>
      <c r="G105" s="21"/>
      <c r="H105" s="21"/>
      <c r="I105" s="22"/>
    </row>
    <row r="106" spans="1:9" ht="12.95">
      <c r="A106" s="21"/>
      <c r="B106" s="21"/>
      <c r="C106" s="21"/>
      <c r="D106" s="21"/>
      <c r="E106" s="21"/>
      <c r="F106" s="22"/>
      <c r="G106" s="21"/>
      <c r="H106" s="21"/>
      <c r="I106" s="22"/>
    </row>
    <row r="107" spans="1:9" ht="12.95">
      <c r="A107" s="21"/>
      <c r="B107" s="21"/>
      <c r="C107" s="21"/>
      <c r="D107" s="21"/>
      <c r="E107" s="21"/>
      <c r="F107" s="22"/>
      <c r="G107" s="21"/>
      <c r="H107" s="21"/>
      <c r="I107" s="22"/>
    </row>
    <row r="108" spans="1:9" ht="12.95">
      <c r="A108" s="21"/>
      <c r="B108" s="21"/>
      <c r="C108" s="21"/>
      <c r="D108" s="21"/>
      <c r="E108" s="21"/>
      <c r="F108" s="22"/>
      <c r="G108" s="21"/>
      <c r="H108" s="21"/>
      <c r="I108" s="22"/>
    </row>
    <row r="109" spans="1:9" ht="12.95">
      <c r="A109" s="21"/>
      <c r="B109" s="21"/>
      <c r="C109" s="21"/>
      <c r="D109" s="21"/>
      <c r="E109" s="21"/>
      <c r="F109" s="22"/>
      <c r="G109" s="21"/>
      <c r="H109" s="21"/>
      <c r="I109" s="22"/>
    </row>
    <row r="110" spans="1:9" ht="12.95">
      <c r="A110" s="21"/>
      <c r="B110" s="21"/>
      <c r="C110" s="21"/>
      <c r="D110" s="21"/>
      <c r="E110" s="21"/>
      <c r="F110" s="22"/>
      <c r="G110" s="21"/>
      <c r="H110" s="21"/>
      <c r="I110" s="22"/>
    </row>
    <row r="111" spans="1:9" ht="12.95">
      <c r="A111" s="21"/>
      <c r="B111" s="21"/>
      <c r="C111" s="21"/>
      <c r="D111" s="21"/>
      <c r="E111" s="21"/>
      <c r="F111" s="22"/>
      <c r="G111" s="21"/>
      <c r="H111" s="21"/>
      <c r="I111" s="22"/>
    </row>
    <row r="112" spans="1:9" ht="12.95">
      <c r="A112" s="21"/>
      <c r="B112" s="21"/>
      <c r="C112" s="21"/>
      <c r="D112" s="21"/>
      <c r="E112" s="21"/>
      <c r="F112" s="22"/>
      <c r="G112" s="21"/>
      <c r="H112" s="21"/>
      <c r="I112" s="22"/>
    </row>
    <row r="113" spans="1:9" ht="12.95">
      <c r="A113" s="21"/>
      <c r="B113" s="21"/>
      <c r="C113" s="21"/>
      <c r="D113" s="21"/>
      <c r="E113" s="21"/>
      <c r="F113" s="22"/>
      <c r="G113" s="21"/>
      <c r="H113" s="21"/>
      <c r="I113" s="22"/>
    </row>
    <row r="114" spans="1:9" ht="12.95">
      <c r="A114" s="21"/>
      <c r="B114" s="21"/>
      <c r="C114" s="21"/>
      <c r="D114" s="21"/>
      <c r="E114" s="21"/>
      <c r="F114" s="22"/>
      <c r="G114" s="21"/>
      <c r="H114" s="21"/>
      <c r="I114" s="22"/>
    </row>
    <row r="115" spans="1:9" ht="12.95">
      <c r="A115" s="21"/>
      <c r="B115" s="21"/>
      <c r="C115" s="21"/>
      <c r="D115" s="21"/>
      <c r="E115" s="21"/>
      <c r="F115" s="22"/>
      <c r="G115" s="21"/>
      <c r="H115" s="21"/>
      <c r="I115" s="22"/>
    </row>
    <row r="116" spans="1:9" ht="12.95">
      <c r="A116" s="21"/>
      <c r="B116" s="21"/>
      <c r="C116" s="21"/>
      <c r="D116" s="21"/>
      <c r="E116" s="21"/>
      <c r="F116" s="22"/>
      <c r="G116" s="21"/>
      <c r="H116" s="21"/>
      <c r="I116" s="22"/>
    </row>
    <row r="117" spans="1:9" ht="12.95">
      <c r="A117" s="21"/>
      <c r="B117" s="21"/>
      <c r="C117" s="21"/>
      <c r="D117" s="21"/>
      <c r="E117" s="21"/>
      <c r="F117" s="22"/>
      <c r="G117" s="21"/>
      <c r="H117" s="21"/>
      <c r="I117" s="22"/>
    </row>
    <row r="118" spans="1:9" ht="12.95">
      <c r="A118" s="21"/>
      <c r="B118" s="21"/>
      <c r="C118" s="21"/>
      <c r="D118" s="21"/>
      <c r="E118" s="21"/>
      <c r="F118" s="22"/>
      <c r="G118" s="21"/>
      <c r="H118" s="21"/>
      <c r="I118" s="22"/>
    </row>
    <row r="119" spans="1:9" ht="12.95">
      <c r="A119" s="21"/>
      <c r="B119" s="21"/>
      <c r="C119" s="21"/>
      <c r="D119" s="21"/>
      <c r="E119" s="21"/>
      <c r="F119" s="22"/>
      <c r="G119" s="21"/>
      <c r="H119" s="21"/>
      <c r="I119" s="22"/>
    </row>
    <row r="120" spans="1:9" ht="12.95">
      <c r="A120" s="21"/>
      <c r="B120" s="21"/>
      <c r="C120" s="21"/>
      <c r="D120" s="21"/>
      <c r="E120" s="21"/>
      <c r="F120" s="22"/>
      <c r="G120" s="21"/>
      <c r="H120" s="21"/>
      <c r="I120" s="22"/>
    </row>
    <row r="121" spans="1:9" ht="12.95">
      <c r="A121" s="21"/>
      <c r="B121" s="21"/>
      <c r="C121" s="21"/>
      <c r="D121" s="21"/>
      <c r="E121" s="21"/>
      <c r="F121" s="22"/>
      <c r="G121" s="21"/>
      <c r="H121" s="21"/>
      <c r="I121" s="22"/>
    </row>
    <row r="122" spans="1:9" ht="12.95">
      <c r="A122" s="21"/>
      <c r="B122" s="21"/>
      <c r="C122" s="21"/>
      <c r="D122" s="21"/>
      <c r="E122" s="21"/>
      <c r="F122" s="22"/>
      <c r="G122" s="21"/>
      <c r="H122" s="21"/>
      <c r="I122" s="22"/>
    </row>
    <row r="123" spans="1:9" ht="12.95">
      <c r="A123" s="21"/>
      <c r="B123" s="21"/>
      <c r="C123" s="21"/>
      <c r="D123" s="21"/>
      <c r="E123" s="21"/>
      <c r="F123" s="22"/>
      <c r="G123" s="21"/>
      <c r="H123" s="21"/>
      <c r="I123" s="22"/>
    </row>
    <row r="124" spans="1:9" ht="12.95">
      <c r="A124" s="21"/>
      <c r="B124" s="21"/>
      <c r="C124" s="21"/>
      <c r="D124" s="21"/>
      <c r="E124" s="21"/>
      <c r="F124" s="22"/>
      <c r="G124" s="21"/>
      <c r="H124" s="21"/>
      <c r="I124" s="22"/>
    </row>
    <row r="125" spans="1:9" ht="12.95">
      <c r="A125" s="21"/>
      <c r="B125" s="21"/>
      <c r="C125" s="21"/>
      <c r="D125" s="21"/>
      <c r="E125" s="21"/>
      <c r="F125" s="22"/>
      <c r="G125" s="21"/>
      <c r="H125" s="21"/>
      <c r="I125" s="22"/>
    </row>
    <row r="126" spans="1:9" ht="12.95">
      <c r="A126" s="21"/>
      <c r="B126" s="21"/>
      <c r="C126" s="21"/>
      <c r="D126" s="21"/>
      <c r="E126" s="21"/>
      <c r="F126" s="22"/>
      <c r="G126" s="21"/>
      <c r="H126" s="21"/>
      <c r="I126" s="22"/>
    </row>
    <row r="127" spans="1:9" ht="12.95">
      <c r="A127" s="21"/>
      <c r="B127" s="21"/>
      <c r="C127" s="21"/>
      <c r="D127" s="21"/>
      <c r="E127" s="21"/>
      <c r="F127" s="22"/>
      <c r="G127" s="21"/>
      <c r="H127" s="21"/>
      <c r="I127" s="22"/>
    </row>
    <row r="128" spans="1:9" ht="12.95">
      <c r="A128" s="21"/>
      <c r="B128" s="21"/>
      <c r="C128" s="21"/>
      <c r="D128" s="21"/>
      <c r="E128" s="21"/>
      <c r="F128" s="22"/>
      <c r="G128" s="21"/>
      <c r="H128" s="21"/>
      <c r="I128" s="22"/>
    </row>
    <row r="129" spans="1:9" ht="12.95">
      <c r="A129" s="21"/>
      <c r="B129" s="21"/>
      <c r="C129" s="21"/>
      <c r="D129" s="21"/>
      <c r="E129" s="21"/>
      <c r="F129" s="22"/>
      <c r="G129" s="21"/>
      <c r="H129" s="21"/>
      <c r="I129" s="22"/>
    </row>
    <row r="130" spans="1:9" ht="12.95">
      <c r="A130" s="21"/>
      <c r="B130" s="21"/>
      <c r="C130" s="21"/>
      <c r="D130" s="21"/>
      <c r="E130" s="21"/>
      <c r="F130" s="22"/>
      <c r="G130" s="21"/>
      <c r="H130" s="21"/>
      <c r="I130" s="22"/>
    </row>
    <row r="131" spans="1:9" ht="12.95">
      <c r="A131" s="21"/>
      <c r="B131" s="21"/>
      <c r="C131" s="21"/>
      <c r="D131" s="21"/>
      <c r="E131" s="21"/>
      <c r="F131" s="22"/>
      <c r="G131" s="21"/>
      <c r="H131" s="21"/>
      <c r="I131" s="22"/>
    </row>
    <row r="132" spans="1:9" ht="12.95">
      <c r="A132" s="21"/>
      <c r="B132" s="21"/>
      <c r="C132" s="21"/>
      <c r="D132" s="21"/>
      <c r="E132" s="21"/>
      <c r="F132" s="22"/>
      <c r="G132" s="21"/>
      <c r="H132" s="21"/>
      <c r="I132" s="22"/>
    </row>
    <row r="133" spans="1:9" ht="12.95">
      <c r="A133" s="21"/>
      <c r="B133" s="21"/>
      <c r="C133" s="21"/>
      <c r="D133" s="21"/>
      <c r="E133" s="21"/>
      <c r="F133" s="22"/>
      <c r="G133" s="21"/>
      <c r="H133" s="21"/>
      <c r="I133" s="22"/>
    </row>
    <row r="134" spans="1:9" ht="12.95">
      <c r="A134" s="21"/>
      <c r="B134" s="21"/>
      <c r="C134" s="21"/>
      <c r="D134" s="21"/>
      <c r="E134" s="21"/>
      <c r="F134" s="22"/>
      <c r="G134" s="21"/>
      <c r="H134" s="21"/>
      <c r="I134" s="22"/>
    </row>
    <row r="135" spans="1:9" ht="12.95">
      <c r="A135" s="21"/>
      <c r="B135" s="21"/>
      <c r="C135" s="21"/>
      <c r="D135" s="21"/>
      <c r="E135" s="21"/>
      <c r="F135" s="22"/>
      <c r="G135" s="21"/>
      <c r="H135" s="21"/>
      <c r="I135" s="22"/>
    </row>
    <row r="136" spans="1:9" ht="12.95">
      <c r="A136" s="21"/>
      <c r="B136" s="21"/>
      <c r="C136" s="21"/>
      <c r="D136" s="21"/>
      <c r="E136" s="21"/>
      <c r="F136" s="22"/>
      <c r="G136" s="21"/>
      <c r="H136" s="21"/>
      <c r="I136" s="22"/>
    </row>
    <row r="137" spans="1:9" ht="12.95">
      <c r="A137" s="21"/>
      <c r="B137" s="21"/>
      <c r="C137" s="21"/>
      <c r="D137" s="21"/>
      <c r="E137" s="21"/>
      <c r="F137" s="22"/>
      <c r="G137" s="21"/>
      <c r="H137" s="21"/>
      <c r="I137" s="22"/>
    </row>
    <row r="138" spans="1:9" ht="12.95">
      <c r="A138" s="21"/>
      <c r="B138" s="21"/>
      <c r="C138" s="21"/>
      <c r="D138" s="21"/>
      <c r="E138" s="21"/>
      <c r="F138" s="22"/>
      <c r="G138" s="21"/>
      <c r="H138" s="21"/>
      <c r="I138" s="22"/>
    </row>
    <row r="139" spans="1:9" ht="12.95">
      <c r="A139" s="21"/>
      <c r="B139" s="21"/>
      <c r="C139" s="21"/>
      <c r="D139" s="21"/>
      <c r="E139" s="21"/>
      <c r="F139" s="22"/>
      <c r="G139" s="21"/>
      <c r="H139" s="21"/>
      <c r="I139" s="22"/>
    </row>
    <row r="140" spans="1:9" ht="12.95">
      <c r="A140" s="21"/>
      <c r="B140" s="21"/>
      <c r="C140" s="21"/>
      <c r="D140" s="21"/>
      <c r="E140" s="21"/>
      <c r="F140" s="22"/>
      <c r="G140" s="21"/>
      <c r="H140" s="21"/>
      <c r="I140" s="22"/>
    </row>
    <row r="141" spans="1:9" ht="12.95">
      <c r="A141" s="21"/>
      <c r="B141" s="21"/>
      <c r="C141" s="21"/>
      <c r="D141" s="21"/>
      <c r="E141" s="21"/>
      <c r="F141" s="22"/>
      <c r="G141" s="21"/>
      <c r="H141" s="21"/>
      <c r="I141" s="22"/>
    </row>
    <row r="142" spans="1:9" ht="12.95">
      <c r="A142" s="21"/>
      <c r="B142" s="21"/>
      <c r="C142" s="21"/>
      <c r="D142" s="21"/>
      <c r="E142" s="21"/>
      <c r="F142" s="22"/>
      <c r="G142" s="21"/>
      <c r="H142" s="21"/>
      <c r="I142" s="22"/>
    </row>
    <row r="143" spans="1:9" ht="12.95">
      <c r="A143" s="21"/>
      <c r="B143" s="21"/>
      <c r="C143" s="21"/>
      <c r="D143" s="21"/>
      <c r="E143" s="21"/>
      <c r="F143" s="22"/>
      <c r="G143" s="21"/>
      <c r="H143" s="21"/>
      <c r="I143" s="22"/>
    </row>
    <row r="144" spans="1:9" ht="12.95">
      <c r="A144" s="21"/>
      <c r="B144" s="21"/>
      <c r="C144" s="21"/>
      <c r="D144" s="21"/>
      <c r="E144" s="21"/>
      <c r="F144" s="22"/>
      <c r="G144" s="21"/>
      <c r="H144" s="21"/>
      <c r="I144" s="22"/>
    </row>
    <row r="145" spans="1:9" ht="12.95">
      <c r="A145" s="21"/>
      <c r="B145" s="21"/>
      <c r="C145" s="21"/>
      <c r="D145" s="21"/>
      <c r="E145" s="21"/>
      <c r="F145" s="22"/>
      <c r="G145" s="21"/>
      <c r="H145" s="21"/>
      <c r="I145" s="22"/>
    </row>
    <row r="146" spans="1:9" ht="12.95">
      <c r="A146" s="21"/>
      <c r="B146" s="21"/>
      <c r="C146" s="21"/>
      <c r="D146" s="21"/>
      <c r="E146" s="21"/>
      <c r="F146" s="22"/>
      <c r="G146" s="21"/>
      <c r="H146" s="21"/>
      <c r="I146" s="22"/>
    </row>
    <row r="147" spans="1:9" ht="12.95">
      <c r="A147" s="21"/>
      <c r="B147" s="21"/>
      <c r="C147" s="21"/>
      <c r="D147" s="21"/>
      <c r="E147" s="21"/>
      <c r="F147" s="22"/>
      <c r="G147" s="21"/>
      <c r="H147" s="21"/>
      <c r="I147" s="22"/>
    </row>
    <row r="148" spans="1:9" ht="12.95">
      <c r="A148" s="21"/>
      <c r="B148" s="21"/>
      <c r="C148" s="21"/>
      <c r="D148" s="21"/>
      <c r="E148" s="21"/>
      <c r="F148" s="22"/>
      <c r="G148" s="21"/>
      <c r="H148" s="21"/>
      <c r="I148" s="22"/>
    </row>
    <row r="149" spans="1:9" ht="12.95">
      <c r="A149" s="21"/>
      <c r="B149" s="21"/>
      <c r="C149" s="21"/>
      <c r="D149" s="21"/>
      <c r="E149" s="21"/>
      <c r="F149" s="22"/>
      <c r="G149" s="21"/>
      <c r="H149" s="21"/>
      <c r="I149" s="22"/>
    </row>
    <row r="150" spans="1:9" ht="12.95">
      <c r="A150" s="21"/>
      <c r="B150" s="21"/>
      <c r="C150" s="21"/>
      <c r="D150" s="21"/>
      <c r="E150" s="21"/>
      <c r="F150" s="22"/>
      <c r="G150" s="21"/>
      <c r="H150" s="21"/>
      <c r="I150" s="22"/>
    </row>
    <row r="151" spans="1:9" ht="12.95">
      <c r="A151" s="21"/>
      <c r="B151" s="21"/>
      <c r="C151" s="21"/>
      <c r="D151" s="21"/>
      <c r="E151" s="21"/>
      <c r="F151" s="22"/>
      <c r="G151" s="21"/>
      <c r="H151" s="21"/>
      <c r="I151" s="22"/>
    </row>
    <row r="152" spans="1:9" ht="12.95">
      <c r="A152" s="21"/>
      <c r="B152" s="21"/>
      <c r="C152" s="21"/>
      <c r="D152" s="21"/>
      <c r="E152" s="21"/>
      <c r="F152" s="22"/>
      <c r="G152" s="21"/>
      <c r="H152" s="21"/>
      <c r="I152" s="22"/>
    </row>
    <row r="153" spans="1:9" ht="12.95">
      <c r="A153" s="21"/>
      <c r="B153" s="21"/>
      <c r="C153" s="21"/>
      <c r="D153" s="21"/>
      <c r="E153" s="21"/>
      <c r="F153" s="22"/>
      <c r="G153" s="21"/>
      <c r="H153" s="21"/>
      <c r="I153" s="22"/>
    </row>
    <row r="154" spans="1:9" ht="12.95">
      <c r="A154" s="21"/>
      <c r="B154" s="21"/>
      <c r="C154" s="21"/>
      <c r="D154" s="21"/>
      <c r="E154" s="21"/>
      <c r="F154" s="22"/>
      <c r="G154" s="21"/>
      <c r="H154" s="21"/>
      <c r="I154" s="22"/>
    </row>
    <row r="155" spans="1:9" ht="12.95">
      <c r="A155" s="21"/>
      <c r="B155" s="21"/>
      <c r="C155" s="21"/>
      <c r="D155" s="21"/>
      <c r="E155" s="21"/>
      <c r="F155" s="22"/>
      <c r="G155" s="21"/>
      <c r="H155" s="21"/>
      <c r="I155" s="22"/>
    </row>
    <row r="156" spans="1:9" ht="12.95">
      <c r="A156" s="21"/>
      <c r="B156" s="21"/>
      <c r="C156" s="21"/>
      <c r="D156" s="21"/>
      <c r="E156" s="21"/>
      <c r="F156" s="22"/>
      <c r="G156" s="21"/>
      <c r="H156" s="21"/>
      <c r="I156" s="22"/>
    </row>
    <row r="157" spans="1:9" ht="12.95">
      <c r="A157" s="21"/>
      <c r="B157" s="21"/>
      <c r="C157" s="21"/>
      <c r="D157" s="21"/>
      <c r="E157" s="21"/>
      <c r="F157" s="22"/>
      <c r="G157" s="21"/>
      <c r="H157" s="21"/>
      <c r="I157" s="22"/>
    </row>
    <row r="158" spans="1:9" ht="12.95">
      <c r="A158" s="21"/>
      <c r="B158" s="21"/>
      <c r="C158" s="21"/>
      <c r="D158" s="21"/>
      <c r="E158" s="21"/>
      <c r="F158" s="22"/>
      <c r="G158" s="21"/>
      <c r="H158" s="21"/>
      <c r="I158" s="22"/>
    </row>
    <row r="159" spans="1:9" ht="12.95">
      <c r="A159" s="21"/>
      <c r="B159" s="21"/>
      <c r="C159" s="21"/>
      <c r="D159" s="21"/>
      <c r="E159" s="21"/>
      <c r="F159" s="22"/>
      <c r="G159" s="21"/>
      <c r="H159" s="21"/>
      <c r="I159" s="22"/>
    </row>
    <row r="160" spans="1:9" ht="12.95">
      <c r="A160" s="21"/>
      <c r="B160" s="21"/>
      <c r="C160" s="21"/>
      <c r="D160" s="21"/>
      <c r="E160" s="21"/>
      <c r="F160" s="22"/>
      <c r="G160" s="21"/>
      <c r="H160" s="21"/>
      <c r="I160" s="22"/>
    </row>
    <row r="161" spans="1:9" ht="12.95">
      <c r="A161" s="21"/>
      <c r="B161" s="21"/>
      <c r="C161" s="21"/>
      <c r="D161" s="21"/>
      <c r="E161" s="21"/>
      <c r="F161" s="22"/>
      <c r="G161" s="21"/>
      <c r="H161" s="21"/>
      <c r="I161" s="22"/>
    </row>
    <row r="162" spans="1:9" ht="12.95">
      <c r="A162" s="21"/>
      <c r="B162" s="21"/>
      <c r="C162" s="21"/>
      <c r="D162" s="21"/>
      <c r="E162" s="21"/>
      <c r="F162" s="22"/>
      <c r="G162" s="21"/>
      <c r="H162" s="21"/>
      <c r="I162" s="22"/>
    </row>
    <row r="163" spans="1:9" ht="12.95">
      <c r="A163" s="21"/>
      <c r="B163" s="21"/>
      <c r="C163" s="21"/>
      <c r="D163" s="21"/>
      <c r="E163" s="21"/>
      <c r="F163" s="22"/>
      <c r="G163" s="21"/>
      <c r="H163" s="21"/>
      <c r="I163" s="22"/>
    </row>
    <row r="164" spans="1:9" ht="12.95">
      <c r="A164" s="21"/>
      <c r="B164" s="21"/>
      <c r="C164" s="21"/>
      <c r="D164" s="21"/>
      <c r="E164" s="21"/>
      <c r="F164" s="22"/>
      <c r="G164" s="21"/>
      <c r="H164" s="21"/>
      <c r="I164" s="22"/>
    </row>
    <row r="165" spans="1:9" ht="12.95">
      <c r="A165" s="21"/>
      <c r="B165" s="21"/>
      <c r="C165" s="21"/>
      <c r="D165" s="21"/>
      <c r="E165" s="21"/>
      <c r="F165" s="22"/>
      <c r="G165" s="21"/>
      <c r="H165" s="21"/>
      <c r="I165" s="22"/>
    </row>
    <row r="166" spans="1:9" ht="12.95">
      <c r="A166" s="21"/>
      <c r="B166" s="21"/>
      <c r="C166" s="21"/>
      <c r="D166" s="21"/>
      <c r="E166" s="21"/>
      <c r="F166" s="22"/>
      <c r="G166" s="21"/>
      <c r="H166" s="21"/>
      <c r="I166" s="22"/>
    </row>
    <row r="167" spans="1:9" ht="12.95">
      <c r="A167" s="21"/>
      <c r="B167" s="21"/>
      <c r="C167" s="21"/>
      <c r="D167" s="21"/>
      <c r="E167" s="21"/>
      <c r="F167" s="22"/>
      <c r="G167" s="21"/>
      <c r="H167" s="21"/>
      <c r="I167" s="22"/>
    </row>
    <row r="168" spans="1:9" ht="12.95">
      <c r="A168" s="21"/>
      <c r="B168" s="21"/>
      <c r="C168" s="21"/>
      <c r="D168" s="21"/>
      <c r="E168" s="21"/>
      <c r="F168" s="22"/>
      <c r="G168" s="21"/>
      <c r="H168" s="21"/>
      <c r="I168" s="22"/>
    </row>
    <row r="169" spans="1:9" ht="12.95">
      <c r="A169" s="21"/>
      <c r="B169" s="21"/>
      <c r="C169" s="21"/>
      <c r="D169" s="21"/>
      <c r="E169" s="21"/>
      <c r="F169" s="22"/>
      <c r="G169" s="21"/>
      <c r="H169" s="21"/>
      <c r="I169" s="22"/>
    </row>
    <row r="170" spans="1:9" ht="12.95">
      <c r="A170" s="21"/>
      <c r="B170" s="21"/>
      <c r="C170" s="21"/>
      <c r="D170" s="21"/>
      <c r="E170" s="21"/>
      <c r="F170" s="22"/>
      <c r="G170" s="21"/>
      <c r="H170" s="21"/>
      <c r="I170" s="22"/>
    </row>
    <row r="171" spans="1:9" ht="12.95">
      <c r="A171" s="21"/>
      <c r="B171" s="21"/>
      <c r="C171" s="21"/>
      <c r="D171" s="21"/>
      <c r="E171" s="21"/>
      <c r="F171" s="22"/>
      <c r="G171" s="21"/>
      <c r="H171" s="21"/>
      <c r="I171" s="22"/>
    </row>
    <row r="172" spans="1:9" ht="12.95">
      <c r="A172" s="21"/>
      <c r="B172" s="21"/>
      <c r="C172" s="21"/>
      <c r="D172" s="21"/>
      <c r="E172" s="21"/>
      <c r="F172" s="22"/>
      <c r="G172" s="21"/>
      <c r="H172" s="21"/>
      <c r="I172" s="22"/>
    </row>
    <row r="173" spans="1:9" ht="12.95">
      <c r="A173" s="21"/>
      <c r="B173" s="21"/>
      <c r="C173" s="21"/>
      <c r="D173" s="21"/>
      <c r="E173" s="21"/>
      <c r="F173" s="22"/>
      <c r="G173" s="21"/>
      <c r="H173" s="21"/>
      <c r="I173" s="22"/>
    </row>
    <row r="174" spans="1:9" ht="12.95">
      <c r="A174" s="21"/>
      <c r="B174" s="21"/>
      <c r="C174" s="21"/>
      <c r="D174" s="21"/>
      <c r="E174" s="21"/>
      <c r="F174" s="22"/>
      <c r="G174" s="21"/>
      <c r="H174" s="21"/>
      <c r="I174" s="22"/>
    </row>
    <row r="175" spans="1:9" ht="12.95">
      <c r="A175" s="21"/>
      <c r="B175" s="21"/>
      <c r="C175" s="21"/>
      <c r="D175" s="21"/>
      <c r="E175" s="21"/>
      <c r="F175" s="22"/>
      <c r="G175" s="21"/>
      <c r="H175" s="21"/>
      <c r="I175" s="22"/>
    </row>
    <row r="176" spans="1:9" ht="12.95">
      <c r="A176" s="21"/>
      <c r="B176" s="21"/>
      <c r="C176" s="21"/>
      <c r="D176" s="21"/>
      <c r="E176" s="21"/>
      <c r="F176" s="22"/>
      <c r="G176" s="21"/>
      <c r="H176" s="21"/>
      <c r="I176" s="22"/>
    </row>
    <row r="177" spans="1:9" ht="12.95">
      <c r="A177" s="21"/>
      <c r="B177" s="21"/>
      <c r="C177" s="21"/>
      <c r="D177" s="21"/>
      <c r="E177" s="21"/>
      <c r="F177" s="22"/>
      <c r="G177" s="21"/>
      <c r="H177" s="21"/>
      <c r="I177" s="22"/>
    </row>
    <row r="178" spans="1:9" ht="12.95">
      <c r="A178" s="21"/>
      <c r="B178" s="21"/>
      <c r="C178" s="21"/>
      <c r="D178" s="21"/>
      <c r="E178" s="21"/>
      <c r="F178" s="22"/>
      <c r="G178" s="21"/>
      <c r="H178" s="21"/>
      <c r="I178" s="22"/>
    </row>
    <row r="179" spans="1:9" ht="12.95">
      <c r="A179" s="21"/>
      <c r="B179" s="21"/>
      <c r="C179" s="21"/>
      <c r="D179" s="21"/>
      <c r="E179" s="21"/>
      <c r="F179" s="22"/>
      <c r="G179" s="21"/>
      <c r="H179" s="21"/>
      <c r="I179" s="22"/>
    </row>
    <row r="180" spans="1:9" ht="12.95">
      <c r="A180" s="21"/>
      <c r="B180" s="21"/>
      <c r="C180" s="21"/>
      <c r="D180" s="21"/>
      <c r="E180" s="21"/>
      <c r="F180" s="22"/>
      <c r="G180" s="21"/>
      <c r="H180" s="21"/>
      <c r="I180" s="22"/>
    </row>
    <row r="181" spans="1:9" ht="12.95">
      <c r="A181" s="21"/>
      <c r="B181" s="21"/>
      <c r="C181" s="21"/>
      <c r="D181" s="21"/>
      <c r="E181" s="21"/>
      <c r="F181" s="22"/>
      <c r="G181" s="21"/>
      <c r="H181" s="21"/>
      <c r="I181" s="22"/>
    </row>
    <row r="182" spans="1:9" ht="12.95">
      <c r="A182" s="21"/>
      <c r="B182" s="21"/>
      <c r="C182" s="21"/>
      <c r="D182" s="21"/>
      <c r="E182" s="21"/>
      <c r="F182" s="22"/>
      <c r="G182" s="21"/>
      <c r="H182" s="21"/>
      <c r="I182" s="22"/>
    </row>
    <row r="183" spans="1:9" ht="12.95">
      <c r="A183" s="21"/>
      <c r="B183" s="21"/>
      <c r="C183" s="21"/>
      <c r="D183" s="21"/>
      <c r="E183" s="21"/>
      <c r="F183" s="22"/>
      <c r="G183" s="21"/>
      <c r="H183" s="21"/>
      <c r="I183" s="22"/>
    </row>
    <row r="184" spans="1:9" ht="12.95">
      <c r="A184" s="21"/>
      <c r="B184" s="21"/>
      <c r="C184" s="21"/>
      <c r="D184" s="21"/>
      <c r="E184" s="21"/>
      <c r="F184" s="22"/>
      <c r="G184" s="21"/>
      <c r="H184" s="21"/>
      <c r="I184" s="22"/>
    </row>
    <row r="185" spans="1:9" ht="12.95">
      <c r="A185" s="21"/>
      <c r="B185" s="21"/>
      <c r="C185" s="21"/>
      <c r="D185" s="21"/>
      <c r="E185" s="21"/>
      <c r="F185" s="22"/>
      <c r="G185" s="21"/>
      <c r="H185" s="21"/>
      <c r="I185" s="22"/>
    </row>
    <row r="186" spans="1:9" ht="12.95">
      <c r="A186" s="21"/>
      <c r="B186" s="21"/>
      <c r="C186" s="21"/>
      <c r="D186" s="21"/>
      <c r="E186" s="21"/>
      <c r="F186" s="22"/>
      <c r="G186" s="21"/>
      <c r="H186" s="21"/>
      <c r="I186" s="22"/>
    </row>
    <row r="187" spans="1:9" ht="12.95">
      <c r="A187" s="21"/>
      <c r="B187" s="21"/>
      <c r="C187" s="21"/>
      <c r="D187" s="21"/>
      <c r="E187" s="21"/>
      <c r="F187" s="22"/>
      <c r="G187" s="21"/>
      <c r="H187" s="21"/>
      <c r="I187" s="22"/>
    </row>
    <row r="188" spans="1:9" ht="12.95">
      <c r="A188" s="21"/>
      <c r="B188" s="21"/>
      <c r="C188" s="21"/>
      <c r="D188" s="21"/>
      <c r="E188" s="21"/>
      <c r="F188" s="22"/>
      <c r="G188" s="21"/>
      <c r="H188" s="21"/>
      <c r="I188" s="22"/>
    </row>
    <row r="189" spans="1:9" ht="12.95">
      <c r="A189" s="21"/>
      <c r="B189" s="21"/>
      <c r="C189" s="21"/>
      <c r="D189" s="21"/>
      <c r="E189" s="21"/>
      <c r="F189" s="22"/>
      <c r="G189" s="21"/>
      <c r="H189" s="21"/>
      <c r="I189" s="22"/>
    </row>
    <row r="190" spans="1:9" ht="12.95">
      <c r="A190" s="21"/>
      <c r="B190" s="21"/>
      <c r="C190" s="21"/>
      <c r="D190" s="21"/>
      <c r="E190" s="21"/>
      <c r="F190" s="22"/>
      <c r="G190" s="21"/>
      <c r="H190" s="21"/>
      <c r="I190" s="22"/>
    </row>
    <row r="191" spans="1:9" ht="12.95">
      <c r="A191" s="21"/>
      <c r="B191" s="21"/>
      <c r="C191" s="21"/>
      <c r="D191" s="21"/>
      <c r="E191" s="21"/>
      <c r="F191" s="22"/>
      <c r="G191" s="21"/>
      <c r="H191" s="21"/>
      <c r="I191" s="22"/>
    </row>
    <row r="192" spans="1:9" ht="12.95">
      <c r="A192" s="21"/>
      <c r="B192" s="21"/>
      <c r="C192" s="21"/>
      <c r="D192" s="21"/>
      <c r="E192" s="21"/>
      <c r="F192" s="22"/>
      <c r="G192" s="21"/>
      <c r="H192" s="21"/>
      <c r="I192" s="22"/>
    </row>
    <row r="193" spans="1:9" ht="12.95">
      <c r="A193" s="21"/>
      <c r="B193" s="21"/>
      <c r="C193" s="21"/>
      <c r="D193" s="21"/>
      <c r="E193" s="21"/>
      <c r="F193" s="22"/>
      <c r="G193" s="21"/>
      <c r="H193" s="21"/>
      <c r="I193" s="22"/>
    </row>
    <row r="194" spans="1:9" ht="12.95">
      <c r="A194" s="21"/>
      <c r="B194" s="21"/>
      <c r="C194" s="21"/>
      <c r="D194" s="21"/>
      <c r="E194" s="21"/>
      <c r="F194" s="22"/>
      <c r="G194" s="21"/>
      <c r="H194" s="21"/>
      <c r="I194" s="22"/>
    </row>
    <row r="195" spans="1:9" ht="12.95">
      <c r="A195" s="21"/>
      <c r="B195" s="21"/>
      <c r="C195" s="21"/>
      <c r="D195" s="21"/>
      <c r="E195" s="21"/>
      <c r="F195" s="22"/>
      <c r="G195" s="21"/>
      <c r="H195" s="21"/>
      <c r="I195" s="22"/>
    </row>
    <row r="196" spans="1:9" ht="12.95">
      <c r="A196" s="21"/>
      <c r="B196" s="21"/>
      <c r="C196" s="21"/>
      <c r="D196" s="21"/>
      <c r="E196" s="21"/>
      <c r="F196" s="22"/>
      <c r="G196" s="21"/>
      <c r="H196" s="21"/>
      <c r="I196" s="22"/>
    </row>
    <row r="197" spans="1:9" ht="12.95">
      <c r="A197" s="21"/>
      <c r="B197" s="21"/>
      <c r="C197" s="21"/>
      <c r="D197" s="21"/>
      <c r="E197" s="21"/>
      <c r="F197" s="22"/>
      <c r="G197" s="21"/>
      <c r="H197" s="21"/>
      <c r="I197" s="22"/>
    </row>
    <row r="198" spans="1:9" ht="12.95">
      <c r="A198" s="21"/>
      <c r="B198" s="21"/>
      <c r="C198" s="21"/>
      <c r="D198" s="21"/>
      <c r="E198" s="21"/>
      <c r="F198" s="22"/>
      <c r="G198" s="21"/>
      <c r="H198" s="21"/>
      <c r="I198" s="22"/>
    </row>
    <row r="199" spans="1:9" ht="12.95">
      <c r="A199" s="21"/>
      <c r="B199" s="21"/>
      <c r="C199" s="21"/>
      <c r="D199" s="21"/>
      <c r="E199" s="21"/>
      <c r="F199" s="22"/>
      <c r="G199" s="21"/>
      <c r="H199" s="21"/>
      <c r="I199" s="22"/>
    </row>
    <row r="200" spans="1:9" ht="12.95">
      <c r="A200" s="21"/>
      <c r="B200" s="21"/>
      <c r="C200" s="21"/>
      <c r="D200" s="21"/>
      <c r="E200" s="21"/>
      <c r="F200" s="22"/>
      <c r="G200" s="21"/>
      <c r="H200" s="21"/>
      <c r="I200" s="22"/>
    </row>
    <row r="201" spans="1:9" ht="12.95">
      <c r="A201" s="21"/>
      <c r="B201" s="21"/>
      <c r="C201" s="21"/>
      <c r="D201" s="21"/>
      <c r="E201" s="21"/>
      <c r="F201" s="22"/>
      <c r="G201" s="21"/>
      <c r="H201" s="21"/>
      <c r="I201" s="22"/>
    </row>
    <row r="202" spans="1:9" ht="12.95">
      <c r="A202" s="21"/>
      <c r="B202" s="21"/>
      <c r="C202" s="21"/>
      <c r="D202" s="21"/>
      <c r="E202" s="21"/>
      <c r="F202" s="22"/>
      <c r="G202" s="21"/>
      <c r="H202" s="21"/>
      <c r="I202" s="22"/>
    </row>
    <row r="203" spans="1:9" ht="12.95">
      <c r="A203" s="21"/>
      <c r="B203" s="21"/>
      <c r="C203" s="21"/>
      <c r="D203" s="21"/>
      <c r="E203" s="21"/>
      <c r="F203" s="22"/>
      <c r="G203" s="21"/>
      <c r="H203" s="21"/>
      <c r="I203" s="22"/>
    </row>
    <row r="204" spans="1:9" ht="12.95">
      <c r="A204" s="21"/>
      <c r="B204" s="21"/>
      <c r="C204" s="21"/>
      <c r="D204" s="21"/>
      <c r="E204" s="21"/>
      <c r="F204" s="22"/>
      <c r="G204" s="21"/>
      <c r="H204" s="21"/>
      <c r="I204" s="22"/>
    </row>
    <row r="205" spans="1:9" ht="12.95">
      <c r="A205" s="21"/>
      <c r="B205" s="21"/>
      <c r="C205" s="21"/>
      <c r="D205" s="21"/>
      <c r="E205" s="21"/>
      <c r="F205" s="22"/>
      <c r="G205" s="21"/>
      <c r="H205" s="21"/>
      <c r="I205" s="22"/>
    </row>
    <row r="206" spans="1:9" ht="12.95">
      <c r="A206" s="21"/>
      <c r="B206" s="21"/>
      <c r="C206" s="21"/>
      <c r="D206" s="21"/>
      <c r="E206" s="21"/>
      <c r="F206" s="22"/>
      <c r="G206" s="21"/>
      <c r="H206" s="21"/>
      <c r="I206" s="22"/>
    </row>
    <row r="207" spans="1:9" ht="12.95">
      <c r="A207" s="21"/>
      <c r="B207" s="21"/>
      <c r="C207" s="21"/>
      <c r="D207" s="21"/>
      <c r="E207" s="21"/>
      <c r="F207" s="22"/>
      <c r="G207" s="21"/>
      <c r="H207" s="21"/>
      <c r="I207" s="22"/>
    </row>
    <row r="208" spans="1:9" ht="12.95">
      <c r="A208" s="21"/>
      <c r="B208" s="21"/>
      <c r="C208" s="21"/>
      <c r="D208" s="21"/>
      <c r="E208" s="21"/>
      <c r="F208" s="22"/>
      <c r="G208" s="21"/>
      <c r="H208" s="21"/>
      <c r="I208" s="22"/>
    </row>
    <row r="209" spans="1:9" ht="12.95">
      <c r="A209" s="21"/>
      <c r="B209" s="21"/>
      <c r="C209" s="21"/>
      <c r="D209" s="21"/>
      <c r="E209" s="21"/>
      <c r="F209" s="22"/>
      <c r="G209" s="21"/>
      <c r="H209" s="21"/>
      <c r="I209" s="22"/>
    </row>
    <row r="210" spans="1:9" ht="12.95">
      <c r="A210" s="21"/>
      <c r="B210" s="21"/>
      <c r="C210" s="21"/>
      <c r="D210" s="21"/>
      <c r="E210" s="21"/>
      <c r="F210" s="22"/>
      <c r="G210" s="21"/>
      <c r="H210" s="21"/>
      <c r="I210" s="22"/>
    </row>
    <row r="211" spans="1:9" ht="12.95">
      <c r="A211" s="21"/>
      <c r="B211" s="21"/>
      <c r="C211" s="21"/>
      <c r="D211" s="21"/>
      <c r="E211" s="21"/>
      <c r="F211" s="22"/>
      <c r="G211" s="21"/>
      <c r="H211" s="21"/>
      <c r="I211" s="22"/>
    </row>
    <row r="212" spans="1:9" ht="12.95">
      <c r="A212" s="21"/>
      <c r="B212" s="21"/>
      <c r="C212" s="21"/>
      <c r="D212" s="21"/>
      <c r="E212" s="21"/>
      <c r="F212" s="22"/>
      <c r="G212" s="21"/>
      <c r="H212" s="21"/>
      <c r="I212" s="22"/>
    </row>
    <row r="213" spans="1:9" ht="12.95">
      <c r="A213" s="21"/>
      <c r="B213" s="21"/>
      <c r="C213" s="21"/>
      <c r="D213" s="21"/>
      <c r="E213" s="21"/>
      <c r="F213" s="22"/>
      <c r="G213" s="21"/>
      <c r="H213" s="21"/>
      <c r="I213" s="22"/>
    </row>
    <row r="214" spans="1:9" ht="12.95">
      <c r="A214" s="21"/>
      <c r="B214" s="21"/>
      <c r="C214" s="21"/>
      <c r="D214" s="21"/>
      <c r="E214" s="21"/>
      <c r="F214" s="22"/>
      <c r="G214" s="21"/>
      <c r="H214" s="21"/>
      <c r="I214" s="22"/>
    </row>
    <row r="215" spans="1:9" ht="12.95">
      <c r="A215" s="21"/>
      <c r="B215" s="21"/>
      <c r="C215" s="21"/>
      <c r="D215" s="21"/>
      <c r="E215" s="21"/>
      <c r="F215" s="22"/>
      <c r="G215" s="21"/>
      <c r="H215" s="21"/>
      <c r="I215" s="22"/>
    </row>
    <row r="216" spans="1:9" ht="12.95">
      <c r="A216" s="21"/>
      <c r="B216" s="21"/>
      <c r="C216" s="21"/>
      <c r="D216" s="21"/>
      <c r="E216" s="21"/>
      <c r="F216" s="22"/>
      <c r="G216" s="21"/>
      <c r="H216" s="21"/>
      <c r="I216" s="22"/>
    </row>
    <row r="217" spans="1:9" ht="12.95">
      <c r="A217" s="21"/>
      <c r="B217" s="21"/>
      <c r="C217" s="21"/>
      <c r="D217" s="21"/>
      <c r="E217" s="21"/>
      <c r="F217" s="22"/>
      <c r="G217" s="21"/>
      <c r="H217" s="21"/>
      <c r="I217" s="22"/>
    </row>
    <row r="218" spans="1:9" ht="12.95">
      <c r="A218" s="21"/>
      <c r="B218" s="21"/>
      <c r="C218" s="21"/>
      <c r="D218" s="21"/>
      <c r="E218" s="21"/>
      <c r="F218" s="22"/>
      <c r="G218" s="21"/>
      <c r="H218" s="21"/>
      <c r="I218" s="22"/>
    </row>
    <row r="219" spans="1:9" ht="12.95">
      <c r="A219" s="21"/>
      <c r="B219" s="21"/>
      <c r="C219" s="21"/>
      <c r="D219" s="21"/>
      <c r="E219" s="21"/>
      <c r="F219" s="22"/>
      <c r="G219" s="21"/>
      <c r="H219" s="21"/>
      <c r="I219" s="22"/>
    </row>
    <row r="220" spans="1:9" ht="12.95">
      <c r="A220" s="21"/>
      <c r="B220" s="21"/>
      <c r="C220" s="21"/>
      <c r="D220" s="21"/>
      <c r="E220" s="21"/>
      <c r="F220" s="22"/>
      <c r="G220" s="21"/>
      <c r="H220" s="21"/>
      <c r="I220" s="22"/>
    </row>
    <row r="221" spans="1:9" ht="12.95">
      <c r="A221" s="21"/>
      <c r="B221" s="21"/>
      <c r="C221" s="21"/>
      <c r="D221" s="21"/>
      <c r="E221" s="21"/>
      <c r="F221" s="22"/>
      <c r="G221" s="21"/>
      <c r="H221" s="21"/>
      <c r="I221" s="22"/>
    </row>
    <row r="222" spans="1:9" ht="12.95">
      <c r="A222" s="21"/>
      <c r="B222" s="21"/>
      <c r="C222" s="21"/>
      <c r="D222" s="21"/>
      <c r="E222" s="21"/>
      <c r="F222" s="22"/>
      <c r="G222" s="21"/>
      <c r="H222" s="21"/>
      <c r="I222" s="22"/>
    </row>
    <row r="223" spans="1:9" ht="12.95">
      <c r="A223" s="21"/>
      <c r="B223" s="21"/>
      <c r="C223" s="21"/>
      <c r="D223" s="21"/>
      <c r="E223" s="21"/>
      <c r="F223" s="22"/>
      <c r="G223" s="21"/>
      <c r="H223" s="21"/>
      <c r="I223" s="22"/>
    </row>
    <row r="224" spans="1:9" ht="12.95">
      <c r="A224" s="21"/>
      <c r="B224" s="21"/>
      <c r="C224" s="21"/>
      <c r="D224" s="21"/>
      <c r="E224" s="21"/>
      <c r="F224" s="22"/>
      <c r="G224" s="21"/>
      <c r="H224" s="21"/>
      <c r="I224" s="22"/>
    </row>
    <row r="225" spans="1:9" ht="12.95">
      <c r="A225" s="21"/>
      <c r="B225" s="21"/>
      <c r="C225" s="21"/>
      <c r="D225" s="21"/>
      <c r="E225" s="21"/>
      <c r="F225" s="22"/>
      <c r="G225" s="21"/>
      <c r="H225" s="21"/>
      <c r="I225" s="22"/>
    </row>
    <row r="226" spans="1:9" ht="12.95">
      <c r="A226" s="21"/>
      <c r="B226" s="21"/>
      <c r="C226" s="21"/>
      <c r="D226" s="21"/>
      <c r="E226" s="21"/>
      <c r="F226" s="22"/>
      <c r="G226" s="21"/>
      <c r="H226" s="21"/>
      <c r="I226" s="22"/>
    </row>
    <row r="227" spans="1:9" ht="12.95">
      <c r="A227" s="21"/>
      <c r="B227" s="21"/>
      <c r="C227" s="21"/>
      <c r="D227" s="21"/>
      <c r="E227" s="21"/>
      <c r="F227" s="22"/>
      <c r="G227" s="21"/>
      <c r="H227" s="21"/>
      <c r="I227" s="22"/>
    </row>
    <row r="228" spans="1:9" ht="12.95">
      <c r="A228" s="21"/>
      <c r="B228" s="21"/>
      <c r="C228" s="21"/>
      <c r="D228" s="21"/>
      <c r="E228" s="21"/>
      <c r="F228" s="22"/>
      <c r="G228" s="21"/>
      <c r="H228" s="21"/>
      <c r="I228" s="22"/>
    </row>
    <row r="229" spans="1:9" ht="12.95">
      <c r="A229" s="21"/>
      <c r="B229" s="21"/>
      <c r="C229" s="21"/>
      <c r="D229" s="21"/>
      <c r="E229" s="21"/>
      <c r="F229" s="22"/>
      <c r="G229" s="21"/>
      <c r="H229" s="21"/>
      <c r="I229" s="22"/>
    </row>
    <row r="230" spans="1:9" ht="12.95">
      <c r="A230" s="21"/>
      <c r="B230" s="21"/>
      <c r="C230" s="21"/>
      <c r="D230" s="21"/>
      <c r="E230" s="21"/>
      <c r="F230" s="22"/>
      <c r="G230" s="21"/>
      <c r="H230" s="21"/>
      <c r="I230" s="22"/>
    </row>
    <row r="231" spans="1:9" ht="12.95">
      <c r="A231" s="21"/>
      <c r="B231" s="21"/>
      <c r="C231" s="21"/>
      <c r="D231" s="21"/>
      <c r="E231" s="21"/>
      <c r="F231" s="22"/>
      <c r="G231" s="21"/>
      <c r="H231" s="21"/>
      <c r="I231" s="22"/>
    </row>
    <row r="232" spans="1:9" ht="12.95">
      <c r="A232" s="21"/>
      <c r="B232" s="21"/>
      <c r="C232" s="21"/>
      <c r="D232" s="21"/>
      <c r="E232" s="21"/>
      <c r="F232" s="22"/>
      <c r="G232" s="21"/>
      <c r="H232" s="21"/>
      <c r="I232" s="22"/>
    </row>
    <row r="233" spans="1:9" ht="12.95">
      <c r="A233" s="21"/>
      <c r="B233" s="21"/>
      <c r="C233" s="21"/>
      <c r="D233" s="21"/>
      <c r="E233" s="21"/>
      <c r="F233" s="22"/>
      <c r="G233" s="21"/>
      <c r="H233" s="21"/>
      <c r="I233" s="22"/>
    </row>
    <row r="234" spans="1:9" ht="12.95">
      <c r="A234" s="21"/>
      <c r="B234" s="21"/>
      <c r="C234" s="21"/>
      <c r="D234" s="21"/>
      <c r="E234" s="21"/>
      <c r="F234" s="22"/>
      <c r="G234" s="21"/>
      <c r="H234" s="21"/>
      <c r="I234" s="22"/>
    </row>
    <row r="235" spans="1:9" ht="12.95">
      <c r="A235" s="21"/>
      <c r="B235" s="21"/>
      <c r="C235" s="21"/>
      <c r="D235" s="21"/>
      <c r="E235" s="21"/>
      <c r="F235" s="22"/>
      <c r="G235" s="21"/>
      <c r="H235" s="21"/>
      <c r="I235" s="22"/>
    </row>
    <row r="236" spans="1:9" ht="12.95">
      <c r="A236" s="21"/>
      <c r="B236" s="21"/>
      <c r="C236" s="21"/>
      <c r="D236" s="21"/>
      <c r="E236" s="21"/>
      <c r="F236" s="22"/>
      <c r="G236" s="21"/>
      <c r="H236" s="21"/>
      <c r="I236" s="22"/>
    </row>
    <row r="237" spans="1:9" ht="12.95">
      <c r="A237" s="21"/>
      <c r="B237" s="21"/>
      <c r="C237" s="21"/>
      <c r="D237" s="21"/>
      <c r="E237" s="21"/>
      <c r="F237" s="22"/>
      <c r="G237" s="21"/>
      <c r="H237" s="21"/>
      <c r="I237" s="22"/>
    </row>
    <row r="238" spans="1:9" ht="12.95">
      <c r="A238" s="21"/>
      <c r="B238" s="21"/>
      <c r="C238" s="21"/>
      <c r="D238" s="21"/>
      <c r="E238" s="21"/>
      <c r="F238" s="22"/>
      <c r="G238" s="21"/>
      <c r="H238" s="21"/>
      <c r="I238" s="22"/>
    </row>
    <row r="239" spans="1:9" ht="12.95">
      <c r="A239" s="21"/>
      <c r="B239" s="21"/>
      <c r="C239" s="21"/>
      <c r="D239" s="21"/>
      <c r="E239" s="21"/>
      <c r="F239" s="22"/>
      <c r="G239" s="21"/>
      <c r="H239" s="21"/>
      <c r="I239" s="22"/>
    </row>
    <row r="240" spans="1:9" ht="12.95">
      <c r="A240" s="21"/>
      <c r="B240" s="21"/>
      <c r="C240" s="21"/>
      <c r="D240" s="21"/>
      <c r="E240" s="21"/>
      <c r="F240" s="22"/>
      <c r="G240" s="21"/>
      <c r="H240" s="21"/>
      <c r="I240" s="22"/>
    </row>
    <row r="241" spans="1:9" ht="12.95">
      <c r="A241" s="21"/>
      <c r="B241" s="21"/>
      <c r="C241" s="21"/>
      <c r="D241" s="21"/>
      <c r="E241" s="21"/>
      <c r="F241" s="22"/>
      <c r="G241" s="21"/>
      <c r="H241" s="21"/>
      <c r="I241" s="22"/>
    </row>
    <row r="242" spans="1:9" ht="12.95">
      <c r="A242" s="21"/>
      <c r="B242" s="21"/>
      <c r="C242" s="21"/>
      <c r="D242" s="21"/>
      <c r="E242" s="21"/>
      <c r="F242" s="22"/>
      <c r="G242" s="21"/>
      <c r="H242" s="21"/>
      <c r="I242" s="22"/>
    </row>
    <row r="243" spans="1:9" ht="12.95">
      <c r="A243" s="21"/>
      <c r="B243" s="21"/>
      <c r="C243" s="21"/>
      <c r="D243" s="21"/>
      <c r="E243" s="21"/>
      <c r="F243" s="22"/>
      <c r="G243" s="21"/>
      <c r="H243" s="21"/>
      <c r="I243" s="22"/>
    </row>
    <row r="244" spans="1:9" ht="12.95">
      <c r="A244" s="21"/>
      <c r="B244" s="21"/>
      <c r="C244" s="21"/>
      <c r="D244" s="21"/>
      <c r="E244" s="21"/>
      <c r="F244" s="22"/>
      <c r="G244" s="21"/>
      <c r="H244" s="21"/>
      <c r="I244" s="22"/>
    </row>
    <row r="245" spans="1:9" ht="12.95">
      <c r="A245" s="21"/>
      <c r="B245" s="21"/>
      <c r="C245" s="21"/>
      <c r="D245" s="21"/>
      <c r="E245" s="21"/>
      <c r="F245" s="22"/>
      <c r="G245" s="21"/>
      <c r="H245" s="21"/>
      <c r="I245" s="22"/>
    </row>
    <row r="246" spans="1:9" ht="12.95">
      <c r="A246" s="21"/>
      <c r="B246" s="21"/>
      <c r="C246" s="21"/>
      <c r="D246" s="21"/>
      <c r="E246" s="21"/>
      <c r="F246" s="22"/>
      <c r="G246" s="21"/>
      <c r="H246" s="21"/>
      <c r="I246" s="22"/>
    </row>
    <row r="247" spans="1:9" ht="12.95">
      <c r="A247" s="21"/>
      <c r="B247" s="21"/>
      <c r="C247" s="21"/>
      <c r="D247" s="21"/>
      <c r="E247" s="21"/>
      <c r="F247" s="22"/>
      <c r="G247" s="21"/>
      <c r="H247" s="21"/>
      <c r="I247" s="22"/>
    </row>
    <row r="248" spans="1:9" ht="12.95">
      <c r="A248" s="21"/>
      <c r="B248" s="21"/>
      <c r="C248" s="21"/>
      <c r="D248" s="21"/>
      <c r="E248" s="21"/>
      <c r="F248" s="22"/>
      <c r="G248" s="21"/>
      <c r="H248" s="21"/>
      <c r="I248" s="22"/>
    </row>
    <row r="249" spans="1:9" ht="12.95">
      <c r="A249" s="21"/>
      <c r="B249" s="21"/>
      <c r="C249" s="21"/>
      <c r="D249" s="21"/>
      <c r="E249" s="21"/>
      <c r="F249" s="22"/>
      <c r="G249" s="21"/>
      <c r="H249" s="21"/>
      <c r="I249" s="22"/>
    </row>
    <row r="250" spans="1:9" ht="12.95">
      <c r="A250" s="21"/>
      <c r="B250" s="21"/>
      <c r="C250" s="21"/>
      <c r="D250" s="21"/>
      <c r="E250" s="21"/>
      <c r="F250" s="22"/>
      <c r="G250" s="21"/>
      <c r="H250" s="21"/>
      <c r="I250" s="22"/>
    </row>
    <row r="251" spans="1:9" ht="12.95">
      <c r="A251" s="21"/>
      <c r="B251" s="21"/>
      <c r="C251" s="21"/>
      <c r="D251" s="21"/>
      <c r="E251" s="21"/>
      <c r="F251" s="22"/>
      <c r="G251" s="21"/>
      <c r="H251" s="21"/>
      <c r="I251" s="22"/>
    </row>
    <row r="252" spans="1:9" ht="12.95">
      <c r="A252" s="21"/>
      <c r="B252" s="21"/>
      <c r="C252" s="21"/>
      <c r="D252" s="21"/>
      <c r="E252" s="21"/>
      <c r="F252" s="22"/>
      <c r="G252" s="21"/>
      <c r="H252" s="21"/>
      <c r="I252" s="22"/>
    </row>
    <row r="253" spans="1:9" ht="12.95">
      <c r="A253" s="21"/>
      <c r="B253" s="21"/>
      <c r="C253" s="21"/>
      <c r="D253" s="21"/>
      <c r="E253" s="21"/>
      <c r="F253" s="22"/>
      <c r="G253" s="21"/>
      <c r="H253" s="21"/>
      <c r="I253" s="22"/>
    </row>
    <row r="254" spans="1:9" ht="12.95">
      <c r="A254" s="21"/>
      <c r="B254" s="21"/>
      <c r="C254" s="21"/>
      <c r="D254" s="21"/>
      <c r="E254" s="21"/>
      <c r="F254" s="22"/>
      <c r="G254" s="21"/>
      <c r="H254" s="21"/>
      <c r="I254" s="22"/>
    </row>
    <row r="255" spans="1:9" ht="12.95">
      <c r="A255" s="21"/>
      <c r="B255" s="21"/>
      <c r="C255" s="21"/>
      <c r="D255" s="21"/>
      <c r="E255" s="21"/>
      <c r="F255" s="22"/>
      <c r="G255" s="21"/>
      <c r="H255" s="21"/>
      <c r="I255" s="22"/>
    </row>
    <row r="256" spans="1:9" ht="12.95">
      <c r="A256" s="21"/>
      <c r="B256" s="21"/>
      <c r="C256" s="21"/>
      <c r="D256" s="21"/>
      <c r="E256" s="21"/>
      <c r="F256" s="22"/>
      <c r="G256" s="21"/>
      <c r="H256" s="21"/>
      <c r="I256" s="22"/>
    </row>
    <row r="257" spans="1:9" ht="12.95">
      <c r="A257" s="21"/>
      <c r="B257" s="21"/>
      <c r="C257" s="21"/>
      <c r="D257" s="21"/>
      <c r="E257" s="21"/>
      <c r="F257" s="22"/>
      <c r="G257" s="21"/>
      <c r="H257" s="21"/>
      <c r="I257" s="22"/>
    </row>
    <row r="258" spans="1:9" ht="12.95">
      <c r="A258" s="21"/>
      <c r="B258" s="21"/>
      <c r="C258" s="21"/>
      <c r="D258" s="21"/>
      <c r="E258" s="21"/>
      <c r="F258" s="22"/>
      <c r="G258" s="21"/>
      <c r="H258" s="21"/>
      <c r="I258" s="22"/>
    </row>
    <row r="259" spans="1:9" ht="12.95">
      <c r="A259" s="21"/>
      <c r="B259" s="21"/>
      <c r="C259" s="21"/>
      <c r="D259" s="21"/>
      <c r="E259" s="21"/>
      <c r="F259" s="22"/>
      <c r="G259" s="21"/>
      <c r="H259" s="21"/>
      <c r="I259" s="22"/>
    </row>
    <row r="260" spans="1:9" ht="12.95">
      <c r="A260" s="21"/>
      <c r="B260" s="21"/>
      <c r="C260" s="21"/>
      <c r="D260" s="21"/>
      <c r="E260" s="21"/>
      <c r="F260" s="22"/>
      <c r="G260" s="21"/>
      <c r="H260" s="21"/>
      <c r="I260" s="22"/>
    </row>
    <row r="261" spans="1:9" ht="12.95">
      <c r="A261" s="21"/>
      <c r="B261" s="21"/>
      <c r="C261" s="21"/>
      <c r="D261" s="21"/>
      <c r="E261" s="21"/>
      <c r="F261" s="22"/>
      <c r="G261" s="21"/>
      <c r="H261" s="21"/>
      <c r="I261" s="22"/>
    </row>
    <row r="262" spans="1:9" ht="12.95">
      <c r="A262" s="21"/>
      <c r="B262" s="21"/>
      <c r="C262" s="21"/>
      <c r="D262" s="21"/>
      <c r="E262" s="21"/>
      <c r="F262" s="22"/>
      <c r="G262" s="21"/>
      <c r="H262" s="21"/>
      <c r="I262" s="22"/>
    </row>
    <row r="263" spans="1:9" ht="12.95">
      <c r="A263" s="21"/>
      <c r="B263" s="21"/>
      <c r="C263" s="21"/>
      <c r="D263" s="21"/>
      <c r="E263" s="21"/>
      <c r="F263" s="22"/>
      <c r="G263" s="21"/>
      <c r="H263" s="21"/>
      <c r="I263" s="22"/>
    </row>
    <row r="264" spans="1:9" ht="12.95">
      <c r="A264" s="21"/>
      <c r="B264" s="21"/>
      <c r="C264" s="21"/>
      <c r="D264" s="21"/>
      <c r="E264" s="21"/>
      <c r="F264" s="22"/>
      <c r="G264" s="21"/>
      <c r="H264" s="21"/>
      <c r="I264" s="22"/>
    </row>
    <row r="265" spans="1:9" ht="12.95">
      <c r="A265" s="21"/>
      <c r="B265" s="21"/>
      <c r="C265" s="21"/>
      <c r="D265" s="21"/>
      <c r="E265" s="21"/>
      <c r="F265" s="22"/>
      <c r="G265" s="21"/>
      <c r="H265" s="21"/>
      <c r="I265" s="22"/>
    </row>
    <row r="266" spans="1:9" ht="12.95">
      <c r="A266" s="21"/>
      <c r="B266" s="21"/>
      <c r="C266" s="21"/>
      <c r="D266" s="21"/>
      <c r="E266" s="21"/>
      <c r="F266" s="22"/>
      <c r="G266" s="21"/>
      <c r="H266" s="21"/>
      <c r="I266" s="22"/>
    </row>
    <row r="267" spans="1:9" ht="12.95">
      <c r="A267" s="21"/>
      <c r="B267" s="21"/>
      <c r="C267" s="21"/>
      <c r="D267" s="21"/>
      <c r="E267" s="21"/>
      <c r="F267" s="22"/>
      <c r="G267" s="21"/>
      <c r="H267" s="21"/>
      <c r="I267" s="22"/>
    </row>
    <row r="268" spans="1:9" ht="12.95">
      <c r="A268" s="21"/>
      <c r="B268" s="21"/>
      <c r="C268" s="21"/>
      <c r="D268" s="21"/>
      <c r="E268" s="21"/>
      <c r="F268" s="22"/>
      <c r="G268" s="21"/>
      <c r="H268" s="21"/>
      <c r="I268" s="22"/>
    </row>
    <row r="269" spans="1:9" ht="12.95">
      <c r="A269" s="21"/>
      <c r="B269" s="21"/>
      <c r="C269" s="21"/>
      <c r="D269" s="21"/>
      <c r="E269" s="21"/>
      <c r="F269" s="22"/>
      <c r="G269" s="21"/>
      <c r="H269" s="21"/>
      <c r="I269" s="22"/>
    </row>
    <row r="270" spans="1:9" ht="12.95">
      <c r="A270" s="21"/>
      <c r="B270" s="21"/>
      <c r="C270" s="21"/>
      <c r="D270" s="21"/>
      <c r="E270" s="21"/>
      <c r="F270" s="22"/>
      <c r="G270" s="21"/>
      <c r="H270" s="21"/>
      <c r="I270" s="22"/>
    </row>
    <row r="271" spans="1:9" ht="12.95">
      <c r="A271" s="21"/>
      <c r="B271" s="21"/>
      <c r="C271" s="21"/>
      <c r="D271" s="21"/>
      <c r="E271" s="21"/>
      <c r="F271" s="22"/>
      <c r="G271" s="21"/>
      <c r="H271" s="21"/>
      <c r="I271" s="22"/>
    </row>
    <row r="272" spans="1:9" ht="12.95">
      <c r="A272" s="21"/>
      <c r="B272" s="21"/>
      <c r="C272" s="21"/>
      <c r="D272" s="21"/>
      <c r="E272" s="21"/>
      <c r="F272" s="22"/>
      <c r="G272" s="21"/>
      <c r="H272" s="21"/>
      <c r="I272" s="22"/>
    </row>
    <row r="273" spans="1:9" ht="12.95">
      <c r="A273" s="21"/>
      <c r="B273" s="21"/>
      <c r="C273" s="21"/>
      <c r="D273" s="21"/>
      <c r="E273" s="21"/>
      <c r="F273" s="22"/>
      <c r="G273" s="21"/>
      <c r="H273" s="21"/>
      <c r="I273" s="22"/>
    </row>
    <row r="274" spans="1:9" ht="12.95">
      <c r="A274" s="21"/>
      <c r="B274" s="21"/>
      <c r="C274" s="21"/>
      <c r="D274" s="21"/>
      <c r="E274" s="21"/>
      <c r="F274" s="22"/>
      <c r="G274" s="21"/>
      <c r="H274" s="21"/>
      <c r="I274" s="22"/>
    </row>
    <row r="275" spans="1:9" ht="12.95">
      <c r="A275" s="21"/>
      <c r="B275" s="21"/>
      <c r="C275" s="21"/>
      <c r="D275" s="21"/>
      <c r="E275" s="21"/>
      <c r="F275" s="22"/>
      <c r="G275" s="21"/>
      <c r="H275" s="21"/>
      <c r="I275" s="22"/>
    </row>
    <row r="276" spans="1:9" ht="12.95">
      <c r="A276" s="21"/>
      <c r="B276" s="21"/>
      <c r="C276" s="21"/>
      <c r="D276" s="21"/>
      <c r="E276" s="21"/>
      <c r="F276" s="22"/>
      <c r="G276" s="21"/>
      <c r="H276" s="21"/>
      <c r="I276" s="22"/>
    </row>
    <row r="277" spans="1:9" ht="12.95">
      <c r="A277" s="21"/>
      <c r="B277" s="21"/>
      <c r="C277" s="21"/>
      <c r="D277" s="21"/>
      <c r="E277" s="21"/>
      <c r="F277" s="22"/>
      <c r="G277" s="21"/>
      <c r="H277" s="21"/>
      <c r="I277" s="22"/>
    </row>
    <row r="278" spans="1:9" ht="12.95">
      <c r="A278" s="21"/>
      <c r="B278" s="21"/>
      <c r="C278" s="21"/>
      <c r="D278" s="21"/>
      <c r="E278" s="21"/>
      <c r="F278" s="22"/>
      <c r="G278" s="21"/>
      <c r="H278" s="21"/>
      <c r="I278" s="22"/>
    </row>
    <row r="279" spans="1:9" ht="12.95">
      <c r="A279" s="21"/>
      <c r="B279" s="21"/>
      <c r="C279" s="21"/>
      <c r="D279" s="21"/>
      <c r="E279" s="21"/>
      <c r="F279" s="22"/>
      <c r="G279" s="21"/>
      <c r="H279" s="21"/>
      <c r="I279" s="22"/>
    </row>
    <row r="280" spans="1:9" ht="12.95">
      <c r="A280" s="21"/>
      <c r="B280" s="21"/>
      <c r="C280" s="21"/>
      <c r="D280" s="21"/>
      <c r="E280" s="21"/>
      <c r="F280" s="22"/>
      <c r="G280" s="21"/>
      <c r="H280" s="21"/>
      <c r="I280" s="22"/>
    </row>
    <row r="281" spans="1:9" ht="12.95">
      <c r="A281" s="21"/>
      <c r="B281" s="21"/>
      <c r="C281" s="21"/>
      <c r="D281" s="21"/>
      <c r="E281" s="21"/>
      <c r="F281" s="22"/>
      <c r="G281" s="21"/>
      <c r="H281" s="21"/>
      <c r="I281" s="22"/>
    </row>
    <row r="282" spans="1:9" ht="12.95">
      <c r="A282" s="21"/>
      <c r="B282" s="21"/>
      <c r="C282" s="21"/>
      <c r="D282" s="21"/>
      <c r="E282" s="21"/>
      <c r="F282" s="22"/>
      <c r="G282" s="21"/>
      <c r="H282" s="21"/>
      <c r="I282" s="22"/>
    </row>
    <row r="283" spans="1:9" ht="12.95">
      <c r="A283" s="21"/>
      <c r="B283" s="21"/>
      <c r="C283" s="21"/>
      <c r="D283" s="21"/>
      <c r="E283" s="21"/>
      <c r="F283" s="22"/>
      <c r="G283" s="21"/>
      <c r="H283" s="21"/>
      <c r="I283" s="22"/>
    </row>
    <row r="284" spans="1:9" ht="12.95">
      <c r="A284" s="21"/>
      <c r="B284" s="21"/>
      <c r="C284" s="21"/>
      <c r="D284" s="21"/>
      <c r="E284" s="21"/>
      <c r="F284" s="22"/>
      <c r="G284" s="21"/>
      <c r="H284" s="21"/>
      <c r="I284" s="22"/>
    </row>
    <row r="285" spans="1:9" ht="12.95">
      <c r="A285" s="21"/>
      <c r="B285" s="21"/>
      <c r="C285" s="21"/>
      <c r="D285" s="21"/>
      <c r="E285" s="21"/>
      <c r="F285" s="22"/>
      <c r="G285" s="21"/>
      <c r="H285" s="21"/>
      <c r="I285" s="22"/>
    </row>
    <row r="286" spans="1:9" ht="12.95">
      <c r="A286" s="21"/>
      <c r="B286" s="21"/>
      <c r="C286" s="21"/>
      <c r="D286" s="21"/>
      <c r="E286" s="21"/>
      <c r="F286" s="22"/>
      <c r="G286" s="21"/>
      <c r="H286" s="21"/>
      <c r="I286" s="22"/>
    </row>
    <row r="287" spans="1:9" ht="12.95">
      <c r="A287" s="21"/>
      <c r="B287" s="21"/>
      <c r="C287" s="21"/>
      <c r="D287" s="21"/>
      <c r="E287" s="21"/>
      <c r="F287" s="22"/>
      <c r="G287" s="21"/>
      <c r="H287" s="21"/>
      <c r="I287" s="22"/>
    </row>
    <row r="288" spans="1:9" ht="12.95">
      <c r="A288" s="21"/>
      <c r="B288" s="21"/>
      <c r="C288" s="21"/>
      <c r="D288" s="21"/>
      <c r="E288" s="21"/>
      <c r="F288" s="22"/>
      <c r="G288" s="21"/>
      <c r="H288" s="21"/>
      <c r="I288" s="22"/>
    </row>
    <row r="289" spans="1:9" ht="12.95">
      <c r="A289" s="21"/>
      <c r="B289" s="21"/>
      <c r="C289" s="21"/>
      <c r="D289" s="21"/>
      <c r="E289" s="21"/>
      <c r="F289" s="22"/>
      <c r="G289" s="21"/>
      <c r="H289" s="21"/>
      <c r="I289" s="22"/>
    </row>
    <row r="290" spans="1:9" ht="12.95">
      <c r="A290" s="21"/>
      <c r="B290" s="21"/>
      <c r="C290" s="21"/>
      <c r="D290" s="21"/>
      <c r="E290" s="21"/>
      <c r="F290" s="22"/>
      <c r="G290" s="21"/>
      <c r="H290" s="21"/>
      <c r="I290" s="22"/>
    </row>
    <row r="291" spans="1:9" ht="12.95">
      <c r="A291" s="21"/>
      <c r="B291" s="21"/>
      <c r="C291" s="21"/>
      <c r="D291" s="21"/>
      <c r="E291" s="21"/>
      <c r="F291" s="22"/>
      <c r="G291" s="21"/>
      <c r="H291" s="21"/>
      <c r="I291" s="22"/>
    </row>
    <row r="292" spans="1:9" ht="12.95">
      <c r="A292" s="21"/>
      <c r="B292" s="21"/>
      <c r="C292" s="21"/>
      <c r="D292" s="21"/>
      <c r="E292" s="21"/>
      <c r="F292" s="22"/>
      <c r="G292" s="21"/>
      <c r="H292" s="21"/>
      <c r="I292" s="22"/>
    </row>
    <row r="293" spans="1:9" ht="12.95">
      <c r="A293" s="21"/>
      <c r="B293" s="21"/>
      <c r="C293" s="21"/>
      <c r="D293" s="21"/>
      <c r="E293" s="21"/>
      <c r="F293" s="22"/>
      <c r="G293" s="21"/>
      <c r="H293" s="21"/>
      <c r="I293" s="22"/>
    </row>
    <row r="294" spans="1:9" ht="12.95">
      <c r="A294" s="21"/>
      <c r="B294" s="21"/>
      <c r="C294" s="21"/>
      <c r="D294" s="21"/>
      <c r="E294" s="21"/>
      <c r="F294" s="22"/>
      <c r="G294" s="21"/>
      <c r="H294" s="21"/>
      <c r="I294" s="22"/>
    </row>
    <row r="295" spans="1:9" ht="12.95">
      <c r="A295" s="21"/>
      <c r="B295" s="21"/>
      <c r="C295" s="21"/>
      <c r="D295" s="21"/>
      <c r="E295" s="21"/>
      <c r="F295" s="22"/>
      <c r="G295" s="21"/>
      <c r="H295" s="21"/>
      <c r="I295" s="22"/>
    </row>
    <row r="296" spans="1:9" ht="12.95">
      <c r="A296" s="21"/>
      <c r="B296" s="21"/>
      <c r="C296" s="21"/>
      <c r="D296" s="21"/>
      <c r="E296" s="21"/>
      <c r="F296" s="22"/>
      <c r="G296" s="21"/>
      <c r="H296" s="21"/>
      <c r="I296" s="22"/>
    </row>
    <row r="297" spans="1:9" ht="12.95">
      <c r="A297" s="21"/>
      <c r="B297" s="21"/>
      <c r="C297" s="21"/>
      <c r="D297" s="21"/>
      <c r="E297" s="21"/>
      <c r="F297" s="22"/>
      <c r="G297" s="21"/>
      <c r="H297" s="21"/>
      <c r="I297" s="22"/>
    </row>
    <row r="298" spans="1:9" ht="12.95">
      <c r="A298" s="21"/>
      <c r="B298" s="21"/>
      <c r="C298" s="21"/>
      <c r="D298" s="21"/>
      <c r="E298" s="21"/>
      <c r="F298" s="22"/>
      <c r="G298" s="21"/>
      <c r="H298" s="21"/>
      <c r="I298" s="22"/>
    </row>
    <row r="299" spans="1:9" ht="12.95">
      <c r="A299" s="21"/>
      <c r="B299" s="21"/>
      <c r="C299" s="21"/>
      <c r="D299" s="21"/>
      <c r="E299" s="21"/>
      <c r="F299" s="22"/>
      <c r="G299" s="21"/>
      <c r="H299" s="21"/>
      <c r="I299" s="22"/>
    </row>
    <row r="300" spans="1:9" ht="12.95">
      <c r="A300" s="21"/>
      <c r="B300" s="21"/>
      <c r="C300" s="21"/>
      <c r="D300" s="21"/>
      <c r="E300" s="21"/>
      <c r="F300" s="22"/>
      <c r="G300" s="21"/>
      <c r="H300" s="21"/>
      <c r="I300" s="22"/>
    </row>
    <row r="301" spans="1:9" ht="12.95">
      <c r="A301" s="21"/>
      <c r="B301" s="21"/>
      <c r="C301" s="21"/>
      <c r="D301" s="21"/>
      <c r="E301" s="21"/>
      <c r="F301" s="22"/>
      <c r="G301" s="21"/>
      <c r="H301" s="21"/>
      <c r="I301" s="22"/>
    </row>
    <row r="302" spans="1:9" ht="12.95">
      <c r="A302" s="21"/>
      <c r="B302" s="21"/>
      <c r="C302" s="21"/>
      <c r="D302" s="21"/>
      <c r="E302" s="21"/>
      <c r="F302" s="22"/>
      <c r="G302" s="21"/>
      <c r="H302" s="21"/>
      <c r="I302" s="22"/>
    </row>
    <row r="303" spans="1:9" ht="12.95">
      <c r="A303" s="21"/>
      <c r="B303" s="21"/>
      <c r="C303" s="21"/>
      <c r="D303" s="21"/>
      <c r="E303" s="21"/>
      <c r="F303" s="22"/>
      <c r="G303" s="21"/>
      <c r="H303" s="21"/>
      <c r="I303" s="22"/>
    </row>
    <row r="304" spans="1:9" ht="12.95">
      <c r="A304" s="21"/>
      <c r="B304" s="21"/>
      <c r="C304" s="21"/>
      <c r="D304" s="21"/>
      <c r="E304" s="21"/>
      <c r="F304" s="22"/>
      <c r="G304" s="21"/>
      <c r="H304" s="21"/>
      <c r="I304" s="22"/>
    </row>
    <row r="305" spans="1:9" ht="12.95">
      <c r="A305" s="21"/>
      <c r="B305" s="21"/>
      <c r="C305" s="21"/>
      <c r="D305" s="21"/>
      <c r="E305" s="21"/>
      <c r="F305" s="22"/>
      <c r="G305" s="21"/>
      <c r="H305" s="21"/>
      <c r="I305" s="22"/>
    </row>
    <row r="306" spans="1:9" ht="12.95">
      <c r="A306" s="21"/>
      <c r="B306" s="21"/>
      <c r="C306" s="21"/>
      <c r="D306" s="21"/>
      <c r="E306" s="21"/>
      <c r="F306" s="22"/>
      <c r="G306" s="21"/>
      <c r="H306" s="21"/>
      <c r="I306" s="22"/>
    </row>
    <row r="307" spans="1:9" ht="12.95">
      <c r="A307" s="21"/>
      <c r="B307" s="21"/>
      <c r="C307" s="21"/>
      <c r="D307" s="21"/>
      <c r="E307" s="21"/>
      <c r="F307" s="22"/>
      <c r="G307" s="21"/>
      <c r="H307" s="21"/>
      <c r="I307" s="22"/>
    </row>
    <row r="308" spans="1:9" ht="12.95">
      <c r="A308" s="21"/>
      <c r="B308" s="21"/>
      <c r="C308" s="21"/>
      <c r="D308" s="21"/>
      <c r="E308" s="21"/>
      <c r="F308" s="22"/>
      <c r="G308" s="21"/>
      <c r="H308" s="21"/>
      <c r="I308" s="22"/>
    </row>
    <row r="309" spans="1:9" ht="12.95">
      <c r="A309" s="21"/>
      <c r="B309" s="21"/>
      <c r="C309" s="21"/>
      <c r="D309" s="21"/>
      <c r="E309" s="21"/>
      <c r="F309" s="22"/>
      <c r="G309" s="21"/>
      <c r="H309" s="21"/>
      <c r="I309" s="22"/>
    </row>
    <row r="310" spans="1:9" ht="12.95">
      <c r="A310" s="21"/>
      <c r="B310" s="21"/>
      <c r="C310" s="21"/>
      <c r="D310" s="21"/>
      <c r="E310" s="21"/>
      <c r="F310" s="22"/>
      <c r="G310" s="21"/>
      <c r="H310" s="21"/>
      <c r="I310" s="22"/>
    </row>
    <row r="311" spans="1:9" ht="12.95">
      <c r="A311" s="21"/>
      <c r="B311" s="21"/>
      <c r="C311" s="21"/>
      <c r="D311" s="21"/>
      <c r="E311" s="21"/>
      <c r="F311" s="22"/>
      <c r="G311" s="21"/>
      <c r="H311" s="21"/>
      <c r="I311" s="22"/>
    </row>
    <row r="312" spans="1:9" ht="12.95">
      <c r="A312" s="21"/>
      <c r="B312" s="21"/>
      <c r="C312" s="21"/>
      <c r="D312" s="21"/>
      <c r="E312" s="21"/>
      <c r="F312" s="22"/>
      <c r="G312" s="21"/>
      <c r="H312" s="21"/>
      <c r="I312" s="22"/>
    </row>
    <row r="313" spans="1:9" ht="12.95">
      <c r="A313" s="21"/>
      <c r="B313" s="21"/>
      <c r="C313" s="21"/>
      <c r="D313" s="21"/>
      <c r="E313" s="21"/>
      <c r="F313" s="22"/>
      <c r="G313" s="21"/>
      <c r="H313" s="21"/>
      <c r="I313" s="22"/>
    </row>
    <row r="314" spans="1:9" ht="12.95">
      <c r="A314" s="21"/>
      <c r="B314" s="21"/>
      <c r="C314" s="21"/>
      <c r="D314" s="21"/>
      <c r="E314" s="21"/>
      <c r="F314" s="22"/>
      <c r="G314" s="21"/>
      <c r="H314" s="21"/>
      <c r="I314" s="22"/>
    </row>
    <row r="315" spans="1:9" ht="12.95">
      <c r="A315" s="21"/>
      <c r="B315" s="21"/>
      <c r="C315" s="21"/>
      <c r="D315" s="21"/>
      <c r="E315" s="21"/>
      <c r="F315" s="22"/>
      <c r="G315" s="21"/>
      <c r="H315" s="21"/>
      <c r="I315" s="22"/>
    </row>
    <row r="316" spans="1:9" ht="12.95">
      <c r="A316" s="21"/>
      <c r="B316" s="21"/>
      <c r="C316" s="21"/>
      <c r="D316" s="21"/>
      <c r="E316" s="21"/>
      <c r="F316" s="22"/>
      <c r="G316" s="21"/>
      <c r="H316" s="21"/>
      <c r="I316" s="22"/>
    </row>
    <row r="317" spans="1:9" ht="12.95">
      <c r="A317" s="21"/>
      <c r="B317" s="21"/>
      <c r="C317" s="21"/>
      <c r="D317" s="21"/>
      <c r="E317" s="21"/>
      <c r="F317" s="22"/>
      <c r="G317" s="21"/>
      <c r="H317" s="21"/>
      <c r="I317" s="22"/>
    </row>
    <row r="318" spans="1:9" ht="12.95">
      <c r="A318" s="21"/>
      <c r="B318" s="21"/>
      <c r="C318" s="21"/>
      <c r="D318" s="21"/>
      <c r="E318" s="21"/>
      <c r="F318" s="22"/>
      <c r="G318" s="21"/>
      <c r="H318" s="21"/>
      <c r="I318" s="22"/>
    </row>
    <row r="319" spans="1:9" ht="12.95">
      <c r="A319" s="21"/>
      <c r="B319" s="21"/>
      <c r="C319" s="21"/>
      <c r="D319" s="21"/>
      <c r="E319" s="21"/>
      <c r="F319" s="22"/>
      <c r="G319" s="21"/>
      <c r="H319" s="21"/>
      <c r="I319" s="22"/>
    </row>
    <row r="320" spans="1:9" ht="12.95">
      <c r="A320" s="21"/>
      <c r="B320" s="21"/>
      <c r="C320" s="21"/>
      <c r="D320" s="21"/>
      <c r="E320" s="21"/>
      <c r="F320" s="22"/>
      <c r="G320" s="21"/>
      <c r="H320" s="21"/>
      <c r="I320" s="22"/>
    </row>
    <row r="321" spans="1:9" ht="12.95">
      <c r="A321" s="21"/>
      <c r="B321" s="21"/>
      <c r="C321" s="21"/>
      <c r="D321" s="21"/>
      <c r="E321" s="21"/>
      <c r="F321" s="22"/>
      <c r="G321" s="21"/>
      <c r="H321" s="21"/>
      <c r="I321" s="22"/>
    </row>
    <row r="322" spans="1:9" ht="12.95">
      <c r="A322" s="21"/>
      <c r="B322" s="21"/>
      <c r="C322" s="21"/>
      <c r="D322" s="21"/>
      <c r="E322" s="21"/>
      <c r="F322" s="22"/>
      <c r="G322" s="21"/>
      <c r="H322" s="21"/>
      <c r="I322" s="22"/>
    </row>
    <row r="323" spans="1:9" ht="12.95">
      <c r="A323" s="21"/>
      <c r="B323" s="21"/>
      <c r="C323" s="21"/>
      <c r="D323" s="21"/>
      <c r="E323" s="21"/>
      <c r="F323" s="22"/>
      <c r="G323" s="21"/>
      <c r="H323" s="21"/>
      <c r="I323" s="22"/>
    </row>
    <row r="324" spans="1:9" ht="12.95">
      <c r="A324" s="21"/>
      <c r="B324" s="21"/>
      <c r="C324" s="21"/>
      <c r="D324" s="21"/>
      <c r="E324" s="21"/>
      <c r="F324" s="22"/>
      <c r="G324" s="21"/>
      <c r="H324" s="21"/>
      <c r="I324" s="22"/>
    </row>
    <row r="325" spans="1:9" ht="12.95">
      <c r="A325" s="21"/>
      <c r="B325" s="21"/>
      <c r="C325" s="21"/>
      <c r="D325" s="21"/>
      <c r="E325" s="21"/>
      <c r="F325" s="22"/>
      <c r="G325" s="21"/>
      <c r="H325" s="21"/>
      <c r="I325" s="22"/>
    </row>
    <row r="326" spans="1:9" ht="12.95">
      <c r="A326" s="21"/>
      <c r="B326" s="21"/>
      <c r="C326" s="21"/>
      <c r="D326" s="21"/>
      <c r="E326" s="21"/>
      <c r="F326" s="22"/>
      <c r="G326" s="21"/>
      <c r="H326" s="21"/>
      <c r="I326" s="22"/>
    </row>
    <row r="327" spans="1:9" ht="12.95">
      <c r="A327" s="21"/>
      <c r="B327" s="21"/>
      <c r="C327" s="21"/>
      <c r="D327" s="21"/>
      <c r="E327" s="21"/>
      <c r="F327" s="22"/>
      <c r="G327" s="21"/>
      <c r="H327" s="21"/>
      <c r="I327" s="22"/>
    </row>
    <row r="328" spans="1:9" ht="12.95">
      <c r="A328" s="21"/>
      <c r="B328" s="21"/>
      <c r="C328" s="21"/>
      <c r="D328" s="21"/>
      <c r="E328" s="21"/>
      <c r="F328" s="22"/>
      <c r="G328" s="21"/>
      <c r="H328" s="21"/>
      <c r="I328" s="22"/>
    </row>
    <row r="329" spans="1:9" ht="12.95">
      <c r="A329" s="21"/>
      <c r="B329" s="21"/>
      <c r="C329" s="21"/>
      <c r="D329" s="21"/>
      <c r="E329" s="21"/>
      <c r="F329" s="22"/>
      <c r="G329" s="21"/>
      <c r="H329" s="21"/>
      <c r="I329" s="22"/>
    </row>
    <row r="330" spans="1:9" ht="12.95">
      <c r="A330" s="21"/>
      <c r="B330" s="21"/>
      <c r="C330" s="21"/>
      <c r="D330" s="21"/>
      <c r="E330" s="21"/>
      <c r="F330" s="22"/>
      <c r="G330" s="21"/>
      <c r="H330" s="21"/>
      <c r="I330" s="22"/>
    </row>
    <row r="331" spans="1:9" ht="12.95">
      <c r="A331" s="21"/>
      <c r="B331" s="21"/>
      <c r="C331" s="21"/>
      <c r="D331" s="21"/>
      <c r="E331" s="21"/>
      <c r="F331" s="22"/>
      <c r="G331" s="21"/>
      <c r="H331" s="21"/>
      <c r="I331" s="22"/>
    </row>
    <row r="332" spans="1:9" ht="12.95">
      <c r="A332" s="21"/>
      <c r="B332" s="21"/>
      <c r="C332" s="21"/>
      <c r="D332" s="21"/>
      <c r="E332" s="21"/>
      <c r="F332" s="22"/>
      <c r="G332" s="21"/>
      <c r="H332" s="21"/>
      <c r="I332" s="22"/>
    </row>
    <row r="333" spans="1:9" ht="12.95">
      <c r="A333" s="21"/>
      <c r="B333" s="21"/>
      <c r="C333" s="21"/>
      <c r="D333" s="21"/>
      <c r="E333" s="21"/>
      <c r="F333" s="22"/>
      <c r="G333" s="21"/>
      <c r="H333" s="21"/>
      <c r="I333" s="22"/>
    </row>
    <row r="334" spans="1:9" ht="12.95">
      <c r="A334" s="21"/>
      <c r="B334" s="21"/>
      <c r="C334" s="21"/>
      <c r="D334" s="21"/>
      <c r="E334" s="21"/>
      <c r="F334" s="22"/>
      <c r="G334" s="21"/>
      <c r="H334" s="21"/>
      <c r="I334" s="22"/>
    </row>
    <row r="335" spans="1:9" ht="12.95">
      <c r="A335" s="21"/>
      <c r="B335" s="21"/>
      <c r="C335" s="21"/>
      <c r="D335" s="21"/>
      <c r="E335" s="21"/>
      <c r="F335" s="22"/>
      <c r="G335" s="21"/>
      <c r="H335" s="21"/>
      <c r="I335" s="22"/>
    </row>
    <row r="336" spans="1:9" ht="12.95">
      <c r="A336" s="21"/>
      <c r="B336" s="21"/>
      <c r="C336" s="21"/>
      <c r="D336" s="21"/>
      <c r="E336" s="21"/>
      <c r="F336" s="22"/>
      <c r="G336" s="21"/>
      <c r="H336" s="21"/>
      <c r="I336" s="22"/>
    </row>
    <row r="337" spans="1:9" ht="12.95">
      <c r="A337" s="21"/>
      <c r="B337" s="21"/>
      <c r="C337" s="21"/>
      <c r="D337" s="21"/>
      <c r="E337" s="21"/>
      <c r="F337" s="22"/>
      <c r="G337" s="21"/>
      <c r="H337" s="21"/>
      <c r="I337" s="22"/>
    </row>
    <row r="338" spans="1:9" ht="12.95">
      <c r="A338" s="21"/>
      <c r="B338" s="21"/>
      <c r="C338" s="21"/>
      <c r="D338" s="21"/>
      <c r="E338" s="21"/>
      <c r="F338" s="22"/>
      <c r="G338" s="21"/>
      <c r="H338" s="21"/>
      <c r="I338" s="22"/>
    </row>
    <row r="339" spans="1:9" ht="12.95">
      <c r="A339" s="21"/>
      <c r="B339" s="21"/>
      <c r="C339" s="21"/>
      <c r="D339" s="21"/>
      <c r="E339" s="21"/>
      <c r="F339" s="22"/>
      <c r="G339" s="21"/>
      <c r="H339" s="21"/>
      <c r="I339" s="22"/>
    </row>
    <row r="340" spans="1:9" ht="12.95">
      <c r="A340" s="21"/>
      <c r="B340" s="21"/>
      <c r="C340" s="21"/>
      <c r="D340" s="21"/>
      <c r="E340" s="21"/>
      <c r="F340" s="22"/>
      <c r="G340" s="21"/>
      <c r="H340" s="21"/>
      <c r="I340" s="22"/>
    </row>
    <row r="341" spans="1:9" ht="12.95">
      <c r="A341" s="21"/>
      <c r="B341" s="21"/>
      <c r="C341" s="21"/>
      <c r="D341" s="21"/>
      <c r="E341" s="21"/>
      <c r="F341" s="22"/>
      <c r="G341" s="21"/>
      <c r="H341" s="21"/>
      <c r="I341" s="22"/>
    </row>
    <row r="342" spans="1:9" ht="12.95">
      <c r="A342" s="21"/>
      <c r="B342" s="21"/>
      <c r="C342" s="21"/>
      <c r="D342" s="21"/>
      <c r="E342" s="21"/>
      <c r="F342" s="22"/>
      <c r="G342" s="21"/>
      <c r="H342" s="21"/>
      <c r="I342" s="22"/>
    </row>
  </sheetData>
  <mergeCells count="4">
    <mergeCell ref="G1:I1"/>
    <mergeCell ref="A1:C1"/>
    <mergeCell ref="D1:F1"/>
    <mergeCell ref="A2:B2"/>
  </mergeCells>
  <conditionalFormatting sqref="F2 I2 F4:F100 I4:I100">
    <cfRule type="cellIs" dxfId="52" priority="1" stopIfTrue="1" operator="lessThanOrEqual">
      <formula>-0.1</formula>
    </cfRule>
    <cfRule type="expression" dxfId="51"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N341"/>
  <sheetViews>
    <sheetView zoomScale="80" zoomScaleNormal="80" workbookViewId="0">
      <pane xSplit="2" ySplit="3" topLeftCell="C67" activePane="bottomRight" state="frozen"/>
      <selection pane="bottomRight" activeCell="D4" sqref="D4"/>
      <selection pane="bottomLeft" activeCell="J66" sqref="J66"/>
      <selection pane="topRight" activeCell="J66" sqref="J66"/>
    </sheetView>
  </sheetViews>
  <sheetFormatPr defaultRowHeight="14.1"/>
  <cols>
    <col min="1" max="1" width="34.140625" bestFit="1" customWidth="1"/>
    <col min="2" max="2" width="5.7109375" style="34" bestFit="1" customWidth="1"/>
    <col min="3" max="3" width="15.140625" customWidth="1"/>
    <col min="4" max="4" width="13.42578125" customWidth="1"/>
    <col min="5" max="5" width="18.7109375" customWidth="1"/>
    <col min="6" max="6" width="10.7109375" style="1" customWidth="1"/>
    <col min="7" max="7" width="17.5703125" customWidth="1"/>
    <col min="8" max="8" width="13.5703125" customWidth="1"/>
    <col min="9" max="9" width="15.28515625" style="1" customWidth="1"/>
    <col min="10" max="10" width="67.140625" customWidth="1"/>
    <col min="11" max="11" width="20.5703125" bestFit="1" customWidth="1"/>
    <col min="12" max="20" width="9.140625" customWidth="1"/>
  </cols>
  <sheetData>
    <row r="1" spans="1:13" ht="19.5" customHeight="1">
      <c r="A1" s="120" t="str" cm="1">
        <f t="array" ref="A1">portfolio</f>
        <v>Silicon Ranch</v>
      </c>
      <c r="B1" s="120"/>
      <c r="C1" s="120"/>
      <c r="D1" s="121" t="s">
        <v>18</v>
      </c>
      <c r="E1" s="121"/>
      <c r="F1" s="121"/>
      <c r="G1" s="119" t="s">
        <v>19</v>
      </c>
      <c r="H1" s="119"/>
      <c r="I1" s="119"/>
      <c r="J1" s="4"/>
      <c r="K1" s="4"/>
    </row>
    <row r="2" spans="1:13" ht="19.5" customHeight="1">
      <c r="A2" s="122" t="s">
        <v>2</v>
      </c>
      <c r="B2" s="122"/>
      <c r="C2" s="5">
        <f>SUM(C4:C99)</f>
        <v>2371481</v>
      </c>
      <c r="D2" s="5">
        <f>SUM(D4:D99)</f>
        <v>0</v>
      </c>
      <c r="E2" s="5">
        <f>C2-D2</f>
        <v>2371481</v>
      </c>
      <c r="F2" s="6">
        <f>IFERROR(E2/D2, 0)</f>
        <v>0</v>
      </c>
      <c r="G2" s="5">
        <f>SUM(G4:G99)</f>
        <v>2199066.06</v>
      </c>
      <c r="H2" s="7">
        <f>C2-G2</f>
        <v>172414.93999999994</v>
      </c>
      <c r="I2" s="6">
        <f>IFERROR(H2/G2, 0)</f>
        <v>7.8403711073600002E-2</v>
      </c>
      <c r="J2" s="26" t="str">
        <f ca="1">IF(AND(TODAY()&gt;DATE(2024, 1, 1), COUNTA(Sites[Site])&lt;&gt;(COUNT(C:C)-1)), "Some sites are missing actual data; if new sites were added, make sure they are aligned correctly (including prior months!)", "")</f>
        <v/>
      </c>
      <c r="K2" s="4"/>
    </row>
    <row r="3" spans="1:13" ht="14.25" customHeight="1">
      <c r="A3" s="27" t="s">
        <v>3</v>
      </c>
      <c r="B3" s="8" t="s">
        <v>4</v>
      </c>
      <c r="C3" s="23" t="s">
        <v>5</v>
      </c>
      <c r="D3" s="35" t="s">
        <v>6</v>
      </c>
      <c r="E3" s="35" t="s">
        <v>7</v>
      </c>
      <c r="F3" s="36" t="s">
        <v>8</v>
      </c>
      <c r="G3" s="40" t="s">
        <v>9</v>
      </c>
      <c r="H3" s="38" t="s">
        <v>7</v>
      </c>
      <c r="I3" s="39" t="s">
        <v>8</v>
      </c>
      <c r="J3" s="25" t="s">
        <v>20</v>
      </c>
      <c r="K3" s="25" t="s">
        <v>21</v>
      </c>
    </row>
    <row r="4" spans="1:13" ht="15.6">
      <c r="A4" s="51" t="str" cm="1">
        <f t="array" ref="A4:A69">Sites[Site]</f>
        <v>Iron Mountain - Windsor</v>
      </c>
      <c r="B4" s="29" t="str" cm="1">
        <f t="array" ref="B4:B69">Sites[State]</f>
        <v>CT</v>
      </c>
      <c r="C4" s="13">
        <v>13219</v>
      </c>
      <c r="D4" s="13" t="s">
        <v>22</v>
      </c>
      <c r="E4" s="13" t="str">
        <f>IF(AND(ISNUMBER(C4),ISNUMBER(D4)), C4-D4, "")</f>
        <v/>
      </c>
      <c r="F4" s="13" t="str">
        <f>IFERROR(E4/D4, "")</f>
        <v/>
      </c>
      <c r="G4" s="15">
        <v>12931.18</v>
      </c>
      <c r="H4" s="15">
        <f>IF(AND(ISNUMBER(C4),ISNUMBER(G4)), C4-G4, "")</f>
        <v>287.81999999999971</v>
      </c>
      <c r="I4" s="16">
        <f>IFERROR(H4/G4, "")</f>
        <v>2.2257829525225054E-2</v>
      </c>
      <c r="J4" s="41"/>
      <c r="K4" s="41"/>
    </row>
    <row r="5" spans="1:13" ht="15.6">
      <c r="A5" s="52" t="str">
        <v>Kohls - Auburn</v>
      </c>
      <c r="B5" s="31" t="str">
        <v>NY</v>
      </c>
      <c r="C5" s="18">
        <v>5600</v>
      </c>
      <c r="D5" s="18" t="s">
        <v>22</v>
      </c>
      <c r="E5" s="18" t="str">
        <f t="shared" ref="E5:E15" si="0">IF(AND(ISNUMBER(C5),ISNUMBER(D5)), C5-D5, "")</f>
        <v/>
      </c>
      <c r="F5" s="18" t="str">
        <f t="shared" ref="F5:F25" si="1">IFERROR(E5/D5, "")</f>
        <v/>
      </c>
      <c r="G5" s="20">
        <v>4748.53</v>
      </c>
      <c r="H5" s="20">
        <f t="shared" ref="H5:H6" si="2">IF(AND(ISNUMBER(C5),ISNUMBER(G5)), C5-G5, "")</f>
        <v>851.47000000000025</v>
      </c>
      <c r="I5" s="19">
        <f t="shared" ref="I5:I6" si="3">IFERROR(H5/G5, "")</f>
        <v>0.17931233455406206</v>
      </c>
      <c r="J5" s="42"/>
      <c r="K5" s="42"/>
    </row>
    <row r="6" spans="1:13" ht="15.6">
      <c r="A6" s="53" t="str">
        <v>Kohls - Bensalem</v>
      </c>
      <c r="B6" s="29" t="str">
        <v>PA</v>
      </c>
      <c r="C6" s="13">
        <v>16129</v>
      </c>
      <c r="D6" s="13" t="s">
        <v>22</v>
      </c>
      <c r="E6" s="13" t="str">
        <f t="shared" si="0"/>
        <v/>
      </c>
      <c r="F6" s="13" t="str">
        <f t="shared" si="1"/>
        <v/>
      </c>
      <c r="G6" s="15">
        <v>15644.12</v>
      </c>
      <c r="H6" s="15">
        <f t="shared" si="2"/>
        <v>484.8799999999992</v>
      </c>
      <c r="I6" s="16">
        <f t="shared" si="3"/>
        <v>3.0994392781441154E-2</v>
      </c>
      <c r="J6" s="41"/>
      <c r="K6" s="41"/>
    </row>
    <row r="7" spans="1:13" ht="29.1">
      <c r="A7" s="52" t="str">
        <v>Kohls - Brick</v>
      </c>
      <c r="B7" s="31" t="str">
        <v>NJ</v>
      </c>
      <c r="C7" s="18">
        <v>22439</v>
      </c>
      <c r="D7" s="18" t="s">
        <v>22</v>
      </c>
      <c r="E7" s="18" t="str">
        <f t="shared" si="0"/>
        <v/>
      </c>
      <c r="F7" s="18" t="str">
        <f t="shared" si="1"/>
        <v/>
      </c>
      <c r="G7" s="20">
        <v>16579.62</v>
      </c>
      <c r="H7" s="20">
        <f t="shared" ref="H7:H15" si="4">IF(AND(ISNUMBER(C7),ISNUMBER(G7)), C7-G7, "")</f>
        <v>5859.380000000001</v>
      </c>
      <c r="I7" s="19">
        <f t="shared" ref="I7:I69" si="5">IFERROR(H7/G7, "")</f>
        <v>0.35340858234386563</v>
      </c>
      <c r="J7" s="42" t="s">
        <v>23</v>
      </c>
      <c r="K7" s="98" t="s">
        <v>24</v>
      </c>
    </row>
    <row r="8" spans="1:13" ht="87">
      <c r="A8" s="53" t="str">
        <v>Kohls - Buffalo</v>
      </c>
      <c r="B8" s="29" t="str">
        <v>NY</v>
      </c>
      <c r="C8" s="13">
        <v>4465</v>
      </c>
      <c r="D8" s="13" t="s">
        <v>22</v>
      </c>
      <c r="E8" s="13" t="str">
        <f t="shared" si="0"/>
        <v/>
      </c>
      <c r="F8" s="13" t="str">
        <f t="shared" si="1"/>
        <v/>
      </c>
      <c r="G8" s="15">
        <v>7988.27</v>
      </c>
      <c r="H8" s="15">
        <f t="shared" si="4"/>
        <v>-3523.2700000000004</v>
      </c>
      <c r="I8" s="16">
        <f t="shared" si="5"/>
        <v>-0.44105544754997017</v>
      </c>
      <c r="J8" s="57" t="s">
        <v>25</v>
      </c>
      <c r="K8" s="99" t="s">
        <v>26</v>
      </c>
      <c r="L8" s="100" t="s">
        <v>27</v>
      </c>
      <c r="M8" s="100" t="s">
        <v>28</v>
      </c>
    </row>
    <row r="9" spans="1:13" ht="15.6">
      <c r="A9" s="52" t="str">
        <v>Kohls - Canton</v>
      </c>
      <c r="B9" s="31" t="str">
        <v>CT</v>
      </c>
      <c r="C9" s="18">
        <v>5915</v>
      </c>
      <c r="D9" s="18" t="s">
        <v>22</v>
      </c>
      <c r="E9" s="18" t="str">
        <f t="shared" si="0"/>
        <v/>
      </c>
      <c r="F9" s="18" t="str">
        <f t="shared" si="1"/>
        <v/>
      </c>
      <c r="G9" s="20">
        <v>5796.5</v>
      </c>
      <c r="H9" s="20">
        <f t="shared" si="4"/>
        <v>118.5</v>
      </c>
      <c r="I9" s="19">
        <f t="shared" si="5"/>
        <v>2.0443370999741223E-2</v>
      </c>
      <c r="J9" s="42"/>
      <c r="K9" s="42"/>
    </row>
    <row r="10" spans="1:13" ht="15.6">
      <c r="A10" s="53" t="str">
        <v>Kohls - East Amherst</v>
      </c>
      <c r="B10" s="29" t="str">
        <v>NY</v>
      </c>
      <c r="C10" s="13">
        <v>5604</v>
      </c>
      <c r="D10" s="13" t="s">
        <v>22</v>
      </c>
      <c r="E10" s="13" t="str">
        <f t="shared" si="0"/>
        <v/>
      </c>
      <c r="F10" s="13" t="str">
        <f t="shared" si="1"/>
        <v/>
      </c>
      <c r="G10" s="15">
        <v>8423.32</v>
      </c>
      <c r="H10" s="15">
        <f t="shared" si="4"/>
        <v>-2819.3199999999997</v>
      </c>
      <c r="I10" s="16">
        <f t="shared" si="5"/>
        <v>-0.3347041309127517</v>
      </c>
      <c r="J10" s="41" t="s">
        <v>29</v>
      </c>
      <c r="K10" s="41"/>
    </row>
    <row r="11" spans="1:13" ht="15.6">
      <c r="A11" s="52" t="str">
        <v>Kohls - East Brunswick</v>
      </c>
      <c r="B11" s="31" t="str">
        <v>NJ</v>
      </c>
      <c r="C11" s="18">
        <v>21858</v>
      </c>
      <c r="D11" s="18" t="s">
        <v>22</v>
      </c>
      <c r="E11" s="18" t="str">
        <f t="shared" si="0"/>
        <v/>
      </c>
      <c r="F11" s="18" t="str">
        <f t="shared" si="1"/>
        <v/>
      </c>
      <c r="G11" s="20">
        <v>23131.39</v>
      </c>
      <c r="H11" s="20">
        <f t="shared" si="4"/>
        <v>-1273.3899999999994</v>
      </c>
      <c r="I11" s="19">
        <f t="shared" si="5"/>
        <v>-5.505030177607137E-2</v>
      </c>
      <c r="J11" s="42"/>
      <c r="K11" s="42"/>
    </row>
    <row r="12" spans="1:13" ht="15.6">
      <c r="A12" s="53" t="str">
        <v>Kohls - Edgewood</v>
      </c>
      <c r="B12" s="29" t="str">
        <v>MD</v>
      </c>
      <c r="C12" s="13">
        <v>95387</v>
      </c>
      <c r="D12" s="13" t="s">
        <v>22</v>
      </c>
      <c r="E12" s="13" t="str">
        <f t="shared" si="0"/>
        <v/>
      </c>
      <c r="F12" s="13" t="str">
        <f t="shared" si="1"/>
        <v/>
      </c>
      <c r="G12" s="15">
        <v>135284.96</v>
      </c>
      <c r="H12" s="15">
        <f t="shared" si="4"/>
        <v>-39897.959999999992</v>
      </c>
      <c r="I12" s="16">
        <f t="shared" si="5"/>
        <v>-0.29491792731431488</v>
      </c>
      <c r="J12" s="66" t="s">
        <v>29</v>
      </c>
      <c r="K12" s="41"/>
    </row>
    <row r="13" spans="1:13" ht="15.6">
      <c r="A13" s="52" t="str">
        <v>Kohls - Granite Run</v>
      </c>
      <c r="B13" s="31" t="str">
        <v>PA</v>
      </c>
      <c r="C13" s="18">
        <v>12350</v>
      </c>
      <c r="D13" s="18" t="s">
        <v>22</v>
      </c>
      <c r="E13" s="18" t="str">
        <f t="shared" si="0"/>
        <v/>
      </c>
      <c r="F13" s="18" t="str">
        <f t="shared" si="1"/>
        <v/>
      </c>
      <c r="G13" s="20">
        <v>15908.81</v>
      </c>
      <c r="H13" s="20">
        <f t="shared" si="4"/>
        <v>-3558.8099999999995</v>
      </c>
      <c r="I13" s="19">
        <f t="shared" si="5"/>
        <v>-0.22370057848450006</v>
      </c>
      <c r="J13" s="42" t="s">
        <v>29</v>
      </c>
      <c r="K13" s="42"/>
    </row>
    <row r="14" spans="1:13" ht="15.6">
      <c r="A14" s="53" t="str">
        <v>Kohls - Greece</v>
      </c>
      <c r="B14" s="29" t="str">
        <v>NY</v>
      </c>
      <c r="C14" s="13">
        <v>5278</v>
      </c>
      <c r="D14" s="13" t="s">
        <v>22</v>
      </c>
      <c r="E14" s="13" t="str">
        <f t="shared" si="0"/>
        <v/>
      </c>
      <c r="F14" s="13" t="str">
        <f t="shared" si="1"/>
        <v/>
      </c>
      <c r="G14" s="15">
        <v>9358.2099999999991</v>
      </c>
      <c r="H14" s="15">
        <f t="shared" si="4"/>
        <v>-4080.2099999999991</v>
      </c>
      <c r="I14" s="16">
        <f t="shared" si="5"/>
        <v>-0.43600325275880747</v>
      </c>
      <c r="J14" s="41" t="s">
        <v>29</v>
      </c>
      <c r="K14" s="41"/>
    </row>
    <row r="15" spans="1:13" ht="15.6">
      <c r="A15" s="52" t="str">
        <v>Kohls - Hanover</v>
      </c>
      <c r="B15" s="31" t="str">
        <v>PA</v>
      </c>
      <c r="C15" s="18">
        <v>13440</v>
      </c>
      <c r="D15" s="18" t="s">
        <v>22</v>
      </c>
      <c r="E15" s="18" t="str">
        <f t="shared" si="0"/>
        <v/>
      </c>
      <c r="F15" s="18" t="str">
        <f t="shared" si="1"/>
        <v/>
      </c>
      <c r="G15" s="20">
        <v>18746.47</v>
      </c>
      <c r="H15" s="20">
        <f t="shared" si="4"/>
        <v>-5306.4700000000012</v>
      </c>
      <c r="I15" s="19">
        <f t="shared" si="5"/>
        <v>-0.28306502504204795</v>
      </c>
      <c r="J15" s="54" t="s">
        <v>30</v>
      </c>
      <c r="K15" s="98" t="s">
        <v>31</v>
      </c>
      <c r="M15" s="89"/>
    </row>
    <row r="16" spans="1:13" ht="29.1">
      <c r="A16" s="53" t="str">
        <v>Kohls - Horsehead</v>
      </c>
      <c r="B16" s="29" t="str">
        <v>NY</v>
      </c>
      <c r="C16" s="13">
        <v>10616</v>
      </c>
      <c r="D16" s="13" t="s">
        <v>22</v>
      </c>
      <c r="E16" s="13" t="str">
        <f t="shared" ref="E16:E25" si="6">IF(AND(ISNUMBER(C16),ISNUMBER(D16)), C16-D16, "")</f>
        <v/>
      </c>
      <c r="F16" s="13" t="str">
        <f t="shared" si="1"/>
        <v/>
      </c>
      <c r="G16" s="15">
        <v>12681.26</v>
      </c>
      <c r="H16" s="15">
        <f t="shared" ref="H16:H17" si="7">IF(AND(ISNUMBER(C16),ISNUMBER(G16)), C16-G16, "")</f>
        <v>-2065.2600000000002</v>
      </c>
      <c r="I16" s="16">
        <f t="shared" si="5"/>
        <v>-0.16285921115094243</v>
      </c>
      <c r="J16" s="41" t="s">
        <v>32</v>
      </c>
      <c r="K16" s="99" t="s">
        <v>33</v>
      </c>
    </row>
    <row r="17" spans="1:14" ht="15.6">
      <c r="A17" s="52" t="str">
        <v>Kohls - Hudson</v>
      </c>
      <c r="B17" s="30" t="str">
        <v>NY</v>
      </c>
      <c r="C17" s="18">
        <v>11567</v>
      </c>
      <c r="D17" s="18" t="s">
        <v>22</v>
      </c>
      <c r="E17" s="18" t="str">
        <f t="shared" si="6"/>
        <v/>
      </c>
      <c r="F17" s="18" t="str">
        <f t="shared" si="1"/>
        <v/>
      </c>
      <c r="G17" s="20">
        <v>12764.56</v>
      </c>
      <c r="H17" s="20">
        <f t="shared" si="7"/>
        <v>-1197.5599999999995</v>
      </c>
      <c r="I17" s="19">
        <f t="shared" si="5"/>
        <v>-9.3819136734834538E-2</v>
      </c>
      <c r="J17" s="42"/>
      <c r="K17" s="42"/>
    </row>
    <row r="18" spans="1:14" ht="15.6">
      <c r="A18" s="53" t="str">
        <v>Kohls - Ithaca</v>
      </c>
      <c r="B18" s="28" t="str">
        <v>NY</v>
      </c>
      <c r="C18" s="13">
        <v>9275</v>
      </c>
      <c r="D18" s="13" t="s">
        <v>22</v>
      </c>
      <c r="E18" s="13" t="str">
        <f t="shared" si="6"/>
        <v/>
      </c>
      <c r="F18" s="13" t="str">
        <f t="shared" si="1"/>
        <v/>
      </c>
      <c r="G18" s="15">
        <v>11829.67</v>
      </c>
      <c r="H18" s="15">
        <f t="shared" ref="H18:H25" si="8">IF(AND(ISNUMBER(C18),ISNUMBER(G18)), C18-G18, "")</f>
        <v>-2554.67</v>
      </c>
      <c r="I18" s="16">
        <f t="shared" si="5"/>
        <v>-0.21595446026812246</v>
      </c>
      <c r="J18" s="41" t="s">
        <v>29</v>
      </c>
      <c r="K18" s="41"/>
    </row>
    <row r="19" spans="1:14" ht="15.6">
      <c r="A19" s="52" t="str">
        <v>Kohls - Kingston</v>
      </c>
      <c r="B19" s="30" t="str">
        <v>NY</v>
      </c>
      <c r="C19" s="18">
        <v>18271</v>
      </c>
      <c r="D19" s="18" t="s">
        <v>22</v>
      </c>
      <c r="E19" s="18" t="str">
        <f t="shared" si="6"/>
        <v/>
      </c>
      <c r="F19" s="18" t="str">
        <f t="shared" si="1"/>
        <v/>
      </c>
      <c r="G19" s="20">
        <v>22224.6</v>
      </c>
      <c r="H19" s="20">
        <f t="shared" si="8"/>
        <v>-3953.5999999999985</v>
      </c>
      <c r="I19" s="19">
        <f t="shared" si="5"/>
        <v>-0.17789296545269651</v>
      </c>
      <c r="J19" s="42" t="s">
        <v>29</v>
      </c>
      <c r="K19" s="42"/>
    </row>
    <row r="20" spans="1:14" ht="15.6">
      <c r="A20" s="53" t="str">
        <v>Kohls - Mechanicsburg</v>
      </c>
      <c r="B20" s="28" t="str">
        <v>PA</v>
      </c>
      <c r="C20" s="13">
        <v>15891</v>
      </c>
      <c r="D20" s="13" t="s">
        <v>22</v>
      </c>
      <c r="E20" s="13" t="str">
        <f t="shared" si="6"/>
        <v/>
      </c>
      <c r="F20" s="13" t="str">
        <f t="shared" si="1"/>
        <v/>
      </c>
      <c r="G20" s="15">
        <v>21467.31</v>
      </c>
      <c r="H20" s="15">
        <f t="shared" si="8"/>
        <v>-5576.3100000000013</v>
      </c>
      <c r="I20" s="16">
        <f t="shared" si="5"/>
        <v>-0.25975820910957176</v>
      </c>
      <c r="J20" s="41" t="s">
        <v>29</v>
      </c>
      <c r="K20" s="41"/>
    </row>
    <row r="21" spans="1:14" ht="15.6">
      <c r="A21" s="52" t="str">
        <v>Kohls - Middletown</v>
      </c>
      <c r="B21" s="30" t="str">
        <v>NJ</v>
      </c>
      <c r="C21" s="18">
        <v>26770</v>
      </c>
      <c r="D21" s="18" t="s">
        <v>22</v>
      </c>
      <c r="E21" s="18" t="str">
        <f t="shared" si="6"/>
        <v/>
      </c>
      <c r="F21" s="18" t="str">
        <f t="shared" si="1"/>
        <v/>
      </c>
      <c r="G21" s="20">
        <v>29428.37</v>
      </c>
      <c r="H21" s="20">
        <f t="shared" si="8"/>
        <v>-2658.369999999999</v>
      </c>
      <c r="I21" s="19">
        <f t="shared" si="5"/>
        <v>-9.0333579467704095E-2</v>
      </c>
      <c r="J21" s="42"/>
      <c r="K21" s="42"/>
    </row>
    <row r="22" spans="1:14" ht="46.5" customHeight="1">
      <c r="A22" s="53" t="str">
        <v>Kohls - North Amherst</v>
      </c>
      <c r="B22" s="28" t="str">
        <v>NY</v>
      </c>
      <c r="C22" s="13">
        <v>0</v>
      </c>
      <c r="D22" s="13" t="s">
        <v>22</v>
      </c>
      <c r="E22" s="13" t="str">
        <f t="shared" si="6"/>
        <v/>
      </c>
      <c r="F22" s="13" t="str">
        <f t="shared" si="1"/>
        <v/>
      </c>
      <c r="G22" s="15">
        <v>6479.47</v>
      </c>
      <c r="H22" s="15">
        <f t="shared" si="8"/>
        <v>-6479.47</v>
      </c>
      <c r="I22" s="16">
        <f t="shared" si="5"/>
        <v>-1</v>
      </c>
      <c r="J22" s="41" t="s">
        <v>34</v>
      </c>
      <c r="K22" s="99" t="s">
        <v>35</v>
      </c>
      <c r="L22" s="100" t="s">
        <v>36</v>
      </c>
    </row>
    <row r="23" spans="1:14" ht="129.75" customHeight="1">
      <c r="A23" s="52" t="str">
        <v>Kohls - Staten Island</v>
      </c>
      <c r="B23" s="30" t="str">
        <v>NY</v>
      </c>
      <c r="C23" s="18">
        <v>10433</v>
      </c>
      <c r="D23" s="18" t="s">
        <v>22</v>
      </c>
      <c r="E23" s="18" t="str">
        <f t="shared" si="6"/>
        <v/>
      </c>
      <c r="F23" s="18" t="str">
        <f t="shared" si="1"/>
        <v/>
      </c>
      <c r="G23" s="20">
        <v>15368.35</v>
      </c>
      <c r="H23" s="20">
        <f t="shared" si="8"/>
        <v>-4935.3500000000004</v>
      </c>
      <c r="I23" s="19">
        <f t="shared" si="5"/>
        <v>-0.32113727238122508</v>
      </c>
      <c r="J23" s="55" t="s">
        <v>37</v>
      </c>
      <c r="K23" s="101" t="s">
        <v>38</v>
      </c>
      <c r="L23" s="100" t="s">
        <v>39</v>
      </c>
      <c r="M23" s="100" t="s">
        <v>40</v>
      </c>
      <c r="N23" s="100" t="s">
        <v>41</v>
      </c>
    </row>
    <row r="24" spans="1:14" ht="29.1">
      <c r="A24" s="53" t="str">
        <v>Kohls - Warminster</v>
      </c>
      <c r="B24" s="28" t="str">
        <v>PA</v>
      </c>
      <c r="C24" s="13">
        <v>16958</v>
      </c>
      <c r="D24" s="13" t="s">
        <v>22</v>
      </c>
      <c r="E24" s="13" t="str">
        <f t="shared" si="6"/>
        <v/>
      </c>
      <c r="F24" s="13" t="str">
        <f t="shared" si="1"/>
        <v/>
      </c>
      <c r="G24" s="15">
        <v>19404.55</v>
      </c>
      <c r="H24" s="15">
        <f t="shared" si="8"/>
        <v>-2446.5499999999993</v>
      </c>
      <c r="I24" s="16">
        <f t="shared" si="5"/>
        <v>-0.12608125413884885</v>
      </c>
      <c r="J24" s="41" t="s">
        <v>42</v>
      </c>
      <c r="K24" s="99" t="s">
        <v>43</v>
      </c>
    </row>
    <row r="25" spans="1:14" ht="15.6">
      <c r="A25" s="52" t="str">
        <v xml:space="preserve">Kohls - Waterbury </v>
      </c>
      <c r="B25" s="30" t="str">
        <v>CT</v>
      </c>
      <c r="C25" s="18">
        <v>15637</v>
      </c>
      <c r="D25" s="18" t="s">
        <v>22</v>
      </c>
      <c r="E25" s="18" t="str">
        <f t="shared" si="6"/>
        <v/>
      </c>
      <c r="F25" s="18" t="str">
        <f t="shared" si="1"/>
        <v/>
      </c>
      <c r="G25" s="45">
        <v>15296.56</v>
      </c>
      <c r="H25" s="45">
        <f t="shared" si="8"/>
        <v>340.44000000000051</v>
      </c>
      <c r="I25" s="19">
        <f t="shared" si="5"/>
        <v>2.2255984352037354E-2</v>
      </c>
      <c r="J25" s="42"/>
      <c r="K25" s="42"/>
    </row>
    <row r="26" spans="1:14" ht="15.6">
      <c r="A26" s="53" t="str">
        <v>Mojave Water Agency - Headquarters</v>
      </c>
      <c r="B26" s="28" t="str">
        <v>CA</v>
      </c>
      <c r="C26" s="13">
        <v>26762</v>
      </c>
      <c r="D26" s="13" t="s">
        <v>22</v>
      </c>
      <c r="E26" s="13" t="str">
        <f t="shared" ref="E26:E69" si="9">IF(AND(ISNUMBER(C26),ISNUMBER(D26)), C26-D26, "")</f>
        <v/>
      </c>
      <c r="F26" s="13" t="str">
        <f t="shared" ref="F26:F68" si="10">IFERROR(E26/D26, "")</f>
        <v/>
      </c>
      <c r="G26" s="15">
        <v>25853.48</v>
      </c>
      <c r="H26" s="15">
        <f t="shared" ref="H26:H69" si="11">IF(AND(ISNUMBER(C26),ISNUMBER(G26)), C26-G26, "")</f>
        <v>908.52000000000044</v>
      </c>
      <c r="I26" s="16">
        <f t="shared" si="5"/>
        <v>3.5141110597103384E-2</v>
      </c>
      <c r="J26" s="41"/>
      <c r="K26" s="41"/>
    </row>
    <row r="27" spans="1:14" ht="15.6">
      <c r="A27" s="52" t="str">
        <v>CSU - Bakersfield</v>
      </c>
      <c r="B27" s="30" t="str">
        <v>CA</v>
      </c>
      <c r="C27" s="18">
        <v>78098</v>
      </c>
      <c r="D27" s="18" t="s">
        <v>22</v>
      </c>
      <c r="E27" s="18" t="str">
        <f t="shared" si="9"/>
        <v/>
      </c>
      <c r="F27" s="18" t="str">
        <f t="shared" si="10"/>
        <v/>
      </c>
      <c r="G27" s="63">
        <v>60631.17</v>
      </c>
      <c r="H27" s="63">
        <f t="shared" si="11"/>
        <v>17466.830000000002</v>
      </c>
      <c r="I27" s="19">
        <f t="shared" si="5"/>
        <v>0.28808334063155966</v>
      </c>
      <c r="J27" s="42"/>
      <c r="K27" s="42"/>
    </row>
    <row r="28" spans="1:14" ht="15.6">
      <c r="A28" s="53" t="str">
        <v>Greenfield USD - Fairfield ES</v>
      </c>
      <c r="B28" s="28" t="str">
        <v>CA</v>
      </c>
      <c r="C28" s="13">
        <v>9460</v>
      </c>
      <c r="D28" s="13" t="s">
        <v>22</v>
      </c>
      <c r="E28" s="13" t="str">
        <f t="shared" si="9"/>
        <v/>
      </c>
      <c r="F28" s="13" t="str">
        <f t="shared" si="10"/>
        <v/>
      </c>
      <c r="G28" s="15">
        <v>6747.91</v>
      </c>
      <c r="H28" s="64">
        <f t="shared" si="11"/>
        <v>2712.09</v>
      </c>
      <c r="I28" s="16">
        <f t="shared" si="5"/>
        <v>0.40191555607588131</v>
      </c>
      <c r="J28" s="41"/>
      <c r="K28" s="41"/>
    </row>
    <row r="29" spans="1:14" ht="15.6">
      <c r="A29" s="52" t="str">
        <v>Greenfield USD - Granite Point ES</v>
      </c>
      <c r="B29" s="30" t="str">
        <v>CA</v>
      </c>
      <c r="C29" s="18">
        <v>26793</v>
      </c>
      <c r="D29" s="18" t="s">
        <v>22</v>
      </c>
      <c r="E29" s="18" t="str">
        <f t="shared" si="9"/>
        <v/>
      </c>
      <c r="F29" s="18" t="str">
        <f t="shared" si="10"/>
        <v/>
      </c>
      <c r="G29" s="63">
        <v>17651.939999999999</v>
      </c>
      <c r="H29" s="63">
        <f t="shared" si="11"/>
        <v>9141.0600000000013</v>
      </c>
      <c r="I29" s="19">
        <f t="shared" si="5"/>
        <v>0.51785016264501249</v>
      </c>
      <c r="J29" s="42"/>
      <c r="K29" s="42"/>
    </row>
    <row r="30" spans="1:14" ht="43.5">
      <c r="A30" s="53" t="str">
        <v>Greenfield USD - Greenfield MS</v>
      </c>
      <c r="B30" s="28" t="str">
        <v>CA</v>
      </c>
      <c r="C30" s="13">
        <v>14901</v>
      </c>
      <c r="D30" s="13" t="s">
        <v>22</v>
      </c>
      <c r="E30" s="13" t="str">
        <f t="shared" si="9"/>
        <v/>
      </c>
      <c r="F30" s="13" t="str">
        <f t="shared" si="10"/>
        <v/>
      </c>
      <c r="G30" s="15">
        <v>3998.76</v>
      </c>
      <c r="H30" s="15">
        <f t="shared" si="11"/>
        <v>10902.24</v>
      </c>
      <c r="I30" s="16">
        <f t="shared" si="5"/>
        <v>2.726405185607538</v>
      </c>
      <c r="J30" s="41" t="s">
        <v>44</v>
      </c>
      <c r="K30" s="99" t="s">
        <v>45</v>
      </c>
    </row>
    <row r="31" spans="1:14" ht="72.599999999999994">
      <c r="A31" s="52" t="str">
        <v>Greenfield USD - Horizon ES</v>
      </c>
      <c r="B31" s="30" t="str">
        <v>CA</v>
      </c>
      <c r="C31" s="18">
        <v>22359</v>
      </c>
      <c r="D31" s="18" t="s">
        <v>22</v>
      </c>
      <c r="E31" s="18" t="str">
        <f t="shared" si="9"/>
        <v/>
      </c>
      <c r="F31" s="18" t="str">
        <f t="shared" si="10"/>
        <v/>
      </c>
      <c r="G31" s="63">
        <v>17883.349999999999</v>
      </c>
      <c r="H31" s="63">
        <f t="shared" si="11"/>
        <v>4475.6500000000015</v>
      </c>
      <c r="I31" s="19">
        <f t="shared" si="5"/>
        <v>0.25026910506141198</v>
      </c>
      <c r="J31" s="42" t="s">
        <v>46</v>
      </c>
      <c r="K31" s="101" t="s">
        <v>47</v>
      </c>
      <c r="L31" s="100" t="s">
        <v>48</v>
      </c>
    </row>
    <row r="32" spans="1:14" ht="15.6">
      <c r="A32" s="53" t="str">
        <v>Greenfield USD - McKee MS</v>
      </c>
      <c r="B32" s="28" t="str">
        <v>CA</v>
      </c>
      <c r="C32" s="13">
        <v>10808</v>
      </c>
      <c r="D32" s="13" t="s">
        <v>22</v>
      </c>
      <c r="E32" s="13" t="str">
        <f>IF(AND(ISNUMBER(C32),ISNUMBER(D32)), C32-D32, "")</f>
        <v/>
      </c>
      <c r="F32" s="13" t="str">
        <f>IFERROR(E32/D32, "")</f>
        <v/>
      </c>
      <c r="G32" s="15">
        <v>10950.31</v>
      </c>
      <c r="H32" s="15">
        <f t="shared" si="11"/>
        <v>-142.30999999999949</v>
      </c>
      <c r="I32" s="16">
        <f t="shared" si="5"/>
        <v>-1.299597910926718E-2</v>
      </c>
      <c r="J32" s="41"/>
      <c r="K32" s="41"/>
    </row>
    <row r="33" spans="1:14" ht="15.6">
      <c r="A33" s="52" t="str">
        <v>Greenfield USD - Plantation ES</v>
      </c>
      <c r="B33" s="30" t="str">
        <v>CA</v>
      </c>
      <c r="C33" s="18">
        <v>10716</v>
      </c>
      <c r="D33" s="18" t="s">
        <v>22</v>
      </c>
      <c r="E33" s="18" t="str">
        <f>IF(AND(ISNUMBER(C33),ISNUMBER(D33)), C33-D33, "")</f>
        <v/>
      </c>
      <c r="F33" s="18" t="str">
        <f>IFERROR(E33/D33, "")</f>
        <v/>
      </c>
      <c r="G33" s="63">
        <v>7840.16</v>
      </c>
      <c r="H33" s="63">
        <f t="shared" si="11"/>
        <v>2875.84</v>
      </c>
      <c r="I33" s="19">
        <f t="shared" si="5"/>
        <v>0.36680884063590541</v>
      </c>
      <c r="J33" s="42"/>
      <c r="K33" s="42"/>
    </row>
    <row r="34" spans="1:14" ht="15.6">
      <c r="A34" s="53" t="str">
        <v>Greenfield USD - Planz ES</v>
      </c>
      <c r="B34" s="28" t="str">
        <v>CA</v>
      </c>
      <c r="C34" s="13">
        <v>3658</v>
      </c>
      <c r="D34" s="13" t="s">
        <v>22</v>
      </c>
      <c r="E34" s="13" t="str">
        <f t="shared" si="9"/>
        <v/>
      </c>
      <c r="F34" s="13" t="str">
        <f t="shared" si="10"/>
        <v/>
      </c>
      <c r="G34" s="15">
        <v>8710.27</v>
      </c>
      <c r="H34" s="15">
        <f t="shared" si="11"/>
        <v>-5052.2700000000004</v>
      </c>
      <c r="I34" s="16">
        <f t="shared" si="5"/>
        <v>-0.58003598051495531</v>
      </c>
      <c r="J34" s="41" t="s">
        <v>29</v>
      </c>
      <c r="K34" s="41"/>
    </row>
    <row r="35" spans="1:14" ht="15.6">
      <c r="A35" s="52" t="str">
        <v>Greenfield USD - Raffaello Palla ES</v>
      </c>
      <c r="B35" s="30" t="str">
        <v>CA</v>
      </c>
      <c r="C35" s="18">
        <v>25273</v>
      </c>
      <c r="D35" s="18" t="s">
        <v>22</v>
      </c>
      <c r="E35" s="18" t="str">
        <f t="shared" si="9"/>
        <v/>
      </c>
      <c r="F35" s="18" t="str">
        <f t="shared" si="10"/>
        <v/>
      </c>
      <c r="G35" s="63">
        <v>19790.169999999998</v>
      </c>
      <c r="H35" s="63">
        <f t="shared" si="11"/>
        <v>5482.8300000000017</v>
      </c>
      <c r="I35" s="19">
        <f t="shared" si="5"/>
        <v>0.2770481506727836</v>
      </c>
      <c r="J35" s="42"/>
      <c r="K35" s="42"/>
    </row>
    <row r="36" spans="1:14" ht="15.6">
      <c r="A36" s="53" t="str">
        <v>Greenfield USD - Valle Verde ES</v>
      </c>
      <c r="B36" s="28" t="str">
        <v>CA</v>
      </c>
      <c r="C36" s="13">
        <v>27972</v>
      </c>
      <c r="D36" s="13" t="s">
        <v>22</v>
      </c>
      <c r="E36" s="13" t="str">
        <f t="shared" si="9"/>
        <v/>
      </c>
      <c r="F36" s="13" t="str">
        <f t="shared" si="10"/>
        <v/>
      </c>
      <c r="G36" s="15">
        <v>18660.89</v>
      </c>
      <c r="H36" s="15">
        <f t="shared" si="11"/>
        <v>9311.11</v>
      </c>
      <c r="I36" s="16">
        <f t="shared" si="5"/>
        <v>0.49896387578513141</v>
      </c>
      <c r="J36" s="41"/>
      <c r="K36" s="41"/>
    </row>
    <row r="37" spans="1:14" ht="29.1">
      <c r="A37" s="52" t="str">
        <v>Greenfield USD - W.A. Kendrick ES</v>
      </c>
      <c r="B37" s="30" t="str">
        <v>CA</v>
      </c>
      <c r="C37" s="18">
        <v>4765</v>
      </c>
      <c r="D37" s="18" t="s">
        <v>22</v>
      </c>
      <c r="E37" s="18" t="str">
        <f t="shared" si="9"/>
        <v/>
      </c>
      <c r="F37" s="18" t="str">
        <f t="shared" si="10"/>
        <v/>
      </c>
      <c r="G37" s="63">
        <v>7201.47</v>
      </c>
      <c r="H37" s="63">
        <f t="shared" si="11"/>
        <v>-2436.4700000000003</v>
      </c>
      <c r="I37" s="19">
        <f t="shared" si="5"/>
        <v>-0.33832953549761369</v>
      </c>
      <c r="J37" s="42" t="s">
        <v>49</v>
      </c>
      <c r="K37" s="101" t="s">
        <v>50</v>
      </c>
    </row>
    <row r="38" spans="1:14" ht="57.95">
      <c r="A38" s="53" t="str">
        <v>Muroc Joint USD - Boron HS</v>
      </c>
      <c r="B38" s="28" t="str">
        <v>CA</v>
      </c>
      <c r="C38" s="13">
        <v>0</v>
      </c>
      <c r="D38" s="13" t="s">
        <v>22</v>
      </c>
      <c r="E38" s="13" t="str">
        <f t="shared" si="9"/>
        <v/>
      </c>
      <c r="F38" s="13" t="str">
        <f t="shared" si="10"/>
        <v/>
      </c>
      <c r="G38" s="15">
        <v>23613.119999999999</v>
      </c>
      <c r="H38" s="15">
        <f t="shared" si="11"/>
        <v>-23613.119999999999</v>
      </c>
      <c r="I38" s="16">
        <f t="shared" si="5"/>
        <v>-1</v>
      </c>
      <c r="J38" s="41" t="s">
        <v>51</v>
      </c>
      <c r="K38" s="99" t="s">
        <v>52</v>
      </c>
      <c r="L38" s="100" t="s">
        <v>53</v>
      </c>
      <c r="M38" s="100" t="s">
        <v>54</v>
      </c>
    </row>
    <row r="39" spans="1:14" ht="15.6">
      <c r="A39" s="52" t="str">
        <v>Muroc Joint USD - W. Boron ES</v>
      </c>
      <c r="B39" s="30" t="str">
        <v>CA</v>
      </c>
      <c r="C39" s="18">
        <v>9827</v>
      </c>
      <c r="D39" s="18" t="s">
        <v>22</v>
      </c>
      <c r="E39" s="18" t="str">
        <f t="shared" si="9"/>
        <v/>
      </c>
      <c r="F39" s="18" t="str">
        <f t="shared" si="10"/>
        <v/>
      </c>
      <c r="G39" s="63">
        <v>8755.7800000000007</v>
      </c>
      <c r="H39" s="63">
        <f>IF(AND(ISNUMBER(C39),ISNUMBER(G39)), C39-G39, "")</f>
        <v>1071.2199999999993</v>
      </c>
      <c r="I39" s="19">
        <f>IFERROR(H39/G39, "")</f>
        <v>0.12234432569114337</v>
      </c>
      <c r="J39" s="42"/>
      <c r="K39" s="42"/>
    </row>
    <row r="40" spans="1:14" ht="37.5">
      <c r="A40" s="53" t="str">
        <v>Colusa - WTP</v>
      </c>
      <c r="B40" s="28" t="str">
        <v>CA</v>
      </c>
      <c r="C40" s="13">
        <v>0</v>
      </c>
      <c r="D40" s="13" t="s">
        <v>22</v>
      </c>
      <c r="E40" s="13" t="str">
        <f t="shared" si="9"/>
        <v/>
      </c>
      <c r="F40" s="13" t="str">
        <f t="shared" si="10"/>
        <v/>
      </c>
      <c r="G40" s="15">
        <v>17962.439999999999</v>
      </c>
      <c r="H40" s="15">
        <f>IF(AND(ISNUMBER(C40),ISNUMBER(G40)), C40-G40, "")</f>
        <v>-17962.439999999999</v>
      </c>
      <c r="I40" s="16">
        <f>IFERROR(H40/G40, "")</f>
        <v>-1</v>
      </c>
      <c r="J40" s="41" t="s">
        <v>55</v>
      </c>
      <c r="K40" s="102" t="s">
        <v>56</v>
      </c>
      <c r="L40" s="100" t="s">
        <v>57</v>
      </c>
      <c r="M40" s="100" t="s">
        <v>58</v>
      </c>
      <c r="N40" s="100" t="s">
        <v>59</v>
      </c>
    </row>
    <row r="41" spans="1:14" ht="57.95">
      <c r="A41" s="52" t="str">
        <v>CDCR-North Kern State Prision</v>
      </c>
      <c r="B41" s="30" t="str">
        <v>CA</v>
      </c>
      <c r="C41" s="18">
        <v>70021</v>
      </c>
      <c r="D41" s="18" t="s">
        <v>22</v>
      </c>
      <c r="E41" s="18" t="str">
        <f t="shared" si="9"/>
        <v/>
      </c>
      <c r="F41" s="18" t="str">
        <f t="shared" si="10"/>
        <v/>
      </c>
      <c r="G41" s="63">
        <v>80319.850000000006</v>
      </c>
      <c r="H41" s="63">
        <f>IF(AND(ISNUMBER(C41),ISNUMBER(G41)), C41-G41, "")</f>
        <v>-10298.850000000006</v>
      </c>
      <c r="I41" s="19">
        <f>IFERROR(H41/G41, "")</f>
        <v>-0.12822297352397952</v>
      </c>
      <c r="J41" s="42" t="s">
        <v>60</v>
      </c>
      <c r="K41" s="103" t="s">
        <v>61</v>
      </c>
    </row>
    <row r="42" spans="1:14" ht="15.6">
      <c r="A42" s="53" t="str">
        <v>Muroc Joint USD - District Office</v>
      </c>
      <c r="B42" s="28" t="str">
        <v>CA</v>
      </c>
      <c r="C42" s="13">
        <v>4886</v>
      </c>
      <c r="D42" s="13" t="s">
        <v>22</v>
      </c>
      <c r="E42" s="13" t="str">
        <f t="shared" si="9"/>
        <v/>
      </c>
      <c r="F42" s="13" t="str">
        <f t="shared" si="10"/>
        <v/>
      </c>
      <c r="G42" s="15">
        <v>6179.15</v>
      </c>
      <c r="H42" s="15">
        <f t="shared" si="11"/>
        <v>-1293.1499999999996</v>
      </c>
      <c r="I42" s="16">
        <f t="shared" si="5"/>
        <v>-0.20927635678046327</v>
      </c>
      <c r="J42" s="41" t="s">
        <v>29</v>
      </c>
      <c r="K42" s="41"/>
    </row>
    <row r="43" spans="1:14" ht="29.1">
      <c r="A43" s="52" t="str">
        <v>Whole Foods - Manhattan Beach</v>
      </c>
      <c r="B43" s="30" t="str">
        <v>CA</v>
      </c>
      <c r="C43" s="18">
        <v>11385</v>
      </c>
      <c r="D43" s="18" t="s">
        <v>22</v>
      </c>
      <c r="E43" s="18" t="str">
        <f t="shared" si="9"/>
        <v/>
      </c>
      <c r="F43" s="18" t="str">
        <f t="shared" si="10"/>
        <v/>
      </c>
      <c r="G43" s="63">
        <v>13787.4</v>
      </c>
      <c r="H43" s="63">
        <f t="shared" si="11"/>
        <v>-2402.3999999999996</v>
      </c>
      <c r="I43" s="19">
        <f t="shared" si="5"/>
        <v>-0.17424605074198179</v>
      </c>
      <c r="J43" s="55" t="s">
        <v>62</v>
      </c>
      <c r="K43" s="101" t="s">
        <v>63</v>
      </c>
      <c r="L43" s="100" t="s">
        <v>64</v>
      </c>
    </row>
    <row r="44" spans="1:14" ht="29.1">
      <c r="A44" s="53" t="str">
        <v>Pioneer USD - Frontier ES</v>
      </c>
      <c r="B44" s="28" t="str">
        <v>CA</v>
      </c>
      <c r="C44" s="13">
        <v>21344</v>
      </c>
      <c r="D44" s="13" t="s">
        <v>22</v>
      </c>
      <c r="E44" s="13" t="str">
        <f t="shared" si="9"/>
        <v/>
      </c>
      <c r="F44" s="13" t="str">
        <f t="shared" si="10"/>
        <v/>
      </c>
      <c r="G44" s="15">
        <v>11836.7</v>
      </c>
      <c r="H44" s="15">
        <f t="shared" si="11"/>
        <v>9507.2999999999993</v>
      </c>
      <c r="I44" s="16">
        <f t="shared" si="5"/>
        <v>0.80320528525687052</v>
      </c>
      <c r="J44" s="41" t="s">
        <v>65</v>
      </c>
      <c r="K44" s="99" t="s">
        <v>66</v>
      </c>
    </row>
    <row r="45" spans="1:14" ht="87">
      <c r="A45" s="52" t="str">
        <v>Pioneer USD - Pioneer ES</v>
      </c>
      <c r="B45" s="30" t="str">
        <v>CA</v>
      </c>
      <c r="C45" s="18">
        <v>11680</v>
      </c>
      <c r="D45" s="18" t="s">
        <v>22</v>
      </c>
      <c r="E45" s="18" t="str">
        <f t="shared" si="9"/>
        <v/>
      </c>
      <c r="F45" s="18" t="str">
        <f t="shared" si="10"/>
        <v/>
      </c>
      <c r="G45" s="63">
        <v>11671.1</v>
      </c>
      <c r="H45" s="63">
        <f t="shared" si="11"/>
        <v>8.8999999999996362</v>
      </c>
      <c r="I45" s="19">
        <f t="shared" si="5"/>
        <v>7.6256736725755381E-4</v>
      </c>
      <c r="J45" s="114" t="s">
        <v>67</v>
      </c>
      <c r="K45" s="101" t="s">
        <v>68</v>
      </c>
      <c r="L45" s="100" t="s">
        <v>69</v>
      </c>
      <c r="M45" s="100" t="s">
        <v>70</v>
      </c>
      <c r="N45" s="100" t="s">
        <v>71</v>
      </c>
    </row>
    <row r="46" spans="1:14" ht="43.5">
      <c r="A46" s="53" t="str">
        <v>Pioneer USD - Pioneer MS</v>
      </c>
      <c r="B46" s="28" t="str">
        <v>CA</v>
      </c>
      <c r="C46" s="13">
        <v>29750</v>
      </c>
      <c r="D46" s="13" t="s">
        <v>22</v>
      </c>
      <c r="E46" s="13" t="str">
        <f t="shared" si="9"/>
        <v/>
      </c>
      <c r="F46" s="13" t="str">
        <f t="shared" si="10"/>
        <v/>
      </c>
      <c r="G46" s="15">
        <v>15852.46</v>
      </c>
      <c r="H46" s="15">
        <f t="shared" si="11"/>
        <v>13897.54</v>
      </c>
      <c r="I46" s="16">
        <f t="shared" si="5"/>
        <v>0.87668033857205774</v>
      </c>
      <c r="J46" s="85" t="s">
        <v>72</v>
      </c>
      <c r="K46" s="102" t="s">
        <v>73</v>
      </c>
      <c r="L46" s="100" t="s">
        <v>74</v>
      </c>
    </row>
    <row r="47" spans="1:14" ht="101.45">
      <c r="A47" s="52" t="str">
        <v>Kingsburg Joint UHSD - Kingsburg HS</v>
      </c>
      <c r="B47" s="30" t="str">
        <v>CA</v>
      </c>
      <c r="C47" s="18">
        <v>49408</v>
      </c>
      <c r="D47" s="18" t="s">
        <v>22</v>
      </c>
      <c r="E47" s="18" t="str">
        <f t="shared" si="9"/>
        <v/>
      </c>
      <c r="F47" s="18" t="str">
        <f t="shared" si="10"/>
        <v/>
      </c>
      <c r="G47" s="63">
        <v>35650.53</v>
      </c>
      <c r="H47" s="63">
        <f t="shared" si="11"/>
        <v>13757.470000000001</v>
      </c>
      <c r="I47" s="19">
        <f t="shared" si="5"/>
        <v>0.38589804976251407</v>
      </c>
      <c r="J47" s="114" t="s">
        <v>75</v>
      </c>
      <c r="K47" s="101" t="s">
        <v>76</v>
      </c>
      <c r="L47" s="100" t="s">
        <v>77</v>
      </c>
      <c r="M47" s="100" t="s">
        <v>78</v>
      </c>
    </row>
    <row r="48" spans="1:14" ht="108" customHeight="1">
      <c r="A48" s="53" t="str">
        <v>CADRB</v>
      </c>
      <c r="B48" s="28" t="str">
        <v>CA</v>
      </c>
      <c r="C48" s="13">
        <v>0</v>
      </c>
      <c r="D48" s="13" t="s">
        <v>22</v>
      </c>
      <c r="E48" s="13" t="str">
        <f t="shared" si="9"/>
        <v/>
      </c>
      <c r="F48" s="13" t="str">
        <f t="shared" si="10"/>
        <v/>
      </c>
      <c r="G48" s="15">
        <v>406484</v>
      </c>
      <c r="H48" s="15">
        <f t="shared" si="11"/>
        <v>-406484</v>
      </c>
      <c r="I48" s="16">
        <f t="shared" si="5"/>
        <v>-1</v>
      </c>
      <c r="J48" s="85" t="s">
        <v>79</v>
      </c>
      <c r="K48" s="102" t="s">
        <v>80</v>
      </c>
      <c r="L48" s="100" t="s">
        <v>81</v>
      </c>
      <c r="M48" s="100" t="s">
        <v>82</v>
      </c>
    </row>
    <row r="49" spans="1:14" ht="15.6">
      <c r="A49" s="52" t="str">
        <v>CDCR-CA State Prison LA County</v>
      </c>
      <c r="B49" s="30" t="str">
        <v>CA</v>
      </c>
      <c r="C49" s="18">
        <v>150767</v>
      </c>
      <c r="D49" s="18" t="s">
        <v>22</v>
      </c>
      <c r="E49" s="18" t="str">
        <f t="shared" si="9"/>
        <v/>
      </c>
      <c r="F49" s="18" t="str">
        <f t="shared" si="10"/>
        <v/>
      </c>
      <c r="G49" s="63">
        <v>268670.39</v>
      </c>
      <c r="H49" s="63">
        <f t="shared" si="11"/>
        <v>-117903.39000000001</v>
      </c>
      <c r="I49" s="19">
        <f t="shared" si="5"/>
        <v>-0.43884028306952622</v>
      </c>
      <c r="J49" s="42" t="s">
        <v>29</v>
      </c>
      <c r="K49" s="42"/>
    </row>
    <row r="50" spans="1:14" ht="15.6">
      <c r="A50" s="53" t="str">
        <v>Central USD Akers ES</v>
      </c>
      <c r="B50" s="28" t="str">
        <v>CA</v>
      </c>
      <c r="C50" s="13">
        <v>78098</v>
      </c>
      <c r="D50" s="13" t="s">
        <v>22</v>
      </c>
      <c r="E50" s="13" t="str">
        <f t="shared" si="9"/>
        <v/>
      </c>
      <c r="F50" s="13" t="str">
        <f t="shared" si="10"/>
        <v/>
      </c>
      <c r="G50" s="15">
        <v>13113.65</v>
      </c>
      <c r="H50" s="15">
        <f t="shared" si="11"/>
        <v>64984.35</v>
      </c>
      <c r="I50" s="16">
        <f t="shared" si="5"/>
        <v>4.9554738764569741</v>
      </c>
      <c r="J50" s="41" t="s">
        <v>83</v>
      </c>
      <c r="K50" s="99" t="s">
        <v>84</v>
      </c>
    </row>
    <row r="51" spans="1:14" ht="29.1">
      <c r="A51" s="52" t="str">
        <v>CUSD - District Office</v>
      </c>
      <c r="B51" s="30" t="str">
        <v>CA</v>
      </c>
      <c r="C51" s="18">
        <v>14514</v>
      </c>
      <c r="D51" s="18" t="s">
        <v>22</v>
      </c>
      <c r="E51" s="18" t="str">
        <f t="shared" si="9"/>
        <v/>
      </c>
      <c r="F51" s="18" t="str">
        <f t="shared" si="10"/>
        <v/>
      </c>
      <c r="G51" s="63">
        <v>10069.4</v>
      </c>
      <c r="H51" s="63">
        <f t="shared" si="11"/>
        <v>4444.6000000000004</v>
      </c>
      <c r="I51" s="19">
        <f t="shared" si="5"/>
        <v>0.44139670685443033</v>
      </c>
      <c r="J51" s="55" t="s">
        <v>85</v>
      </c>
      <c r="K51" s="101" t="s">
        <v>86</v>
      </c>
    </row>
    <row r="52" spans="1:14" ht="15.6">
      <c r="A52" s="53" t="str">
        <v>Parlier - WTP</v>
      </c>
      <c r="B52" s="28" t="str">
        <v>CA</v>
      </c>
      <c r="C52" s="13">
        <v>23899</v>
      </c>
      <c r="D52" s="13" t="s">
        <v>22</v>
      </c>
      <c r="E52" s="13" t="str">
        <f t="shared" si="9"/>
        <v/>
      </c>
      <c r="F52" s="13" t="str">
        <f t="shared" si="10"/>
        <v/>
      </c>
      <c r="G52" s="15">
        <v>24216.44</v>
      </c>
      <c r="H52" s="15">
        <f t="shared" si="11"/>
        <v>-317.43999999999869</v>
      </c>
      <c r="I52" s="16">
        <f t="shared" si="5"/>
        <v>-1.3108450292445905E-2</v>
      </c>
      <c r="J52" s="41"/>
      <c r="K52" s="41"/>
    </row>
    <row r="53" spans="1:14" ht="41.25" customHeight="1">
      <c r="A53" s="52" t="str">
        <v>Snowline SD - Quail Valley MS</v>
      </c>
      <c r="B53" s="30" t="str">
        <v>CA</v>
      </c>
      <c r="C53" s="18">
        <v>16364</v>
      </c>
      <c r="D53" s="18" t="s">
        <v>22</v>
      </c>
      <c r="E53" s="18" t="str">
        <f t="shared" si="9"/>
        <v/>
      </c>
      <c r="F53" s="18" t="str">
        <f t="shared" si="10"/>
        <v/>
      </c>
      <c r="G53" s="63">
        <v>23575.7</v>
      </c>
      <c r="H53" s="63">
        <f t="shared" si="11"/>
        <v>-7211.7000000000007</v>
      </c>
      <c r="I53" s="19">
        <f t="shared" si="5"/>
        <v>-0.30589547712263054</v>
      </c>
      <c r="J53" s="42" t="s">
        <v>87</v>
      </c>
      <c r="K53" s="104" t="s">
        <v>88</v>
      </c>
      <c r="L53" s="100" t="s">
        <v>89</v>
      </c>
      <c r="M53" s="100" t="s">
        <v>90</v>
      </c>
    </row>
    <row r="54" spans="1:14" ht="15.6">
      <c r="A54" s="53" t="str">
        <v>Snowline SD - Serrano HS - Middle Lot</v>
      </c>
      <c r="B54" s="28" t="str">
        <v>CA</v>
      </c>
      <c r="C54" s="13">
        <v>16158</v>
      </c>
      <c r="D54" s="13" t="s">
        <v>22</v>
      </c>
      <c r="E54" s="13" t="str">
        <f t="shared" si="9"/>
        <v/>
      </c>
      <c r="F54" s="13" t="str">
        <f t="shared" si="10"/>
        <v/>
      </c>
      <c r="G54" s="15">
        <v>26660.720000000001</v>
      </c>
      <c r="H54" s="15">
        <f t="shared" si="11"/>
        <v>-10502.720000000001</v>
      </c>
      <c r="I54" s="16">
        <f t="shared" si="5"/>
        <v>-0.39393984858623476</v>
      </c>
      <c r="J54" s="41" t="s">
        <v>29</v>
      </c>
      <c r="K54" s="41"/>
    </row>
    <row r="55" spans="1:14" ht="15.6">
      <c r="A55" s="52" t="str">
        <v>Snowline SD - Pinon Hills ES</v>
      </c>
      <c r="B55" s="30" t="str">
        <v>CA</v>
      </c>
      <c r="C55" s="18">
        <v>8792</v>
      </c>
      <c r="D55" s="18" t="s">
        <v>22</v>
      </c>
      <c r="E55" s="18" t="str">
        <f t="shared" si="9"/>
        <v/>
      </c>
      <c r="F55" s="18" t="str">
        <f t="shared" si="10"/>
        <v/>
      </c>
      <c r="G55" s="63">
        <v>15043.89</v>
      </c>
      <c r="H55" s="63">
        <f t="shared" si="11"/>
        <v>-6251.8899999999994</v>
      </c>
      <c r="I55" s="19">
        <f t="shared" si="5"/>
        <v>-0.41557668927385133</v>
      </c>
      <c r="J55" s="114" t="s">
        <v>91</v>
      </c>
      <c r="K55" s="101" t="s">
        <v>92</v>
      </c>
    </row>
    <row r="56" spans="1:14" ht="15.6">
      <c r="A56" s="53" t="str">
        <v>Ramona - Santa Maria WTP</v>
      </c>
      <c r="B56" s="28" t="str">
        <v>CA</v>
      </c>
      <c r="C56" s="13">
        <v>53256</v>
      </c>
      <c r="D56" s="13" t="s">
        <v>22</v>
      </c>
      <c r="E56" s="13" t="str">
        <f t="shared" si="9"/>
        <v/>
      </c>
      <c r="F56" s="13" t="str">
        <f t="shared" si="10"/>
        <v/>
      </c>
      <c r="G56" s="15">
        <v>57557.78</v>
      </c>
      <c r="H56" s="15">
        <f t="shared" si="11"/>
        <v>-4301.7799999999988</v>
      </c>
      <c r="I56" s="16">
        <f t="shared" si="5"/>
        <v>-7.4738462810761616E-2</v>
      </c>
      <c r="J56" s="41"/>
      <c r="K56" s="41"/>
    </row>
    <row r="57" spans="1:14" ht="29.1">
      <c r="A57" s="52" t="str">
        <v>Kohls - Redding</v>
      </c>
      <c r="B57" s="30" t="str">
        <v>CA</v>
      </c>
      <c r="C57" s="18">
        <v>18846</v>
      </c>
      <c r="D57" s="18" t="s">
        <v>22</v>
      </c>
      <c r="E57" s="18" t="str">
        <f t="shared" si="9"/>
        <v/>
      </c>
      <c r="F57" s="18" t="str">
        <f t="shared" si="10"/>
        <v/>
      </c>
      <c r="G57" s="63">
        <v>12772.68</v>
      </c>
      <c r="H57" s="63">
        <f t="shared" si="11"/>
        <v>6073.32</v>
      </c>
      <c r="I57" s="19">
        <f t="shared" si="5"/>
        <v>0.47549300538336509</v>
      </c>
      <c r="J57" s="42" t="s">
        <v>93</v>
      </c>
      <c r="K57" s="101" t="s">
        <v>94</v>
      </c>
      <c r="L57" s="100" t="s">
        <v>95</v>
      </c>
    </row>
    <row r="58" spans="1:14" ht="43.5">
      <c r="A58" s="53" t="str">
        <v>Kohls - Salinas</v>
      </c>
      <c r="B58" s="28" t="str">
        <v>CA</v>
      </c>
      <c r="C58" s="13">
        <v>23064</v>
      </c>
      <c r="D58" s="13" t="s">
        <v>22</v>
      </c>
      <c r="E58" s="13" t="str">
        <f t="shared" si="9"/>
        <v/>
      </c>
      <c r="F58" s="13" t="str">
        <f t="shared" si="10"/>
        <v/>
      </c>
      <c r="G58" s="15">
        <v>24339.35</v>
      </c>
      <c r="H58" s="15">
        <f t="shared" si="11"/>
        <v>-1275.3499999999985</v>
      </c>
      <c r="I58" s="16">
        <f t="shared" si="5"/>
        <v>-5.2398687721734498E-2</v>
      </c>
      <c r="J58" s="41" t="s">
        <v>96</v>
      </c>
      <c r="K58" s="99" t="s">
        <v>97</v>
      </c>
      <c r="L58" s="100" t="s">
        <v>98</v>
      </c>
      <c r="M58" s="100" t="s">
        <v>99</v>
      </c>
      <c r="N58" s="100" t="s">
        <v>100</v>
      </c>
    </row>
    <row r="59" spans="1:14" ht="15.6">
      <c r="A59" s="52" t="str">
        <v>Kohls - San Bernardino - Central</v>
      </c>
      <c r="B59" s="30" t="str">
        <v>CA</v>
      </c>
      <c r="C59" s="18">
        <v>95820</v>
      </c>
      <c r="D59" s="18" t="s">
        <v>22</v>
      </c>
      <c r="E59" s="18" t="str">
        <f t="shared" si="9"/>
        <v/>
      </c>
      <c r="F59" s="18" t="str">
        <f t="shared" si="10"/>
        <v/>
      </c>
      <c r="G59" s="63">
        <v>110379.13</v>
      </c>
      <c r="H59" s="63">
        <f t="shared" si="11"/>
        <v>-14559.130000000005</v>
      </c>
      <c r="I59" s="19">
        <f t="shared" si="5"/>
        <v>-0.13190111210334785</v>
      </c>
      <c r="J59" s="42"/>
      <c r="K59" s="42"/>
    </row>
    <row r="60" spans="1:14" ht="96" customHeight="1">
      <c r="A60" s="53" t="str">
        <v>Kohls - Sonora</v>
      </c>
      <c r="B60" s="28" t="str">
        <v>CA</v>
      </c>
      <c r="C60" s="13">
        <v>18576</v>
      </c>
      <c r="D60" s="13" t="s">
        <v>22</v>
      </c>
      <c r="E60" s="13" t="str">
        <f t="shared" si="9"/>
        <v/>
      </c>
      <c r="F60" s="13" t="str">
        <f t="shared" si="10"/>
        <v/>
      </c>
      <c r="G60" s="15">
        <v>14667.03</v>
      </c>
      <c r="H60" s="15">
        <f t="shared" si="11"/>
        <v>3908.9699999999993</v>
      </c>
      <c r="I60" s="16">
        <f t="shared" si="5"/>
        <v>0.26651407953757505</v>
      </c>
      <c r="J60" s="41" t="s">
        <v>101</v>
      </c>
      <c r="K60" s="99" t="s">
        <v>102</v>
      </c>
      <c r="L60" s="100" t="s">
        <v>103</v>
      </c>
      <c r="M60" s="100" t="s">
        <v>103</v>
      </c>
    </row>
    <row r="61" spans="1:14" ht="15.6">
      <c r="A61" s="52" t="str">
        <v>CUSD - Stratford ES</v>
      </c>
      <c r="B61" s="30" t="str">
        <v>CA</v>
      </c>
      <c r="C61" s="18">
        <v>18529</v>
      </c>
      <c r="D61" s="18" t="s">
        <v>22</v>
      </c>
      <c r="E61" s="18" t="str">
        <f t="shared" si="9"/>
        <v/>
      </c>
      <c r="F61" s="18" t="str">
        <f t="shared" si="10"/>
        <v/>
      </c>
      <c r="G61" s="63">
        <v>8792.68</v>
      </c>
      <c r="H61" s="63">
        <f t="shared" si="11"/>
        <v>9736.32</v>
      </c>
      <c r="I61" s="19">
        <f t="shared" si="5"/>
        <v>1.1073210898156194</v>
      </c>
      <c r="J61" s="42"/>
      <c r="K61" s="42"/>
    </row>
    <row r="62" spans="1:14" ht="15.6">
      <c r="A62" s="53" t="str">
        <v>Taft - City Hall</v>
      </c>
      <c r="B62" s="28" t="str">
        <v>CA</v>
      </c>
      <c r="C62" s="13">
        <v>1973</v>
      </c>
      <c r="D62" s="13" t="s">
        <v>22</v>
      </c>
      <c r="E62" s="13" t="str">
        <f t="shared" si="9"/>
        <v/>
      </c>
      <c r="F62" s="13" t="str">
        <f t="shared" si="10"/>
        <v/>
      </c>
      <c r="G62" s="15">
        <v>4140.82</v>
      </c>
      <c r="H62" s="15">
        <f t="shared" si="11"/>
        <v>-2167.8199999999997</v>
      </c>
      <c r="I62" s="16">
        <f t="shared" si="5"/>
        <v>-0.52352432609966137</v>
      </c>
      <c r="J62" s="41" t="s">
        <v>29</v>
      </c>
      <c r="K62" s="41"/>
    </row>
    <row r="63" spans="1:14" ht="15.6">
      <c r="A63" s="52" t="str">
        <v>Taft - Federal Prison</v>
      </c>
      <c r="B63" s="30" t="str">
        <v>CA</v>
      </c>
      <c r="C63" s="18">
        <v>12852</v>
      </c>
      <c r="D63" s="18" t="s">
        <v>22</v>
      </c>
      <c r="E63" s="18" t="str">
        <f t="shared" si="9"/>
        <v/>
      </c>
      <c r="F63" s="18" t="str">
        <f t="shared" si="10"/>
        <v/>
      </c>
      <c r="G63" s="63">
        <v>7409.35</v>
      </c>
      <c r="H63" s="63">
        <f t="shared" si="11"/>
        <v>5442.65</v>
      </c>
      <c r="I63" s="19">
        <f t="shared" si="5"/>
        <v>0.73456511029982374</v>
      </c>
      <c r="J63" s="42"/>
      <c r="K63" s="42"/>
    </row>
    <row r="64" spans="1:14" ht="15.6">
      <c r="A64" s="53" t="str">
        <v>Taft - Police Department</v>
      </c>
      <c r="B64" s="28" t="str">
        <v>CA</v>
      </c>
      <c r="C64" s="13">
        <v>7664</v>
      </c>
      <c r="D64" s="13" t="s">
        <v>22</v>
      </c>
      <c r="E64" s="13" t="str">
        <f t="shared" si="9"/>
        <v/>
      </c>
      <c r="F64" s="13" t="str">
        <f t="shared" si="10"/>
        <v/>
      </c>
      <c r="G64" s="15">
        <v>4765.84</v>
      </c>
      <c r="H64" s="15">
        <f t="shared" si="11"/>
        <v>2898.16</v>
      </c>
      <c r="I64" s="16">
        <f t="shared" si="5"/>
        <v>0.60811105702247659</v>
      </c>
      <c r="J64" s="41"/>
      <c r="K64" s="105"/>
    </row>
    <row r="65" spans="1:13" ht="28.9" customHeight="1">
      <c r="A65" s="52" t="str">
        <v>Taft - WTP</v>
      </c>
      <c r="B65" s="30" t="str">
        <v>CA</v>
      </c>
      <c r="C65" s="18">
        <v>0</v>
      </c>
      <c r="D65" s="18" t="s">
        <v>22</v>
      </c>
      <c r="E65" s="18" t="str">
        <f t="shared" si="9"/>
        <v/>
      </c>
      <c r="F65" s="18" t="str">
        <f t="shared" si="10"/>
        <v/>
      </c>
      <c r="G65" s="63">
        <v>4140.82</v>
      </c>
      <c r="H65" s="63">
        <f t="shared" si="11"/>
        <v>-4140.82</v>
      </c>
      <c r="I65" s="19">
        <f t="shared" si="5"/>
        <v>-1</v>
      </c>
      <c r="J65" s="42" t="s">
        <v>104</v>
      </c>
      <c r="K65" s="106" t="s">
        <v>105</v>
      </c>
      <c r="L65" s="100" t="s">
        <v>106</v>
      </c>
    </row>
    <row r="66" spans="1:13" ht="57.95">
      <c r="A66" s="53" t="str">
        <v>CDCR - CA Correctional Institution</v>
      </c>
      <c r="B66" s="28" t="str">
        <v>CA</v>
      </c>
      <c r="C66" s="13">
        <v>128121</v>
      </c>
      <c r="D66" s="13" t="s">
        <v>22</v>
      </c>
      <c r="E66" s="13" t="str">
        <f t="shared" si="9"/>
        <v/>
      </c>
      <c r="F66" s="13" t="str">
        <f t="shared" si="10"/>
        <v/>
      </c>
      <c r="G66" s="15">
        <v>106071.03</v>
      </c>
      <c r="H66" s="15">
        <f t="shared" si="11"/>
        <v>22049.97</v>
      </c>
      <c r="I66" s="16">
        <f t="shared" si="5"/>
        <v>0.20787928617267129</v>
      </c>
      <c r="J66" s="41" t="s">
        <v>107</v>
      </c>
      <c r="K66" s="99" t="s">
        <v>108</v>
      </c>
      <c r="L66" s="100" t="s">
        <v>109</v>
      </c>
      <c r="M66" s="100" t="s">
        <v>110</v>
      </c>
    </row>
    <row r="67" spans="1:13" ht="45" customHeight="1">
      <c r="A67" s="52" t="str">
        <v>CDCR - CA Correctional Institution II</v>
      </c>
      <c r="B67" s="30" t="str">
        <v>CA</v>
      </c>
      <c r="C67" s="18">
        <v>110462</v>
      </c>
      <c r="D67" s="18" t="s">
        <v>22</v>
      </c>
      <c r="E67" s="18" t="str">
        <f t="shared" si="9"/>
        <v/>
      </c>
      <c r="F67" s="18" t="str">
        <f t="shared" si="10"/>
        <v/>
      </c>
      <c r="G67" s="63">
        <v>166152.23000000001</v>
      </c>
      <c r="H67" s="63">
        <f t="shared" si="11"/>
        <v>-55690.23000000001</v>
      </c>
      <c r="I67" s="19">
        <f t="shared" si="5"/>
        <v>-0.33517594076227569</v>
      </c>
      <c r="J67" s="55" t="s">
        <v>111</v>
      </c>
      <c r="K67" s="101" t="s">
        <v>112</v>
      </c>
      <c r="L67" s="100" t="s">
        <v>113</v>
      </c>
      <c r="M67" s="100" t="s">
        <v>114</v>
      </c>
    </row>
    <row r="68" spans="1:13" ht="15.6">
      <c r="A68" s="53" t="str">
        <v>Snowline SD - Vista Verde ES</v>
      </c>
      <c r="B68" s="28" t="str">
        <v>CA</v>
      </c>
      <c r="C68" s="13">
        <v>16688</v>
      </c>
      <c r="D68" s="13" t="s">
        <v>22</v>
      </c>
      <c r="E68" s="13" t="str">
        <f t="shared" si="9"/>
        <v/>
      </c>
      <c r="F68" s="13" t="str">
        <f t="shared" si="10"/>
        <v/>
      </c>
      <c r="G68" s="15">
        <v>17008.64</v>
      </c>
      <c r="H68" s="15">
        <f t="shared" si="11"/>
        <v>-320.63999999999942</v>
      </c>
      <c r="I68" s="16">
        <f t="shared" si="5"/>
        <v>-1.8851595424443073E-2</v>
      </c>
      <c r="J68" s="41"/>
      <c r="K68" s="41"/>
    </row>
    <row r="69" spans="1:13" ht="29.1">
      <c r="A69" s="52" t="str">
        <v>North Stonington</v>
      </c>
      <c r="B69" s="30" t="str">
        <v>CT</v>
      </c>
      <c r="C69" s="18">
        <v>730070</v>
      </c>
      <c r="D69" s="18" t="s">
        <v>22</v>
      </c>
      <c r="E69" s="18" t="str">
        <f t="shared" si="9"/>
        <v/>
      </c>
      <c r="F69" s="18"/>
      <c r="G69" s="63">
        <v>0</v>
      </c>
      <c r="H69" s="63">
        <f t="shared" si="11"/>
        <v>730070</v>
      </c>
      <c r="I69" s="19" t="str">
        <f t="shared" si="5"/>
        <v/>
      </c>
      <c r="J69" s="55" t="s">
        <v>115</v>
      </c>
      <c r="K69" s="101" t="s">
        <v>116</v>
      </c>
      <c r="L69" s="100"/>
      <c r="M69" s="100"/>
    </row>
    <row r="70" spans="1:13" ht="14.45">
      <c r="A70" s="21"/>
      <c r="B70" s="33"/>
      <c r="C70" s="21"/>
      <c r="D70" s="21"/>
      <c r="E70" s="21"/>
      <c r="F70" s="22"/>
      <c r="G70" s="21"/>
      <c r="H70" s="21"/>
      <c r="I70" s="22"/>
      <c r="J70" s="21"/>
      <c r="K70" s="21"/>
    </row>
    <row r="71" spans="1:13" ht="14.45">
      <c r="A71" s="21"/>
      <c r="B71" s="33"/>
      <c r="C71" s="21"/>
      <c r="D71" s="21"/>
      <c r="E71" s="21"/>
      <c r="F71" s="22"/>
      <c r="G71" s="21"/>
      <c r="H71" s="21"/>
      <c r="I71" s="22"/>
      <c r="J71" s="21"/>
      <c r="K71" s="21"/>
    </row>
    <row r="72" spans="1:13" ht="14.45">
      <c r="A72" s="21"/>
      <c r="B72" s="33"/>
      <c r="C72" s="21"/>
      <c r="D72" s="21"/>
      <c r="E72" s="21"/>
      <c r="F72" s="22"/>
      <c r="G72" s="21"/>
      <c r="H72" s="21"/>
      <c r="I72" s="22"/>
      <c r="J72" s="21"/>
      <c r="K72" s="21"/>
    </row>
    <row r="73" spans="1:13" ht="14.45">
      <c r="A73" s="21"/>
      <c r="B73" s="33"/>
      <c r="C73" s="21"/>
      <c r="D73" s="21"/>
      <c r="E73" s="21"/>
      <c r="F73" s="22"/>
      <c r="G73" s="21"/>
      <c r="H73" s="21"/>
      <c r="I73" s="22"/>
      <c r="J73" s="21"/>
      <c r="K73" s="21"/>
    </row>
    <row r="74" spans="1:13" ht="14.45">
      <c r="A74" s="21"/>
      <c r="B74" s="33"/>
      <c r="C74" s="21"/>
      <c r="D74" s="21"/>
      <c r="E74" s="21"/>
      <c r="F74" s="22"/>
      <c r="G74" s="21"/>
      <c r="H74" s="21"/>
      <c r="I74" s="22"/>
      <c r="J74" s="21"/>
      <c r="K74" s="21"/>
    </row>
    <row r="75" spans="1:13" ht="14.45">
      <c r="A75" s="21"/>
      <c r="B75" s="33"/>
      <c r="C75" s="21"/>
      <c r="D75" s="21"/>
      <c r="E75" s="21"/>
      <c r="F75" s="22"/>
      <c r="G75" s="21"/>
      <c r="H75" s="21"/>
      <c r="I75" s="22"/>
      <c r="J75" s="21"/>
      <c r="K75" s="21"/>
    </row>
    <row r="76" spans="1:13" ht="14.45">
      <c r="A76" s="21"/>
      <c r="B76" s="33"/>
      <c r="C76" s="21"/>
      <c r="D76" s="21"/>
      <c r="E76" s="21"/>
      <c r="F76" s="22"/>
      <c r="G76" s="21"/>
      <c r="H76" s="21"/>
      <c r="I76" s="22"/>
      <c r="J76" s="21"/>
      <c r="K76" s="21"/>
    </row>
    <row r="77" spans="1:13" ht="14.45">
      <c r="A77" s="21"/>
      <c r="B77" s="33"/>
      <c r="C77" s="21"/>
      <c r="D77" s="21"/>
      <c r="E77" s="21"/>
      <c r="F77" s="22"/>
      <c r="G77" s="21"/>
      <c r="H77" s="21"/>
      <c r="I77" s="22"/>
      <c r="J77" s="21"/>
      <c r="K77" s="21"/>
    </row>
    <row r="78" spans="1:13" ht="14.45">
      <c r="A78" s="21"/>
      <c r="B78" s="33"/>
      <c r="C78" s="21"/>
      <c r="D78" s="21"/>
      <c r="E78" s="21"/>
      <c r="F78" s="22"/>
      <c r="G78" s="18"/>
      <c r="H78" s="21"/>
      <c r="I78" s="22"/>
      <c r="J78" s="21"/>
      <c r="K78" s="21"/>
    </row>
    <row r="79" spans="1:13" ht="14.45">
      <c r="A79" s="21"/>
      <c r="B79" s="33"/>
      <c r="C79" s="21"/>
      <c r="D79" s="21"/>
      <c r="E79" s="21"/>
      <c r="F79" s="22"/>
      <c r="G79" s="21"/>
      <c r="H79" s="21"/>
      <c r="I79" s="22"/>
      <c r="J79" s="21"/>
      <c r="K79" s="21"/>
    </row>
    <row r="80" spans="1:13"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sheetData>
  <mergeCells count="4">
    <mergeCell ref="D1:F1"/>
    <mergeCell ref="A1:C1"/>
    <mergeCell ref="G1:I1"/>
    <mergeCell ref="A2:B2"/>
  </mergeCells>
  <phoneticPr fontId="38" type="noConversion"/>
  <conditionalFormatting sqref="F2 I2 I4:I99">
    <cfRule type="cellIs" dxfId="50" priority="4" stopIfTrue="1" operator="lessThanOrEqual">
      <formula>-0.1</formula>
    </cfRule>
    <cfRule type="expression" dxfId="49" priority="5">
      <formula>AND(ISNUMBER(F2), F2&gt;=0.1)</formula>
    </cfRule>
  </conditionalFormatting>
  <conditionalFormatting sqref="F70:F99">
    <cfRule type="cellIs" dxfId="48" priority="1" stopIfTrue="1" operator="lessThanOrEqual">
      <formula>-0.1</formula>
    </cfRule>
    <cfRule type="expression" dxfId="47" priority="2">
      <formula>AND(ISNUMBER(F70), F70&gt;=0.1)</formula>
    </cfRule>
  </conditionalFormatting>
  <hyperlinks>
    <hyperlink ref="K7" r:id="rId1" display="https://us3.assetplanner.com/service_request?ID=094211" xr:uid="{370827CB-B16A-4C75-8A58-0847C04A38E9}"/>
    <hyperlink ref="K8" r:id="rId2" display="https://us3.assetplanner.com/service_request?ID=093917" xr:uid="{A3918031-BEEF-4200-8AF1-33A82223A35E}"/>
    <hyperlink ref="L8" r:id="rId3" display="https://us3.assetplanner.com/service_request?ID=096145" xr:uid="{8070E8B0-C140-4DC0-A552-4AC22BFF6AD4}"/>
    <hyperlink ref="M8" r:id="rId4" display="https://us3.assetplanner.com/service_request?ID=095177" xr:uid="{48779C14-9F8F-474F-B661-D65E30CF03EE}"/>
    <hyperlink ref="K15" r:id="rId5" display="https://us3.assetplanner.com/service_request?ID=095860" xr:uid="{36AEAAEE-B28B-403F-B8E2-2DA7F2CA8B44}"/>
    <hyperlink ref="K16" r:id="rId6" display="https://us3.assetplanner.com/service_request?ID=095654" xr:uid="{F94ECB8D-AF75-41F2-8A23-13B3FC231062}"/>
    <hyperlink ref="K22" r:id="rId7" display="https://us3.assetplanner.com/service_request?ID=093440" xr:uid="{1B7E63A1-6169-4A1E-BFFD-04FB3EF2BA3B}"/>
    <hyperlink ref="L22" r:id="rId8" display="https://us3.assetplanner.com/service_request?ID=093861" xr:uid="{1C3847AD-3442-408C-A85A-9041DFDA56BF}"/>
    <hyperlink ref="K23" r:id="rId9" display="https://us3.assetplanner.com/service_request?ID=089189" xr:uid="{EB7FBE08-3152-4804-981D-45C53E69E900}"/>
    <hyperlink ref="L23" r:id="rId10" display="https://us3.assetplanner.com/service_request?ID=095623" xr:uid="{34E5D416-7451-4DA5-9482-AE17FE045DC4}"/>
    <hyperlink ref="M23" r:id="rId11" display="https://us3.assetplanner.com/service_request?ID=078720" xr:uid="{46DD4A52-1273-4C23-8ED8-7E328226502A}"/>
    <hyperlink ref="N23" r:id="rId12" display="https://us3.assetplanner.com/service_request?ID=087994" xr:uid="{BC414470-0110-4258-8C29-BA87A0E819B7}"/>
    <hyperlink ref="K24" r:id="rId13" display="https://us3.assetplanner.com/service_request?ID=093127" xr:uid="{9B6AA506-9E90-449A-8A33-C5490B17A8D1}"/>
    <hyperlink ref="K30" r:id="rId14" display="https://us3.assetplanner.com/service_request?ID=089763" xr:uid="{80138209-5828-4ED0-B1D5-83C6E91ADADF}"/>
    <hyperlink ref="K31" r:id="rId15" display="https://us3.assetplanner.com/service_request?ID=089669" xr:uid="{33E4345B-44F0-44EF-BFD6-7C71D8B664ED}"/>
    <hyperlink ref="L31" r:id="rId16" display="https://us3.assetplanner.com/service_request?ID=096157" xr:uid="{2EF2B70D-261E-478E-BB4A-C326430C7A9D}"/>
    <hyperlink ref="K37" r:id="rId17" display="https://us3.assetplanner.com/service_request?ID=094440" xr:uid="{4A459419-B902-4F7C-8FD4-63AD24D7EBC8}"/>
    <hyperlink ref="K38" r:id="rId18" display="https://us3.assetplanner.com/service_request?ID=092023" xr:uid="{8D029C50-5BD8-428E-B096-F40AC74BE30B}"/>
    <hyperlink ref="L38" r:id="rId19" display="https://us3.assetplanner.com/service_request?ID=089707" xr:uid="{A87EBA36-FB4B-44A4-8C9E-22F5C2231CDF}"/>
    <hyperlink ref="M38" r:id="rId20" display="https://us3.assetplanner.com/service_request?ID=093065" xr:uid="{C25977B8-1CD6-4002-B21E-E99B6EFE084C}"/>
    <hyperlink ref="K40" r:id="rId21" display="https://us3.assetplanner.com/service_request?ID=089464" xr:uid="{4B198071-8766-43A6-B85E-44BDB4437CD5}"/>
    <hyperlink ref="L40" r:id="rId22" display="https://us3.assetplanner.com/service_request?ID=093180" xr:uid="{C8EA2D5B-CF5E-4FAE-8C21-00F12B607FB3}"/>
    <hyperlink ref="M40" r:id="rId23" display="https://us3.assetplanner.com/service_request?ID=093174" xr:uid="{4A52FD52-23BC-4282-AF8D-2965F8BA2875}"/>
    <hyperlink ref="N40" r:id="rId24" display="https://us3.assetplanner.com/service_request?ID=095356" xr:uid="{ACFEBCAA-D211-40A0-850A-5A3FE34ED388}"/>
    <hyperlink ref="K41" r:id="rId25" display="https://us3.assetplanner.com/service_request?ID=095083" xr:uid="{C41F463E-A281-40C1-9AA1-338AB47351DA}"/>
    <hyperlink ref="K43" r:id="rId26" display="https://us3.assetplanner.com/service_request?ID=089461" xr:uid="{EE23D3E7-EDDD-40D9-9B53-F3E08EA01CEB}"/>
    <hyperlink ref="L43" r:id="rId27" display="https://us3.assetplanner.com/service_request?ID=090375" xr:uid="{2CF4AB27-39DC-4A34-9645-BDF1C582BA2D}"/>
    <hyperlink ref="K44" r:id="rId28" display="https://us3.assetplanner.com/service_request?ID=092276" xr:uid="{12572B6F-E53D-4DB9-ACE5-6C84D9F82B4A}"/>
    <hyperlink ref="K45" r:id="rId29" display="https://us3.assetplanner.com/service_request?ID=085968" xr:uid="{7850CE2F-75E1-4C68-B465-E27170DDF503}"/>
    <hyperlink ref="L45" r:id="rId30" display="https://us3.assetplanner.com/service_request?ID=092256" xr:uid="{11E2FADE-296D-4293-AD1F-FD0B0F7CDA84}"/>
    <hyperlink ref="M45" r:id="rId31" display="https://us3.assetplanner.com/service_request?ID=090090" xr:uid="{96442D8C-DB6F-4DD5-B38B-6DF9851AE6ED}"/>
    <hyperlink ref="N45" r:id="rId32" display="https://us3.assetplanner.com/service_request?ID=095592" xr:uid="{3085C951-94A4-47DE-88B7-E911ED155F03}"/>
    <hyperlink ref="K46" r:id="rId33" display="https://us3.assetplanner.com/service_request?ID=089470" xr:uid="{41625D01-9FBC-4362-A140-9B0A47DB20C6}"/>
    <hyperlink ref="L46" r:id="rId34" display="https://us3.assetplanner.com/service_request?ID=092603" xr:uid="{D5FD9CE8-3268-4188-935C-87AA8F757359}"/>
    <hyperlink ref="K47" r:id="rId35" display="https://us3.assetplanner.com/service_request?ID=089612" xr:uid="{D906520B-6DCA-4212-A0E5-7C5C3CD7176E}"/>
    <hyperlink ref="L47" r:id="rId36" display="https://us3.assetplanner.com/service_request?ID=095339" xr:uid="{5A3F1024-6518-4564-ACC1-5B7896E916B5}"/>
    <hyperlink ref="M47" r:id="rId37" display="https://us3.assetplanner.com/service_request?ID=089612" xr:uid="{32C99D9C-DDC4-4079-BFDE-7C4753605100}"/>
    <hyperlink ref="K48" r:id="rId38" display="https://us3.assetplanner.com/service_request?ID=092166" xr:uid="{3D556D18-0393-4B5C-A2C2-27A414AC5AD8}"/>
    <hyperlink ref="L48" r:id="rId39" display="https://us3.assetplanner.com/service_request?ID=086220" xr:uid="{9EC84A36-89A4-4FEB-8AB8-5CB475EAB41F}"/>
    <hyperlink ref="M48" r:id="rId40" display="https://us3.assetplanner.com/service_request?ID=091312" xr:uid="{45161F6C-1446-4B44-9272-E266404117A7}"/>
    <hyperlink ref="K50" r:id="rId41" display="https://us3.assetplanner.com/service_request?ID=090370" xr:uid="{D9029F82-BD61-457A-A906-2AA25C27E49E}"/>
    <hyperlink ref="K51" r:id="rId42" display="https://us3.assetplanner.com/service_request?ID=095191" xr:uid="{DD2C4CD2-15BC-4C73-9060-42A5CB53E919}"/>
    <hyperlink ref="K53" r:id="rId43" display="https://us3.assetplanner.com/service_request?ID=090965" xr:uid="{FBBF2867-2A55-44D7-8C5F-0FCCB268AF98}"/>
    <hyperlink ref="L53" r:id="rId44" display="https://us3.assetplanner.com/service_request?ID=094547" xr:uid="{97525406-9AB6-40C2-BF6F-5AEEBC298B4B}"/>
    <hyperlink ref="M53" r:id="rId45" display="https://us3.assetplanner.com/service_request?ID=094545" xr:uid="{2F62D73D-A6FF-4D89-A1A1-17E9314A7464}"/>
    <hyperlink ref="K55" r:id="rId46" display="https://us3.assetplanner.com/service_request?ID=090734" xr:uid="{A0B82AA5-53FC-4974-816A-E21055E83C91}"/>
    <hyperlink ref="K57" r:id="rId47" display="https://us3.assetplanner.com/service_request?ID=090293" xr:uid="{2AACF90E-C9B5-4CCB-B9EB-6481B566284F}"/>
    <hyperlink ref="L57" r:id="rId48" display="https://us3.assetplanner.com/service_request?ID=095854" xr:uid="{00514EBE-B8DB-40FC-8305-7466E4DDDA65}"/>
    <hyperlink ref="K58" r:id="rId49" display="https://us3.assetplanner.com/service_request?ID=095449" xr:uid="{EDC70CC8-A79F-4C34-BD07-9E66793C73F8}"/>
    <hyperlink ref="L58" r:id="rId50" display="https://us3.assetplanner.com/service_request?ID=089474" xr:uid="{3EF051D8-BD8A-48D5-BC69-B1F597C5FDB6}"/>
    <hyperlink ref="M58" r:id="rId51" display="https://us3.assetplanner.com/service_request?ID=090381" xr:uid="{636A252F-FA37-4B66-BC4B-D951B05E0223}"/>
    <hyperlink ref="N58" r:id="rId52" display="https://us3.assetplanner.com/service_request?ID=090380" xr:uid="{01151829-12FC-4795-8C2D-C8694A1FF960}"/>
    <hyperlink ref="K60" r:id="rId53" display="https://us3.assetplanner.com/service_request?ID=089477" xr:uid="{E0EEF012-797F-41D1-9703-63C27D8AD7D2}"/>
    <hyperlink ref="L60" r:id="rId54" display="https://us3.assetplanner.com/service_request?ID=089477" xr:uid="{415673F0-8A98-44F3-AE83-D52C8BFA793D}"/>
    <hyperlink ref="M60" r:id="rId55" display="https://us3.assetplanner.com/service_request?ID=089477" xr:uid="{C24BA0F4-C274-4E33-8021-A5128F28865B}"/>
    <hyperlink ref="K65" r:id="rId56" display="https://us3.assetplanner.com/service_request?ID=089732" xr:uid="{80B6A489-F8D5-4480-AB9F-3F42710C6715}"/>
    <hyperlink ref="L65" r:id="rId57" display="https://us3.assetplanner.com/service_request?ID=094323" xr:uid="{9EDA0BC3-4C3D-4B9E-903F-82DDAA9A2BDB}"/>
    <hyperlink ref="K66" r:id="rId58" display="https://us3.assetplanner.com/service_request?ID=095705" xr:uid="{FCF69CF6-D36C-4D9D-B474-1A9B6B6D009E}"/>
    <hyperlink ref="L66" r:id="rId59" display="https://us3.assetplanner.com/service_request?ID=092170" xr:uid="{56999D0C-6DA0-45AC-B275-41B88D408C8B}"/>
    <hyperlink ref="M66" r:id="rId60" display="https://us3.assetplanner.com/service_request?ID=092456" xr:uid="{5C1C545D-522B-49CC-A604-70533E6CE307}"/>
    <hyperlink ref="K67" r:id="rId61" display="https://us3.assetplanner.com/service_request?ID=092171" xr:uid="{13E0509B-42EF-4469-842E-AE05996BCD76}"/>
    <hyperlink ref="L67" r:id="rId62" display="https://us3.assetplanner.com/service_request?ID=092455" xr:uid="{23C1EE44-CCEC-4B25-97DE-5C57F54103DB}"/>
    <hyperlink ref="M67" r:id="rId63" display="https://us3.assetplanner.com/service_request?ID=090296" xr:uid="{55170870-01AC-4E7D-8F93-F17556FD52BF}"/>
  </hyperlinks>
  <pageMargins left="0.4" right="0.7" top="0.25" bottom="0.25" header="0.3" footer="0.3"/>
  <pageSetup fitToHeight="99" orientation="landscape" r:id="rId6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P342"/>
  <sheetViews>
    <sheetView workbookViewId="0">
      <pane xSplit="2" ySplit="3" topLeftCell="C67" activePane="bottomRight" state="frozen"/>
      <selection pane="bottomRight" activeCell="D4" sqref="D4:D69"/>
      <selection pane="bottomLeft" activeCell="J66" sqref="J66"/>
      <selection pane="topRight" activeCell="J66" sqref="J66"/>
    </sheetView>
  </sheetViews>
  <sheetFormatPr defaultRowHeight="14.1"/>
  <cols>
    <col min="1" max="1" width="35.85546875" bestFit="1" customWidth="1"/>
    <col min="2" max="2" width="8.42578125" style="34" customWidth="1"/>
    <col min="3" max="3" width="14" customWidth="1"/>
    <col min="4" max="5" width="13.28515625" customWidth="1"/>
    <col min="6" max="6" width="13.28515625" style="1" customWidth="1"/>
    <col min="7" max="7" width="13.28515625" customWidth="1"/>
    <col min="8" max="8" width="13.28515625" style="96" customWidth="1"/>
    <col min="9" max="9" width="13.28515625" style="1" customWidth="1"/>
    <col min="10" max="10" width="71.5703125" customWidth="1"/>
    <col min="11" max="11" width="20.5703125" bestFit="1" customWidth="1"/>
  </cols>
  <sheetData>
    <row r="1" spans="1:12" ht="19.5" customHeight="1">
      <c r="A1" s="120" t="str" cm="1">
        <f t="array" ref="A1">portfolio</f>
        <v>Silicon Ranch</v>
      </c>
      <c r="B1" s="120"/>
      <c r="C1" s="120"/>
      <c r="D1" s="121" t="s">
        <v>117</v>
      </c>
      <c r="E1" s="121"/>
      <c r="F1" s="121"/>
      <c r="G1" s="119" t="s">
        <v>118</v>
      </c>
      <c r="H1" s="119"/>
      <c r="I1" s="119"/>
      <c r="J1" s="4"/>
      <c r="K1" s="4"/>
    </row>
    <row r="2" spans="1:12" ht="19.5" customHeight="1">
      <c r="A2" s="122" t="s">
        <v>2</v>
      </c>
      <c r="B2" s="122"/>
      <c r="C2" s="5">
        <f>SUM(C4:C100)</f>
        <v>2644477</v>
      </c>
      <c r="D2" s="5">
        <f>SUM(D4:D100)</f>
        <v>0</v>
      </c>
      <c r="E2" s="5">
        <f>C2-D2</f>
        <v>2644477</v>
      </c>
      <c r="F2" s="6">
        <f>IFERROR(E2/D2, 0)</f>
        <v>0</v>
      </c>
      <c r="G2" s="5">
        <f>SUM(G4:G100)</f>
        <v>2618498.2599999998</v>
      </c>
      <c r="H2" s="93">
        <f>C2-G2</f>
        <v>25978.740000000224</v>
      </c>
      <c r="I2" s="6">
        <f>IFERROR(H2/G2, 0)</f>
        <v>9.9212363043541703E-3</v>
      </c>
      <c r="J2" s="26" t="str">
        <f ca="1">IF(AND(TODAY()&gt;DATE(2024, 2, 1), COUNTA(Sites[Site])&lt;&gt;(COUNT(C:C)-1)), "Some sites are missing actual data; if new sites were added, make sure they are aligned correctly (including prior months!)", "")</f>
        <v/>
      </c>
      <c r="K2" s="4"/>
    </row>
    <row r="3" spans="1:12" ht="14.25" customHeight="1">
      <c r="A3" s="8" t="s">
        <v>3</v>
      </c>
      <c r="B3" s="8" t="s">
        <v>4</v>
      </c>
      <c r="C3" s="23" t="s">
        <v>5</v>
      </c>
      <c r="D3" s="35" t="s">
        <v>6</v>
      </c>
      <c r="E3" s="35" t="s">
        <v>7</v>
      </c>
      <c r="F3" s="36" t="s">
        <v>8</v>
      </c>
      <c r="G3" s="37" t="s">
        <v>9</v>
      </c>
      <c r="H3" s="94" t="s">
        <v>7</v>
      </c>
      <c r="I3" s="39" t="s">
        <v>8</v>
      </c>
      <c r="J3" s="25" t="s">
        <v>20</v>
      </c>
      <c r="K3" s="25" t="s">
        <v>21</v>
      </c>
    </row>
    <row r="4" spans="1:12" ht="15.6">
      <c r="A4" s="51" t="str" cm="1">
        <f t="array" ref="A4:A69">Sites[Site]</f>
        <v>Iron Mountain - Windsor</v>
      </c>
      <c r="B4" s="29" t="str" cm="1">
        <f t="array" ref="B4:B69">Sites[State]</f>
        <v>CT</v>
      </c>
      <c r="C4" s="24">
        <v>8815</v>
      </c>
      <c r="D4" s="13" t="s">
        <v>22</v>
      </c>
      <c r="E4" s="13" t="str">
        <f>IF(AND(ISNUMBER(C4),ISNUMBER(D4)), C4-D4, "")</f>
        <v/>
      </c>
      <c r="F4" s="13" t="str">
        <f>IFERROR(E4/D4, "")</f>
        <v/>
      </c>
      <c r="G4" s="91">
        <v>16828.12</v>
      </c>
      <c r="H4" s="91">
        <f>IF(AND(ISNUMBER(C4),ISNUMBER(G4)), C4-G4, "")</f>
        <v>-8013.119999999999</v>
      </c>
      <c r="I4" s="16">
        <f>IFERROR(H4/G4, "")</f>
        <v>-0.47617440332015692</v>
      </c>
      <c r="J4" s="41" t="s">
        <v>119</v>
      </c>
      <c r="K4" s="41"/>
    </row>
    <row r="5" spans="1:12" ht="15.6">
      <c r="A5" s="52" t="str">
        <v>Kohls - Auburn</v>
      </c>
      <c r="B5" s="31" t="str">
        <v>NY</v>
      </c>
      <c r="C5" s="11">
        <v>5678</v>
      </c>
      <c r="D5" s="18" t="s">
        <v>22</v>
      </c>
      <c r="E5" s="18" t="str">
        <f t="shared" ref="E5:E15" si="0">IF(AND(ISNUMBER(C5),ISNUMBER(D5)), C5-D5, "")</f>
        <v/>
      </c>
      <c r="F5" s="18" t="str">
        <f t="shared" ref="F5:F25" si="1">IFERROR(E5/D5, "")</f>
        <v/>
      </c>
      <c r="G5" s="92">
        <v>10737.42</v>
      </c>
      <c r="H5" s="92">
        <f t="shared" ref="H5:H15" si="2">IF(AND(ISNUMBER(C5),ISNUMBER(G5)), C5-G5, "")</f>
        <v>-5059.42</v>
      </c>
      <c r="I5" s="19">
        <f t="shared" ref="I5:I68" si="3">IFERROR(H5/G5, "")</f>
        <v>-0.47119512881120418</v>
      </c>
      <c r="J5" s="116" t="s">
        <v>119</v>
      </c>
      <c r="K5" s="42"/>
    </row>
    <row r="6" spans="1:12" ht="15.6">
      <c r="A6" s="53" t="str">
        <v>Kohls - Bensalem</v>
      </c>
      <c r="B6" s="29" t="str">
        <v>PA</v>
      </c>
      <c r="C6" s="24">
        <v>21559</v>
      </c>
      <c r="D6" s="13" t="s">
        <v>22</v>
      </c>
      <c r="E6" s="13" t="str">
        <f t="shared" si="0"/>
        <v/>
      </c>
      <c r="F6" s="13" t="str">
        <f t="shared" si="1"/>
        <v/>
      </c>
      <c r="G6" s="91">
        <v>19869.12</v>
      </c>
      <c r="H6" s="91">
        <f t="shared" si="2"/>
        <v>1689.880000000001</v>
      </c>
      <c r="I6" s="16">
        <f t="shared" si="3"/>
        <v>8.505057093620659E-2</v>
      </c>
      <c r="J6" s="41"/>
      <c r="K6" s="41"/>
    </row>
    <row r="7" spans="1:12" ht="29.1">
      <c r="A7" s="52" t="str">
        <v>Kohls - Brick</v>
      </c>
      <c r="B7" s="31" t="str">
        <v>NJ</v>
      </c>
      <c r="C7" s="11">
        <v>26427</v>
      </c>
      <c r="D7" s="18" t="s">
        <v>22</v>
      </c>
      <c r="E7" s="18" t="str">
        <f t="shared" si="0"/>
        <v/>
      </c>
      <c r="F7" s="18" t="str">
        <f t="shared" si="1"/>
        <v/>
      </c>
      <c r="G7" s="92">
        <v>22576.31</v>
      </c>
      <c r="H7" s="92">
        <f t="shared" si="2"/>
        <v>3850.6899999999987</v>
      </c>
      <c r="I7" s="19">
        <f t="shared" si="3"/>
        <v>0.17056330286038765</v>
      </c>
      <c r="J7" s="55" t="s">
        <v>120</v>
      </c>
      <c r="K7" s="101" t="s">
        <v>121</v>
      </c>
    </row>
    <row r="8" spans="1:12" ht="29.1">
      <c r="A8" s="53" t="str">
        <v>Kohls - Buffalo</v>
      </c>
      <c r="B8" s="29" t="str">
        <v>NY</v>
      </c>
      <c r="C8" s="24">
        <v>0</v>
      </c>
      <c r="D8" s="13" t="s">
        <v>22</v>
      </c>
      <c r="E8" s="13" t="str">
        <f t="shared" si="0"/>
        <v/>
      </c>
      <c r="F8" s="13" t="str">
        <f t="shared" si="1"/>
        <v/>
      </c>
      <c r="G8" s="91">
        <v>15384.12</v>
      </c>
      <c r="H8" s="91">
        <f t="shared" si="2"/>
        <v>-15384.12</v>
      </c>
      <c r="I8" s="16">
        <f t="shared" si="3"/>
        <v>-1</v>
      </c>
      <c r="J8" s="57" t="s">
        <v>122</v>
      </c>
      <c r="K8" s="102" t="s">
        <v>123</v>
      </c>
      <c r="L8" s="100" t="s">
        <v>27</v>
      </c>
    </row>
    <row r="9" spans="1:12" ht="15.6">
      <c r="A9" s="52" t="str">
        <v>Kohls - Canton</v>
      </c>
      <c r="B9" s="31" t="str">
        <v>CT</v>
      </c>
      <c r="C9" s="11">
        <v>3054</v>
      </c>
      <c r="D9" s="18" t="s">
        <v>22</v>
      </c>
      <c r="E9" s="18" t="str">
        <f t="shared" si="0"/>
        <v/>
      </c>
      <c r="F9" s="18" t="str">
        <f t="shared" si="1"/>
        <v/>
      </c>
      <c r="G9" s="92">
        <v>6988.56</v>
      </c>
      <c r="H9" s="92">
        <f t="shared" si="2"/>
        <v>-3934.5600000000004</v>
      </c>
      <c r="I9" s="19">
        <f t="shared" si="3"/>
        <v>-0.56300010302551606</v>
      </c>
      <c r="J9" s="116" t="s">
        <v>119</v>
      </c>
      <c r="K9" s="58"/>
    </row>
    <row r="10" spans="1:12" ht="15.6">
      <c r="A10" s="53" t="str">
        <v>Kohls - East Amherst</v>
      </c>
      <c r="B10" s="29" t="str">
        <v>NY</v>
      </c>
      <c r="C10" s="24">
        <v>2866</v>
      </c>
      <c r="D10" s="13" t="s">
        <v>22</v>
      </c>
      <c r="E10" s="13" t="str">
        <f t="shared" si="0"/>
        <v/>
      </c>
      <c r="F10" s="13" t="str">
        <f t="shared" si="1"/>
        <v/>
      </c>
      <c r="G10" s="91">
        <v>14254.84</v>
      </c>
      <c r="H10" s="91">
        <f t="shared" si="2"/>
        <v>-11388.84</v>
      </c>
      <c r="I10" s="16">
        <f t="shared" si="3"/>
        <v>-0.79894548097347984</v>
      </c>
      <c r="J10" s="57" t="s">
        <v>119</v>
      </c>
      <c r="K10" s="57"/>
    </row>
    <row r="11" spans="1:12" ht="15.6">
      <c r="A11" s="52" t="str">
        <v>Kohls - East Brunswick</v>
      </c>
      <c r="B11" s="31" t="str">
        <v>NJ</v>
      </c>
      <c r="C11" s="11">
        <v>30213</v>
      </c>
      <c r="D11" s="18" t="s">
        <v>22</v>
      </c>
      <c r="E11" s="18" t="str">
        <f t="shared" si="0"/>
        <v/>
      </c>
      <c r="F11" s="18" t="str">
        <f t="shared" si="1"/>
        <v/>
      </c>
      <c r="G11" s="92">
        <v>30775.119999999999</v>
      </c>
      <c r="H11" s="92">
        <f t="shared" si="2"/>
        <v>-562.11999999999898</v>
      </c>
      <c r="I11" s="19">
        <f t="shared" si="3"/>
        <v>-1.8265404001674049E-2</v>
      </c>
      <c r="J11" s="55"/>
      <c r="K11" s="58"/>
    </row>
    <row r="12" spans="1:12" ht="15.6">
      <c r="A12" s="53" t="str">
        <v>Kohls - Edgewood</v>
      </c>
      <c r="B12" s="29" t="str">
        <v>MD</v>
      </c>
      <c r="C12" s="24">
        <v>154536</v>
      </c>
      <c r="D12" s="13" t="s">
        <v>22</v>
      </c>
      <c r="E12" s="13" t="str">
        <f t="shared" si="0"/>
        <v/>
      </c>
      <c r="F12" s="13" t="str">
        <f t="shared" si="1"/>
        <v/>
      </c>
      <c r="G12" s="91">
        <v>168198.51</v>
      </c>
      <c r="H12" s="91">
        <f t="shared" si="2"/>
        <v>-13662.510000000009</v>
      </c>
      <c r="I12" s="16">
        <f t="shared" si="3"/>
        <v>-8.1228484128664444E-2</v>
      </c>
      <c r="J12" s="57"/>
      <c r="K12" s="57"/>
    </row>
    <row r="13" spans="1:12" ht="15.6">
      <c r="A13" s="52" t="str">
        <v>Kohls - Granite Run</v>
      </c>
      <c r="B13" s="31" t="str">
        <v>PA</v>
      </c>
      <c r="C13" s="11">
        <v>19693</v>
      </c>
      <c r="D13" s="18" t="s">
        <v>22</v>
      </c>
      <c r="E13" s="18" t="str">
        <f t="shared" si="0"/>
        <v/>
      </c>
      <c r="F13" s="18" t="str">
        <f t="shared" si="1"/>
        <v/>
      </c>
      <c r="G13" s="92">
        <v>20063.53</v>
      </c>
      <c r="H13" s="92">
        <f t="shared" si="2"/>
        <v>-370.52999999999884</v>
      </c>
      <c r="I13" s="19">
        <f t="shared" si="3"/>
        <v>-1.8467836916036155E-2</v>
      </c>
      <c r="J13" s="55"/>
      <c r="K13" s="58"/>
    </row>
    <row r="14" spans="1:12" ht="15.6">
      <c r="A14" s="53" t="str">
        <v>Kohls - Greece</v>
      </c>
      <c r="B14" s="29" t="str">
        <v>NY</v>
      </c>
      <c r="C14" s="24">
        <v>2104</v>
      </c>
      <c r="D14" s="13" t="s">
        <v>22</v>
      </c>
      <c r="E14" s="13" t="str">
        <f t="shared" si="0"/>
        <v/>
      </c>
      <c r="F14" s="13" t="str">
        <f t="shared" si="1"/>
        <v/>
      </c>
      <c r="G14" s="91">
        <v>14838</v>
      </c>
      <c r="H14" s="91">
        <f t="shared" si="2"/>
        <v>-12734</v>
      </c>
      <c r="I14" s="16">
        <f t="shared" si="3"/>
        <v>-0.85820191400458279</v>
      </c>
      <c r="J14" s="57" t="s">
        <v>119</v>
      </c>
      <c r="K14" s="57"/>
    </row>
    <row r="15" spans="1:12" ht="15.6">
      <c r="A15" s="52" t="str">
        <v>Kohls - Hanover</v>
      </c>
      <c r="B15" s="31" t="str">
        <v>PA</v>
      </c>
      <c r="C15" s="11">
        <v>23392</v>
      </c>
      <c r="D15" s="18" t="s">
        <v>22</v>
      </c>
      <c r="E15" s="18" t="str">
        <f t="shared" si="0"/>
        <v/>
      </c>
      <c r="F15" s="18" t="str">
        <f t="shared" si="1"/>
        <v/>
      </c>
      <c r="G15" s="92">
        <v>22286.93</v>
      </c>
      <c r="H15" s="92">
        <f t="shared" si="2"/>
        <v>1105.0699999999997</v>
      </c>
      <c r="I15" s="19">
        <f t="shared" si="3"/>
        <v>4.958376950077914E-2</v>
      </c>
      <c r="J15" s="55"/>
      <c r="K15" s="58"/>
    </row>
    <row r="16" spans="1:12" ht="15.6">
      <c r="A16" s="53" t="str">
        <v>Kohls - Horsehead</v>
      </c>
      <c r="B16" s="29" t="str">
        <v>NY</v>
      </c>
      <c r="C16" s="24">
        <v>8908</v>
      </c>
      <c r="D16" s="13" t="s">
        <v>22</v>
      </c>
      <c r="E16" s="13" t="str">
        <f t="shared" ref="E16:E17" si="4">IF(AND(ISNUMBER(C16),ISNUMBER(D16)), C16-D16, "")</f>
        <v/>
      </c>
      <c r="F16" s="13" t="str">
        <f t="shared" si="1"/>
        <v/>
      </c>
      <c r="G16" s="91">
        <v>16013.56</v>
      </c>
      <c r="H16" s="91">
        <f t="shared" ref="H16:H17" si="5">IF(AND(ISNUMBER(C16),ISNUMBER(G16)), C16-G16, "")</f>
        <v>-7105.5599999999995</v>
      </c>
      <c r="I16" s="16">
        <f t="shared" si="3"/>
        <v>-0.44372144607445191</v>
      </c>
      <c r="J16" s="57" t="s">
        <v>119</v>
      </c>
      <c r="K16" s="57"/>
    </row>
    <row r="17" spans="1:12" ht="15.6">
      <c r="A17" s="52" t="str">
        <v>Kohls - Hudson</v>
      </c>
      <c r="B17" s="31" t="str">
        <v>NY</v>
      </c>
      <c r="C17" s="11">
        <v>13755</v>
      </c>
      <c r="D17" s="18" t="s">
        <v>22</v>
      </c>
      <c r="E17" s="18" t="str">
        <f t="shared" si="4"/>
        <v/>
      </c>
      <c r="F17" s="18" t="str">
        <f t="shared" si="1"/>
        <v/>
      </c>
      <c r="G17" s="92">
        <v>18577.580000000002</v>
      </c>
      <c r="H17" s="92">
        <f t="shared" si="5"/>
        <v>-4822.5800000000017</v>
      </c>
      <c r="I17" s="19">
        <f t="shared" si="3"/>
        <v>-0.25959139995629149</v>
      </c>
      <c r="J17" s="116" t="s">
        <v>119</v>
      </c>
      <c r="K17" s="58"/>
    </row>
    <row r="18" spans="1:12" ht="12.75" customHeight="1">
      <c r="A18" s="53" t="str">
        <v>Kohls - Ithaca</v>
      </c>
      <c r="B18" s="29" t="str">
        <v>NY</v>
      </c>
      <c r="C18" s="24">
        <v>9593</v>
      </c>
      <c r="D18" s="13" t="s">
        <v>22</v>
      </c>
      <c r="E18" s="13" t="str">
        <f t="shared" ref="E18:E25" si="6">IF(AND(ISNUMBER(C18),ISNUMBER(D18)), C18-D18, "")</f>
        <v/>
      </c>
      <c r="F18" s="13" t="str">
        <f t="shared" si="1"/>
        <v/>
      </c>
      <c r="G18" s="91">
        <v>17763.02</v>
      </c>
      <c r="H18" s="91">
        <f t="shared" ref="H18:H25" si="7">IF(AND(ISNUMBER(C18),ISNUMBER(G18)), C18-G18, "")</f>
        <v>-8170.02</v>
      </c>
      <c r="I18" s="16">
        <f t="shared" si="3"/>
        <v>-0.45994543720606068</v>
      </c>
      <c r="J18" s="57" t="s">
        <v>119</v>
      </c>
      <c r="K18" s="57"/>
    </row>
    <row r="19" spans="1:12" ht="15.6">
      <c r="A19" s="52" t="str">
        <v>Kohls - Kingston</v>
      </c>
      <c r="B19" s="31" t="str">
        <v>NY</v>
      </c>
      <c r="C19" s="11">
        <v>14849</v>
      </c>
      <c r="D19" s="18" t="s">
        <v>22</v>
      </c>
      <c r="E19" s="18" t="str">
        <f t="shared" si="6"/>
        <v/>
      </c>
      <c r="F19" s="18" t="str">
        <f t="shared" si="1"/>
        <v/>
      </c>
      <c r="G19" s="92">
        <v>24603.49</v>
      </c>
      <c r="H19" s="92">
        <f t="shared" si="7"/>
        <v>-9754.4900000000016</v>
      </c>
      <c r="I19" s="19">
        <f t="shared" si="3"/>
        <v>-0.39646773689423742</v>
      </c>
      <c r="J19" s="116" t="s">
        <v>119</v>
      </c>
      <c r="K19" s="55"/>
    </row>
    <row r="20" spans="1:12" ht="15.6">
      <c r="A20" s="53" t="str">
        <v>Kohls - Mechanicsburg</v>
      </c>
      <c r="B20" s="29" t="str">
        <v>PA</v>
      </c>
      <c r="C20" s="24">
        <v>26048</v>
      </c>
      <c r="D20" s="13" t="s">
        <v>22</v>
      </c>
      <c r="E20" s="13" t="str">
        <f t="shared" si="6"/>
        <v/>
      </c>
      <c r="F20" s="13" t="str">
        <f t="shared" si="1"/>
        <v/>
      </c>
      <c r="G20" s="91">
        <v>25206.74</v>
      </c>
      <c r="H20" s="91">
        <f t="shared" si="7"/>
        <v>841.2599999999984</v>
      </c>
      <c r="I20" s="16">
        <f t="shared" si="3"/>
        <v>3.3374407003840971E-2</v>
      </c>
      <c r="J20" s="57"/>
      <c r="K20" s="57"/>
    </row>
    <row r="21" spans="1:12" ht="15.6">
      <c r="A21" s="52" t="str">
        <v>Kohls - Middletown</v>
      </c>
      <c r="B21" s="31" t="str">
        <v>NJ</v>
      </c>
      <c r="C21" s="11">
        <v>39815</v>
      </c>
      <c r="D21" s="18" t="s">
        <v>22</v>
      </c>
      <c r="E21" s="18" t="str">
        <f t="shared" si="6"/>
        <v/>
      </c>
      <c r="F21" s="18" t="str">
        <f t="shared" si="1"/>
        <v/>
      </c>
      <c r="G21" s="92">
        <v>36153.03</v>
      </c>
      <c r="H21" s="92">
        <f t="shared" si="7"/>
        <v>3661.9700000000012</v>
      </c>
      <c r="I21" s="19">
        <f t="shared" si="3"/>
        <v>0.10129081850124322</v>
      </c>
      <c r="J21" s="55"/>
      <c r="K21" s="55"/>
    </row>
    <row r="22" spans="1:12" ht="29.1">
      <c r="A22" s="53" t="str">
        <v>Kohls - North Amherst</v>
      </c>
      <c r="B22" s="29" t="str">
        <v>NY</v>
      </c>
      <c r="C22" s="24">
        <v>0</v>
      </c>
      <c r="D22" s="13" t="s">
        <v>22</v>
      </c>
      <c r="E22" s="13" t="str">
        <f t="shared" si="6"/>
        <v/>
      </c>
      <c r="F22" s="13" t="str">
        <f t="shared" si="1"/>
        <v/>
      </c>
      <c r="G22" s="91">
        <v>12403.57</v>
      </c>
      <c r="H22" s="91">
        <f t="shared" si="7"/>
        <v>-12403.57</v>
      </c>
      <c r="I22" s="16">
        <f t="shared" si="3"/>
        <v>-1</v>
      </c>
      <c r="J22" s="97" t="s">
        <v>34</v>
      </c>
      <c r="K22" s="107" t="s">
        <v>35</v>
      </c>
      <c r="L22" s="100" t="s">
        <v>36</v>
      </c>
    </row>
    <row r="23" spans="1:12" ht="124.5" customHeight="1">
      <c r="A23" s="52" t="str">
        <v>Kohls - Staten Island</v>
      </c>
      <c r="B23" s="31" t="str">
        <v>NY</v>
      </c>
      <c r="C23" s="11">
        <v>18864</v>
      </c>
      <c r="D23" s="18" t="s">
        <v>22</v>
      </c>
      <c r="E23" s="18" t="str">
        <f t="shared" si="6"/>
        <v/>
      </c>
      <c r="F23" s="18" t="str">
        <f t="shared" si="1"/>
        <v/>
      </c>
      <c r="G23" s="92">
        <v>21195.82</v>
      </c>
      <c r="H23" s="92">
        <f t="shared" si="7"/>
        <v>-2331.8199999999997</v>
      </c>
      <c r="I23" s="19">
        <f t="shared" si="3"/>
        <v>-0.11001320071599022</v>
      </c>
      <c r="J23" s="55" t="s">
        <v>124</v>
      </c>
      <c r="K23" s="101" t="s">
        <v>125</v>
      </c>
    </row>
    <row r="24" spans="1:12" ht="15.6">
      <c r="A24" s="53" t="str">
        <v>Kohls - Warminster</v>
      </c>
      <c r="B24" s="29" t="str">
        <v>PA</v>
      </c>
      <c r="C24" s="24">
        <v>25644</v>
      </c>
      <c r="D24" s="13" t="s">
        <v>22</v>
      </c>
      <c r="E24" s="13" t="str">
        <f t="shared" si="6"/>
        <v/>
      </c>
      <c r="F24" s="13" t="str">
        <f t="shared" si="1"/>
        <v/>
      </c>
      <c r="G24" s="91">
        <v>24459.22</v>
      </c>
      <c r="H24" s="91">
        <f t="shared" si="7"/>
        <v>1184.7799999999988</v>
      </c>
      <c r="I24" s="16">
        <f t="shared" si="3"/>
        <v>4.8438993557439643E-2</v>
      </c>
      <c r="J24" s="57"/>
      <c r="K24" s="57"/>
    </row>
    <row r="25" spans="1:12" ht="15.6">
      <c r="A25" s="52" t="str">
        <v xml:space="preserve">Kohls - Waterbury </v>
      </c>
      <c r="B25" s="31" t="str">
        <v>CT</v>
      </c>
      <c r="C25" s="11">
        <v>5561</v>
      </c>
      <c r="D25" s="18" t="s">
        <v>22</v>
      </c>
      <c r="E25" s="18" t="str">
        <f t="shared" si="6"/>
        <v/>
      </c>
      <c r="F25" s="18" t="str">
        <f t="shared" si="1"/>
        <v/>
      </c>
      <c r="G25" s="90">
        <v>19364.12</v>
      </c>
      <c r="H25" s="90">
        <f t="shared" si="7"/>
        <v>-13803.119999999999</v>
      </c>
      <c r="I25" s="19">
        <f t="shared" si="3"/>
        <v>-0.71281937934695716</v>
      </c>
      <c r="J25" s="55" t="s">
        <v>126</v>
      </c>
      <c r="K25" s="101" t="s">
        <v>127</v>
      </c>
    </row>
    <row r="26" spans="1:12" ht="15.6">
      <c r="A26" s="53" t="str">
        <v>Mojave Water Agency - Headquarters</v>
      </c>
      <c r="B26" s="29" t="str">
        <v>CA</v>
      </c>
      <c r="C26" s="24">
        <v>30686</v>
      </c>
      <c r="D26" s="13" t="s">
        <v>22</v>
      </c>
      <c r="E26" s="13" t="str">
        <f t="shared" ref="E26:E69" si="8">IF(AND(ISNUMBER(C26),ISNUMBER(D26)), C26-D26, "")</f>
        <v/>
      </c>
      <c r="F26" s="13" t="str">
        <f t="shared" ref="F26:F68" si="9">IFERROR(E26/D26, "")</f>
        <v/>
      </c>
      <c r="G26" s="91">
        <v>25387.84</v>
      </c>
      <c r="H26" s="91">
        <f t="shared" ref="H26:H69" si="10">IF(AND(ISNUMBER(C26),ISNUMBER(G26)), C26-G26, "")</f>
        <v>5298.16</v>
      </c>
      <c r="I26" s="16">
        <f t="shared" si="3"/>
        <v>0.20868888412720421</v>
      </c>
      <c r="J26" s="57"/>
      <c r="K26" s="57"/>
    </row>
    <row r="27" spans="1:12" ht="15.6">
      <c r="A27" s="52" t="str">
        <v>CSU - Bakersfield</v>
      </c>
      <c r="B27" s="31" t="str">
        <v>CA</v>
      </c>
      <c r="C27" s="11">
        <v>84513</v>
      </c>
      <c r="D27" s="18" t="s">
        <v>22</v>
      </c>
      <c r="E27" s="18" t="str">
        <f t="shared" si="8"/>
        <v/>
      </c>
      <c r="F27" s="18" t="str">
        <f t="shared" si="9"/>
        <v/>
      </c>
      <c r="G27" s="90">
        <v>78007.259999999995</v>
      </c>
      <c r="H27" s="90">
        <f t="shared" si="10"/>
        <v>6505.7400000000052</v>
      </c>
      <c r="I27" s="19">
        <f t="shared" si="3"/>
        <v>8.3399160539672917E-2</v>
      </c>
      <c r="J27" s="55"/>
      <c r="K27" s="58"/>
    </row>
    <row r="28" spans="1:12" ht="15.6">
      <c r="A28" s="53" t="str">
        <v>Greenfield USD - Fairfield ES</v>
      </c>
      <c r="B28" s="29" t="str">
        <v>CA</v>
      </c>
      <c r="C28" s="24">
        <v>9238</v>
      </c>
      <c r="D28" s="13" t="s">
        <v>22</v>
      </c>
      <c r="E28" s="13" t="str">
        <f t="shared" si="8"/>
        <v/>
      </c>
      <c r="F28" s="13" t="str">
        <f t="shared" si="9"/>
        <v/>
      </c>
      <c r="G28" s="91">
        <v>8281.6299999999992</v>
      </c>
      <c r="H28" s="91">
        <f t="shared" si="10"/>
        <v>956.3700000000008</v>
      </c>
      <c r="I28" s="16">
        <f t="shared" si="3"/>
        <v>0.1154808896316306</v>
      </c>
      <c r="J28" s="57"/>
      <c r="K28" s="57"/>
    </row>
    <row r="29" spans="1:12" ht="15.6">
      <c r="A29" s="52" t="str">
        <v>Greenfield USD - Granite Point ES</v>
      </c>
      <c r="B29" s="31" t="str">
        <v>CA</v>
      </c>
      <c r="C29" s="11">
        <v>26786</v>
      </c>
      <c r="D29" s="18" t="s">
        <v>22</v>
      </c>
      <c r="E29" s="18" t="str">
        <f t="shared" si="8"/>
        <v/>
      </c>
      <c r="F29" s="18" t="str">
        <f t="shared" si="9"/>
        <v/>
      </c>
      <c r="G29" s="90">
        <v>21722.5</v>
      </c>
      <c r="H29" s="90">
        <f t="shared" si="10"/>
        <v>5063.5</v>
      </c>
      <c r="I29" s="19">
        <f t="shared" si="3"/>
        <v>0.23309932098055011</v>
      </c>
      <c r="J29" s="55"/>
      <c r="K29" s="58"/>
    </row>
    <row r="30" spans="1:12" ht="72.599999999999994">
      <c r="A30" s="53" t="str">
        <v>Greenfield USD - Greenfield MS</v>
      </c>
      <c r="B30" s="29" t="str">
        <v>CA</v>
      </c>
      <c r="C30" s="24">
        <v>10577</v>
      </c>
      <c r="D30" s="13" t="s">
        <v>22</v>
      </c>
      <c r="E30" s="13" t="str">
        <f t="shared" si="8"/>
        <v/>
      </c>
      <c r="F30" s="13" t="str">
        <f t="shared" si="9"/>
        <v/>
      </c>
      <c r="G30" s="91">
        <v>14936.35</v>
      </c>
      <c r="H30" s="91">
        <f t="shared" si="10"/>
        <v>-4359.3500000000004</v>
      </c>
      <c r="I30" s="16">
        <f t="shared" si="3"/>
        <v>-0.29186180023901426</v>
      </c>
      <c r="J30" s="57" t="s">
        <v>128</v>
      </c>
      <c r="K30" s="102" t="s">
        <v>129</v>
      </c>
    </row>
    <row r="31" spans="1:12" ht="15.6">
      <c r="A31" s="52" t="str">
        <v>Greenfield USD - Horizon ES</v>
      </c>
      <c r="B31" s="31" t="str">
        <v>CA</v>
      </c>
      <c r="C31" s="11">
        <v>23654</v>
      </c>
      <c r="D31" s="18" t="s">
        <v>22</v>
      </c>
      <c r="E31" s="18" t="str">
        <f t="shared" si="8"/>
        <v/>
      </c>
      <c r="F31" s="18" t="str">
        <f t="shared" si="9"/>
        <v/>
      </c>
      <c r="G31" s="90">
        <v>22188.52</v>
      </c>
      <c r="H31" s="90">
        <f t="shared" si="10"/>
        <v>1465.4799999999996</v>
      </c>
      <c r="I31" s="19">
        <f t="shared" si="3"/>
        <v>6.6046766526113479E-2</v>
      </c>
      <c r="J31" s="55"/>
      <c r="K31" s="58"/>
    </row>
    <row r="32" spans="1:12" ht="15.6">
      <c r="A32" s="53" t="str">
        <v>Greenfield USD - McKee MS</v>
      </c>
      <c r="B32" s="29" t="str">
        <v>CA</v>
      </c>
      <c r="C32" s="24">
        <v>11221</v>
      </c>
      <c r="D32" s="13" t="s">
        <v>22</v>
      </c>
      <c r="E32" s="13" t="str">
        <f t="shared" si="8"/>
        <v/>
      </c>
      <c r="F32" s="13" t="str">
        <f t="shared" si="9"/>
        <v/>
      </c>
      <c r="G32" s="91">
        <v>13575.99</v>
      </c>
      <c r="H32" s="91">
        <f t="shared" si="10"/>
        <v>-2354.9899999999998</v>
      </c>
      <c r="I32" s="16">
        <f t="shared" si="3"/>
        <v>-0.17346727568302567</v>
      </c>
      <c r="J32" s="57" t="s">
        <v>119</v>
      </c>
      <c r="K32" s="102"/>
    </row>
    <row r="33" spans="1:16" ht="15.6">
      <c r="A33" s="52" t="str">
        <v>Greenfield USD - Plantation ES</v>
      </c>
      <c r="B33" s="31" t="str">
        <v>CA</v>
      </c>
      <c r="C33" s="11">
        <v>10887</v>
      </c>
      <c r="D33" s="18" t="s">
        <v>22</v>
      </c>
      <c r="E33" s="18" t="str">
        <f t="shared" si="8"/>
        <v/>
      </c>
      <c r="F33" s="18" t="str">
        <f t="shared" si="9"/>
        <v/>
      </c>
      <c r="G33" s="90">
        <v>9687.94</v>
      </c>
      <c r="H33" s="90">
        <f t="shared" si="10"/>
        <v>1199.0599999999995</v>
      </c>
      <c r="I33" s="19">
        <f t="shared" si="3"/>
        <v>0.12376831400689924</v>
      </c>
      <c r="J33" s="55"/>
      <c r="K33" s="58"/>
    </row>
    <row r="34" spans="1:16" ht="15.6">
      <c r="A34" s="53" t="str">
        <v>Greenfield USD - Planz ES</v>
      </c>
      <c r="B34" s="29" t="str">
        <v>CA</v>
      </c>
      <c r="C34" s="24">
        <v>4344</v>
      </c>
      <c r="D34" s="13" t="s">
        <v>22</v>
      </c>
      <c r="E34" s="13" t="str">
        <f t="shared" si="8"/>
        <v/>
      </c>
      <c r="F34" s="13" t="str">
        <f t="shared" si="9"/>
        <v/>
      </c>
      <c r="G34" s="91">
        <v>11305.56</v>
      </c>
      <c r="H34" s="91">
        <f t="shared" si="10"/>
        <v>-6961.5599999999995</v>
      </c>
      <c r="I34" s="16">
        <f t="shared" si="3"/>
        <v>-0.61576427881502549</v>
      </c>
      <c r="J34" s="57" t="s">
        <v>119</v>
      </c>
      <c r="K34" s="102"/>
    </row>
    <row r="35" spans="1:16" ht="15.6">
      <c r="A35" s="52" t="str">
        <v>Greenfield USD - Raffaello Palla ES</v>
      </c>
      <c r="B35" s="31" t="str">
        <v>CA</v>
      </c>
      <c r="C35" s="11">
        <v>25408</v>
      </c>
      <c r="D35" s="18" t="s">
        <v>22</v>
      </c>
      <c r="E35" s="18" t="str">
        <f t="shared" si="8"/>
        <v/>
      </c>
      <c r="F35" s="18" t="str">
        <f t="shared" si="9"/>
        <v/>
      </c>
      <c r="G35" s="90">
        <v>24477.22</v>
      </c>
      <c r="H35" s="90">
        <f t="shared" si="10"/>
        <v>930.77999999999884</v>
      </c>
      <c r="I35" s="19">
        <f t="shared" si="3"/>
        <v>3.8026377178454036E-2</v>
      </c>
      <c r="J35" s="55"/>
      <c r="K35" s="58"/>
    </row>
    <row r="36" spans="1:16" ht="15.6">
      <c r="A36" s="53" t="str">
        <v>Greenfield USD - Valle Verde ES</v>
      </c>
      <c r="B36" s="29" t="str">
        <v>CA</v>
      </c>
      <c r="C36" s="24">
        <v>28417</v>
      </c>
      <c r="D36" s="13" t="s">
        <v>22</v>
      </c>
      <c r="E36" s="13" t="str">
        <f t="shared" si="8"/>
        <v/>
      </c>
      <c r="F36" s="13" t="str">
        <f t="shared" si="9"/>
        <v/>
      </c>
      <c r="G36" s="91">
        <v>22933.040000000001</v>
      </c>
      <c r="H36" s="91">
        <f t="shared" si="10"/>
        <v>5483.9599999999991</v>
      </c>
      <c r="I36" s="16">
        <f t="shared" si="3"/>
        <v>0.23912922142027393</v>
      </c>
      <c r="J36" s="57"/>
      <c r="K36" s="57"/>
    </row>
    <row r="37" spans="1:16" ht="29.1">
      <c r="A37" s="52" t="str">
        <v>Greenfield USD - W.A. Kendrick ES</v>
      </c>
      <c r="B37" s="31" t="str">
        <v>CA</v>
      </c>
      <c r="C37" s="11">
        <v>4551</v>
      </c>
      <c r="D37" s="18" t="s">
        <v>22</v>
      </c>
      <c r="E37" s="18" t="str">
        <f t="shared" si="8"/>
        <v/>
      </c>
      <c r="F37" s="18" t="str">
        <f t="shared" si="9"/>
        <v/>
      </c>
      <c r="G37" s="90">
        <v>8833.1299999999992</v>
      </c>
      <c r="H37" s="90">
        <f t="shared" si="10"/>
        <v>-4282.1299999999992</v>
      </c>
      <c r="I37" s="19">
        <f t="shared" si="3"/>
        <v>-0.48478059306270821</v>
      </c>
      <c r="J37" s="55" t="s">
        <v>130</v>
      </c>
      <c r="K37" s="101" t="s">
        <v>50</v>
      </c>
    </row>
    <row r="38" spans="1:16" ht="57.95">
      <c r="A38" s="53" t="str">
        <v>Muroc Joint USD - Boron HS</v>
      </c>
      <c r="B38" s="29" t="str">
        <v>CA</v>
      </c>
      <c r="C38" s="24">
        <v>0</v>
      </c>
      <c r="D38" s="13" t="s">
        <v>22</v>
      </c>
      <c r="E38" s="13" t="str">
        <f t="shared" si="8"/>
        <v/>
      </c>
      <c r="F38" s="13" t="str">
        <f t="shared" si="9"/>
        <v/>
      </c>
      <c r="G38" s="91">
        <v>24557.19</v>
      </c>
      <c r="H38" s="91">
        <f t="shared" si="10"/>
        <v>-24557.19</v>
      </c>
      <c r="I38" s="16">
        <f t="shared" si="3"/>
        <v>-1</v>
      </c>
      <c r="J38" s="57" t="s">
        <v>51</v>
      </c>
      <c r="K38" s="102" t="s">
        <v>131</v>
      </c>
      <c r="L38" s="100" t="s">
        <v>132</v>
      </c>
      <c r="M38" s="100" t="s">
        <v>53</v>
      </c>
      <c r="N38" s="100" t="s">
        <v>54</v>
      </c>
    </row>
    <row r="39" spans="1:16" ht="15.6">
      <c r="A39" s="52" t="str">
        <v>Muroc Joint USD - W. Boron ES</v>
      </c>
      <c r="B39" s="31" t="str">
        <v>CA</v>
      </c>
      <c r="C39" s="11">
        <v>10005</v>
      </c>
      <c r="D39" s="18" t="s">
        <v>22</v>
      </c>
      <c r="E39" s="18" t="str">
        <f t="shared" si="8"/>
        <v/>
      </c>
      <c r="F39" s="18" t="str">
        <f t="shared" si="9"/>
        <v/>
      </c>
      <c r="G39" s="90">
        <v>9080.59</v>
      </c>
      <c r="H39" s="90">
        <f t="shared" si="10"/>
        <v>924.40999999999985</v>
      </c>
      <c r="I39" s="19">
        <f t="shared" si="3"/>
        <v>0.10180065392226714</v>
      </c>
      <c r="J39" s="55"/>
      <c r="K39" s="58"/>
    </row>
    <row r="40" spans="1:16" ht="101.45">
      <c r="A40" s="53" t="str">
        <v>Colusa - WTP</v>
      </c>
      <c r="B40" s="29" t="str">
        <v>CA</v>
      </c>
      <c r="C40" s="24">
        <v>0</v>
      </c>
      <c r="D40" s="13" t="s">
        <v>22</v>
      </c>
      <c r="E40" s="13">
        <v>0</v>
      </c>
      <c r="F40" s="13" t="str">
        <f t="shared" si="9"/>
        <v/>
      </c>
      <c r="G40" s="91">
        <v>22973.3</v>
      </c>
      <c r="H40" s="91">
        <f t="shared" si="10"/>
        <v>-22973.3</v>
      </c>
      <c r="I40" s="16">
        <f t="shared" si="3"/>
        <v>-1</v>
      </c>
      <c r="J40" s="57" t="s">
        <v>133</v>
      </c>
      <c r="K40" s="102" t="s">
        <v>134</v>
      </c>
      <c r="L40" s="100" t="s">
        <v>57</v>
      </c>
      <c r="M40" s="100" t="s">
        <v>58</v>
      </c>
      <c r="N40" s="100" t="s">
        <v>59</v>
      </c>
      <c r="O40" s="100" t="s">
        <v>135</v>
      </c>
    </row>
    <row r="41" spans="1:16" ht="111" customHeight="1">
      <c r="A41" s="52" t="str">
        <v>CDCR-North Kern State Prision</v>
      </c>
      <c r="B41" s="31" t="str">
        <v>CA</v>
      </c>
      <c r="C41" s="11">
        <v>73603</v>
      </c>
      <c r="D41" s="18" t="s">
        <v>22</v>
      </c>
      <c r="E41" s="18" t="str">
        <f t="shared" si="8"/>
        <v/>
      </c>
      <c r="F41" s="18" t="str">
        <f t="shared" si="9"/>
        <v/>
      </c>
      <c r="G41" s="90">
        <v>105876.17</v>
      </c>
      <c r="H41" s="90">
        <f t="shared" si="10"/>
        <v>-32273.17</v>
      </c>
      <c r="I41" s="19">
        <f t="shared" si="3"/>
        <v>-0.30481996090338365</v>
      </c>
      <c r="J41" s="55" t="s">
        <v>136</v>
      </c>
      <c r="K41" s="101" t="s">
        <v>137</v>
      </c>
      <c r="L41" s="100" t="s">
        <v>138</v>
      </c>
      <c r="M41" s="100" t="s">
        <v>139</v>
      </c>
    </row>
    <row r="42" spans="1:16" ht="15.6">
      <c r="A42" s="53" t="str">
        <v>Muroc Joint USD - District Office</v>
      </c>
      <c r="B42" s="29" t="str">
        <v>CA</v>
      </c>
      <c r="C42" s="24">
        <v>5000</v>
      </c>
      <c r="D42" s="13" t="s">
        <v>22</v>
      </c>
      <c r="E42" s="13" t="str">
        <f t="shared" si="8"/>
        <v/>
      </c>
      <c r="F42" s="13" t="str">
        <f t="shared" si="9"/>
        <v/>
      </c>
      <c r="G42" s="91">
        <v>6384.23</v>
      </c>
      <c r="H42" s="91">
        <f t="shared" si="10"/>
        <v>-1384.2299999999996</v>
      </c>
      <c r="I42" s="16">
        <f t="shared" si="3"/>
        <v>-0.2168201960142413</v>
      </c>
      <c r="J42" s="57" t="s">
        <v>119</v>
      </c>
      <c r="K42" s="102"/>
      <c r="L42" s="100"/>
      <c r="M42" s="100"/>
      <c r="N42" s="100"/>
      <c r="O42" s="100"/>
    </row>
    <row r="43" spans="1:16" ht="73.900000000000006" customHeight="1">
      <c r="A43" s="52" t="str">
        <v>Whole Foods - Manhattan Beach</v>
      </c>
      <c r="B43" s="31" t="str">
        <v>CA</v>
      </c>
      <c r="C43" s="11">
        <v>12818</v>
      </c>
      <c r="D43" s="18" t="s">
        <v>22</v>
      </c>
      <c r="E43" s="18" t="str">
        <f t="shared" si="8"/>
        <v/>
      </c>
      <c r="F43" s="18" t="str">
        <f t="shared" si="9"/>
        <v/>
      </c>
      <c r="G43" s="90">
        <v>15625.72</v>
      </c>
      <c r="H43" s="90">
        <f t="shared" si="10"/>
        <v>-2807.7199999999993</v>
      </c>
      <c r="I43" s="19">
        <f t="shared" si="3"/>
        <v>-0.17968580007833235</v>
      </c>
      <c r="J43" s="55" t="s">
        <v>140</v>
      </c>
      <c r="K43" s="101" t="s">
        <v>141</v>
      </c>
      <c r="L43" s="100" t="s">
        <v>64</v>
      </c>
      <c r="M43" s="100" t="s">
        <v>142</v>
      </c>
    </row>
    <row r="44" spans="1:16" ht="29.1">
      <c r="A44" s="53" t="str">
        <v>Pioneer USD - Frontier ES</v>
      </c>
      <c r="B44" s="29" t="str">
        <v>CA</v>
      </c>
      <c r="C44" s="24">
        <v>20603</v>
      </c>
      <c r="D44" s="13" t="s">
        <v>22</v>
      </c>
      <c r="E44" s="13" t="str">
        <f t="shared" si="8"/>
        <v/>
      </c>
      <c r="F44" s="13" t="str">
        <f t="shared" si="9"/>
        <v/>
      </c>
      <c r="G44" s="91">
        <v>18600.14</v>
      </c>
      <c r="H44" s="91">
        <f t="shared" si="10"/>
        <v>2002.8600000000006</v>
      </c>
      <c r="I44" s="16">
        <f t="shared" si="3"/>
        <v>0.10767983466791113</v>
      </c>
      <c r="J44" s="57" t="s">
        <v>143</v>
      </c>
      <c r="K44" s="102" t="s">
        <v>66</v>
      </c>
    </row>
    <row r="45" spans="1:16" ht="130.5">
      <c r="A45" s="52" t="str">
        <v>Pioneer USD - Pioneer ES</v>
      </c>
      <c r="B45" s="31" t="str">
        <v>CA</v>
      </c>
      <c r="C45" s="11">
        <v>13168</v>
      </c>
      <c r="D45" s="18" t="s">
        <v>22</v>
      </c>
      <c r="E45" s="18" t="str">
        <f t="shared" si="8"/>
        <v/>
      </c>
      <c r="F45" s="18" t="str">
        <f t="shared" si="9"/>
        <v/>
      </c>
      <c r="G45" s="90">
        <v>19124.830000000002</v>
      </c>
      <c r="H45" s="90">
        <f t="shared" si="10"/>
        <v>-5956.8300000000017</v>
      </c>
      <c r="I45" s="19">
        <f t="shared" si="3"/>
        <v>-0.31147100392526372</v>
      </c>
      <c r="J45" s="114" t="s">
        <v>144</v>
      </c>
      <c r="K45" s="101" t="s">
        <v>145</v>
      </c>
      <c r="L45" s="100" t="s">
        <v>69</v>
      </c>
      <c r="M45" s="100" t="s">
        <v>70</v>
      </c>
      <c r="N45" s="100" t="s">
        <v>71</v>
      </c>
      <c r="O45" s="100" t="s">
        <v>71</v>
      </c>
    </row>
    <row r="46" spans="1:16" ht="43.5">
      <c r="A46" s="53" t="str">
        <v>Pioneer USD - Pioneer MS</v>
      </c>
      <c r="B46" s="29" t="str">
        <v>CA</v>
      </c>
      <c r="C46" s="24">
        <v>28036</v>
      </c>
      <c r="D46" s="13" t="s">
        <v>22</v>
      </c>
      <c r="E46" s="13" t="str">
        <f t="shared" si="8"/>
        <v/>
      </c>
      <c r="F46" s="13" t="str">
        <f t="shared" si="9"/>
        <v/>
      </c>
      <c r="G46" s="91">
        <v>25858.58</v>
      </c>
      <c r="H46" s="91">
        <f t="shared" si="10"/>
        <v>2177.4199999999983</v>
      </c>
      <c r="I46" s="16">
        <f t="shared" si="3"/>
        <v>8.4204933140180085E-2</v>
      </c>
      <c r="J46" s="85" t="s">
        <v>72</v>
      </c>
      <c r="K46" s="102" t="s">
        <v>73</v>
      </c>
      <c r="L46" s="100" t="s">
        <v>74</v>
      </c>
    </row>
    <row r="47" spans="1:16" ht="72.599999999999994">
      <c r="A47" s="52" t="str">
        <v>Kingsburg Joint UHSD - Kingsburg HS</v>
      </c>
      <c r="B47" s="31" t="str">
        <v>CA</v>
      </c>
      <c r="C47" s="11">
        <v>45118</v>
      </c>
      <c r="D47" s="18" t="s">
        <v>22</v>
      </c>
      <c r="E47" s="18" t="str">
        <f t="shared" si="8"/>
        <v/>
      </c>
      <c r="F47" s="18" t="str">
        <f t="shared" si="9"/>
        <v/>
      </c>
      <c r="G47" s="90">
        <v>48811.98</v>
      </c>
      <c r="H47" s="90">
        <f t="shared" si="10"/>
        <v>-3693.9800000000032</v>
      </c>
      <c r="I47" s="19">
        <f t="shared" si="3"/>
        <v>-7.5677733212215589E-2</v>
      </c>
      <c r="J47" s="114" t="s">
        <v>146</v>
      </c>
      <c r="K47" s="101" t="s">
        <v>147</v>
      </c>
      <c r="L47" s="100" t="s">
        <v>77</v>
      </c>
      <c r="M47" s="100" t="s">
        <v>148</v>
      </c>
      <c r="N47" s="100" t="s">
        <v>149</v>
      </c>
      <c r="O47" s="100" t="s">
        <v>78</v>
      </c>
      <c r="P47" s="100" t="s">
        <v>148</v>
      </c>
    </row>
    <row r="48" spans="1:16" ht="87">
      <c r="A48" s="53" t="str">
        <v>CADRB</v>
      </c>
      <c r="B48" s="29" t="str">
        <v>CA</v>
      </c>
      <c r="C48" s="24">
        <v>0</v>
      </c>
      <c r="D48" s="13" t="s">
        <v>22</v>
      </c>
      <c r="E48" s="18" t="str">
        <f t="shared" si="8"/>
        <v/>
      </c>
      <c r="F48" s="13" t="str">
        <f t="shared" si="9"/>
        <v/>
      </c>
      <c r="G48" s="91">
        <v>443850</v>
      </c>
      <c r="H48" s="91">
        <f t="shared" si="10"/>
        <v>-443850</v>
      </c>
      <c r="I48" s="16">
        <f t="shared" si="3"/>
        <v>-1</v>
      </c>
      <c r="J48" s="85" t="s">
        <v>79</v>
      </c>
      <c r="K48" s="102" t="s">
        <v>150</v>
      </c>
      <c r="L48" s="100" t="s">
        <v>151</v>
      </c>
      <c r="M48" s="100" t="s">
        <v>81</v>
      </c>
      <c r="N48" s="100" t="s">
        <v>82</v>
      </c>
    </row>
    <row r="49" spans="1:16" ht="15.6">
      <c r="A49" s="52" t="str">
        <v>CDCR-CA State Prison LA County</v>
      </c>
      <c r="B49" s="31" t="str">
        <v>CA</v>
      </c>
      <c r="C49" s="11">
        <v>176892</v>
      </c>
      <c r="D49" s="18" t="s">
        <v>22</v>
      </c>
      <c r="E49" s="18" t="str">
        <f t="shared" si="8"/>
        <v/>
      </c>
      <c r="F49" s="18" t="str">
        <f t="shared" si="9"/>
        <v/>
      </c>
      <c r="G49" s="90">
        <v>272714.69</v>
      </c>
      <c r="H49" s="90">
        <f t="shared" si="10"/>
        <v>-95822.69</v>
      </c>
      <c r="I49" s="19">
        <f t="shared" si="3"/>
        <v>-0.35136607419277632</v>
      </c>
      <c r="J49" s="55" t="s">
        <v>119</v>
      </c>
      <c r="K49" s="58"/>
    </row>
    <row r="50" spans="1:16" ht="15.6">
      <c r="A50" s="53" t="str">
        <v>Central USD Akers ES</v>
      </c>
      <c r="B50" s="29" t="str">
        <v>CA</v>
      </c>
      <c r="C50" s="24">
        <v>19588</v>
      </c>
      <c r="D50" s="13" t="s">
        <v>22</v>
      </c>
      <c r="E50" s="13" t="str">
        <f t="shared" si="8"/>
        <v/>
      </c>
      <c r="F50" s="13" t="str">
        <f t="shared" si="9"/>
        <v/>
      </c>
      <c r="G50" s="91">
        <v>21273.81</v>
      </c>
      <c r="H50" s="91">
        <f t="shared" si="10"/>
        <v>-1685.8100000000013</v>
      </c>
      <c r="I50" s="16">
        <f t="shared" si="3"/>
        <v>-7.9243445344298988E-2</v>
      </c>
      <c r="J50" s="57" t="s">
        <v>83</v>
      </c>
      <c r="K50" s="102" t="s">
        <v>84</v>
      </c>
    </row>
    <row r="51" spans="1:16" ht="29.1">
      <c r="A51" s="52" t="str">
        <v>CUSD - District Office</v>
      </c>
      <c r="B51" s="31" t="str">
        <v>CA</v>
      </c>
      <c r="C51" s="11">
        <v>16350</v>
      </c>
      <c r="D51" s="18" t="s">
        <v>22</v>
      </c>
      <c r="E51" s="18" t="str">
        <f t="shared" si="8"/>
        <v/>
      </c>
      <c r="F51" s="18" t="str">
        <f t="shared" si="9"/>
        <v/>
      </c>
      <c r="G51" s="90">
        <v>16036.59</v>
      </c>
      <c r="H51" s="90">
        <f t="shared" si="10"/>
        <v>313.40999999999985</v>
      </c>
      <c r="I51" s="19">
        <f t="shared" si="3"/>
        <v>1.9543431614825836E-2</v>
      </c>
      <c r="J51" s="55" t="s">
        <v>152</v>
      </c>
      <c r="K51" s="101" t="s">
        <v>153</v>
      </c>
    </row>
    <row r="52" spans="1:16" ht="15.6">
      <c r="A52" s="53" t="str">
        <v>Parlier - WTP</v>
      </c>
      <c r="B52" s="29" t="str">
        <v>CA</v>
      </c>
      <c r="C52" s="24">
        <v>28581</v>
      </c>
      <c r="D52" s="13" t="s">
        <v>22</v>
      </c>
      <c r="E52" s="13" t="str">
        <f t="shared" si="8"/>
        <v/>
      </c>
      <c r="F52" s="13" t="str">
        <f t="shared" si="9"/>
        <v/>
      </c>
      <c r="G52" s="91">
        <v>41703.35</v>
      </c>
      <c r="H52" s="91">
        <f t="shared" si="10"/>
        <v>-13122.349999999999</v>
      </c>
      <c r="I52" s="16">
        <f t="shared" si="3"/>
        <v>-0.31465937388722964</v>
      </c>
      <c r="J52" s="57" t="s">
        <v>119</v>
      </c>
      <c r="K52" s="102"/>
    </row>
    <row r="53" spans="1:16" ht="29.1">
      <c r="A53" s="52" t="str">
        <v>Snowline SD - Quail Valley MS</v>
      </c>
      <c r="B53" s="31" t="str">
        <v>CA</v>
      </c>
      <c r="C53" s="11">
        <v>25219</v>
      </c>
      <c r="D53" s="18" t="s">
        <v>22</v>
      </c>
      <c r="E53" s="18" t="str">
        <f t="shared" si="8"/>
        <v/>
      </c>
      <c r="F53" s="18" t="str">
        <f t="shared" si="9"/>
        <v/>
      </c>
      <c r="G53" s="90">
        <v>24415.41</v>
      </c>
      <c r="H53" s="90">
        <f t="shared" si="10"/>
        <v>803.59000000000015</v>
      </c>
      <c r="I53" s="19">
        <f t="shared" si="3"/>
        <v>3.2913229800359697E-2</v>
      </c>
      <c r="J53" s="55" t="s">
        <v>154</v>
      </c>
      <c r="K53" s="104" t="s">
        <v>88</v>
      </c>
      <c r="L53" s="100" t="s">
        <v>89</v>
      </c>
      <c r="M53" s="100" t="s">
        <v>90</v>
      </c>
    </row>
    <row r="54" spans="1:16" ht="15.6">
      <c r="A54" s="53" t="str">
        <v>Snowline SD - Serrano HS - Middle Lot</v>
      </c>
      <c r="B54" s="29" t="str">
        <v>CA</v>
      </c>
      <c r="C54" s="24">
        <v>21035</v>
      </c>
      <c r="D54" s="13" t="s">
        <v>22</v>
      </c>
      <c r="E54" s="13" t="str">
        <f t="shared" si="8"/>
        <v/>
      </c>
      <c r="F54" s="13" t="str">
        <f t="shared" si="9"/>
        <v/>
      </c>
      <c r="G54" s="91">
        <v>28500.77</v>
      </c>
      <c r="H54" s="91">
        <f t="shared" si="10"/>
        <v>-7465.77</v>
      </c>
      <c r="I54" s="16">
        <f t="shared" si="3"/>
        <v>-0.26194976486600186</v>
      </c>
      <c r="J54" s="57" t="s">
        <v>119</v>
      </c>
      <c r="K54" s="102"/>
    </row>
    <row r="55" spans="1:16" ht="15.6">
      <c r="A55" s="52" t="str">
        <v>Snowline SD - Pinon Hills ES</v>
      </c>
      <c r="B55" s="31" t="str">
        <v>CA</v>
      </c>
      <c r="C55" s="11">
        <v>9673</v>
      </c>
      <c r="D55" s="18" t="s">
        <v>22</v>
      </c>
      <c r="E55" s="18" t="str">
        <f t="shared" si="8"/>
        <v/>
      </c>
      <c r="F55" s="18" t="str">
        <f t="shared" si="9"/>
        <v/>
      </c>
      <c r="G55" s="90">
        <v>14901.16</v>
      </c>
      <c r="H55" s="90">
        <f t="shared" si="10"/>
        <v>-5228.16</v>
      </c>
      <c r="I55" s="19">
        <f t="shared" si="3"/>
        <v>-0.35085590652002929</v>
      </c>
      <c r="J55" s="114" t="s">
        <v>91</v>
      </c>
      <c r="K55" s="101" t="s">
        <v>92</v>
      </c>
    </row>
    <row r="56" spans="1:16" ht="15.6">
      <c r="A56" s="53" t="str">
        <v>Ramona - Santa Maria WTP</v>
      </c>
      <c r="B56" s="29" t="str">
        <v>CA</v>
      </c>
      <c r="C56" s="24">
        <v>53315</v>
      </c>
      <c r="D56" s="13" t="s">
        <v>22</v>
      </c>
      <c r="E56" s="13" t="str">
        <f t="shared" si="8"/>
        <v/>
      </c>
      <c r="F56" s="13" t="str">
        <f t="shared" si="9"/>
        <v/>
      </c>
      <c r="G56" s="91">
        <v>56951.14</v>
      </c>
      <c r="H56" s="91">
        <f t="shared" si="10"/>
        <v>-3636.1399999999994</v>
      </c>
      <c r="I56" s="16">
        <f t="shared" si="3"/>
        <v>-6.384665873238006E-2</v>
      </c>
      <c r="J56" s="57"/>
      <c r="K56" s="57"/>
    </row>
    <row r="57" spans="1:16" ht="29.1">
      <c r="A57" s="52" t="str">
        <v>Kohls - Redding</v>
      </c>
      <c r="B57" s="31" t="str">
        <v>CA</v>
      </c>
      <c r="C57" s="11">
        <v>19554</v>
      </c>
      <c r="D57" s="18" t="s">
        <v>22</v>
      </c>
      <c r="E57" s="18" t="str">
        <f t="shared" si="8"/>
        <v/>
      </c>
      <c r="F57" s="18" t="str">
        <f t="shared" si="9"/>
        <v/>
      </c>
      <c r="G57" s="90">
        <v>16190.84</v>
      </c>
      <c r="H57" s="90">
        <f t="shared" si="10"/>
        <v>3363.16</v>
      </c>
      <c r="I57" s="19">
        <f t="shared" si="3"/>
        <v>0.207719920646489</v>
      </c>
      <c r="J57" s="55" t="s">
        <v>155</v>
      </c>
      <c r="K57" s="101" t="s">
        <v>94</v>
      </c>
      <c r="L57" s="100" t="s">
        <v>95</v>
      </c>
    </row>
    <row r="58" spans="1:16" ht="37.5">
      <c r="A58" s="53" t="str">
        <v>Kohls - Salinas</v>
      </c>
      <c r="B58" s="29" t="str">
        <v>CA</v>
      </c>
      <c r="C58" s="24">
        <v>23764</v>
      </c>
      <c r="D58" s="13" t="s">
        <v>22</v>
      </c>
      <c r="E58" s="13" t="str">
        <f t="shared" si="8"/>
        <v/>
      </c>
      <c r="F58" s="13" t="str">
        <f t="shared" si="9"/>
        <v/>
      </c>
      <c r="G58" s="91">
        <v>26628.06</v>
      </c>
      <c r="H58" s="91">
        <f t="shared" si="10"/>
        <v>-2864.0600000000013</v>
      </c>
      <c r="I58" s="16">
        <f t="shared" si="3"/>
        <v>-0.10755796704679203</v>
      </c>
      <c r="J58" s="57" t="s">
        <v>96</v>
      </c>
      <c r="K58" s="102" t="s">
        <v>156</v>
      </c>
      <c r="L58" s="100" t="s">
        <v>157</v>
      </c>
      <c r="M58" s="100" t="s">
        <v>98</v>
      </c>
      <c r="N58" s="100" t="s">
        <v>99</v>
      </c>
      <c r="O58" s="100" t="s">
        <v>100</v>
      </c>
    </row>
    <row r="59" spans="1:16" ht="15.6">
      <c r="A59" s="52" t="str">
        <v>Kohls - San Bernardino - Central</v>
      </c>
      <c r="B59" s="31" t="str">
        <v>CA</v>
      </c>
      <c r="C59" s="11">
        <v>104632</v>
      </c>
      <c r="D59" s="18" t="s">
        <v>22</v>
      </c>
      <c r="E59" s="18" t="str">
        <f t="shared" si="8"/>
        <v/>
      </c>
      <c r="F59" s="18" t="str">
        <f t="shared" si="9"/>
        <v/>
      </c>
      <c r="G59" s="90">
        <v>119205.82</v>
      </c>
      <c r="H59" s="90">
        <f t="shared" si="10"/>
        <v>-14573.820000000007</v>
      </c>
      <c r="I59" s="19">
        <f t="shared" si="3"/>
        <v>-0.12225762131412717</v>
      </c>
      <c r="J59" s="55"/>
      <c r="K59" s="58"/>
    </row>
    <row r="60" spans="1:16" ht="87">
      <c r="A60" s="53" t="str">
        <v>Kohls - Sonora</v>
      </c>
      <c r="B60" s="29" t="str">
        <v>CA</v>
      </c>
      <c r="C60" s="24">
        <v>17057</v>
      </c>
      <c r="D60" s="13" t="s">
        <v>22</v>
      </c>
      <c r="E60" s="13" t="str">
        <f t="shared" si="8"/>
        <v/>
      </c>
      <c r="F60" s="13" t="str">
        <f t="shared" si="9"/>
        <v/>
      </c>
      <c r="G60" s="91">
        <v>17675.439999999999</v>
      </c>
      <c r="H60" s="91">
        <f t="shared" si="10"/>
        <v>-618.43999999999869</v>
      </c>
      <c r="I60" s="16">
        <f t="shared" si="3"/>
        <v>-3.498866223415082E-2</v>
      </c>
      <c r="J60" s="57" t="s">
        <v>158</v>
      </c>
      <c r="K60" s="102" t="s">
        <v>159</v>
      </c>
      <c r="L60" s="100" t="s">
        <v>160</v>
      </c>
      <c r="M60" s="100" t="s">
        <v>103</v>
      </c>
      <c r="N60" s="100" t="s">
        <v>160</v>
      </c>
      <c r="O60" s="100" t="s">
        <v>103</v>
      </c>
      <c r="P60" s="100" t="s">
        <v>160</v>
      </c>
    </row>
    <row r="61" spans="1:16" ht="15.6">
      <c r="A61" s="52" t="str">
        <v>CUSD - Stratford ES</v>
      </c>
      <c r="B61" s="31" t="str">
        <v>CA</v>
      </c>
      <c r="C61" s="11">
        <v>17954</v>
      </c>
      <c r="D61" s="18" t="s">
        <v>22</v>
      </c>
      <c r="E61" s="18" t="str">
        <f t="shared" si="8"/>
        <v/>
      </c>
      <c r="F61" s="18" t="str">
        <f t="shared" si="9"/>
        <v/>
      </c>
      <c r="G61" s="90">
        <v>14369.22</v>
      </c>
      <c r="H61" s="90">
        <f t="shared" si="10"/>
        <v>3584.7800000000007</v>
      </c>
      <c r="I61" s="19">
        <f t="shared" si="3"/>
        <v>0.24947631117068295</v>
      </c>
      <c r="J61" s="116" t="s">
        <v>119</v>
      </c>
      <c r="K61" s="58"/>
    </row>
    <row r="62" spans="1:16" ht="15.6">
      <c r="A62" s="53" t="str">
        <v>Taft - City Hall</v>
      </c>
      <c r="B62" s="29" t="str">
        <v>CA</v>
      </c>
      <c r="C62" s="24">
        <v>2255</v>
      </c>
      <c r="D62" s="13" t="s">
        <v>22</v>
      </c>
      <c r="E62" s="13" t="str">
        <f t="shared" si="8"/>
        <v/>
      </c>
      <c r="F62" s="13" t="str">
        <f t="shared" si="9"/>
        <v/>
      </c>
      <c r="G62" s="91">
        <v>5204.3599999999997</v>
      </c>
      <c r="H62" s="91">
        <f t="shared" si="10"/>
        <v>-2949.3599999999997</v>
      </c>
      <c r="I62" s="16">
        <f t="shared" si="3"/>
        <v>-0.56670945130621242</v>
      </c>
      <c r="J62" s="57" t="s">
        <v>119</v>
      </c>
      <c r="K62" s="102"/>
      <c r="L62" s="100"/>
      <c r="M62" s="100"/>
      <c r="N62" s="100"/>
      <c r="O62" s="100"/>
      <c r="P62" s="100"/>
    </row>
    <row r="63" spans="1:16" ht="15.6">
      <c r="A63" s="52" t="str">
        <v>Taft - Federal Prison</v>
      </c>
      <c r="B63" s="31" t="str">
        <v>CA</v>
      </c>
      <c r="C63" s="11">
        <v>12088</v>
      </c>
      <c r="D63" s="18" t="s">
        <v>22</v>
      </c>
      <c r="E63" s="18" t="str">
        <f t="shared" si="8"/>
        <v/>
      </c>
      <c r="F63" s="18" t="str">
        <f t="shared" si="9"/>
        <v/>
      </c>
      <c r="G63" s="90">
        <v>8981.2199999999993</v>
      </c>
      <c r="H63" s="90">
        <f t="shared" si="10"/>
        <v>3106.7800000000007</v>
      </c>
      <c r="I63" s="19">
        <f t="shared" si="3"/>
        <v>0.3459195966694949</v>
      </c>
      <c r="J63" s="116" t="s">
        <v>119</v>
      </c>
      <c r="K63" s="58"/>
    </row>
    <row r="64" spans="1:16" ht="15.6">
      <c r="A64" s="53" t="str">
        <v>Taft - Police Department</v>
      </c>
      <c r="B64" s="29" t="str">
        <v>CA</v>
      </c>
      <c r="C64" s="24">
        <v>7698</v>
      </c>
      <c r="D64" s="13" t="s">
        <v>22</v>
      </c>
      <c r="E64" s="13" t="str">
        <f t="shared" si="8"/>
        <v/>
      </c>
      <c r="F64" s="13" t="str">
        <f t="shared" si="9"/>
        <v/>
      </c>
      <c r="G64" s="91">
        <v>5975.61</v>
      </c>
      <c r="H64" s="91">
        <f t="shared" si="10"/>
        <v>1722.3900000000003</v>
      </c>
      <c r="I64" s="16">
        <f t="shared" si="3"/>
        <v>0.28823668211278858</v>
      </c>
      <c r="J64" s="57" t="s">
        <v>119</v>
      </c>
      <c r="K64" s="102"/>
      <c r="L64" s="100"/>
      <c r="M64" s="100"/>
      <c r="N64" s="100"/>
      <c r="O64" s="100"/>
      <c r="P64" s="100"/>
    </row>
    <row r="65" spans="1:13" ht="43.5">
      <c r="A65" s="52" t="str">
        <v>Taft - WTP</v>
      </c>
      <c r="B65" s="31" t="str">
        <v>CA</v>
      </c>
      <c r="C65" s="11">
        <v>12661</v>
      </c>
      <c r="D65" s="18" t="s">
        <v>22</v>
      </c>
      <c r="E65" s="18" t="str">
        <f t="shared" si="8"/>
        <v/>
      </c>
      <c r="F65" s="18" t="str">
        <f t="shared" si="9"/>
        <v/>
      </c>
      <c r="G65" s="90">
        <v>39816.160000000003</v>
      </c>
      <c r="H65" s="90">
        <f t="shared" si="10"/>
        <v>-27155.160000000003</v>
      </c>
      <c r="I65" s="19">
        <f t="shared" si="3"/>
        <v>-0.68201353420319788</v>
      </c>
      <c r="J65" s="55" t="s">
        <v>161</v>
      </c>
      <c r="K65" s="101" t="s">
        <v>105</v>
      </c>
      <c r="L65" s="100" t="s">
        <v>106</v>
      </c>
    </row>
    <row r="66" spans="1:13" ht="57.95">
      <c r="A66" s="53" t="str">
        <v>CDCR - CA Correctional Institution</v>
      </c>
      <c r="B66" s="29" t="str">
        <v>CA</v>
      </c>
      <c r="C66" s="24">
        <v>94563</v>
      </c>
      <c r="D66" s="13" t="s">
        <v>22</v>
      </c>
      <c r="E66" s="13" t="str">
        <f t="shared" si="8"/>
        <v/>
      </c>
      <c r="F66" s="13" t="str">
        <f t="shared" si="9"/>
        <v/>
      </c>
      <c r="G66" s="91">
        <v>111535.07</v>
      </c>
      <c r="H66" s="91">
        <f t="shared" si="10"/>
        <v>-16972.070000000007</v>
      </c>
      <c r="I66" s="16">
        <f t="shared" si="3"/>
        <v>-0.15216801316393136</v>
      </c>
      <c r="J66" s="57" t="s">
        <v>162</v>
      </c>
      <c r="K66" s="102" t="s">
        <v>163</v>
      </c>
      <c r="L66" s="100" t="s">
        <v>109</v>
      </c>
      <c r="M66" s="100" t="s">
        <v>110</v>
      </c>
    </row>
    <row r="67" spans="1:13" ht="43.5">
      <c r="A67" s="52" t="str">
        <v>CDCR - CA Correctional Institution II</v>
      </c>
      <c r="B67" s="31" t="str">
        <v>CA</v>
      </c>
      <c r="C67" s="11">
        <v>112446</v>
      </c>
      <c r="D67" s="18" t="s">
        <v>22</v>
      </c>
      <c r="E67" s="18" t="str">
        <f t="shared" si="8"/>
        <v/>
      </c>
      <c r="F67" s="18" t="str">
        <f t="shared" si="9"/>
        <v/>
      </c>
      <c r="G67" s="90">
        <v>177907.85</v>
      </c>
      <c r="H67" s="90">
        <f t="shared" si="10"/>
        <v>-65461.850000000006</v>
      </c>
      <c r="I67" s="19">
        <f t="shared" si="3"/>
        <v>-0.36795369063253813</v>
      </c>
      <c r="J67" s="55" t="s">
        <v>164</v>
      </c>
      <c r="K67" s="101" t="s">
        <v>112</v>
      </c>
      <c r="L67" s="100" t="s">
        <v>113</v>
      </c>
      <c r="M67" s="100" t="s">
        <v>114</v>
      </c>
    </row>
    <row r="68" spans="1:13" ht="15.6">
      <c r="A68" s="53" t="str">
        <v>Snowline SD - Vista Verde ES</v>
      </c>
      <c r="B68" s="29" t="str">
        <v>CA</v>
      </c>
      <c r="C68" s="24">
        <v>21035</v>
      </c>
      <c r="D68" s="13" t="s">
        <v>22</v>
      </c>
      <c r="E68" s="13" t="str">
        <f t="shared" si="8"/>
        <v/>
      </c>
      <c r="F68" s="13" t="str">
        <f t="shared" si="9"/>
        <v/>
      </c>
      <c r="G68" s="91">
        <v>17891.25</v>
      </c>
      <c r="H68" s="91">
        <f t="shared" si="10"/>
        <v>3143.75</v>
      </c>
      <c r="I68" s="16">
        <f t="shared" si="3"/>
        <v>0.17571438552364982</v>
      </c>
      <c r="J68" s="41"/>
      <c r="K68" s="41"/>
    </row>
    <row r="69" spans="1:13" ht="29.1">
      <c r="A69" s="52" t="str">
        <v>North Stonington</v>
      </c>
      <c r="B69" s="31" t="str">
        <v>CT</v>
      </c>
      <c r="C69" s="11">
        <v>908110</v>
      </c>
      <c r="D69" s="18" t="s">
        <v>22</v>
      </c>
      <c r="E69" s="18" t="str">
        <f t="shared" si="8"/>
        <v/>
      </c>
      <c r="F69" s="18"/>
      <c r="G69" s="90">
        <v>0</v>
      </c>
      <c r="H69" s="90">
        <f t="shared" si="10"/>
        <v>908110</v>
      </c>
      <c r="I69" s="19"/>
      <c r="J69" s="55" t="s">
        <v>165</v>
      </c>
      <c r="K69" s="101" t="s">
        <v>116</v>
      </c>
      <c r="L69" s="100"/>
      <c r="M69" s="100"/>
    </row>
    <row r="70" spans="1:13" ht="14.45">
      <c r="A70" s="21"/>
      <c r="B70" s="33"/>
      <c r="C70" s="21"/>
      <c r="D70" s="21"/>
      <c r="E70" s="21"/>
      <c r="F70" s="22"/>
      <c r="G70" s="21"/>
      <c r="H70" s="95"/>
      <c r="I70" s="22"/>
      <c r="J70" s="21"/>
      <c r="K70" s="21"/>
    </row>
    <row r="71" spans="1:13" ht="14.45">
      <c r="A71" s="21"/>
      <c r="B71" s="33"/>
      <c r="C71" s="21"/>
      <c r="D71" s="21"/>
      <c r="E71" s="21"/>
      <c r="F71" s="22"/>
      <c r="G71" s="21"/>
      <c r="H71" s="95"/>
      <c r="I71" s="22"/>
      <c r="J71" s="21"/>
      <c r="K71" s="21"/>
    </row>
    <row r="72" spans="1:13" ht="14.45">
      <c r="A72" s="21"/>
      <c r="B72" s="33"/>
      <c r="C72" s="21"/>
      <c r="D72" s="21"/>
      <c r="E72" s="21"/>
      <c r="F72" s="22"/>
      <c r="G72" s="21"/>
      <c r="H72" s="95"/>
      <c r="I72" s="22"/>
      <c r="J72" s="21"/>
      <c r="K72" s="21"/>
    </row>
    <row r="73" spans="1:13" ht="14.45">
      <c r="A73" s="21"/>
      <c r="B73" s="33"/>
      <c r="C73" s="21"/>
      <c r="D73" s="21"/>
      <c r="E73" s="21"/>
      <c r="F73" s="22"/>
      <c r="G73" s="21"/>
      <c r="H73" s="95"/>
      <c r="I73" s="22"/>
      <c r="J73" s="21"/>
      <c r="K73" s="21"/>
    </row>
    <row r="74" spans="1:13" ht="14.45">
      <c r="A74" s="21"/>
      <c r="B74" s="33"/>
      <c r="C74" s="21"/>
      <c r="D74" s="21"/>
      <c r="E74" s="21"/>
      <c r="F74" s="22"/>
      <c r="G74" s="21"/>
      <c r="H74" s="95"/>
      <c r="I74" s="22"/>
      <c r="J74" s="21"/>
      <c r="K74" s="21"/>
    </row>
    <row r="75" spans="1:13" ht="14.45">
      <c r="A75" s="21"/>
      <c r="B75" s="33"/>
      <c r="C75" s="21"/>
      <c r="D75" s="21"/>
      <c r="E75" s="21"/>
      <c r="F75" s="22"/>
      <c r="G75" s="21"/>
      <c r="H75" s="95"/>
      <c r="I75" s="22"/>
      <c r="J75" s="21"/>
      <c r="K75" s="21"/>
    </row>
    <row r="76" spans="1:13" ht="14.45">
      <c r="A76" s="21"/>
      <c r="B76" s="33"/>
      <c r="C76" s="21"/>
      <c r="D76" s="21"/>
      <c r="E76" s="21"/>
      <c r="F76" s="22"/>
      <c r="G76" s="21"/>
      <c r="H76" s="95"/>
      <c r="I76" s="22"/>
      <c r="J76" s="21"/>
      <c r="K76" s="21"/>
    </row>
    <row r="77" spans="1:13" ht="14.45">
      <c r="A77" s="21"/>
      <c r="B77" s="33"/>
      <c r="C77" s="21"/>
      <c r="D77" s="21"/>
      <c r="E77" s="21"/>
      <c r="F77" s="22"/>
      <c r="G77" s="21"/>
      <c r="H77" s="95"/>
      <c r="I77" s="22"/>
      <c r="J77" s="21"/>
      <c r="K77" s="21"/>
    </row>
    <row r="78" spans="1:13" ht="14.45">
      <c r="A78" s="21"/>
      <c r="B78" s="33"/>
      <c r="C78" s="21"/>
      <c r="D78" s="21"/>
      <c r="E78" s="21"/>
      <c r="F78" s="22"/>
      <c r="G78" s="21"/>
      <c r="H78" s="95"/>
      <c r="I78" s="22"/>
      <c r="J78" s="21"/>
      <c r="K78" s="21"/>
    </row>
    <row r="79" spans="1:13" ht="14.45">
      <c r="A79" s="21"/>
      <c r="B79" s="33"/>
      <c r="C79" s="21"/>
      <c r="D79" s="21"/>
      <c r="E79" s="21"/>
      <c r="F79" s="22"/>
      <c r="G79" s="21"/>
      <c r="H79" s="95"/>
      <c r="I79" s="22"/>
      <c r="J79" s="21"/>
      <c r="K79" s="21"/>
    </row>
    <row r="80" spans="1:13" ht="14.45">
      <c r="A80" s="21"/>
      <c r="B80" s="33"/>
      <c r="C80" s="21"/>
      <c r="D80" s="21"/>
      <c r="E80" s="21"/>
      <c r="F80" s="22"/>
      <c r="G80" s="21"/>
      <c r="H80" s="95"/>
      <c r="I80" s="22"/>
      <c r="J80" s="21"/>
      <c r="K80" s="21"/>
    </row>
    <row r="81" spans="1:11" ht="14.45">
      <c r="A81" s="21"/>
      <c r="B81" s="33"/>
      <c r="C81" s="21"/>
      <c r="D81" s="21"/>
      <c r="E81" s="21"/>
      <c r="F81" s="22"/>
      <c r="G81" s="21"/>
      <c r="H81" s="95"/>
      <c r="I81" s="22"/>
      <c r="J81" s="21"/>
      <c r="K81" s="21"/>
    </row>
    <row r="82" spans="1:11" ht="14.45">
      <c r="A82" s="21"/>
      <c r="B82" s="33"/>
      <c r="C82" s="21"/>
      <c r="D82" s="21"/>
      <c r="E82" s="21"/>
      <c r="F82" s="22"/>
      <c r="G82" s="21"/>
      <c r="H82" s="95"/>
      <c r="I82" s="22"/>
      <c r="J82" s="21"/>
      <c r="K82" s="21"/>
    </row>
    <row r="83" spans="1:11" ht="14.45">
      <c r="A83" s="21"/>
      <c r="B83" s="33"/>
      <c r="C83" s="21"/>
      <c r="D83" s="21"/>
      <c r="E83" s="21"/>
      <c r="F83" s="22"/>
      <c r="G83" s="21"/>
      <c r="H83" s="95"/>
      <c r="I83" s="22"/>
      <c r="J83" s="21"/>
      <c r="K83" s="21"/>
    </row>
    <row r="84" spans="1:11" ht="14.45">
      <c r="A84" s="21"/>
      <c r="B84" s="33"/>
      <c r="C84" s="21"/>
      <c r="D84" s="21"/>
      <c r="E84" s="21"/>
      <c r="F84" s="22"/>
      <c r="G84" s="21"/>
      <c r="H84" s="95"/>
      <c r="I84" s="22"/>
      <c r="J84" s="21"/>
      <c r="K84" s="21"/>
    </row>
    <row r="85" spans="1:11" ht="14.45">
      <c r="A85" s="21"/>
      <c r="B85" s="33"/>
      <c r="C85" s="21"/>
      <c r="D85" s="21"/>
      <c r="E85" s="21"/>
      <c r="F85" s="22"/>
      <c r="G85" s="21"/>
      <c r="H85" s="95"/>
      <c r="I85" s="22"/>
      <c r="J85" s="21"/>
      <c r="K85" s="21"/>
    </row>
    <row r="86" spans="1:11" ht="14.45">
      <c r="A86" s="21"/>
      <c r="B86" s="33"/>
      <c r="C86" s="21"/>
      <c r="D86" s="21"/>
      <c r="E86" s="21"/>
      <c r="F86" s="22"/>
      <c r="G86" s="21"/>
      <c r="H86" s="95"/>
      <c r="I86" s="22"/>
      <c r="J86" s="21"/>
      <c r="K86" s="21"/>
    </row>
    <row r="87" spans="1:11" ht="14.45">
      <c r="A87" s="21"/>
      <c r="B87" s="33"/>
      <c r="C87" s="21"/>
      <c r="D87" s="21"/>
      <c r="E87" s="21"/>
      <c r="F87" s="22"/>
      <c r="G87" s="21"/>
      <c r="H87" s="95"/>
      <c r="I87" s="22"/>
      <c r="J87" s="21"/>
      <c r="K87" s="21"/>
    </row>
    <row r="88" spans="1:11" ht="14.45">
      <c r="A88" s="21"/>
      <c r="B88" s="33"/>
      <c r="C88" s="21"/>
      <c r="D88" s="21"/>
      <c r="E88" s="21"/>
      <c r="F88" s="22"/>
      <c r="G88" s="21"/>
      <c r="H88" s="95"/>
      <c r="I88" s="22"/>
      <c r="J88" s="21"/>
      <c r="K88" s="21"/>
    </row>
    <row r="89" spans="1:11" ht="14.45">
      <c r="A89" s="21"/>
      <c r="B89" s="33"/>
      <c r="C89" s="21"/>
      <c r="D89" s="21"/>
      <c r="E89" s="21"/>
      <c r="F89" s="22"/>
      <c r="G89" s="21"/>
      <c r="H89" s="95"/>
      <c r="I89" s="22"/>
      <c r="J89" s="21"/>
      <c r="K89" s="21"/>
    </row>
    <row r="90" spans="1:11" ht="14.45">
      <c r="A90" s="21"/>
      <c r="B90" s="33"/>
      <c r="C90" s="21"/>
      <c r="D90" s="21"/>
      <c r="E90" s="21"/>
      <c r="F90" s="22"/>
      <c r="G90" s="21"/>
      <c r="H90" s="95"/>
      <c r="I90" s="22"/>
      <c r="J90" s="21"/>
      <c r="K90" s="21"/>
    </row>
    <row r="91" spans="1:11" ht="14.45">
      <c r="A91" s="21"/>
      <c r="B91" s="33"/>
      <c r="C91" s="21"/>
      <c r="D91" s="21"/>
      <c r="E91" s="21"/>
      <c r="F91" s="22"/>
      <c r="G91" s="21"/>
      <c r="H91" s="95"/>
      <c r="I91" s="22"/>
      <c r="J91" s="21"/>
      <c r="K91" s="21"/>
    </row>
    <row r="92" spans="1:11" ht="14.45">
      <c r="A92" s="21"/>
      <c r="B92" s="33"/>
      <c r="C92" s="21"/>
      <c r="D92" s="21"/>
      <c r="E92" s="21"/>
      <c r="F92" s="22"/>
      <c r="G92" s="21"/>
      <c r="H92" s="95"/>
      <c r="I92" s="22"/>
      <c r="J92" s="21"/>
      <c r="K92" s="21"/>
    </row>
    <row r="93" spans="1:11" ht="14.45">
      <c r="A93" s="21"/>
      <c r="B93" s="33"/>
      <c r="C93" s="21"/>
      <c r="D93" s="21"/>
      <c r="E93" s="21"/>
      <c r="F93" s="22"/>
      <c r="G93" s="21"/>
      <c r="H93" s="95"/>
      <c r="I93" s="22"/>
      <c r="J93" s="21"/>
      <c r="K93" s="21"/>
    </row>
    <row r="94" spans="1:11" ht="14.45">
      <c r="A94" s="21"/>
      <c r="B94" s="33"/>
      <c r="C94" s="21"/>
      <c r="D94" s="21"/>
      <c r="E94" s="21"/>
      <c r="F94" s="22"/>
      <c r="G94" s="21"/>
      <c r="H94" s="95"/>
      <c r="I94" s="22"/>
      <c r="J94" s="21"/>
      <c r="K94" s="21"/>
    </row>
    <row r="95" spans="1:11" ht="14.45">
      <c r="A95" s="21"/>
      <c r="B95" s="33"/>
      <c r="C95" s="21"/>
      <c r="D95" s="21"/>
      <c r="E95" s="21"/>
      <c r="F95" s="22"/>
      <c r="G95" s="21"/>
      <c r="H95" s="95"/>
      <c r="I95" s="22"/>
      <c r="J95" s="21"/>
      <c r="K95" s="21"/>
    </row>
    <row r="96" spans="1:11" ht="14.45">
      <c r="A96" s="21"/>
      <c r="B96" s="33"/>
      <c r="C96" s="21"/>
      <c r="D96" s="21"/>
      <c r="E96" s="21"/>
      <c r="F96" s="22"/>
      <c r="G96" s="21"/>
      <c r="H96" s="95"/>
      <c r="I96" s="22"/>
      <c r="J96" s="21"/>
      <c r="K96" s="21"/>
    </row>
    <row r="97" spans="1:11" ht="14.45">
      <c r="A97" s="21"/>
      <c r="B97" s="33"/>
      <c r="C97" s="21"/>
      <c r="D97" s="21"/>
      <c r="E97" s="21"/>
      <c r="F97" s="22"/>
      <c r="G97" s="21"/>
      <c r="H97" s="95"/>
      <c r="I97" s="22"/>
      <c r="J97" s="21"/>
      <c r="K97" s="21"/>
    </row>
    <row r="98" spans="1:11" ht="14.45">
      <c r="A98" s="21"/>
      <c r="B98" s="33"/>
      <c r="C98" s="21"/>
      <c r="D98" s="21"/>
      <c r="E98" s="21"/>
      <c r="F98" s="22"/>
      <c r="G98" s="21"/>
      <c r="H98" s="95"/>
      <c r="I98" s="22"/>
      <c r="J98" s="21"/>
      <c r="K98" s="21"/>
    </row>
    <row r="99" spans="1:11" ht="14.45">
      <c r="A99" s="21"/>
      <c r="B99" s="33"/>
      <c r="C99" s="21"/>
      <c r="D99" s="21"/>
      <c r="E99" s="21"/>
      <c r="F99" s="22"/>
      <c r="G99" s="21"/>
      <c r="H99" s="95"/>
      <c r="I99" s="22"/>
      <c r="J99" s="21"/>
      <c r="K99" s="21"/>
    </row>
    <row r="100" spans="1:11" ht="14.45">
      <c r="A100" s="21"/>
      <c r="B100" s="33"/>
      <c r="C100" s="21"/>
      <c r="D100" s="21"/>
      <c r="E100" s="21"/>
      <c r="F100" s="22"/>
      <c r="G100" s="21"/>
      <c r="H100" s="95"/>
      <c r="I100" s="22"/>
      <c r="J100" s="21"/>
      <c r="K100" s="21"/>
    </row>
    <row r="101" spans="1:11" ht="14.45">
      <c r="A101" s="21"/>
      <c r="B101" s="33"/>
      <c r="C101" s="21"/>
      <c r="D101" s="21"/>
      <c r="E101" s="21"/>
      <c r="F101" s="22"/>
      <c r="G101" s="21"/>
      <c r="H101" s="95"/>
      <c r="I101" s="22"/>
      <c r="J101" s="21"/>
      <c r="K101" s="21"/>
    </row>
    <row r="102" spans="1:11" ht="14.45">
      <c r="A102" s="21"/>
      <c r="B102" s="33"/>
      <c r="C102" s="21"/>
      <c r="D102" s="21"/>
      <c r="E102" s="21"/>
      <c r="F102" s="22"/>
      <c r="G102" s="21"/>
      <c r="H102" s="95"/>
      <c r="I102" s="22"/>
      <c r="J102" s="21"/>
      <c r="K102" s="21"/>
    </row>
    <row r="103" spans="1:11" ht="14.45">
      <c r="A103" s="21"/>
      <c r="B103" s="33"/>
      <c r="C103" s="21"/>
      <c r="D103" s="21"/>
      <c r="E103" s="21"/>
      <c r="F103" s="22"/>
      <c r="G103" s="21"/>
      <c r="H103" s="95"/>
      <c r="I103" s="22"/>
      <c r="J103" s="21"/>
      <c r="K103" s="21"/>
    </row>
    <row r="104" spans="1:11" ht="14.45">
      <c r="A104" s="21"/>
      <c r="B104" s="33"/>
      <c r="C104" s="21"/>
      <c r="D104" s="21"/>
      <c r="E104" s="21"/>
      <c r="F104" s="22"/>
      <c r="G104" s="21"/>
      <c r="H104" s="95"/>
      <c r="I104" s="22"/>
      <c r="J104" s="21"/>
      <c r="K104" s="21"/>
    </row>
    <row r="105" spans="1:11" ht="14.45">
      <c r="A105" s="21"/>
      <c r="B105" s="33"/>
      <c r="C105" s="21"/>
      <c r="D105" s="21"/>
      <c r="E105" s="21"/>
      <c r="F105" s="22"/>
      <c r="G105" s="21"/>
      <c r="H105" s="95"/>
      <c r="I105" s="22"/>
      <c r="J105" s="21"/>
      <c r="K105" s="21"/>
    </row>
    <row r="106" spans="1:11" ht="14.45">
      <c r="A106" s="21"/>
      <c r="B106" s="33"/>
      <c r="C106" s="21"/>
      <c r="D106" s="21"/>
      <c r="E106" s="21"/>
      <c r="F106" s="22"/>
      <c r="G106" s="21"/>
      <c r="H106" s="95"/>
      <c r="I106" s="22"/>
      <c r="J106" s="21"/>
      <c r="K106" s="21"/>
    </row>
    <row r="107" spans="1:11" ht="14.45">
      <c r="A107" s="21"/>
      <c r="B107" s="33"/>
      <c r="C107" s="21"/>
      <c r="D107" s="21"/>
      <c r="E107" s="21"/>
      <c r="F107" s="22"/>
      <c r="G107" s="21"/>
      <c r="H107" s="95"/>
      <c r="I107" s="22"/>
      <c r="J107" s="21"/>
      <c r="K107" s="21"/>
    </row>
    <row r="108" spans="1:11" ht="14.45">
      <c r="A108" s="21"/>
      <c r="B108" s="33"/>
      <c r="C108" s="21"/>
      <c r="D108" s="21"/>
      <c r="E108" s="21"/>
      <c r="F108" s="22"/>
      <c r="G108" s="21"/>
      <c r="H108" s="95"/>
      <c r="I108" s="22"/>
      <c r="J108" s="21"/>
      <c r="K108" s="21"/>
    </row>
    <row r="109" spans="1:11" ht="14.45">
      <c r="A109" s="21"/>
      <c r="B109" s="33"/>
      <c r="C109" s="21"/>
      <c r="D109" s="21"/>
      <c r="E109" s="21"/>
      <c r="F109" s="22"/>
      <c r="G109" s="21"/>
      <c r="H109" s="95"/>
      <c r="I109" s="22"/>
      <c r="J109" s="21"/>
      <c r="K109" s="21"/>
    </row>
    <row r="110" spans="1:11" ht="14.45">
      <c r="A110" s="21"/>
      <c r="B110" s="33"/>
      <c r="C110" s="21"/>
      <c r="D110" s="21"/>
      <c r="E110" s="21"/>
      <c r="F110" s="22"/>
      <c r="G110" s="21"/>
      <c r="H110" s="95"/>
      <c r="I110" s="22"/>
      <c r="J110" s="21"/>
      <c r="K110" s="21"/>
    </row>
    <row r="111" spans="1:11" ht="14.45">
      <c r="A111" s="21"/>
      <c r="B111" s="33"/>
      <c r="C111" s="21"/>
      <c r="D111" s="21"/>
      <c r="E111" s="21"/>
      <c r="F111" s="22"/>
      <c r="G111" s="21"/>
      <c r="H111" s="95"/>
      <c r="I111" s="22"/>
      <c r="J111" s="21"/>
      <c r="K111" s="21"/>
    </row>
    <row r="112" spans="1:11" ht="14.45">
      <c r="A112" s="21"/>
      <c r="B112" s="33"/>
      <c r="C112" s="21"/>
      <c r="D112" s="21"/>
      <c r="E112" s="21"/>
      <c r="F112" s="22"/>
      <c r="G112" s="21"/>
      <c r="H112" s="95"/>
      <c r="I112" s="22"/>
      <c r="J112" s="21"/>
      <c r="K112" s="21"/>
    </row>
    <row r="113" spans="1:11" ht="14.45">
      <c r="A113" s="21"/>
      <c r="B113" s="33"/>
      <c r="C113" s="21"/>
      <c r="D113" s="21"/>
      <c r="E113" s="21"/>
      <c r="F113" s="22"/>
      <c r="G113" s="21"/>
      <c r="H113" s="95"/>
      <c r="I113" s="22"/>
      <c r="J113" s="21"/>
      <c r="K113" s="21"/>
    </row>
    <row r="114" spans="1:11" ht="14.45">
      <c r="A114" s="21"/>
      <c r="B114" s="33"/>
      <c r="C114" s="21"/>
      <c r="D114" s="21"/>
      <c r="E114" s="21"/>
      <c r="F114" s="22"/>
      <c r="G114" s="21"/>
      <c r="H114" s="95"/>
      <c r="I114" s="22"/>
      <c r="J114" s="21"/>
      <c r="K114" s="21"/>
    </row>
    <row r="115" spans="1:11" ht="14.45">
      <c r="A115" s="21"/>
      <c r="B115" s="33"/>
      <c r="C115" s="21"/>
      <c r="D115" s="21"/>
      <c r="E115" s="21"/>
      <c r="F115" s="22"/>
      <c r="G115" s="21"/>
      <c r="H115" s="95"/>
      <c r="I115" s="22"/>
      <c r="J115" s="21"/>
      <c r="K115" s="21"/>
    </row>
    <row r="116" spans="1:11" ht="14.45">
      <c r="A116" s="21"/>
      <c r="B116" s="33"/>
      <c r="C116" s="21"/>
      <c r="D116" s="21"/>
      <c r="E116" s="21"/>
      <c r="F116" s="22"/>
      <c r="G116" s="21"/>
      <c r="H116" s="95"/>
      <c r="I116" s="22"/>
      <c r="J116" s="21"/>
      <c r="K116" s="21"/>
    </row>
    <row r="117" spans="1:11" ht="14.45">
      <c r="A117" s="21"/>
      <c r="B117" s="33"/>
      <c r="C117" s="21"/>
      <c r="D117" s="21"/>
      <c r="E117" s="21"/>
      <c r="F117" s="22"/>
      <c r="G117" s="21"/>
      <c r="H117" s="95"/>
      <c r="I117" s="22"/>
      <c r="J117" s="21"/>
      <c r="K117" s="21"/>
    </row>
    <row r="118" spans="1:11" ht="14.45">
      <c r="A118" s="21"/>
      <c r="B118" s="33"/>
      <c r="C118" s="21"/>
      <c r="D118" s="21"/>
      <c r="E118" s="21"/>
      <c r="F118" s="22"/>
      <c r="G118" s="21"/>
      <c r="H118" s="95"/>
      <c r="I118" s="22"/>
      <c r="J118" s="21"/>
      <c r="K118" s="21"/>
    </row>
    <row r="119" spans="1:11" ht="14.45">
      <c r="A119" s="21"/>
      <c r="B119" s="33"/>
      <c r="C119" s="21"/>
      <c r="D119" s="21"/>
      <c r="E119" s="21"/>
      <c r="F119" s="22"/>
      <c r="G119" s="21"/>
      <c r="H119" s="95"/>
      <c r="I119" s="22"/>
      <c r="J119" s="21"/>
      <c r="K119" s="21"/>
    </row>
    <row r="120" spans="1:11" ht="14.45">
      <c r="A120" s="21"/>
      <c r="B120" s="33"/>
      <c r="C120" s="21"/>
      <c r="D120" s="21"/>
      <c r="E120" s="21"/>
      <c r="F120" s="22"/>
      <c r="G120" s="21"/>
      <c r="H120" s="95"/>
      <c r="I120" s="22"/>
      <c r="J120" s="21"/>
      <c r="K120" s="21"/>
    </row>
    <row r="121" spans="1:11" ht="14.45">
      <c r="A121" s="21"/>
      <c r="B121" s="33"/>
      <c r="C121" s="21"/>
      <c r="D121" s="21"/>
      <c r="E121" s="21"/>
      <c r="F121" s="22"/>
      <c r="G121" s="21"/>
      <c r="H121" s="95"/>
      <c r="I121" s="22"/>
      <c r="J121" s="21"/>
      <c r="K121" s="21"/>
    </row>
    <row r="122" spans="1:11" ht="14.45">
      <c r="A122" s="21"/>
      <c r="B122" s="33"/>
      <c r="C122" s="21"/>
      <c r="D122" s="21"/>
      <c r="E122" s="21"/>
      <c r="F122" s="22"/>
      <c r="G122" s="21"/>
      <c r="H122" s="95"/>
      <c r="I122" s="22"/>
      <c r="J122" s="21"/>
      <c r="K122" s="21"/>
    </row>
    <row r="123" spans="1:11" ht="14.45">
      <c r="A123" s="21"/>
      <c r="B123" s="33"/>
      <c r="C123" s="21"/>
      <c r="D123" s="21"/>
      <c r="E123" s="21"/>
      <c r="F123" s="22"/>
      <c r="G123" s="21"/>
      <c r="H123" s="95"/>
      <c r="I123" s="22"/>
      <c r="J123" s="21"/>
      <c r="K123" s="21"/>
    </row>
    <row r="124" spans="1:11" ht="14.45">
      <c r="A124" s="21"/>
      <c r="B124" s="33"/>
      <c r="C124" s="21"/>
      <c r="D124" s="21"/>
      <c r="E124" s="21"/>
      <c r="F124" s="22"/>
      <c r="G124" s="21"/>
      <c r="H124" s="95"/>
      <c r="I124" s="22"/>
      <c r="J124" s="21"/>
      <c r="K124" s="21"/>
    </row>
    <row r="125" spans="1:11" ht="14.45">
      <c r="A125" s="21"/>
      <c r="B125" s="33"/>
      <c r="C125" s="21"/>
      <c r="D125" s="21"/>
      <c r="E125" s="21"/>
      <c r="F125" s="22"/>
      <c r="G125" s="21"/>
      <c r="H125" s="95"/>
      <c r="I125" s="22"/>
      <c r="J125" s="21"/>
      <c r="K125" s="21"/>
    </row>
    <row r="126" spans="1:11" ht="14.45">
      <c r="A126" s="21"/>
      <c r="B126" s="33"/>
      <c r="C126" s="21"/>
      <c r="D126" s="21"/>
      <c r="E126" s="21"/>
      <c r="F126" s="22"/>
      <c r="G126" s="21"/>
      <c r="H126" s="95"/>
      <c r="I126" s="22"/>
      <c r="J126" s="21"/>
      <c r="K126" s="21"/>
    </row>
    <row r="127" spans="1:11" ht="14.45">
      <c r="A127" s="21"/>
      <c r="B127" s="33"/>
      <c r="C127" s="21"/>
      <c r="D127" s="21"/>
      <c r="E127" s="21"/>
      <c r="F127" s="22"/>
      <c r="G127" s="21"/>
      <c r="H127" s="95"/>
      <c r="I127" s="22"/>
      <c r="J127" s="21"/>
      <c r="K127" s="21"/>
    </row>
    <row r="128" spans="1:11" ht="14.45">
      <c r="A128" s="21"/>
      <c r="B128" s="33"/>
      <c r="C128" s="21"/>
      <c r="D128" s="21"/>
      <c r="E128" s="21"/>
      <c r="F128" s="22"/>
      <c r="G128" s="21"/>
      <c r="H128" s="95"/>
      <c r="I128" s="22"/>
      <c r="J128" s="21"/>
      <c r="K128" s="21"/>
    </row>
    <row r="129" spans="1:11" ht="14.45">
      <c r="A129" s="21"/>
      <c r="B129" s="33"/>
      <c r="C129" s="21"/>
      <c r="D129" s="21"/>
      <c r="E129" s="21"/>
      <c r="F129" s="22"/>
      <c r="G129" s="21"/>
      <c r="H129" s="95"/>
      <c r="I129" s="22"/>
      <c r="J129" s="21"/>
      <c r="K129" s="21"/>
    </row>
    <row r="130" spans="1:11" ht="14.45">
      <c r="A130" s="21"/>
      <c r="B130" s="33"/>
      <c r="C130" s="21"/>
      <c r="D130" s="21"/>
      <c r="E130" s="21"/>
      <c r="F130" s="22"/>
      <c r="G130" s="21"/>
      <c r="H130" s="95"/>
      <c r="I130" s="22"/>
      <c r="J130" s="21"/>
      <c r="K130" s="21"/>
    </row>
    <row r="131" spans="1:11" ht="14.45">
      <c r="A131" s="21"/>
      <c r="B131" s="33"/>
      <c r="C131" s="21"/>
      <c r="D131" s="21"/>
      <c r="E131" s="21"/>
      <c r="F131" s="22"/>
      <c r="G131" s="21"/>
      <c r="H131" s="95"/>
      <c r="I131" s="22"/>
      <c r="J131" s="21"/>
      <c r="K131" s="21"/>
    </row>
    <row r="132" spans="1:11" ht="14.45">
      <c r="A132" s="21"/>
      <c r="B132" s="33"/>
      <c r="C132" s="21"/>
      <c r="D132" s="21"/>
      <c r="E132" s="21"/>
      <c r="F132" s="22"/>
      <c r="G132" s="21"/>
      <c r="H132" s="95"/>
      <c r="I132" s="22"/>
      <c r="J132" s="21"/>
      <c r="K132" s="21"/>
    </row>
    <row r="133" spans="1:11" ht="14.45">
      <c r="A133" s="21"/>
      <c r="B133" s="33"/>
      <c r="C133" s="21"/>
      <c r="D133" s="21"/>
      <c r="E133" s="21"/>
      <c r="F133" s="22"/>
      <c r="G133" s="21"/>
      <c r="H133" s="95"/>
      <c r="I133" s="22"/>
      <c r="J133" s="21"/>
      <c r="K133" s="21"/>
    </row>
    <row r="134" spans="1:11" ht="14.45">
      <c r="A134" s="21"/>
      <c r="B134" s="33"/>
      <c r="C134" s="21"/>
      <c r="D134" s="21"/>
      <c r="E134" s="21"/>
      <c r="F134" s="22"/>
      <c r="G134" s="21"/>
      <c r="H134" s="95"/>
      <c r="I134" s="22"/>
      <c r="J134" s="21"/>
      <c r="K134" s="21"/>
    </row>
    <row r="135" spans="1:11" ht="14.45">
      <c r="A135" s="21"/>
      <c r="B135" s="33"/>
      <c r="C135" s="21"/>
      <c r="D135" s="21"/>
      <c r="E135" s="21"/>
      <c r="F135" s="22"/>
      <c r="G135" s="21"/>
      <c r="H135" s="95"/>
      <c r="I135" s="22"/>
      <c r="J135" s="21"/>
      <c r="K135" s="21"/>
    </row>
    <row r="136" spans="1:11" ht="14.45">
      <c r="A136" s="21"/>
      <c r="B136" s="33"/>
      <c r="C136" s="21"/>
      <c r="D136" s="21"/>
      <c r="E136" s="21"/>
      <c r="F136" s="22"/>
      <c r="G136" s="21"/>
      <c r="H136" s="95"/>
      <c r="I136" s="22"/>
      <c r="J136" s="21"/>
      <c r="K136" s="21"/>
    </row>
    <row r="137" spans="1:11" ht="14.45">
      <c r="A137" s="21"/>
      <c r="B137" s="33"/>
      <c r="C137" s="21"/>
      <c r="D137" s="21"/>
      <c r="E137" s="21"/>
      <c r="F137" s="22"/>
      <c r="G137" s="21"/>
      <c r="H137" s="95"/>
      <c r="I137" s="22"/>
      <c r="J137" s="21"/>
      <c r="K137" s="21"/>
    </row>
    <row r="138" spans="1:11" ht="14.45">
      <c r="A138" s="21"/>
      <c r="B138" s="33"/>
      <c r="C138" s="21"/>
      <c r="D138" s="21"/>
      <c r="E138" s="21"/>
      <c r="F138" s="22"/>
      <c r="G138" s="21"/>
      <c r="H138" s="95"/>
      <c r="I138" s="22"/>
      <c r="J138" s="21"/>
      <c r="K138" s="21"/>
    </row>
    <row r="139" spans="1:11" ht="14.45">
      <c r="A139" s="21"/>
      <c r="B139" s="33"/>
      <c r="C139" s="21"/>
      <c r="D139" s="21"/>
      <c r="E139" s="21"/>
      <c r="F139" s="22"/>
      <c r="G139" s="21"/>
      <c r="H139" s="95"/>
      <c r="I139" s="22"/>
      <c r="J139" s="21"/>
      <c r="K139" s="21"/>
    </row>
    <row r="140" spans="1:11" ht="14.45">
      <c r="A140" s="21"/>
      <c r="B140" s="33"/>
      <c r="C140" s="21"/>
      <c r="D140" s="21"/>
      <c r="E140" s="21"/>
      <c r="F140" s="22"/>
      <c r="G140" s="21"/>
      <c r="H140" s="95"/>
      <c r="I140" s="22"/>
      <c r="J140" s="21"/>
      <c r="K140" s="21"/>
    </row>
    <row r="141" spans="1:11" ht="14.45">
      <c r="A141" s="21"/>
      <c r="B141" s="33"/>
      <c r="C141" s="21"/>
      <c r="D141" s="21"/>
      <c r="E141" s="21"/>
      <c r="F141" s="22"/>
      <c r="G141" s="21"/>
      <c r="H141" s="95"/>
      <c r="I141" s="22"/>
      <c r="J141" s="21"/>
      <c r="K141" s="21"/>
    </row>
    <row r="142" spans="1:11" ht="14.45">
      <c r="A142" s="21"/>
      <c r="B142" s="33"/>
      <c r="C142" s="21"/>
      <c r="D142" s="21"/>
      <c r="E142" s="21"/>
      <c r="F142" s="22"/>
      <c r="G142" s="21"/>
      <c r="H142" s="95"/>
      <c r="I142" s="22"/>
      <c r="J142" s="21"/>
      <c r="K142" s="21"/>
    </row>
    <row r="143" spans="1:11" ht="14.45">
      <c r="A143" s="21"/>
      <c r="B143" s="33"/>
      <c r="C143" s="21"/>
      <c r="D143" s="21"/>
      <c r="E143" s="21"/>
      <c r="F143" s="22"/>
      <c r="G143" s="21"/>
      <c r="H143" s="95"/>
      <c r="I143" s="22"/>
      <c r="J143" s="21"/>
      <c r="K143" s="21"/>
    </row>
    <row r="144" spans="1:11" ht="14.45">
      <c r="A144" s="21"/>
      <c r="B144" s="33"/>
      <c r="C144" s="21"/>
      <c r="D144" s="21"/>
      <c r="E144" s="21"/>
      <c r="F144" s="22"/>
      <c r="G144" s="21"/>
      <c r="H144" s="95"/>
      <c r="I144" s="22"/>
      <c r="J144" s="21"/>
      <c r="K144" s="21"/>
    </row>
    <row r="145" spans="1:11" ht="14.45">
      <c r="A145" s="21"/>
      <c r="B145" s="33"/>
      <c r="C145" s="21"/>
      <c r="D145" s="21"/>
      <c r="E145" s="21"/>
      <c r="F145" s="22"/>
      <c r="G145" s="21"/>
      <c r="H145" s="95"/>
      <c r="I145" s="22"/>
      <c r="J145" s="21"/>
      <c r="K145" s="21"/>
    </row>
    <row r="146" spans="1:11" ht="14.45">
      <c r="A146" s="21"/>
      <c r="B146" s="33"/>
      <c r="C146" s="21"/>
      <c r="D146" s="21"/>
      <c r="E146" s="21"/>
      <c r="F146" s="22"/>
      <c r="G146" s="21"/>
      <c r="H146" s="95"/>
      <c r="I146" s="22"/>
      <c r="J146" s="21"/>
      <c r="K146" s="21"/>
    </row>
    <row r="147" spans="1:11" ht="14.45">
      <c r="A147" s="21"/>
      <c r="B147" s="33"/>
      <c r="C147" s="21"/>
      <c r="D147" s="21"/>
      <c r="E147" s="21"/>
      <c r="F147" s="22"/>
      <c r="G147" s="21"/>
      <c r="H147" s="95"/>
      <c r="I147" s="22"/>
      <c r="J147" s="21"/>
      <c r="K147" s="21"/>
    </row>
    <row r="148" spans="1:11" ht="14.45">
      <c r="A148" s="21"/>
      <c r="B148" s="33"/>
      <c r="C148" s="21"/>
      <c r="D148" s="21"/>
      <c r="E148" s="21"/>
      <c r="F148" s="22"/>
      <c r="G148" s="21"/>
      <c r="H148" s="95"/>
      <c r="I148" s="22"/>
      <c r="J148" s="21"/>
      <c r="K148" s="21"/>
    </row>
    <row r="149" spans="1:11" ht="14.45">
      <c r="A149" s="21"/>
      <c r="B149" s="33"/>
      <c r="C149" s="21"/>
      <c r="D149" s="21"/>
      <c r="E149" s="21"/>
      <c r="F149" s="22"/>
      <c r="G149" s="21"/>
      <c r="H149" s="95"/>
      <c r="I149" s="22"/>
      <c r="J149" s="21"/>
      <c r="K149" s="21"/>
    </row>
    <row r="150" spans="1:11" ht="14.45">
      <c r="A150" s="21"/>
      <c r="B150" s="33"/>
      <c r="C150" s="21"/>
      <c r="D150" s="21"/>
      <c r="E150" s="21"/>
      <c r="F150" s="22"/>
      <c r="G150" s="21"/>
      <c r="H150" s="95"/>
      <c r="I150" s="22"/>
      <c r="J150" s="21"/>
      <c r="K150" s="21"/>
    </row>
    <row r="151" spans="1:11" ht="14.45">
      <c r="A151" s="21"/>
      <c r="B151" s="33"/>
      <c r="C151" s="21"/>
      <c r="D151" s="21"/>
      <c r="E151" s="21"/>
      <c r="F151" s="22"/>
      <c r="G151" s="21"/>
      <c r="H151" s="95"/>
      <c r="I151" s="22"/>
      <c r="J151" s="21"/>
      <c r="K151" s="21"/>
    </row>
    <row r="152" spans="1:11" ht="14.45">
      <c r="A152" s="21"/>
      <c r="B152" s="33"/>
      <c r="C152" s="21"/>
      <c r="D152" s="21"/>
      <c r="E152" s="21"/>
      <c r="F152" s="22"/>
      <c r="G152" s="21"/>
      <c r="H152" s="95"/>
      <c r="I152" s="22"/>
      <c r="J152" s="21"/>
      <c r="K152" s="21"/>
    </row>
    <row r="153" spans="1:11" ht="14.45">
      <c r="A153" s="21"/>
      <c r="B153" s="33"/>
      <c r="C153" s="21"/>
      <c r="D153" s="21"/>
      <c r="E153" s="21"/>
      <c r="F153" s="22"/>
      <c r="G153" s="21"/>
      <c r="H153" s="95"/>
      <c r="I153" s="22"/>
      <c r="J153" s="21"/>
      <c r="K153" s="21"/>
    </row>
    <row r="154" spans="1:11" ht="14.45">
      <c r="A154" s="21"/>
      <c r="B154" s="33"/>
      <c r="C154" s="21"/>
      <c r="D154" s="21"/>
      <c r="E154" s="21"/>
      <c r="F154" s="22"/>
      <c r="G154" s="21"/>
      <c r="H154" s="95"/>
      <c r="I154" s="22"/>
      <c r="J154" s="21"/>
      <c r="K154" s="21"/>
    </row>
    <row r="155" spans="1:11" ht="14.45">
      <c r="A155" s="21"/>
      <c r="B155" s="33"/>
      <c r="C155" s="21"/>
      <c r="D155" s="21"/>
      <c r="E155" s="21"/>
      <c r="F155" s="22"/>
      <c r="G155" s="21"/>
      <c r="H155" s="95"/>
      <c r="I155" s="22"/>
      <c r="J155" s="21"/>
      <c r="K155" s="21"/>
    </row>
    <row r="156" spans="1:11" ht="14.45">
      <c r="A156" s="21"/>
      <c r="B156" s="33"/>
      <c r="C156" s="21"/>
      <c r="D156" s="21"/>
      <c r="E156" s="21"/>
      <c r="F156" s="22"/>
      <c r="G156" s="21"/>
      <c r="H156" s="95"/>
      <c r="I156" s="22"/>
      <c r="J156" s="21"/>
      <c r="K156" s="21"/>
    </row>
    <row r="157" spans="1:11" ht="14.45">
      <c r="A157" s="21"/>
      <c r="B157" s="33"/>
      <c r="C157" s="21"/>
      <c r="D157" s="21"/>
      <c r="E157" s="21"/>
      <c r="F157" s="22"/>
      <c r="G157" s="21"/>
      <c r="H157" s="95"/>
      <c r="I157" s="22"/>
      <c r="J157" s="21"/>
      <c r="K157" s="21"/>
    </row>
    <row r="158" spans="1:11" ht="14.45">
      <c r="A158" s="21"/>
      <c r="B158" s="33"/>
      <c r="C158" s="21"/>
      <c r="D158" s="21"/>
      <c r="E158" s="21"/>
      <c r="F158" s="22"/>
      <c r="G158" s="21"/>
      <c r="H158" s="95"/>
      <c r="I158" s="22"/>
      <c r="J158" s="21"/>
      <c r="K158" s="21"/>
    </row>
    <row r="159" spans="1:11" ht="14.45">
      <c r="A159" s="21"/>
      <c r="B159" s="33"/>
      <c r="C159" s="21"/>
      <c r="D159" s="21"/>
      <c r="E159" s="21"/>
      <c r="F159" s="22"/>
      <c r="G159" s="21"/>
      <c r="H159" s="95"/>
      <c r="I159" s="22"/>
      <c r="J159" s="21"/>
      <c r="K159" s="21"/>
    </row>
    <row r="160" spans="1:11" ht="14.45">
      <c r="A160" s="21"/>
      <c r="B160" s="33"/>
      <c r="C160" s="21"/>
      <c r="D160" s="21"/>
      <c r="E160" s="21"/>
      <c r="F160" s="22"/>
      <c r="G160" s="21"/>
      <c r="H160" s="95"/>
      <c r="I160" s="22"/>
      <c r="J160" s="21"/>
      <c r="K160" s="21"/>
    </row>
    <row r="161" spans="1:11" ht="14.45">
      <c r="A161" s="21"/>
      <c r="B161" s="33"/>
      <c r="C161" s="21"/>
      <c r="D161" s="21"/>
      <c r="E161" s="21"/>
      <c r="F161" s="22"/>
      <c r="G161" s="21"/>
      <c r="H161" s="95"/>
      <c r="I161" s="22"/>
      <c r="J161" s="21"/>
      <c r="K161" s="21"/>
    </row>
    <row r="162" spans="1:11" ht="14.45">
      <c r="A162" s="21"/>
      <c r="B162" s="33"/>
      <c r="C162" s="21"/>
      <c r="D162" s="21"/>
      <c r="E162" s="21"/>
      <c r="F162" s="22"/>
      <c r="G162" s="21"/>
      <c r="H162" s="95"/>
      <c r="I162" s="22"/>
      <c r="J162" s="21"/>
      <c r="K162" s="21"/>
    </row>
    <row r="163" spans="1:11" ht="14.45">
      <c r="A163" s="21"/>
      <c r="B163" s="33"/>
      <c r="C163" s="21"/>
      <c r="D163" s="21"/>
      <c r="E163" s="21"/>
      <c r="F163" s="22"/>
      <c r="G163" s="21"/>
      <c r="H163" s="95"/>
      <c r="I163" s="22"/>
      <c r="J163" s="21"/>
      <c r="K163" s="21"/>
    </row>
    <row r="164" spans="1:11" ht="14.45">
      <c r="A164" s="21"/>
      <c r="B164" s="33"/>
      <c r="C164" s="21"/>
      <c r="D164" s="21"/>
      <c r="E164" s="21"/>
      <c r="F164" s="22"/>
      <c r="G164" s="21"/>
      <c r="H164" s="95"/>
      <c r="I164" s="22"/>
      <c r="J164" s="21"/>
      <c r="K164" s="21"/>
    </row>
    <row r="165" spans="1:11" ht="14.45">
      <c r="A165" s="21"/>
      <c r="B165" s="33"/>
      <c r="C165" s="21"/>
      <c r="D165" s="21"/>
      <c r="E165" s="21"/>
      <c r="F165" s="22"/>
      <c r="G165" s="21"/>
      <c r="H165" s="95"/>
      <c r="I165" s="22"/>
      <c r="J165" s="21"/>
      <c r="K165" s="21"/>
    </row>
    <row r="166" spans="1:11" ht="14.45">
      <c r="A166" s="21"/>
      <c r="B166" s="33"/>
      <c r="C166" s="21"/>
      <c r="D166" s="21"/>
      <c r="E166" s="21"/>
      <c r="F166" s="22"/>
      <c r="G166" s="21"/>
      <c r="H166" s="95"/>
      <c r="I166" s="22"/>
      <c r="J166" s="21"/>
      <c r="K166" s="21"/>
    </row>
    <row r="167" spans="1:11" ht="14.45">
      <c r="A167" s="21"/>
      <c r="B167" s="33"/>
      <c r="C167" s="21"/>
      <c r="D167" s="21"/>
      <c r="E167" s="21"/>
      <c r="F167" s="22"/>
      <c r="G167" s="21"/>
      <c r="H167" s="95"/>
      <c r="I167" s="22"/>
      <c r="J167" s="21"/>
      <c r="K167" s="21"/>
    </row>
    <row r="168" spans="1:11" ht="14.45">
      <c r="A168" s="21"/>
      <c r="B168" s="33"/>
      <c r="C168" s="21"/>
      <c r="D168" s="21"/>
      <c r="E168" s="21"/>
      <c r="F168" s="22"/>
      <c r="G168" s="21"/>
      <c r="H168" s="95"/>
      <c r="I168" s="22"/>
      <c r="J168" s="21"/>
      <c r="K168" s="21"/>
    </row>
    <row r="169" spans="1:11" ht="14.45">
      <c r="A169" s="21"/>
      <c r="B169" s="33"/>
      <c r="C169" s="21"/>
      <c r="D169" s="21"/>
      <c r="E169" s="21"/>
      <c r="F169" s="22"/>
      <c r="G169" s="21"/>
      <c r="H169" s="95"/>
      <c r="I169" s="22"/>
      <c r="J169" s="21"/>
      <c r="K169" s="21"/>
    </row>
    <row r="170" spans="1:11" ht="14.45">
      <c r="A170" s="21"/>
      <c r="B170" s="33"/>
      <c r="C170" s="21"/>
      <c r="D170" s="21"/>
      <c r="E170" s="21"/>
      <c r="F170" s="22"/>
      <c r="G170" s="21"/>
      <c r="H170" s="95"/>
      <c r="I170" s="22"/>
      <c r="J170" s="21"/>
      <c r="K170" s="21"/>
    </row>
    <row r="171" spans="1:11" ht="14.45">
      <c r="A171" s="21"/>
      <c r="B171" s="33"/>
      <c r="C171" s="21"/>
      <c r="D171" s="21"/>
      <c r="E171" s="21"/>
      <c r="F171" s="22"/>
      <c r="G171" s="21"/>
      <c r="H171" s="95"/>
      <c r="I171" s="22"/>
      <c r="J171" s="21"/>
      <c r="K171" s="21"/>
    </row>
    <row r="172" spans="1:11" ht="14.45">
      <c r="A172" s="21"/>
      <c r="B172" s="33"/>
      <c r="C172" s="21"/>
      <c r="D172" s="21"/>
      <c r="E172" s="21"/>
      <c r="F172" s="22"/>
      <c r="G172" s="21"/>
      <c r="H172" s="95"/>
      <c r="I172" s="22"/>
      <c r="J172" s="21"/>
      <c r="K172" s="21"/>
    </row>
    <row r="173" spans="1:11" ht="14.45">
      <c r="A173" s="21"/>
      <c r="B173" s="33"/>
      <c r="C173" s="21"/>
      <c r="D173" s="21"/>
      <c r="E173" s="21"/>
      <c r="F173" s="22"/>
      <c r="G173" s="21"/>
      <c r="H173" s="95"/>
      <c r="I173" s="22"/>
      <c r="J173" s="21"/>
      <c r="K173" s="21"/>
    </row>
    <row r="174" spans="1:11" ht="14.45">
      <c r="A174" s="21"/>
      <c r="B174" s="33"/>
      <c r="C174" s="21"/>
      <c r="D174" s="21"/>
      <c r="E174" s="21"/>
      <c r="F174" s="22"/>
      <c r="G174" s="21"/>
      <c r="H174" s="95"/>
      <c r="I174" s="22"/>
      <c r="J174" s="21"/>
      <c r="K174" s="21"/>
    </row>
    <row r="175" spans="1:11" ht="14.45">
      <c r="A175" s="21"/>
      <c r="B175" s="33"/>
      <c r="C175" s="21"/>
      <c r="D175" s="21"/>
      <c r="E175" s="21"/>
      <c r="F175" s="22"/>
      <c r="G175" s="21"/>
      <c r="H175" s="95"/>
      <c r="I175" s="22"/>
      <c r="J175" s="21"/>
      <c r="K175" s="21"/>
    </row>
    <row r="176" spans="1:11" ht="14.45">
      <c r="A176" s="21"/>
      <c r="B176" s="33"/>
      <c r="C176" s="21"/>
      <c r="D176" s="21"/>
      <c r="E176" s="21"/>
      <c r="F176" s="22"/>
      <c r="G176" s="21"/>
      <c r="H176" s="95"/>
      <c r="I176" s="22"/>
      <c r="J176" s="21"/>
      <c r="K176" s="21"/>
    </row>
    <row r="177" spans="1:11" ht="14.45">
      <c r="A177" s="21"/>
      <c r="B177" s="33"/>
      <c r="C177" s="21"/>
      <c r="D177" s="21"/>
      <c r="E177" s="21"/>
      <c r="F177" s="22"/>
      <c r="G177" s="21"/>
      <c r="H177" s="95"/>
      <c r="I177" s="22"/>
      <c r="J177" s="21"/>
      <c r="K177" s="21"/>
    </row>
    <row r="178" spans="1:11" ht="14.45">
      <c r="A178" s="21"/>
      <c r="B178" s="33"/>
      <c r="C178" s="21"/>
      <c r="D178" s="21"/>
      <c r="E178" s="21"/>
      <c r="F178" s="22"/>
      <c r="G178" s="21"/>
      <c r="H178" s="95"/>
      <c r="I178" s="22"/>
      <c r="J178" s="21"/>
      <c r="K178" s="21"/>
    </row>
    <row r="179" spans="1:11" ht="14.45">
      <c r="A179" s="21"/>
      <c r="B179" s="33"/>
      <c r="C179" s="21"/>
      <c r="D179" s="21"/>
      <c r="E179" s="21"/>
      <c r="F179" s="22"/>
      <c r="G179" s="21"/>
      <c r="H179" s="95"/>
      <c r="I179" s="22"/>
      <c r="J179" s="21"/>
      <c r="K179" s="21"/>
    </row>
    <row r="180" spans="1:11" ht="14.45">
      <c r="A180" s="21"/>
      <c r="B180" s="33"/>
      <c r="C180" s="21"/>
      <c r="D180" s="21"/>
      <c r="E180" s="21"/>
      <c r="F180" s="22"/>
      <c r="G180" s="21"/>
      <c r="H180" s="95"/>
      <c r="I180" s="22"/>
      <c r="J180" s="21"/>
      <c r="K180" s="21"/>
    </row>
    <row r="181" spans="1:11" ht="14.45">
      <c r="A181" s="21"/>
      <c r="B181" s="33"/>
      <c r="C181" s="21"/>
      <c r="D181" s="21"/>
      <c r="E181" s="21"/>
      <c r="F181" s="22"/>
      <c r="G181" s="21"/>
      <c r="H181" s="95"/>
      <c r="I181" s="22"/>
      <c r="J181" s="21"/>
      <c r="K181" s="21"/>
    </row>
    <row r="182" spans="1:11" ht="14.45">
      <c r="A182" s="21"/>
      <c r="B182" s="33"/>
      <c r="C182" s="21"/>
      <c r="D182" s="21"/>
      <c r="E182" s="21"/>
      <c r="F182" s="22"/>
      <c r="G182" s="21"/>
      <c r="H182" s="95"/>
      <c r="I182" s="22"/>
      <c r="J182" s="21"/>
      <c r="K182" s="21"/>
    </row>
    <row r="183" spans="1:11" ht="14.45">
      <c r="A183" s="21"/>
      <c r="B183" s="33"/>
      <c r="C183" s="21"/>
      <c r="D183" s="21"/>
      <c r="E183" s="21"/>
      <c r="F183" s="22"/>
      <c r="G183" s="21"/>
      <c r="H183" s="95"/>
      <c r="I183" s="22"/>
      <c r="J183" s="21"/>
      <c r="K183" s="21"/>
    </row>
    <row r="184" spans="1:11" ht="14.45">
      <c r="A184" s="21"/>
      <c r="B184" s="33"/>
      <c r="C184" s="21"/>
      <c r="D184" s="21"/>
      <c r="E184" s="21"/>
      <c r="F184" s="22"/>
      <c r="G184" s="21"/>
      <c r="H184" s="95"/>
      <c r="I184" s="22"/>
      <c r="J184" s="21"/>
      <c r="K184" s="21"/>
    </row>
    <row r="185" spans="1:11" ht="14.45">
      <c r="A185" s="21"/>
      <c r="B185" s="33"/>
      <c r="C185" s="21"/>
      <c r="D185" s="21"/>
      <c r="E185" s="21"/>
      <c r="F185" s="22"/>
      <c r="G185" s="21"/>
      <c r="H185" s="95"/>
      <c r="I185" s="22"/>
      <c r="J185" s="21"/>
      <c r="K185" s="21"/>
    </row>
    <row r="186" spans="1:11" ht="14.45">
      <c r="A186" s="21"/>
      <c r="B186" s="33"/>
      <c r="C186" s="21"/>
      <c r="D186" s="21"/>
      <c r="E186" s="21"/>
      <c r="F186" s="22"/>
      <c r="G186" s="21"/>
      <c r="H186" s="95"/>
      <c r="I186" s="22"/>
      <c r="J186" s="21"/>
      <c r="K186" s="21"/>
    </row>
    <row r="187" spans="1:11" ht="14.45">
      <c r="A187" s="21"/>
      <c r="B187" s="33"/>
      <c r="C187" s="21"/>
      <c r="D187" s="21"/>
      <c r="E187" s="21"/>
      <c r="F187" s="22"/>
      <c r="G187" s="21"/>
      <c r="H187" s="95"/>
      <c r="I187" s="22"/>
      <c r="J187" s="21"/>
      <c r="K187" s="21"/>
    </row>
    <row r="188" spans="1:11" ht="14.45">
      <c r="A188" s="21"/>
      <c r="B188" s="33"/>
      <c r="C188" s="21"/>
      <c r="D188" s="21"/>
      <c r="E188" s="21"/>
      <c r="F188" s="22"/>
      <c r="G188" s="21"/>
      <c r="H188" s="95"/>
      <c r="I188" s="22"/>
      <c r="J188" s="21"/>
      <c r="K188" s="21"/>
    </row>
    <row r="189" spans="1:11" ht="14.45">
      <c r="A189" s="21"/>
      <c r="B189" s="33"/>
      <c r="C189" s="21"/>
      <c r="D189" s="21"/>
      <c r="E189" s="21"/>
      <c r="F189" s="22"/>
      <c r="G189" s="21"/>
      <c r="H189" s="95"/>
      <c r="I189" s="22"/>
      <c r="J189" s="21"/>
      <c r="K189" s="21"/>
    </row>
    <row r="190" spans="1:11" ht="14.45">
      <c r="A190" s="21"/>
      <c r="B190" s="33"/>
      <c r="C190" s="21"/>
      <c r="D190" s="21"/>
      <c r="E190" s="21"/>
      <c r="F190" s="22"/>
      <c r="G190" s="21"/>
      <c r="H190" s="95"/>
      <c r="I190" s="22"/>
      <c r="J190" s="21"/>
      <c r="K190" s="21"/>
    </row>
    <row r="191" spans="1:11" ht="14.45">
      <c r="A191" s="21"/>
      <c r="B191" s="33"/>
      <c r="C191" s="21"/>
      <c r="D191" s="21"/>
      <c r="E191" s="21"/>
      <c r="F191" s="22"/>
      <c r="G191" s="21"/>
      <c r="H191" s="95"/>
      <c r="I191" s="22"/>
      <c r="J191" s="21"/>
      <c r="K191" s="21"/>
    </row>
    <row r="192" spans="1:11" ht="14.45">
      <c r="A192" s="21"/>
      <c r="B192" s="33"/>
      <c r="C192" s="21"/>
      <c r="D192" s="21"/>
      <c r="E192" s="21"/>
      <c r="F192" s="22"/>
      <c r="G192" s="21"/>
      <c r="H192" s="95"/>
      <c r="I192" s="22"/>
      <c r="J192" s="21"/>
      <c r="K192" s="21"/>
    </row>
    <row r="193" spans="1:11" ht="14.45">
      <c r="A193" s="21"/>
      <c r="B193" s="33"/>
      <c r="C193" s="21"/>
      <c r="D193" s="21"/>
      <c r="E193" s="21"/>
      <c r="F193" s="22"/>
      <c r="G193" s="21"/>
      <c r="H193" s="95"/>
      <c r="I193" s="22"/>
      <c r="J193" s="21"/>
      <c r="K193" s="21"/>
    </row>
    <row r="194" spans="1:11" ht="14.45">
      <c r="A194" s="21"/>
      <c r="B194" s="33"/>
      <c r="C194" s="21"/>
      <c r="D194" s="21"/>
      <c r="E194" s="21"/>
      <c r="F194" s="22"/>
      <c r="G194" s="21"/>
      <c r="H194" s="95"/>
      <c r="I194" s="22"/>
      <c r="J194" s="21"/>
      <c r="K194" s="21"/>
    </row>
    <row r="195" spans="1:11" ht="14.45">
      <c r="A195" s="21"/>
      <c r="B195" s="33"/>
      <c r="C195" s="21"/>
      <c r="D195" s="21"/>
      <c r="E195" s="21"/>
      <c r="F195" s="22"/>
      <c r="G195" s="21"/>
      <c r="H195" s="95"/>
      <c r="I195" s="22"/>
      <c r="J195" s="21"/>
      <c r="K195" s="21"/>
    </row>
    <row r="196" spans="1:11" ht="14.45">
      <c r="A196" s="21"/>
      <c r="B196" s="33"/>
      <c r="C196" s="21"/>
      <c r="D196" s="21"/>
      <c r="E196" s="21"/>
      <c r="F196" s="22"/>
      <c r="G196" s="21"/>
      <c r="H196" s="95"/>
      <c r="I196" s="22"/>
      <c r="J196" s="21"/>
      <c r="K196" s="21"/>
    </row>
    <row r="197" spans="1:11" ht="14.45">
      <c r="A197" s="21"/>
      <c r="B197" s="33"/>
      <c r="C197" s="21"/>
      <c r="D197" s="21"/>
      <c r="E197" s="21"/>
      <c r="F197" s="22"/>
      <c r="G197" s="21"/>
      <c r="H197" s="95"/>
      <c r="I197" s="22"/>
      <c r="J197" s="21"/>
      <c r="K197" s="21"/>
    </row>
    <row r="198" spans="1:11" ht="14.45">
      <c r="A198" s="21"/>
      <c r="B198" s="33"/>
      <c r="C198" s="21"/>
      <c r="D198" s="21"/>
      <c r="E198" s="21"/>
      <c r="F198" s="22"/>
      <c r="G198" s="21"/>
      <c r="H198" s="95"/>
      <c r="I198" s="22"/>
      <c r="J198" s="21"/>
      <c r="K198" s="21"/>
    </row>
    <row r="199" spans="1:11" ht="14.45">
      <c r="A199" s="21"/>
      <c r="B199" s="33"/>
      <c r="C199" s="21"/>
      <c r="D199" s="21"/>
      <c r="E199" s="21"/>
      <c r="F199" s="22"/>
      <c r="G199" s="21"/>
      <c r="H199" s="95"/>
      <c r="I199" s="22"/>
      <c r="J199" s="21"/>
      <c r="K199" s="21"/>
    </row>
    <row r="200" spans="1:11" ht="14.45">
      <c r="A200" s="21"/>
      <c r="B200" s="33"/>
      <c r="C200" s="21"/>
      <c r="D200" s="21"/>
      <c r="E200" s="21"/>
      <c r="F200" s="22"/>
      <c r="G200" s="21"/>
      <c r="H200" s="95"/>
      <c r="I200" s="22"/>
      <c r="J200" s="21"/>
      <c r="K200" s="21"/>
    </row>
    <row r="201" spans="1:11" ht="14.45">
      <c r="A201" s="21"/>
      <c r="B201" s="33"/>
      <c r="C201" s="21"/>
      <c r="D201" s="21"/>
      <c r="E201" s="21"/>
      <c r="F201" s="22"/>
      <c r="G201" s="21"/>
      <c r="H201" s="95"/>
      <c r="I201" s="22"/>
      <c r="J201" s="21"/>
      <c r="K201" s="21"/>
    </row>
    <row r="202" spans="1:11" ht="14.45">
      <c r="A202" s="21"/>
      <c r="B202" s="33"/>
      <c r="C202" s="21"/>
      <c r="D202" s="21"/>
      <c r="E202" s="21"/>
      <c r="F202" s="22"/>
      <c r="G202" s="21"/>
      <c r="H202" s="95"/>
      <c r="I202" s="22"/>
      <c r="J202" s="21"/>
      <c r="K202" s="21"/>
    </row>
    <row r="203" spans="1:11" ht="14.45">
      <c r="A203" s="21"/>
      <c r="B203" s="33"/>
      <c r="C203" s="21"/>
      <c r="D203" s="21"/>
      <c r="E203" s="21"/>
      <c r="F203" s="22"/>
      <c r="G203" s="21"/>
      <c r="H203" s="95"/>
      <c r="I203" s="22"/>
      <c r="J203" s="21"/>
      <c r="K203" s="21"/>
    </row>
    <row r="204" spans="1:11" ht="14.45">
      <c r="A204" s="21"/>
      <c r="B204" s="33"/>
      <c r="C204" s="21"/>
      <c r="D204" s="21"/>
      <c r="E204" s="21"/>
      <c r="F204" s="22"/>
      <c r="G204" s="21"/>
      <c r="H204" s="95"/>
      <c r="I204" s="22"/>
      <c r="J204" s="21"/>
      <c r="K204" s="21"/>
    </row>
    <row r="205" spans="1:11" ht="14.45">
      <c r="A205" s="21"/>
      <c r="B205" s="33"/>
      <c r="C205" s="21"/>
      <c r="D205" s="21"/>
      <c r="E205" s="21"/>
      <c r="F205" s="22"/>
      <c r="G205" s="21"/>
      <c r="H205" s="95"/>
      <c r="I205" s="22"/>
      <c r="J205" s="21"/>
      <c r="K205" s="21"/>
    </row>
    <row r="206" spans="1:11" ht="14.45">
      <c r="A206" s="21"/>
      <c r="B206" s="33"/>
      <c r="C206" s="21"/>
      <c r="D206" s="21"/>
      <c r="E206" s="21"/>
      <c r="F206" s="22"/>
      <c r="G206" s="21"/>
      <c r="H206" s="95"/>
      <c r="I206" s="22"/>
      <c r="J206" s="21"/>
      <c r="K206" s="21"/>
    </row>
    <row r="207" spans="1:11" ht="14.45">
      <c r="A207" s="21"/>
      <c r="B207" s="33"/>
      <c r="C207" s="21"/>
      <c r="D207" s="21"/>
      <c r="E207" s="21"/>
      <c r="F207" s="22"/>
      <c r="G207" s="21"/>
      <c r="H207" s="95"/>
      <c r="I207" s="22"/>
      <c r="J207" s="21"/>
      <c r="K207" s="21"/>
    </row>
    <row r="208" spans="1:11" ht="14.45">
      <c r="A208" s="21"/>
      <c r="B208" s="33"/>
      <c r="C208" s="21"/>
      <c r="D208" s="21"/>
      <c r="E208" s="21"/>
      <c r="F208" s="22"/>
      <c r="G208" s="21"/>
      <c r="H208" s="95"/>
      <c r="I208" s="22"/>
      <c r="J208" s="21"/>
      <c r="K208" s="21"/>
    </row>
    <row r="209" spans="1:11" ht="14.45">
      <c r="A209" s="21"/>
      <c r="B209" s="33"/>
      <c r="C209" s="21"/>
      <c r="D209" s="21"/>
      <c r="E209" s="21"/>
      <c r="F209" s="22"/>
      <c r="G209" s="21"/>
      <c r="H209" s="95"/>
      <c r="I209" s="22"/>
      <c r="J209" s="21"/>
      <c r="K209" s="21"/>
    </row>
    <row r="210" spans="1:11" ht="14.45">
      <c r="A210" s="21"/>
      <c r="B210" s="33"/>
      <c r="C210" s="21"/>
      <c r="D210" s="21"/>
      <c r="E210" s="21"/>
      <c r="F210" s="22"/>
      <c r="G210" s="21"/>
      <c r="H210" s="95"/>
      <c r="I210" s="22"/>
      <c r="J210" s="21"/>
      <c r="K210" s="21"/>
    </row>
    <row r="211" spans="1:11" ht="14.45">
      <c r="A211" s="21"/>
      <c r="B211" s="33"/>
      <c r="C211" s="21"/>
      <c r="D211" s="21"/>
      <c r="E211" s="21"/>
      <c r="F211" s="22"/>
      <c r="G211" s="21"/>
      <c r="H211" s="95"/>
      <c r="I211" s="22"/>
      <c r="J211" s="21"/>
      <c r="K211" s="21"/>
    </row>
    <row r="212" spans="1:11" ht="14.45">
      <c r="A212" s="21"/>
      <c r="B212" s="33"/>
      <c r="C212" s="21"/>
      <c r="D212" s="21"/>
      <c r="E212" s="21"/>
      <c r="F212" s="22"/>
      <c r="G212" s="21"/>
      <c r="H212" s="95"/>
      <c r="I212" s="22"/>
      <c r="J212" s="21"/>
      <c r="K212" s="21"/>
    </row>
    <row r="213" spans="1:11" ht="14.45">
      <c r="A213" s="21"/>
      <c r="B213" s="33"/>
      <c r="C213" s="21"/>
      <c r="D213" s="21"/>
      <c r="E213" s="21"/>
      <c r="F213" s="22"/>
      <c r="G213" s="21"/>
      <c r="H213" s="95"/>
      <c r="I213" s="22"/>
      <c r="J213" s="21"/>
      <c r="K213" s="21"/>
    </row>
    <row r="214" spans="1:11" ht="14.45">
      <c r="A214" s="21"/>
      <c r="B214" s="33"/>
      <c r="C214" s="21"/>
      <c r="D214" s="21"/>
      <c r="E214" s="21"/>
      <c r="F214" s="22"/>
      <c r="G214" s="21"/>
      <c r="H214" s="95"/>
      <c r="I214" s="22"/>
      <c r="J214" s="21"/>
      <c r="K214" s="21"/>
    </row>
    <row r="215" spans="1:11" ht="14.45">
      <c r="A215" s="21"/>
      <c r="B215" s="33"/>
      <c r="C215" s="21"/>
      <c r="D215" s="21"/>
      <c r="E215" s="21"/>
      <c r="F215" s="22"/>
      <c r="G215" s="21"/>
      <c r="H215" s="95"/>
      <c r="I215" s="22"/>
      <c r="J215" s="21"/>
      <c r="K215" s="21"/>
    </row>
    <row r="216" spans="1:11" ht="14.45">
      <c r="A216" s="21"/>
      <c r="B216" s="33"/>
      <c r="C216" s="21"/>
      <c r="D216" s="21"/>
      <c r="E216" s="21"/>
      <c r="F216" s="22"/>
      <c r="G216" s="21"/>
      <c r="H216" s="95"/>
      <c r="I216" s="22"/>
      <c r="J216" s="21"/>
      <c r="K216" s="21"/>
    </row>
    <row r="217" spans="1:11" ht="14.45">
      <c r="A217" s="21"/>
      <c r="B217" s="33"/>
      <c r="C217" s="21"/>
      <c r="D217" s="21"/>
      <c r="E217" s="21"/>
      <c r="F217" s="22"/>
      <c r="G217" s="21"/>
      <c r="H217" s="95"/>
      <c r="I217" s="22"/>
      <c r="J217" s="21"/>
      <c r="K217" s="21"/>
    </row>
    <row r="218" spans="1:11" ht="14.45">
      <c r="A218" s="21"/>
      <c r="B218" s="33"/>
      <c r="C218" s="21"/>
      <c r="D218" s="21"/>
      <c r="E218" s="21"/>
      <c r="F218" s="22"/>
      <c r="G218" s="21"/>
      <c r="H218" s="95"/>
      <c r="I218" s="22"/>
      <c r="J218" s="21"/>
      <c r="K218" s="21"/>
    </row>
    <row r="219" spans="1:11" ht="14.45">
      <c r="A219" s="21"/>
      <c r="B219" s="33"/>
      <c r="C219" s="21"/>
      <c r="D219" s="21"/>
      <c r="E219" s="21"/>
      <c r="F219" s="22"/>
      <c r="G219" s="21"/>
      <c r="H219" s="95"/>
      <c r="I219" s="22"/>
      <c r="J219" s="21"/>
      <c r="K219" s="21"/>
    </row>
    <row r="220" spans="1:11" ht="14.45">
      <c r="A220" s="21"/>
      <c r="B220" s="33"/>
      <c r="C220" s="21"/>
      <c r="D220" s="21"/>
      <c r="E220" s="21"/>
      <c r="F220" s="22"/>
      <c r="G220" s="21"/>
      <c r="H220" s="95"/>
      <c r="I220" s="22"/>
      <c r="J220" s="21"/>
      <c r="K220" s="21"/>
    </row>
    <row r="221" spans="1:11" ht="14.45">
      <c r="A221" s="21"/>
      <c r="B221" s="33"/>
      <c r="C221" s="21"/>
      <c r="D221" s="21"/>
      <c r="E221" s="21"/>
      <c r="F221" s="22"/>
      <c r="G221" s="21"/>
      <c r="H221" s="95"/>
      <c r="I221" s="22"/>
      <c r="J221" s="21"/>
      <c r="K221" s="21"/>
    </row>
    <row r="222" spans="1:11" ht="14.45">
      <c r="A222" s="21"/>
      <c r="B222" s="33"/>
      <c r="C222" s="21"/>
      <c r="D222" s="21"/>
      <c r="E222" s="21"/>
      <c r="F222" s="22"/>
      <c r="G222" s="21"/>
      <c r="H222" s="95"/>
      <c r="I222" s="22"/>
      <c r="J222" s="21"/>
      <c r="K222" s="21"/>
    </row>
    <row r="223" spans="1:11" ht="14.45">
      <c r="A223" s="21"/>
      <c r="B223" s="33"/>
      <c r="C223" s="21"/>
      <c r="D223" s="21"/>
      <c r="E223" s="21"/>
      <c r="F223" s="22"/>
      <c r="G223" s="21"/>
      <c r="H223" s="95"/>
      <c r="I223" s="22"/>
      <c r="J223" s="21"/>
      <c r="K223" s="21"/>
    </row>
    <row r="224" spans="1:11" ht="14.45">
      <c r="A224" s="21"/>
      <c r="B224" s="33"/>
      <c r="C224" s="21"/>
      <c r="D224" s="21"/>
      <c r="E224" s="21"/>
      <c r="F224" s="22"/>
      <c r="G224" s="21"/>
      <c r="H224" s="95"/>
      <c r="I224" s="22"/>
      <c r="J224" s="21"/>
      <c r="K224" s="21"/>
    </row>
    <row r="225" spans="1:11" ht="14.45">
      <c r="A225" s="21"/>
      <c r="B225" s="33"/>
      <c r="C225" s="21"/>
      <c r="D225" s="21"/>
      <c r="E225" s="21"/>
      <c r="F225" s="22"/>
      <c r="G225" s="21"/>
      <c r="H225" s="95"/>
      <c r="I225" s="22"/>
      <c r="J225" s="21"/>
      <c r="K225" s="21"/>
    </row>
    <row r="226" spans="1:11" ht="14.45">
      <c r="A226" s="21"/>
      <c r="B226" s="33"/>
      <c r="C226" s="21"/>
      <c r="D226" s="21"/>
      <c r="E226" s="21"/>
      <c r="F226" s="22"/>
      <c r="G226" s="21"/>
      <c r="H226" s="95"/>
      <c r="I226" s="22"/>
      <c r="J226" s="21"/>
      <c r="K226" s="21"/>
    </row>
    <row r="227" spans="1:11" ht="14.45">
      <c r="A227" s="21"/>
      <c r="B227" s="33"/>
      <c r="C227" s="21"/>
      <c r="D227" s="21"/>
      <c r="E227" s="21"/>
      <c r="F227" s="22"/>
      <c r="G227" s="21"/>
      <c r="H227" s="95"/>
      <c r="I227" s="22"/>
      <c r="J227" s="21"/>
      <c r="K227" s="21"/>
    </row>
    <row r="228" spans="1:11" ht="14.45">
      <c r="A228" s="21"/>
      <c r="B228" s="33"/>
      <c r="C228" s="21"/>
      <c r="D228" s="21"/>
      <c r="E228" s="21"/>
      <c r="F228" s="22"/>
      <c r="G228" s="21"/>
      <c r="H228" s="95"/>
      <c r="I228" s="22"/>
      <c r="J228" s="21"/>
      <c r="K228" s="21"/>
    </row>
    <row r="229" spans="1:11" ht="14.45">
      <c r="A229" s="21"/>
      <c r="B229" s="33"/>
      <c r="C229" s="21"/>
      <c r="D229" s="21"/>
      <c r="E229" s="21"/>
      <c r="F229" s="22"/>
      <c r="G229" s="21"/>
      <c r="H229" s="95"/>
      <c r="I229" s="22"/>
      <c r="J229" s="21"/>
      <c r="K229" s="21"/>
    </row>
    <row r="230" spans="1:11" ht="14.45">
      <c r="A230" s="21"/>
      <c r="B230" s="33"/>
      <c r="C230" s="21"/>
      <c r="D230" s="21"/>
      <c r="E230" s="21"/>
      <c r="F230" s="22"/>
      <c r="G230" s="21"/>
      <c r="H230" s="95"/>
      <c r="I230" s="22"/>
      <c r="J230" s="21"/>
      <c r="K230" s="21"/>
    </row>
    <row r="231" spans="1:11" ht="14.45">
      <c r="A231" s="21"/>
      <c r="B231" s="33"/>
      <c r="C231" s="21"/>
      <c r="D231" s="21"/>
      <c r="E231" s="21"/>
      <c r="F231" s="22"/>
      <c r="G231" s="21"/>
      <c r="H231" s="95"/>
      <c r="I231" s="22"/>
      <c r="J231" s="21"/>
      <c r="K231" s="21"/>
    </row>
    <row r="232" spans="1:11" ht="14.45">
      <c r="A232" s="21"/>
      <c r="B232" s="33"/>
      <c r="C232" s="21"/>
      <c r="D232" s="21"/>
      <c r="E232" s="21"/>
      <c r="F232" s="22"/>
      <c r="G232" s="21"/>
      <c r="H232" s="95"/>
      <c r="I232" s="22"/>
      <c r="J232" s="21"/>
      <c r="K232" s="21"/>
    </row>
    <row r="233" spans="1:11" ht="14.45">
      <c r="A233" s="21"/>
      <c r="B233" s="33"/>
      <c r="C233" s="21"/>
      <c r="D233" s="21"/>
      <c r="E233" s="21"/>
      <c r="F233" s="22"/>
      <c r="G233" s="21"/>
      <c r="H233" s="95"/>
      <c r="I233" s="22"/>
      <c r="J233" s="21"/>
      <c r="K233" s="21"/>
    </row>
    <row r="234" spans="1:11" ht="14.45">
      <c r="A234" s="21"/>
      <c r="B234" s="33"/>
      <c r="C234" s="21"/>
      <c r="D234" s="21"/>
      <c r="E234" s="21"/>
      <c r="F234" s="22"/>
      <c r="G234" s="21"/>
      <c r="H234" s="95"/>
      <c r="I234" s="22"/>
      <c r="J234" s="21"/>
      <c r="K234" s="21"/>
    </row>
    <row r="235" spans="1:11" ht="14.45">
      <c r="A235" s="21"/>
      <c r="B235" s="33"/>
      <c r="C235" s="21"/>
      <c r="D235" s="21"/>
      <c r="E235" s="21"/>
      <c r="F235" s="22"/>
      <c r="G235" s="21"/>
      <c r="H235" s="95"/>
      <c r="I235" s="22"/>
      <c r="J235" s="21"/>
      <c r="K235" s="21"/>
    </row>
    <row r="236" spans="1:11" ht="14.45">
      <c r="A236" s="21"/>
      <c r="B236" s="33"/>
      <c r="C236" s="21"/>
      <c r="D236" s="21"/>
      <c r="E236" s="21"/>
      <c r="F236" s="22"/>
      <c r="G236" s="21"/>
      <c r="H236" s="95"/>
      <c r="I236" s="22"/>
      <c r="J236" s="21"/>
      <c r="K236" s="21"/>
    </row>
    <row r="237" spans="1:11" ht="14.45">
      <c r="A237" s="21"/>
      <c r="B237" s="33"/>
      <c r="C237" s="21"/>
      <c r="D237" s="21"/>
      <c r="E237" s="21"/>
      <c r="F237" s="22"/>
      <c r="G237" s="21"/>
      <c r="H237" s="95"/>
      <c r="I237" s="22"/>
      <c r="J237" s="21"/>
      <c r="K237" s="21"/>
    </row>
    <row r="238" spans="1:11" ht="14.45">
      <c r="A238" s="21"/>
      <c r="B238" s="33"/>
      <c r="C238" s="21"/>
      <c r="D238" s="21"/>
      <c r="E238" s="21"/>
      <c r="F238" s="22"/>
      <c r="G238" s="21"/>
      <c r="H238" s="95"/>
      <c r="I238" s="22"/>
      <c r="J238" s="21"/>
      <c r="K238" s="21"/>
    </row>
    <row r="239" spans="1:11" ht="14.45">
      <c r="A239" s="21"/>
      <c r="B239" s="33"/>
      <c r="C239" s="21"/>
      <c r="D239" s="21"/>
      <c r="E239" s="21"/>
      <c r="F239" s="22"/>
      <c r="G239" s="21"/>
      <c r="H239" s="95"/>
      <c r="I239" s="22"/>
      <c r="J239" s="21"/>
      <c r="K239" s="21"/>
    </row>
    <row r="240" spans="1:11" ht="14.45">
      <c r="A240" s="21"/>
      <c r="B240" s="33"/>
      <c r="C240" s="21"/>
      <c r="D240" s="21"/>
      <c r="E240" s="21"/>
      <c r="F240" s="22"/>
      <c r="G240" s="21"/>
      <c r="H240" s="95"/>
      <c r="I240" s="22"/>
      <c r="J240" s="21"/>
      <c r="K240" s="21"/>
    </row>
    <row r="241" spans="1:11" ht="14.45">
      <c r="A241" s="21"/>
      <c r="B241" s="33"/>
      <c r="C241" s="21"/>
      <c r="D241" s="21"/>
      <c r="E241" s="21"/>
      <c r="F241" s="22"/>
      <c r="G241" s="21"/>
      <c r="H241" s="95"/>
      <c r="I241" s="22"/>
      <c r="J241" s="21"/>
      <c r="K241" s="21"/>
    </row>
    <row r="242" spans="1:11" ht="14.45">
      <c r="A242" s="21"/>
      <c r="B242" s="33"/>
      <c r="C242" s="21"/>
      <c r="D242" s="21"/>
      <c r="E242" s="21"/>
      <c r="F242" s="22"/>
      <c r="G242" s="21"/>
      <c r="H242" s="95"/>
      <c r="I242" s="22"/>
      <c r="J242" s="21"/>
      <c r="K242" s="21"/>
    </row>
    <row r="243" spans="1:11" ht="14.45">
      <c r="A243" s="21"/>
      <c r="B243" s="33"/>
      <c r="C243" s="21"/>
      <c r="D243" s="21"/>
      <c r="E243" s="21"/>
      <c r="F243" s="22"/>
      <c r="G243" s="21"/>
      <c r="H243" s="95"/>
      <c r="I243" s="22"/>
      <c r="J243" s="21"/>
      <c r="K243" s="21"/>
    </row>
    <row r="244" spans="1:11" ht="14.45">
      <c r="A244" s="21"/>
      <c r="B244" s="33"/>
      <c r="C244" s="21"/>
      <c r="D244" s="21"/>
      <c r="E244" s="21"/>
      <c r="F244" s="22"/>
      <c r="G244" s="21"/>
      <c r="H244" s="95"/>
      <c r="I244" s="22"/>
      <c r="J244" s="21"/>
      <c r="K244" s="21"/>
    </row>
    <row r="245" spans="1:11" ht="14.45">
      <c r="A245" s="21"/>
      <c r="B245" s="33"/>
      <c r="C245" s="21"/>
      <c r="D245" s="21"/>
      <c r="E245" s="21"/>
      <c r="F245" s="22"/>
      <c r="G245" s="21"/>
      <c r="H245" s="95"/>
      <c r="I245" s="22"/>
      <c r="J245" s="21"/>
      <c r="K245" s="21"/>
    </row>
    <row r="246" spans="1:11" ht="14.45">
      <c r="A246" s="21"/>
      <c r="B246" s="33"/>
      <c r="C246" s="21"/>
      <c r="D246" s="21"/>
      <c r="E246" s="21"/>
      <c r="F246" s="22"/>
      <c r="G246" s="21"/>
      <c r="H246" s="95"/>
      <c r="I246" s="22"/>
      <c r="J246" s="21"/>
      <c r="K246" s="21"/>
    </row>
    <row r="247" spans="1:11" ht="14.45">
      <c r="A247" s="21"/>
      <c r="B247" s="33"/>
      <c r="C247" s="21"/>
      <c r="D247" s="21"/>
      <c r="E247" s="21"/>
      <c r="F247" s="22"/>
      <c r="G247" s="21"/>
      <c r="H247" s="95"/>
      <c r="I247" s="22"/>
      <c r="J247" s="21"/>
      <c r="K247" s="21"/>
    </row>
    <row r="248" spans="1:11" ht="14.45">
      <c r="A248" s="21"/>
      <c r="B248" s="33"/>
      <c r="C248" s="21"/>
      <c r="D248" s="21"/>
      <c r="E248" s="21"/>
      <c r="F248" s="22"/>
      <c r="G248" s="21"/>
      <c r="H248" s="95"/>
      <c r="I248" s="22"/>
      <c r="J248" s="21"/>
      <c r="K248" s="21"/>
    </row>
    <row r="249" spans="1:11" ht="14.45">
      <c r="A249" s="21"/>
      <c r="B249" s="33"/>
      <c r="C249" s="21"/>
      <c r="D249" s="21"/>
      <c r="E249" s="21"/>
      <c r="F249" s="22"/>
      <c r="G249" s="21"/>
      <c r="H249" s="95"/>
      <c r="I249" s="22"/>
      <c r="J249" s="21"/>
      <c r="K249" s="21"/>
    </row>
    <row r="250" spans="1:11" ht="14.45">
      <c r="A250" s="21"/>
      <c r="B250" s="33"/>
      <c r="C250" s="21"/>
      <c r="D250" s="21"/>
      <c r="E250" s="21"/>
      <c r="F250" s="22"/>
      <c r="G250" s="21"/>
      <c r="H250" s="95"/>
      <c r="I250" s="22"/>
      <c r="J250" s="21"/>
      <c r="K250" s="21"/>
    </row>
    <row r="251" spans="1:11" ht="14.45">
      <c r="A251" s="21"/>
      <c r="B251" s="33"/>
      <c r="C251" s="21"/>
      <c r="D251" s="21"/>
      <c r="E251" s="21"/>
      <c r="F251" s="22"/>
      <c r="G251" s="21"/>
      <c r="H251" s="95"/>
      <c r="I251" s="22"/>
      <c r="J251" s="21"/>
      <c r="K251" s="21"/>
    </row>
    <row r="252" spans="1:11" ht="14.45">
      <c r="A252" s="21"/>
      <c r="B252" s="33"/>
      <c r="C252" s="21"/>
      <c r="D252" s="21"/>
      <c r="E252" s="21"/>
      <c r="F252" s="22"/>
      <c r="G252" s="21"/>
      <c r="H252" s="95"/>
      <c r="I252" s="22"/>
      <c r="J252" s="21"/>
      <c r="K252" s="21"/>
    </row>
    <row r="253" spans="1:11" ht="14.45">
      <c r="A253" s="21"/>
      <c r="B253" s="33"/>
      <c r="C253" s="21"/>
      <c r="D253" s="21"/>
      <c r="E253" s="21"/>
      <c r="F253" s="22"/>
      <c r="G253" s="21"/>
      <c r="H253" s="95"/>
      <c r="I253" s="22"/>
      <c r="J253" s="21"/>
      <c r="K253" s="21"/>
    </row>
    <row r="254" spans="1:11" ht="14.45">
      <c r="A254" s="21"/>
      <c r="B254" s="33"/>
      <c r="C254" s="21"/>
      <c r="D254" s="21"/>
      <c r="E254" s="21"/>
      <c r="F254" s="22"/>
      <c r="G254" s="21"/>
      <c r="H254" s="95"/>
      <c r="I254" s="22"/>
      <c r="J254" s="21"/>
      <c r="K254" s="21"/>
    </row>
    <row r="255" spans="1:11" ht="14.45">
      <c r="A255" s="21"/>
      <c r="B255" s="33"/>
      <c r="C255" s="21"/>
      <c r="D255" s="21"/>
      <c r="E255" s="21"/>
      <c r="F255" s="22"/>
      <c r="G255" s="21"/>
      <c r="H255" s="95"/>
      <c r="I255" s="22"/>
      <c r="J255" s="21"/>
      <c r="K255" s="21"/>
    </row>
    <row r="256" spans="1:11" ht="14.45">
      <c r="A256" s="21"/>
      <c r="B256" s="33"/>
      <c r="C256" s="21"/>
      <c r="D256" s="21"/>
      <c r="E256" s="21"/>
      <c r="F256" s="22"/>
      <c r="G256" s="21"/>
      <c r="H256" s="95"/>
      <c r="I256" s="22"/>
      <c r="J256" s="21"/>
      <c r="K256" s="21"/>
    </row>
    <row r="257" spans="1:11" ht="14.45">
      <c r="A257" s="21"/>
      <c r="B257" s="33"/>
      <c r="C257" s="21"/>
      <c r="D257" s="21"/>
      <c r="E257" s="21"/>
      <c r="F257" s="22"/>
      <c r="G257" s="21"/>
      <c r="H257" s="95"/>
      <c r="I257" s="22"/>
      <c r="J257" s="21"/>
      <c r="K257" s="21"/>
    </row>
    <row r="258" spans="1:11" ht="14.45">
      <c r="A258" s="21"/>
      <c r="B258" s="33"/>
      <c r="C258" s="21"/>
      <c r="D258" s="21"/>
      <c r="E258" s="21"/>
      <c r="F258" s="22"/>
      <c r="G258" s="21"/>
      <c r="H258" s="95"/>
      <c r="I258" s="22"/>
      <c r="J258" s="21"/>
      <c r="K258" s="21"/>
    </row>
    <row r="259" spans="1:11" ht="14.45">
      <c r="A259" s="21"/>
      <c r="B259" s="33"/>
      <c r="C259" s="21"/>
      <c r="D259" s="21"/>
      <c r="E259" s="21"/>
      <c r="F259" s="22"/>
      <c r="G259" s="21"/>
      <c r="H259" s="95"/>
      <c r="I259" s="22"/>
      <c r="J259" s="21"/>
      <c r="K259" s="21"/>
    </row>
    <row r="260" spans="1:11" ht="14.45">
      <c r="A260" s="21"/>
      <c r="B260" s="33"/>
      <c r="C260" s="21"/>
      <c r="D260" s="21"/>
      <c r="E260" s="21"/>
      <c r="F260" s="22"/>
      <c r="G260" s="21"/>
      <c r="H260" s="95"/>
      <c r="I260" s="22"/>
      <c r="J260" s="21"/>
      <c r="K260" s="21"/>
    </row>
    <row r="261" spans="1:11" ht="14.45">
      <c r="A261" s="21"/>
      <c r="B261" s="33"/>
      <c r="C261" s="21"/>
      <c r="D261" s="21"/>
      <c r="E261" s="21"/>
      <c r="F261" s="22"/>
      <c r="G261" s="21"/>
      <c r="H261" s="95"/>
      <c r="I261" s="22"/>
      <c r="J261" s="21"/>
      <c r="K261" s="21"/>
    </row>
    <row r="262" spans="1:11" ht="14.45">
      <c r="A262" s="21"/>
      <c r="B262" s="33"/>
      <c r="C262" s="21"/>
      <c r="D262" s="21"/>
      <c r="E262" s="21"/>
      <c r="F262" s="22"/>
      <c r="G262" s="21"/>
      <c r="H262" s="95"/>
      <c r="I262" s="22"/>
      <c r="J262" s="21"/>
      <c r="K262" s="21"/>
    </row>
    <row r="263" spans="1:11" ht="14.45">
      <c r="A263" s="21"/>
      <c r="B263" s="33"/>
      <c r="C263" s="21"/>
      <c r="D263" s="21"/>
      <c r="E263" s="21"/>
      <c r="F263" s="22"/>
      <c r="G263" s="21"/>
      <c r="H263" s="95"/>
      <c r="I263" s="22"/>
      <c r="J263" s="21"/>
      <c r="K263" s="21"/>
    </row>
    <row r="264" spans="1:11" ht="14.45">
      <c r="A264" s="21"/>
      <c r="B264" s="33"/>
      <c r="C264" s="21"/>
      <c r="D264" s="21"/>
      <c r="E264" s="21"/>
      <c r="F264" s="22"/>
      <c r="G264" s="21"/>
      <c r="H264" s="95"/>
      <c r="I264" s="22"/>
      <c r="J264" s="21"/>
      <c r="K264" s="21"/>
    </row>
    <row r="265" spans="1:11" ht="14.45">
      <c r="A265" s="21"/>
      <c r="B265" s="33"/>
      <c r="C265" s="21"/>
      <c r="D265" s="21"/>
      <c r="E265" s="21"/>
      <c r="F265" s="22"/>
      <c r="G265" s="21"/>
      <c r="H265" s="95"/>
      <c r="I265" s="22"/>
      <c r="J265" s="21"/>
      <c r="K265" s="21"/>
    </row>
    <row r="266" spans="1:11" ht="14.45">
      <c r="A266" s="21"/>
      <c r="B266" s="33"/>
      <c r="C266" s="21"/>
      <c r="D266" s="21"/>
      <c r="E266" s="21"/>
      <c r="F266" s="22"/>
      <c r="G266" s="21"/>
      <c r="H266" s="95"/>
      <c r="I266" s="22"/>
      <c r="J266" s="21"/>
      <c r="K266" s="21"/>
    </row>
    <row r="267" spans="1:11" ht="14.45">
      <c r="A267" s="21"/>
      <c r="B267" s="33"/>
      <c r="C267" s="21"/>
      <c r="D267" s="21"/>
      <c r="E267" s="21"/>
      <c r="F267" s="22"/>
      <c r="G267" s="21"/>
      <c r="H267" s="95"/>
      <c r="I267" s="22"/>
      <c r="J267" s="21"/>
      <c r="K267" s="21"/>
    </row>
    <row r="268" spans="1:11" ht="14.45">
      <c r="A268" s="21"/>
      <c r="B268" s="33"/>
      <c r="C268" s="21"/>
      <c r="D268" s="21"/>
      <c r="E268" s="21"/>
      <c r="F268" s="22"/>
      <c r="G268" s="21"/>
      <c r="H268" s="95"/>
      <c r="I268" s="22"/>
      <c r="J268" s="21"/>
      <c r="K268" s="21"/>
    </row>
    <row r="269" spans="1:11" ht="14.45">
      <c r="A269" s="21"/>
      <c r="B269" s="33"/>
      <c r="C269" s="21"/>
      <c r="D269" s="21"/>
      <c r="E269" s="21"/>
      <c r="F269" s="22"/>
      <c r="G269" s="21"/>
      <c r="H269" s="95"/>
      <c r="I269" s="22"/>
      <c r="J269" s="21"/>
      <c r="K269" s="21"/>
    </row>
    <row r="270" spans="1:11" ht="14.45">
      <c r="A270" s="21"/>
      <c r="B270" s="33"/>
      <c r="C270" s="21"/>
      <c r="D270" s="21"/>
      <c r="E270" s="21"/>
      <c r="F270" s="22"/>
      <c r="G270" s="21"/>
      <c r="H270" s="95"/>
      <c r="I270" s="22"/>
      <c r="J270" s="21"/>
      <c r="K270" s="21"/>
    </row>
    <row r="271" spans="1:11" ht="14.45">
      <c r="A271" s="21"/>
      <c r="B271" s="33"/>
      <c r="C271" s="21"/>
      <c r="D271" s="21"/>
      <c r="E271" s="21"/>
      <c r="F271" s="22"/>
      <c r="G271" s="21"/>
      <c r="H271" s="95"/>
      <c r="I271" s="22"/>
      <c r="J271" s="21"/>
      <c r="K271" s="21"/>
    </row>
    <row r="272" spans="1:11" ht="14.45">
      <c r="A272" s="21"/>
      <c r="B272" s="33"/>
      <c r="C272" s="21"/>
      <c r="D272" s="21"/>
      <c r="E272" s="21"/>
      <c r="F272" s="22"/>
      <c r="G272" s="21"/>
      <c r="H272" s="95"/>
      <c r="I272" s="22"/>
      <c r="J272" s="21"/>
      <c r="K272" s="21"/>
    </row>
    <row r="273" spans="1:11" ht="14.45">
      <c r="A273" s="21"/>
      <c r="B273" s="33"/>
      <c r="C273" s="21"/>
      <c r="D273" s="21"/>
      <c r="E273" s="21"/>
      <c r="F273" s="22"/>
      <c r="G273" s="21"/>
      <c r="H273" s="95"/>
      <c r="I273" s="22"/>
      <c r="J273" s="21"/>
      <c r="K273" s="21"/>
    </row>
    <row r="274" spans="1:11" ht="14.45">
      <c r="A274" s="21"/>
      <c r="B274" s="33"/>
      <c r="C274" s="21"/>
      <c r="D274" s="21"/>
      <c r="E274" s="21"/>
      <c r="F274" s="22"/>
      <c r="G274" s="21"/>
      <c r="H274" s="95"/>
      <c r="I274" s="22"/>
      <c r="J274" s="21"/>
      <c r="K274" s="21"/>
    </row>
    <row r="275" spans="1:11" ht="14.45">
      <c r="A275" s="21"/>
      <c r="B275" s="33"/>
      <c r="C275" s="21"/>
      <c r="D275" s="21"/>
      <c r="E275" s="21"/>
      <c r="F275" s="22"/>
      <c r="G275" s="21"/>
      <c r="H275" s="95"/>
      <c r="I275" s="22"/>
      <c r="J275" s="21"/>
      <c r="K275" s="21"/>
    </row>
    <row r="276" spans="1:11" ht="14.45">
      <c r="A276" s="21"/>
      <c r="B276" s="33"/>
      <c r="C276" s="21"/>
      <c r="D276" s="21"/>
      <c r="E276" s="21"/>
      <c r="F276" s="22"/>
      <c r="G276" s="21"/>
      <c r="H276" s="95"/>
      <c r="I276" s="22"/>
      <c r="J276" s="21"/>
      <c r="K276" s="21"/>
    </row>
    <row r="277" spans="1:11" ht="14.45">
      <c r="A277" s="21"/>
      <c r="B277" s="33"/>
      <c r="C277" s="21"/>
      <c r="D277" s="21"/>
      <c r="E277" s="21"/>
      <c r="F277" s="22"/>
      <c r="G277" s="21"/>
      <c r="H277" s="95"/>
      <c r="I277" s="22"/>
      <c r="J277" s="21"/>
      <c r="K277" s="21"/>
    </row>
    <row r="278" spans="1:11" ht="14.45">
      <c r="A278" s="21"/>
      <c r="B278" s="33"/>
      <c r="C278" s="21"/>
      <c r="D278" s="21"/>
      <c r="E278" s="21"/>
      <c r="F278" s="22"/>
      <c r="G278" s="21"/>
      <c r="H278" s="95"/>
      <c r="I278" s="22"/>
      <c r="J278" s="21"/>
      <c r="K278" s="21"/>
    </row>
    <row r="279" spans="1:11" ht="14.45">
      <c r="A279" s="21"/>
      <c r="B279" s="33"/>
      <c r="C279" s="21"/>
      <c r="D279" s="21"/>
      <c r="E279" s="21"/>
      <c r="F279" s="22"/>
      <c r="G279" s="21"/>
      <c r="H279" s="95"/>
      <c r="I279" s="22"/>
      <c r="J279" s="21"/>
      <c r="K279" s="21"/>
    </row>
    <row r="280" spans="1:11" ht="14.45">
      <c r="A280" s="21"/>
      <c r="B280" s="33"/>
      <c r="C280" s="21"/>
      <c r="D280" s="21"/>
      <c r="E280" s="21"/>
      <c r="F280" s="22"/>
      <c r="G280" s="21"/>
      <c r="H280" s="95"/>
      <c r="I280" s="22"/>
      <c r="J280" s="21"/>
      <c r="K280" s="21"/>
    </row>
    <row r="281" spans="1:11" ht="14.45">
      <c r="A281" s="21"/>
      <c r="B281" s="33"/>
      <c r="C281" s="21"/>
      <c r="D281" s="21"/>
      <c r="E281" s="21"/>
      <c r="F281" s="22"/>
      <c r="G281" s="21"/>
      <c r="H281" s="95"/>
      <c r="I281" s="22"/>
      <c r="J281" s="21"/>
      <c r="K281" s="21"/>
    </row>
    <row r="282" spans="1:11" ht="14.45">
      <c r="A282" s="21"/>
      <c r="B282" s="33"/>
      <c r="C282" s="21"/>
      <c r="D282" s="21"/>
      <c r="E282" s="21"/>
      <c r="F282" s="22"/>
      <c r="G282" s="21"/>
      <c r="H282" s="95"/>
      <c r="I282" s="22"/>
      <c r="J282" s="21"/>
      <c r="K282" s="21"/>
    </row>
    <row r="283" spans="1:11" ht="14.45">
      <c r="A283" s="21"/>
      <c r="B283" s="33"/>
      <c r="C283" s="21"/>
      <c r="D283" s="21"/>
      <c r="E283" s="21"/>
      <c r="F283" s="22"/>
      <c r="G283" s="21"/>
      <c r="H283" s="95"/>
      <c r="I283" s="22"/>
      <c r="J283" s="21"/>
      <c r="K283" s="21"/>
    </row>
    <row r="284" spans="1:11" ht="14.45">
      <c r="A284" s="21"/>
      <c r="B284" s="33"/>
      <c r="C284" s="21"/>
      <c r="D284" s="21"/>
      <c r="E284" s="21"/>
      <c r="F284" s="22"/>
      <c r="G284" s="21"/>
      <c r="H284" s="95"/>
      <c r="I284" s="22"/>
      <c r="J284" s="21"/>
      <c r="K284" s="21"/>
    </row>
    <row r="285" spans="1:11" ht="14.45">
      <c r="A285" s="21"/>
      <c r="B285" s="33"/>
      <c r="C285" s="21"/>
      <c r="D285" s="21"/>
      <c r="E285" s="21"/>
      <c r="F285" s="22"/>
      <c r="G285" s="21"/>
      <c r="H285" s="95"/>
      <c r="I285" s="22"/>
      <c r="J285" s="21"/>
      <c r="K285" s="21"/>
    </row>
    <row r="286" spans="1:11" ht="14.45">
      <c r="A286" s="21"/>
      <c r="B286" s="33"/>
      <c r="C286" s="21"/>
      <c r="D286" s="21"/>
      <c r="E286" s="21"/>
      <c r="F286" s="22"/>
      <c r="G286" s="21"/>
      <c r="H286" s="95"/>
      <c r="I286" s="22"/>
      <c r="J286" s="21"/>
      <c r="K286" s="21"/>
    </row>
    <row r="287" spans="1:11" ht="14.45">
      <c r="A287" s="21"/>
      <c r="B287" s="33"/>
      <c r="C287" s="21"/>
      <c r="D287" s="21"/>
      <c r="E287" s="21"/>
      <c r="F287" s="22"/>
      <c r="G287" s="21"/>
      <c r="H287" s="95"/>
      <c r="I287" s="22"/>
      <c r="J287" s="21"/>
      <c r="K287" s="21"/>
    </row>
    <row r="288" spans="1:11" ht="14.45">
      <c r="A288" s="21"/>
      <c r="B288" s="33"/>
      <c r="C288" s="21"/>
      <c r="D288" s="21"/>
      <c r="E288" s="21"/>
      <c r="F288" s="22"/>
      <c r="G288" s="21"/>
      <c r="H288" s="95"/>
      <c r="I288" s="22"/>
      <c r="J288" s="21"/>
      <c r="K288" s="21"/>
    </row>
    <row r="289" spans="1:11" ht="14.45">
      <c r="A289" s="21"/>
      <c r="B289" s="33"/>
      <c r="C289" s="21"/>
      <c r="D289" s="21"/>
      <c r="E289" s="21"/>
      <c r="F289" s="22"/>
      <c r="G289" s="21"/>
      <c r="H289" s="95"/>
      <c r="I289" s="22"/>
      <c r="J289" s="21"/>
      <c r="K289" s="21"/>
    </row>
    <row r="290" spans="1:11" ht="14.45">
      <c r="A290" s="21"/>
      <c r="B290" s="33"/>
      <c r="C290" s="21"/>
      <c r="D290" s="21"/>
      <c r="E290" s="21"/>
      <c r="F290" s="22"/>
      <c r="G290" s="21"/>
      <c r="H290" s="95"/>
      <c r="I290" s="22"/>
      <c r="J290" s="21"/>
      <c r="K290" s="21"/>
    </row>
    <row r="291" spans="1:11" ht="14.45">
      <c r="A291" s="21"/>
      <c r="B291" s="33"/>
      <c r="C291" s="21"/>
      <c r="D291" s="21"/>
      <c r="E291" s="21"/>
      <c r="F291" s="22"/>
      <c r="G291" s="21"/>
      <c r="H291" s="95"/>
      <c r="I291" s="22"/>
      <c r="J291" s="21"/>
      <c r="K291" s="21"/>
    </row>
    <row r="292" spans="1:11" ht="14.45">
      <c r="A292" s="21"/>
      <c r="B292" s="33"/>
      <c r="C292" s="21"/>
      <c r="D292" s="21"/>
      <c r="E292" s="21"/>
      <c r="F292" s="22"/>
      <c r="G292" s="21"/>
      <c r="H292" s="95"/>
      <c r="I292" s="22"/>
      <c r="J292" s="21"/>
      <c r="K292" s="21"/>
    </row>
    <row r="293" spans="1:11" ht="14.45">
      <c r="A293" s="21"/>
      <c r="B293" s="33"/>
      <c r="C293" s="21"/>
      <c r="D293" s="21"/>
      <c r="E293" s="21"/>
      <c r="F293" s="22"/>
      <c r="G293" s="21"/>
      <c r="H293" s="95"/>
      <c r="I293" s="22"/>
      <c r="J293" s="21"/>
      <c r="K293" s="21"/>
    </row>
    <row r="294" spans="1:11" ht="14.45">
      <c r="A294" s="21"/>
      <c r="B294" s="33"/>
      <c r="C294" s="21"/>
      <c r="D294" s="21"/>
      <c r="E294" s="21"/>
      <c r="F294" s="22"/>
      <c r="G294" s="21"/>
      <c r="H294" s="95"/>
      <c r="I294" s="22"/>
      <c r="J294" s="21"/>
      <c r="K294" s="21"/>
    </row>
    <row r="295" spans="1:11" ht="14.45">
      <c r="A295" s="21"/>
      <c r="B295" s="33"/>
      <c r="C295" s="21"/>
      <c r="D295" s="21"/>
      <c r="E295" s="21"/>
      <c r="F295" s="22"/>
      <c r="G295" s="21"/>
      <c r="H295" s="95"/>
      <c r="I295" s="22"/>
      <c r="J295" s="21"/>
      <c r="K295" s="21"/>
    </row>
    <row r="296" spans="1:11" ht="14.45">
      <c r="A296" s="21"/>
      <c r="B296" s="33"/>
      <c r="C296" s="21"/>
      <c r="D296" s="21"/>
      <c r="E296" s="21"/>
      <c r="F296" s="22"/>
      <c r="G296" s="21"/>
      <c r="H296" s="95"/>
      <c r="I296" s="22"/>
      <c r="J296" s="21"/>
      <c r="K296" s="21"/>
    </row>
    <row r="297" spans="1:11" ht="14.45">
      <c r="A297" s="21"/>
      <c r="B297" s="33"/>
      <c r="C297" s="21"/>
      <c r="D297" s="21"/>
      <c r="E297" s="21"/>
      <c r="F297" s="22"/>
      <c r="G297" s="21"/>
      <c r="H297" s="95"/>
      <c r="I297" s="22"/>
      <c r="J297" s="21"/>
      <c r="K297" s="21"/>
    </row>
    <row r="298" spans="1:11" ht="14.45">
      <c r="A298" s="21"/>
      <c r="B298" s="33"/>
      <c r="C298" s="21"/>
      <c r="D298" s="21"/>
      <c r="E298" s="21"/>
      <c r="F298" s="22"/>
      <c r="G298" s="21"/>
      <c r="H298" s="95"/>
      <c r="I298" s="22"/>
      <c r="J298" s="21"/>
      <c r="K298" s="21"/>
    </row>
    <row r="299" spans="1:11" ht="14.45">
      <c r="A299" s="21"/>
      <c r="B299" s="33"/>
      <c r="C299" s="21"/>
      <c r="D299" s="21"/>
      <c r="E299" s="21"/>
      <c r="F299" s="22"/>
      <c r="G299" s="21"/>
      <c r="H299" s="95"/>
      <c r="I299" s="22"/>
      <c r="J299" s="21"/>
      <c r="K299" s="21"/>
    </row>
    <row r="300" spans="1:11" ht="14.45">
      <c r="A300" s="21"/>
      <c r="B300" s="33"/>
      <c r="C300" s="21"/>
      <c r="D300" s="21"/>
      <c r="E300" s="21"/>
      <c r="F300" s="22"/>
      <c r="G300" s="21"/>
      <c r="H300" s="95"/>
      <c r="I300" s="22"/>
      <c r="J300" s="21"/>
      <c r="K300" s="21"/>
    </row>
    <row r="301" spans="1:11" ht="14.45">
      <c r="A301" s="21"/>
      <c r="B301" s="33"/>
      <c r="C301" s="21"/>
      <c r="D301" s="21"/>
      <c r="E301" s="21"/>
      <c r="F301" s="22"/>
      <c r="G301" s="21"/>
      <c r="H301" s="95"/>
      <c r="I301" s="22"/>
      <c r="J301" s="21"/>
      <c r="K301" s="21"/>
    </row>
    <row r="302" spans="1:11" ht="14.45">
      <c r="A302" s="21"/>
      <c r="B302" s="33"/>
      <c r="C302" s="21"/>
      <c r="D302" s="21"/>
      <c r="E302" s="21"/>
      <c r="F302" s="22"/>
      <c r="G302" s="21"/>
      <c r="H302" s="95"/>
      <c r="I302" s="22"/>
      <c r="J302" s="21"/>
      <c r="K302" s="21"/>
    </row>
    <row r="303" spans="1:11" ht="14.45">
      <c r="A303" s="21"/>
      <c r="B303" s="33"/>
      <c r="C303" s="21"/>
      <c r="D303" s="21"/>
      <c r="E303" s="21"/>
      <c r="F303" s="22"/>
      <c r="G303" s="21"/>
      <c r="H303" s="95"/>
      <c r="I303" s="22"/>
      <c r="J303" s="21"/>
      <c r="K303" s="21"/>
    </row>
    <row r="304" spans="1:11" ht="14.45">
      <c r="A304" s="21"/>
      <c r="B304" s="33"/>
      <c r="C304" s="21"/>
      <c r="D304" s="21"/>
      <c r="E304" s="21"/>
      <c r="F304" s="22"/>
      <c r="G304" s="21"/>
      <c r="H304" s="95"/>
      <c r="I304" s="22"/>
      <c r="J304" s="21"/>
      <c r="K304" s="21"/>
    </row>
    <row r="305" spans="1:11" ht="14.45">
      <c r="A305" s="21"/>
      <c r="B305" s="33"/>
      <c r="C305" s="21"/>
      <c r="D305" s="21"/>
      <c r="E305" s="21"/>
      <c r="F305" s="22"/>
      <c r="G305" s="21"/>
      <c r="H305" s="95"/>
      <c r="I305" s="22"/>
      <c r="J305" s="21"/>
      <c r="K305" s="21"/>
    </row>
    <row r="306" spans="1:11" ht="14.45">
      <c r="A306" s="21"/>
      <c r="B306" s="33"/>
      <c r="C306" s="21"/>
      <c r="D306" s="21"/>
      <c r="E306" s="21"/>
      <c r="F306" s="22"/>
      <c r="G306" s="21"/>
      <c r="H306" s="95"/>
      <c r="I306" s="22"/>
      <c r="J306" s="21"/>
      <c r="K306" s="21"/>
    </row>
    <row r="307" spans="1:11" ht="14.45">
      <c r="A307" s="21"/>
      <c r="B307" s="33"/>
      <c r="C307" s="21"/>
      <c r="D307" s="21"/>
      <c r="E307" s="21"/>
      <c r="F307" s="22"/>
      <c r="G307" s="21"/>
      <c r="H307" s="95"/>
      <c r="I307" s="22"/>
      <c r="J307" s="21"/>
      <c r="K307" s="21"/>
    </row>
    <row r="308" spans="1:11" ht="14.45">
      <c r="A308" s="21"/>
      <c r="B308" s="33"/>
      <c r="C308" s="21"/>
      <c r="D308" s="21"/>
      <c r="E308" s="21"/>
      <c r="F308" s="22"/>
      <c r="G308" s="21"/>
      <c r="H308" s="95"/>
      <c r="I308" s="22"/>
      <c r="J308" s="21"/>
      <c r="K308" s="21"/>
    </row>
    <row r="309" spans="1:11" ht="14.45">
      <c r="A309" s="21"/>
      <c r="B309" s="33"/>
      <c r="C309" s="21"/>
      <c r="D309" s="21"/>
      <c r="E309" s="21"/>
      <c r="F309" s="22"/>
      <c r="G309" s="21"/>
      <c r="H309" s="95"/>
      <c r="I309" s="22"/>
      <c r="J309" s="21"/>
      <c r="K309" s="21"/>
    </row>
    <row r="310" spans="1:11" ht="14.45">
      <c r="A310" s="21"/>
      <c r="B310" s="33"/>
      <c r="C310" s="21"/>
      <c r="D310" s="21"/>
      <c r="E310" s="21"/>
      <c r="F310" s="22"/>
      <c r="G310" s="21"/>
      <c r="H310" s="95"/>
      <c r="I310" s="22"/>
      <c r="J310" s="21"/>
      <c r="K310" s="21"/>
    </row>
    <row r="311" spans="1:11" ht="14.45">
      <c r="A311" s="21"/>
      <c r="B311" s="33"/>
      <c r="C311" s="21"/>
      <c r="D311" s="21"/>
      <c r="E311" s="21"/>
      <c r="F311" s="22"/>
      <c r="G311" s="21"/>
      <c r="H311" s="95"/>
      <c r="I311" s="22"/>
      <c r="J311" s="21"/>
      <c r="K311" s="21"/>
    </row>
    <row r="312" spans="1:11" ht="14.45">
      <c r="A312" s="21"/>
      <c r="B312" s="33"/>
      <c r="C312" s="21"/>
      <c r="D312" s="21"/>
      <c r="E312" s="21"/>
      <c r="F312" s="22"/>
      <c r="G312" s="21"/>
      <c r="H312" s="95"/>
      <c r="I312" s="22"/>
      <c r="J312" s="21"/>
      <c r="K312" s="21"/>
    </row>
    <row r="313" spans="1:11" ht="14.45">
      <c r="A313" s="21"/>
      <c r="B313" s="33"/>
      <c r="C313" s="21"/>
      <c r="D313" s="21"/>
      <c r="E313" s="21"/>
      <c r="F313" s="22"/>
      <c r="G313" s="21"/>
      <c r="H313" s="95"/>
      <c r="I313" s="22"/>
      <c r="J313" s="21"/>
      <c r="K313" s="21"/>
    </row>
    <row r="314" spans="1:11" ht="14.45">
      <c r="A314" s="21"/>
      <c r="B314" s="33"/>
      <c r="C314" s="21"/>
      <c r="D314" s="21"/>
      <c r="E314" s="21"/>
      <c r="F314" s="22"/>
      <c r="G314" s="21"/>
      <c r="H314" s="95"/>
      <c r="I314" s="22"/>
      <c r="J314" s="21"/>
      <c r="K314" s="21"/>
    </row>
    <row r="315" spans="1:11" ht="14.45">
      <c r="A315" s="21"/>
      <c r="B315" s="33"/>
      <c r="C315" s="21"/>
      <c r="D315" s="21"/>
      <c r="E315" s="21"/>
      <c r="F315" s="22"/>
      <c r="G315" s="21"/>
      <c r="H315" s="95"/>
      <c r="I315" s="22"/>
      <c r="J315" s="21"/>
      <c r="K315" s="21"/>
    </row>
    <row r="316" spans="1:11" ht="14.45">
      <c r="A316" s="21"/>
      <c r="B316" s="33"/>
      <c r="C316" s="21"/>
      <c r="D316" s="21"/>
      <c r="E316" s="21"/>
      <c r="F316" s="22"/>
      <c r="G316" s="21"/>
      <c r="H316" s="95"/>
      <c r="I316" s="22"/>
      <c r="J316" s="21"/>
      <c r="K316" s="21"/>
    </row>
    <row r="317" spans="1:11" ht="14.45">
      <c r="A317" s="21"/>
      <c r="B317" s="33"/>
      <c r="C317" s="21"/>
      <c r="D317" s="21"/>
      <c r="E317" s="21"/>
      <c r="F317" s="22"/>
      <c r="G317" s="21"/>
      <c r="H317" s="95"/>
      <c r="I317" s="22"/>
      <c r="J317" s="21"/>
      <c r="K317" s="21"/>
    </row>
    <row r="318" spans="1:11" ht="14.45">
      <c r="A318" s="21"/>
      <c r="B318" s="33"/>
      <c r="C318" s="21"/>
      <c r="D318" s="21"/>
      <c r="E318" s="21"/>
      <c r="F318" s="22"/>
      <c r="G318" s="21"/>
      <c r="H318" s="95"/>
      <c r="I318" s="22"/>
      <c r="J318" s="21"/>
      <c r="K318" s="21"/>
    </row>
    <row r="319" spans="1:11" ht="14.45">
      <c r="A319" s="21"/>
      <c r="B319" s="33"/>
      <c r="C319" s="21"/>
      <c r="D319" s="21"/>
      <c r="E319" s="21"/>
      <c r="F319" s="22"/>
      <c r="G319" s="21"/>
      <c r="H319" s="95"/>
      <c r="I319" s="22"/>
      <c r="J319" s="21"/>
      <c r="K319" s="21"/>
    </row>
    <row r="320" spans="1:11" ht="14.45">
      <c r="A320" s="21"/>
      <c r="B320" s="33"/>
      <c r="C320" s="21"/>
      <c r="D320" s="21"/>
      <c r="E320" s="21"/>
      <c r="F320" s="22"/>
      <c r="G320" s="21"/>
      <c r="H320" s="95"/>
      <c r="I320" s="22"/>
      <c r="J320" s="21"/>
      <c r="K320" s="21"/>
    </row>
    <row r="321" spans="1:11" ht="14.45">
      <c r="A321" s="21"/>
      <c r="B321" s="33"/>
      <c r="C321" s="21"/>
      <c r="D321" s="21"/>
      <c r="E321" s="21"/>
      <c r="F321" s="22"/>
      <c r="G321" s="21"/>
      <c r="H321" s="95"/>
      <c r="I321" s="22"/>
      <c r="J321" s="21"/>
      <c r="K321" s="21"/>
    </row>
    <row r="322" spans="1:11" ht="14.45">
      <c r="A322" s="21"/>
      <c r="B322" s="33"/>
      <c r="C322" s="21"/>
      <c r="D322" s="21"/>
      <c r="E322" s="21"/>
      <c r="F322" s="22"/>
      <c r="G322" s="21"/>
      <c r="H322" s="95"/>
      <c r="I322" s="22"/>
      <c r="J322" s="21"/>
      <c r="K322" s="21"/>
    </row>
    <row r="323" spans="1:11" ht="14.45">
      <c r="A323" s="21"/>
      <c r="B323" s="33"/>
      <c r="C323" s="21"/>
      <c r="D323" s="21"/>
      <c r="E323" s="21"/>
      <c r="F323" s="22"/>
      <c r="G323" s="21"/>
      <c r="H323" s="95"/>
      <c r="I323" s="22"/>
      <c r="J323" s="21"/>
      <c r="K323" s="21"/>
    </row>
    <row r="324" spans="1:11" ht="14.45">
      <c r="A324" s="21"/>
      <c r="B324" s="33"/>
      <c r="C324" s="21"/>
      <c r="D324" s="21"/>
      <c r="E324" s="21"/>
      <c r="F324" s="22"/>
      <c r="G324" s="21"/>
      <c r="H324" s="95"/>
      <c r="I324" s="22"/>
      <c r="J324" s="21"/>
      <c r="K324" s="21"/>
    </row>
    <row r="325" spans="1:11" ht="14.45">
      <c r="A325" s="21"/>
      <c r="B325" s="33"/>
      <c r="C325" s="21"/>
      <c r="D325" s="21"/>
      <c r="E325" s="21"/>
      <c r="F325" s="22"/>
      <c r="G325" s="21"/>
      <c r="H325" s="95"/>
      <c r="I325" s="22"/>
      <c r="J325" s="21"/>
      <c r="K325" s="21"/>
    </row>
    <row r="326" spans="1:11" ht="14.45">
      <c r="A326" s="21"/>
      <c r="B326" s="33"/>
      <c r="C326" s="21"/>
      <c r="D326" s="21"/>
      <c r="E326" s="21"/>
      <c r="F326" s="22"/>
      <c r="G326" s="21"/>
      <c r="H326" s="95"/>
      <c r="I326" s="22"/>
      <c r="J326" s="21"/>
      <c r="K326" s="21"/>
    </row>
    <row r="327" spans="1:11" ht="14.45">
      <c r="A327" s="21"/>
      <c r="B327" s="33"/>
      <c r="C327" s="21"/>
      <c r="D327" s="21"/>
      <c r="E327" s="21"/>
      <c r="F327" s="22"/>
      <c r="G327" s="21"/>
      <c r="H327" s="95"/>
      <c r="I327" s="22"/>
      <c r="J327" s="21"/>
      <c r="K327" s="21"/>
    </row>
    <row r="328" spans="1:11" ht="14.45">
      <c r="A328" s="21"/>
      <c r="B328" s="33"/>
      <c r="C328" s="21"/>
      <c r="D328" s="21"/>
      <c r="E328" s="21"/>
      <c r="F328" s="22"/>
      <c r="G328" s="21"/>
      <c r="H328" s="95"/>
      <c r="I328" s="22"/>
      <c r="J328" s="21"/>
      <c r="K328" s="21"/>
    </row>
    <row r="329" spans="1:11" ht="14.45">
      <c r="A329" s="21"/>
      <c r="B329" s="33"/>
      <c r="C329" s="21"/>
      <c r="D329" s="21"/>
      <c r="E329" s="21"/>
      <c r="F329" s="22"/>
      <c r="G329" s="21"/>
      <c r="H329" s="95"/>
      <c r="I329" s="22"/>
      <c r="J329" s="21"/>
      <c r="K329" s="21"/>
    </row>
    <row r="330" spans="1:11" ht="14.45">
      <c r="A330" s="21"/>
      <c r="B330" s="33"/>
      <c r="C330" s="21"/>
      <c r="D330" s="21"/>
      <c r="E330" s="21"/>
      <c r="F330" s="22"/>
      <c r="G330" s="21"/>
      <c r="H330" s="95"/>
      <c r="I330" s="22"/>
      <c r="J330" s="21"/>
      <c r="K330" s="21"/>
    </row>
    <row r="331" spans="1:11" ht="14.45">
      <c r="A331" s="21"/>
      <c r="B331" s="33"/>
      <c r="C331" s="21"/>
      <c r="D331" s="21"/>
      <c r="E331" s="21"/>
      <c r="F331" s="22"/>
      <c r="G331" s="21"/>
      <c r="H331" s="95"/>
      <c r="I331" s="22"/>
      <c r="J331" s="21"/>
      <c r="K331" s="21"/>
    </row>
    <row r="332" spans="1:11" ht="14.45">
      <c r="A332" s="21"/>
      <c r="B332" s="33"/>
      <c r="C332" s="21"/>
      <c r="D332" s="21"/>
      <c r="E332" s="21"/>
      <c r="F332" s="22"/>
      <c r="G332" s="21"/>
      <c r="H332" s="95"/>
      <c r="I332" s="22"/>
      <c r="J332" s="21"/>
      <c r="K332" s="21"/>
    </row>
    <row r="333" spans="1:11" ht="14.45">
      <c r="A333" s="21"/>
      <c r="B333" s="33"/>
      <c r="C333" s="21"/>
      <c r="D333" s="21"/>
      <c r="E333" s="21"/>
      <c r="F333" s="22"/>
      <c r="G333" s="21"/>
      <c r="H333" s="95"/>
      <c r="I333" s="22"/>
      <c r="J333" s="21"/>
      <c r="K333" s="21"/>
    </row>
    <row r="334" spans="1:11" ht="14.45">
      <c r="A334" s="21"/>
      <c r="B334" s="33"/>
      <c r="C334" s="21"/>
      <c r="D334" s="21"/>
      <c r="E334" s="21"/>
      <c r="F334" s="22"/>
      <c r="G334" s="21"/>
      <c r="H334" s="95"/>
      <c r="I334" s="22"/>
      <c r="J334" s="21"/>
      <c r="K334" s="21"/>
    </row>
    <row r="335" spans="1:11" ht="14.45">
      <c r="A335" s="21"/>
      <c r="B335" s="33"/>
      <c r="C335" s="21"/>
      <c r="D335" s="21"/>
      <c r="E335" s="21"/>
      <c r="F335" s="22"/>
      <c r="G335" s="21"/>
      <c r="H335" s="95"/>
      <c r="I335" s="22"/>
      <c r="J335" s="21"/>
      <c r="K335" s="21"/>
    </row>
    <row r="336" spans="1:11" ht="14.45">
      <c r="A336" s="21"/>
      <c r="B336" s="33"/>
      <c r="C336" s="21"/>
      <c r="D336" s="21"/>
      <c r="E336" s="21"/>
      <c r="F336" s="22"/>
      <c r="G336" s="21"/>
      <c r="H336" s="95"/>
      <c r="I336" s="22"/>
      <c r="J336" s="21"/>
      <c r="K336" s="21"/>
    </row>
    <row r="337" spans="1:11" ht="14.45">
      <c r="A337" s="21"/>
      <c r="B337" s="33"/>
      <c r="C337" s="21"/>
      <c r="D337" s="21"/>
      <c r="E337" s="21"/>
      <c r="F337" s="22"/>
      <c r="G337" s="21"/>
      <c r="H337" s="95"/>
      <c r="I337" s="22"/>
      <c r="J337" s="21"/>
      <c r="K337" s="21"/>
    </row>
    <row r="338" spans="1:11" ht="14.45">
      <c r="A338" s="21"/>
      <c r="B338" s="33"/>
      <c r="C338" s="21"/>
      <c r="D338" s="21"/>
      <c r="E338" s="21"/>
      <c r="F338" s="22"/>
      <c r="G338" s="21"/>
      <c r="H338" s="95"/>
      <c r="I338" s="22"/>
      <c r="J338" s="21"/>
      <c r="K338" s="21"/>
    </row>
    <row r="339" spans="1:11" ht="14.45">
      <c r="A339" s="21"/>
      <c r="B339" s="33"/>
      <c r="C339" s="21"/>
      <c r="D339" s="21"/>
      <c r="E339" s="21"/>
      <c r="F339" s="22"/>
      <c r="G339" s="21"/>
      <c r="H339" s="95"/>
      <c r="I339" s="22"/>
      <c r="J339" s="21"/>
      <c r="K339" s="21"/>
    </row>
    <row r="340" spans="1:11" ht="14.45">
      <c r="A340" s="21"/>
      <c r="B340" s="33"/>
      <c r="C340" s="21"/>
      <c r="D340" s="21"/>
      <c r="E340" s="21"/>
      <c r="F340" s="22"/>
      <c r="G340" s="21"/>
      <c r="H340" s="95"/>
      <c r="I340" s="22"/>
      <c r="J340" s="21"/>
      <c r="K340" s="21"/>
    </row>
    <row r="341" spans="1:11" ht="14.45">
      <c r="A341" s="21"/>
      <c r="B341" s="33"/>
      <c r="C341" s="21"/>
      <c r="D341" s="21"/>
      <c r="E341" s="21"/>
      <c r="F341" s="22"/>
      <c r="G341" s="21"/>
      <c r="H341" s="95"/>
      <c r="I341" s="22"/>
      <c r="J341" s="21"/>
      <c r="K341" s="21"/>
    </row>
    <row r="342" spans="1:11">
      <c r="C342" s="21"/>
      <c r="D342" s="21"/>
      <c r="E342" s="21"/>
      <c r="F342" s="22"/>
      <c r="G342" s="21"/>
      <c r="H342" s="95"/>
      <c r="I342" s="22"/>
      <c r="J342" s="21"/>
      <c r="K342" s="21"/>
    </row>
  </sheetData>
  <mergeCells count="4">
    <mergeCell ref="G1:I1"/>
    <mergeCell ref="A1:C1"/>
    <mergeCell ref="D1:F1"/>
    <mergeCell ref="A2:B2"/>
  </mergeCells>
  <conditionalFormatting sqref="F2 I2 I4:I100 F70:F100">
    <cfRule type="cellIs" dxfId="46" priority="1" stopIfTrue="1" operator="lessThanOrEqual">
      <formula>-0.1</formula>
    </cfRule>
    <cfRule type="expression" dxfId="45" priority="2">
      <formula>AND(ISNUMBER(F2), F2&gt;=0.1)</formula>
    </cfRule>
  </conditionalFormatting>
  <hyperlinks>
    <hyperlink ref="K7" r:id="rId1" display="https://us3.assetplanner.com/service_request?ID=097572" xr:uid="{8DB91660-FEAB-4805-A2ED-F5E5D1752AB7}"/>
    <hyperlink ref="K8" r:id="rId2" display="https://us3.assetplanner.com/service_request?ID=093917" xr:uid="{764916A2-DDC4-4085-8AD8-FC11E68554A8}"/>
    <hyperlink ref="K22" r:id="rId3" display="https://us3.assetplanner.com/service_request?ID=093440" xr:uid="{4B7C0A84-D998-43C7-8B1A-0B2CDEA662A1}"/>
    <hyperlink ref="K23" r:id="rId4" display="https://us3.assetplanner.com/service_request?ID=095623" xr:uid="{5B7F1B76-FA1C-468D-A8B7-9B9A03D029CA}"/>
    <hyperlink ref="K25" r:id="rId5" display="https://us3.assetplanner.com/service_request?ID=097907" xr:uid="{167124FD-1F82-4591-96C0-0540E179D3A5}"/>
    <hyperlink ref="K30" r:id="rId6" display="https://us3.assetplanner.com/service_request?ID=089763" xr:uid="{7495755F-85C2-4437-BE8C-FFA1C3223E38}"/>
    <hyperlink ref="K37" r:id="rId7" display="https://us3.assetplanner.com/service_request?ID=094440" xr:uid="{1930B492-D4B2-4B6B-8354-0571C3A93268}"/>
    <hyperlink ref="K38" r:id="rId8" display="https://us3.assetplanner.com/service_request?ID=095163" xr:uid="{B001FC3F-6FD8-4A61-B5AC-E29A42754CAB}"/>
    <hyperlink ref="K40" r:id="rId9" display="https://us3.assetplanner.com/service_request?ID=089464" xr:uid="{2FCF6C81-C078-4B43-ACEE-4DAE907DF5A8}"/>
    <hyperlink ref="K41" r:id="rId10" display="https://us3.assetplanner.com/service_request?ID=092739" xr:uid="{A3BC9E5A-ACA6-4847-89F8-71A016D6B9B8}"/>
    <hyperlink ref="K43" r:id="rId11" display="https://us3.assetplanner.com/service_request?ID=089461" xr:uid="{93330047-FF42-401B-A1B5-EEAD024840AF}"/>
    <hyperlink ref="K44" r:id="rId12" display="https://us3.assetplanner.com/service_request?ID=092276" xr:uid="{8FC3DC37-C161-41EA-8ECF-5F80ED828B4D}"/>
    <hyperlink ref="K45" r:id="rId13" display="https://us3.assetplanner.com/service_request?ID=085968" xr:uid="{2F268420-AFAA-492E-AAD4-6117BED7634E}"/>
    <hyperlink ref="K46" r:id="rId14" display="https://us3.assetplanner.com/service_request?ID=089470" xr:uid="{0B6F657E-92D5-4B77-BAE2-19A94D459937}"/>
    <hyperlink ref="K47" r:id="rId15" display="https://us3.assetplanner.com/service_request?ID=089612" xr:uid="{DFF531B8-E6B1-4B13-87BF-9CC18C963A0F}"/>
    <hyperlink ref="K48" r:id="rId16" display="https://us3.assetplanner.com/service_request?ID=092166" xr:uid="{45D34CBF-63C0-4A88-8668-178689EB073B}"/>
    <hyperlink ref="K50" r:id="rId17" display="https://us3.assetplanner.com/service_request?ID=090370" xr:uid="{903EA183-AEAB-4138-AED6-C350BF720148}"/>
    <hyperlink ref="K51" r:id="rId18" display="https://us3.assetplanner.com/service_request?ID=097912" xr:uid="{078A08B9-6236-4957-AC2E-4241D6E39F14}"/>
    <hyperlink ref="K53" r:id="rId19" display="https://us3.assetplanner.com/service_request?ID=090965" xr:uid="{40C952BA-7D03-41CA-9527-99458E337952}"/>
    <hyperlink ref="K55" r:id="rId20" display="https://us3.assetplanner.com/service_request?ID=090734" xr:uid="{3801FEF9-F67D-4AD3-B4B8-A83ED0B5CF95}"/>
    <hyperlink ref="K57" r:id="rId21" display="https://us3.assetplanner.com/service_request?ID=090293" xr:uid="{18EE562E-4F5D-4B78-AEB3-D1F3BF4BB8C8}"/>
    <hyperlink ref="K58" r:id="rId22" display="https://us3.assetplanner.com/service_request?ID=095449" xr:uid="{BC42805B-7942-4A0F-B7AB-613997CF9875}"/>
    <hyperlink ref="K60" r:id="rId23" display="https://us3.assetplanner.com/service_request?ID=089477" xr:uid="{7E63DB4A-4C48-4EED-92CB-42B91737DA64}"/>
    <hyperlink ref="K65" r:id="rId24" display="https://us3.assetplanner.com/service_request?ID=089732" xr:uid="{B0C144A4-0191-44EC-BBB8-92693CF67C28}"/>
    <hyperlink ref="K66" r:id="rId25" display="https://us3.assetplanner.com/service_request?ID=097774" xr:uid="{75B41B33-4167-4D10-B333-3B7D4E2CF56E}"/>
    <hyperlink ref="K67" r:id="rId26" display="https://us3.assetplanner.com/service_request?ID=092171" xr:uid="{F04AD730-81F7-44C3-ADBF-5E4E8DCE2615}"/>
    <hyperlink ref="L8" r:id="rId27" display="https://us3.assetplanner.com/service_request?ID=096145" xr:uid="{AEB90942-E267-4C3F-8112-A03DE01F5634}"/>
    <hyperlink ref="L22" r:id="rId28" display="https://us3.assetplanner.com/service_request?ID=093861" xr:uid="{6835EE96-DBDE-4677-8F2A-EBF781AF8D36}"/>
    <hyperlink ref="L38" r:id="rId29" display="https://us3.assetplanner.com/service_request?ID=092023" xr:uid="{B8E70C44-B79B-407C-A199-5B707573C4CE}"/>
    <hyperlink ref="M38" r:id="rId30" display="https://us3.assetplanner.com/service_request?ID=089707" xr:uid="{E9F86149-B8C1-4001-AEA1-5E0DF811CDF8}"/>
    <hyperlink ref="N38" r:id="rId31" display="https://us3.assetplanner.com/service_request?ID=093065" xr:uid="{5A677649-D12B-4824-85F8-6D1B4A83F7E3}"/>
    <hyperlink ref="L40" r:id="rId32" display="https://us3.assetplanner.com/service_request?ID=093180" xr:uid="{85E54B1D-0429-4439-9704-BA7064C227FC}"/>
    <hyperlink ref="M40" r:id="rId33" display="https://us3.assetplanner.com/service_request?ID=093174" xr:uid="{A0015925-BF84-494A-8B3D-EEEACC2A69DF}"/>
    <hyperlink ref="N40" r:id="rId34" display="https://us3.assetplanner.com/service_request?ID=095356" xr:uid="{162C2406-A37B-46B5-839F-761DF89D21FF}"/>
    <hyperlink ref="O40" r:id="rId35" display="https://us3.assetplanner.com/service_request?ID=096916" xr:uid="{C6FAF8AB-8C87-4EEA-9288-651B2D42B0B2}"/>
    <hyperlink ref="L41" r:id="rId36" display="https://us3.assetplanner.com/service_request?ID=092739" xr:uid="{92308A7A-A6CA-42F2-B9A6-F6AACDEB0062}"/>
    <hyperlink ref="M41" r:id="rId37" display="https://us3.assetplanner.com/service_request?ID=096514" xr:uid="{A7636D79-B60B-4973-A104-FEBB48B9FE6E}"/>
    <hyperlink ref="L43" r:id="rId38" display="https://us3.assetplanner.com/service_request?ID=090375" xr:uid="{E4204822-705E-4518-B965-0B634B634946}"/>
    <hyperlink ref="M43" r:id="rId39" display="https://us3.assetplanner.com/service_request?ID=098018" xr:uid="{F438C914-59AC-478D-AA6E-ADB61F672ADE}"/>
    <hyperlink ref="L45" r:id="rId40" display="https://us3.assetplanner.com/service_request?ID=092256" xr:uid="{8574F2D0-4A17-4385-97E3-8615B9691CCC}"/>
    <hyperlink ref="M45" r:id="rId41" display="https://us3.assetplanner.com/service_request?ID=090090" xr:uid="{057C026E-9B42-4D8C-9CAF-5F72FF3AFA82}"/>
    <hyperlink ref="N45" r:id="rId42" display="https://us3.assetplanner.com/service_request?ID=095592" xr:uid="{C6E3F0CC-9338-47FB-B243-369A36915BED}"/>
    <hyperlink ref="O45" r:id="rId43" display="https://us3.assetplanner.com/service_request?ID=095592" xr:uid="{D5831B48-C57E-4033-8536-B29865440578}"/>
    <hyperlink ref="L46" r:id="rId44" display="https://us3.assetplanner.com/service_request?ID=092603" xr:uid="{91B6FCF1-C8B0-4741-84FB-127FC60ACD83}"/>
    <hyperlink ref="L47" r:id="rId45" display="https://us3.assetplanner.com/service_request?ID=095339" xr:uid="{9CBC1CF4-5B49-41F2-80BC-6FB6E9EE7154}"/>
    <hyperlink ref="M47" r:id="rId46" display="https://us3.assetplanner.com/service_request?ID=095385" xr:uid="{281B7B14-98C1-4E6D-9745-2DC58A13DBFF}"/>
    <hyperlink ref="N47" r:id="rId47" display="https://us3.assetplanner.com/service_request?ID=097012" xr:uid="{B7A7C520-8AA1-46EB-AF31-54881EB7ADDC}"/>
    <hyperlink ref="O47" r:id="rId48" display="https://us3.assetplanner.com/service_request?ID=089612" xr:uid="{F1D48CEE-3CC0-4797-9A52-5CA9DBD3B713}"/>
    <hyperlink ref="P47" r:id="rId49" display="https://us3.assetplanner.com/service_request?ID=095385" xr:uid="{7FF13B5E-A2DC-4FEB-85A4-0F13A01F1FAE}"/>
    <hyperlink ref="L48" r:id="rId50" display="https://us3.assetplanner.com/service_request?ID=097558" xr:uid="{43A527A2-283B-4CB7-A291-32149D9B2BB7}"/>
    <hyperlink ref="M48" r:id="rId51" display="https://us3.assetplanner.com/service_request?ID=086220" xr:uid="{6971A0DB-77B0-46F9-A994-8C1151A00A25}"/>
    <hyperlink ref="N48" r:id="rId52" display="https://us3.assetplanner.com/service_request?ID=091312" xr:uid="{C2AA7AB8-F78E-41D5-A3CB-5B32461D7EDB}"/>
    <hyperlink ref="L53" r:id="rId53" display="https://us3.assetplanner.com/service_request?ID=094547" xr:uid="{3B4DBB06-A052-47FC-AFB4-510176511F85}"/>
    <hyperlink ref="M53" r:id="rId54" display="https://us3.assetplanner.com/service_request?ID=094545" xr:uid="{6216CE59-F7D3-4BE4-964A-230B3D0959BF}"/>
    <hyperlink ref="L57" r:id="rId55" display="https://us3.assetplanner.com/service_request?ID=095854" xr:uid="{6FD1BD81-5FFC-4282-A2AD-EEA947AE6A3D}"/>
    <hyperlink ref="L58" r:id="rId56" display="https://us3.assetplanner.com/service_request?ID=093474" xr:uid="{B3F7E7C9-0001-446B-A808-AE189F0BAA57}"/>
    <hyperlink ref="M58" r:id="rId57" display="https://us3.assetplanner.com/service_request?ID=089474" xr:uid="{FF9E5578-45EA-448C-813D-EDB1B2831D58}"/>
    <hyperlink ref="N58" r:id="rId58" display="https://us3.assetplanner.com/service_request?ID=090381" xr:uid="{4C039C59-7935-484D-99A9-E40B9601F5AF}"/>
    <hyperlink ref="O58" r:id="rId59" display="https://us3.assetplanner.com/service_request?ID=090380" xr:uid="{4911F001-7E4A-4A0E-B337-344F004D56C2}"/>
    <hyperlink ref="L60" r:id="rId60" display="https://us3.assetplanner.com/service_request?ID=096348" xr:uid="{8E4E9213-A46E-449F-B170-23EB274CBF48}"/>
    <hyperlink ref="M60" r:id="rId61" display="https://us3.assetplanner.com/service_request?ID=089477" xr:uid="{3AC47EF0-6A44-4985-A025-D6488C1D3FBF}"/>
    <hyperlink ref="N60" r:id="rId62" display="https://us3.assetplanner.com/service_request?ID=096348" xr:uid="{69147269-3CFE-41D8-83D7-4C0D94E42917}"/>
    <hyperlink ref="O60" r:id="rId63" display="https://us3.assetplanner.com/service_request?ID=089477" xr:uid="{25566D15-FB9D-4E52-97B3-8430650E2CB5}"/>
    <hyperlink ref="P60" r:id="rId64" display="https://us3.assetplanner.com/service_request?ID=096348" xr:uid="{3FC913D1-C31D-4ECE-8537-19E56841EFE3}"/>
    <hyperlink ref="L65" r:id="rId65" display="https://us3.assetplanner.com/service_request?ID=094323" xr:uid="{6E43CA7B-EA1C-497C-8B1A-8A5E5B147C7A}"/>
    <hyperlink ref="L66" r:id="rId66" display="https://us3.assetplanner.com/service_request?ID=092170" xr:uid="{25B16925-F4EC-468D-BC00-94EED8F980F7}"/>
    <hyperlink ref="M66" r:id="rId67" display="https://us3.assetplanner.com/service_request?ID=092456" xr:uid="{8574E0B6-A4A8-4D14-8F8B-AA0FDDC6F1A9}"/>
    <hyperlink ref="L67" r:id="rId68" display="https://us3.assetplanner.com/service_request?ID=092455" xr:uid="{F787F686-C00E-45A4-98F1-AE10D372BA9B}"/>
    <hyperlink ref="M67" r:id="rId69" display="https://us3.assetplanner.com/service_request?ID=090296" xr:uid="{F218DEB7-920A-49C6-A16B-609E79C22A46}"/>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P342"/>
  <sheetViews>
    <sheetView zoomScale="80" zoomScaleNormal="80" workbookViewId="0">
      <pane xSplit="2" ySplit="3" topLeftCell="C4" activePane="bottomRight" state="frozen"/>
      <selection pane="bottomRight" activeCell="J43" sqref="J43"/>
      <selection pane="bottomLeft" activeCell="J66" sqref="J66"/>
      <selection pane="topRight" activeCell="J66" sqref="J66"/>
    </sheetView>
  </sheetViews>
  <sheetFormatPr defaultRowHeight="14.1"/>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6" ht="19.5" customHeight="1">
      <c r="A1" s="120" t="str" cm="1">
        <f t="array" ref="A1">portfolio</f>
        <v>Silicon Ranch</v>
      </c>
      <c r="B1" s="120"/>
      <c r="C1" s="120"/>
      <c r="D1" s="121" t="s">
        <v>166</v>
      </c>
      <c r="E1" s="121"/>
      <c r="F1" s="121"/>
      <c r="G1" s="119" t="s">
        <v>167</v>
      </c>
      <c r="H1" s="119"/>
      <c r="I1" s="119"/>
      <c r="J1" s="4"/>
      <c r="K1" s="4"/>
    </row>
    <row r="2" spans="1:16" ht="19.5" customHeight="1">
      <c r="A2" s="122" t="s">
        <v>2</v>
      </c>
      <c r="B2" s="122"/>
      <c r="C2" s="5">
        <f>SUM(C4:C100)</f>
        <v>3800025</v>
      </c>
      <c r="D2" s="5">
        <f>SUM(D4:D100)</f>
        <v>0</v>
      </c>
      <c r="E2" s="5">
        <f>C2-D2</f>
        <v>3800025</v>
      </c>
      <c r="F2" s="6">
        <f>IFERROR(E2/D2, 0)</f>
        <v>0</v>
      </c>
      <c r="G2" s="5">
        <f>SUM(G4:G100)</f>
        <v>3671145.047999999</v>
      </c>
      <c r="H2" s="7">
        <f>C2-G2</f>
        <v>128879.95200000098</v>
      </c>
      <c r="I2" s="6">
        <f>IFERROR(H2/G2, 0)</f>
        <v>3.5106199922613629E-2</v>
      </c>
      <c r="J2" s="26" t="str">
        <f ca="1">IF(AND(TODAY()&gt;DATE(2024, 3, 1), COUNTA(Sites[Site])&lt;&gt;(COUNT(C:C)-1)), "Some sites are missing actual data; if new sites were added, make sure they are aligned correctly (including prior months!)", "")</f>
        <v/>
      </c>
      <c r="K2" s="4"/>
    </row>
    <row r="3" spans="1:16" ht="14.25" customHeight="1">
      <c r="A3" s="8" t="s">
        <v>3</v>
      </c>
      <c r="B3" s="8" t="s">
        <v>4</v>
      </c>
      <c r="C3" s="23" t="s">
        <v>5</v>
      </c>
      <c r="D3" s="35" t="s">
        <v>6</v>
      </c>
      <c r="E3" s="35" t="s">
        <v>7</v>
      </c>
      <c r="F3" s="36" t="s">
        <v>8</v>
      </c>
      <c r="G3" s="37" t="s">
        <v>9</v>
      </c>
      <c r="H3" s="38" t="s">
        <v>7</v>
      </c>
      <c r="I3" s="39" t="s">
        <v>8</v>
      </c>
      <c r="J3" s="25" t="s">
        <v>20</v>
      </c>
      <c r="K3" s="25" t="s">
        <v>21</v>
      </c>
    </row>
    <row r="4" spans="1:16" ht="15.6">
      <c r="A4" s="32" t="str" cm="1">
        <f t="array" ref="A4:A69">Sites[Site]</f>
        <v>Iron Mountain - Windsor</v>
      </c>
      <c r="B4" s="29" t="str" cm="1">
        <f t="array" ref="B4:B69">Sites[State]</f>
        <v>CT</v>
      </c>
      <c r="C4" s="24">
        <v>27222</v>
      </c>
      <c r="D4" s="13" t="s">
        <v>22</v>
      </c>
      <c r="E4" s="13" t="str">
        <f>IF(AND(ISNUMBER(C4),ISNUMBER(D4)), C4-D4, "")</f>
        <v/>
      </c>
      <c r="F4" s="14" t="str">
        <f>IFERROR(E4/D4, "")</f>
        <v/>
      </c>
      <c r="G4" s="15">
        <v>24890.44</v>
      </c>
      <c r="H4" s="15">
        <f>IF(AND(ISNUMBER(C4),ISNUMBER(G4)), C4-G4, "")</f>
        <v>2331.5600000000013</v>
      </c>
      <c r="I4" s="16">
        <f>IFERROR(H4/G4, "")</f>
        <v>9.3672912170295164E-2</v>
      </c>
      <c r="J4" s="66"/>
      <c r="K4" s="41"/>
      <c r="L4" s="111"/>
      <c r="M4" s="111"/>
      <c r="N4" s="111"/>
      <c r="O4" s="111"/>
      <c r="P4" s="111"/>
    </row>
    <row r="5" spans="1:16" ht="15.6">
      <c r="A5" s="30" t="str">
        <v>Kohls - Auburn</v>
      </c>
      <c r="B5" s="31" t="str">
        <v>NY</v>
      </c>
      <c r="C5" s="11">
        <v>27236</v>
      </c>
      <c r="D5" s="18" t="s">
        <v>22</v>
      </c>
      <c r="E5" s="18" t="str">
        <f t="shared" ref="E5:E25" si="0">IF(AND(ISNUMBER(C5),ISNUMBER(D5)), C5-D5, "")</f>
        <v/>
      </c>
      <c r="F5" s="19" t="str">
        <f>IFERROR(E5/D5, "")</f>
        <v/>
      </c>
      <c r="G5" s="20">
        <v>23650.080000000002</v>
      </c>
      <c r="H5" s="20">
        <f t="shared" ref="H5:H25" si="1">IF(AND(ISNUMBER(C5),ISNUMBER(G5)), C5-G5, "")</f>
        <v>3585.9199999999983</v>
      </c>
      <c r="I5" s="19">
        <f t="shared" ref="I5:I69" si="2">IFERROR(H5/G5, "")</f>
        <v>0.15162401141983445</v>
      </c>
      <c r="K5" s="42"/>
      <c r="L5" s="111"/>
      <c r="M5" s="111"/>
      <c r="N5" s="111"/>
      <c r="O5" s="111"/>
      <c r="P5" s="111"/>
    </row>
    <row r="6" spans="1:16" ht="43.5">
      <c r="A6" s="28" t="str">
        <v>Kohls - Bensalem</v>
      </c>
      <c r="B6" s="29" t="str">
        <v>PA</v>
      </c>
      <c r="C6" s="24">
        <v>34738</v>
      </c>
      <c r="D6" s="13" t="s">
        <v>22</v>
      </c>
      <c r="E6" s="13" t="str">
        <f t="shared" si="0"/>
        <v/>
      </c>
      <c r="F6" s="14" t="str">
        <f t="shared" ref="F6:F25" si="3">IFERROR(E6/D6, "")</f>
        <v/>
      </c>
      <c r="G6" s="15">
        <v>29689.14</v>
      </c>
      <c r="H6" s="15">
        <f t="shared" si="1"/>
        <v>5048.8600000000006</v>
      </c>
      <c r="I6" s="16">
        <f t="shared" si="2"/>
        <v>0.17005746882530112</v>
      </c>
      <c r="J6" s="41" t="s">
        <v>168</v>
      </c>
      <c r="K6" s="99" t="s">
        <v>169</v>
      </c>
      <c r="L6" s="111"/>
      <c r="M6" s="111"/>
      <c r="N6" s="111"/>
      <c r="O6" s="111"/>
      <c r="P6" s="111"/>
    </row>
    <row r="7" spans="1:16" ht="15.6">
      <c r="A7" s="30" t="str">
        <v>Kohls - Brick</v>
      </c>
      <c r="B7" s="31" t="str">
        <v>NJ</v>
      </c>
      <c r="C7" s="11">
        <v>43073</v>
      </c>
      <c r="D7" s="18" t="s">
        <v>22</v>
      </c>
      <c r="E7" s="18" t="str">
        <f t="shared" si="0"/>
        <v/>
      </c>
      <c r="F7" s="19" t="str">
        <f t="shared" si="3"/>
        <v/>
      </c>
      <c r="G7" s="20">
        <v>35597.949999999997</v>
      </c>
      <c r="H7" s="20">
        <f t="shared" si="1"/>
        <v>7475.0500000000029</v>
      </c>
      <c r="I7" s="19">
        <f t="shared" si="2"/>
        <v>0.20998540646301272</v>
      </c>
      <c r="J7" s="42"/>
      <c r="K7" s="43"/>
      <c r="L7" s="111"/>
      <c r="M7" s="111"/>
      <c r="N7" s="111"/>
      <c r="O7" s="111"/>
      <c r="P7" s="111"/>
    </row>
    <row r="8" spans="1:16" ht="111.75" customHeight="1">
      <c r="A8" s="28" t="str">
        <v>Kohls - Buffalo</v>
      </c>
      <c r="B8" s="29" t="str">
        <v>NY</v>
      </c>
      <c r="C8" s="24">
        <v>24986</v>
      </c>
      <c r="D8" s="13" t="s">
        <v>22</v>
      </c>
      <c r="E8" s="13" t="str">
        <f t="shared" si="0"/>
        <v/>
      </c>
      <c r="F8" s="14" t="str">
        <f t="shared" si="3"/>
        <v/>
      </c>
      <c r="G8" s="15">
        <v>30971.89</v>
      </c>
      <c r="H8" s="15">
        <f t="shared" si="1"/>
        <v>-5985.8899999999994</v>
      </c>
      <c r="I8" s="16">
        <f t="shared" si="2"/>
        <v>-0.19326847667352556</v>
      </c>
      <c r="J8" s="41" t="s">
        <v>170</v>
      </c>
      <c r="K8" s="99" t="s">
        <v>171</v>
      </c>
      <c r="L8" s="112" t="s">
        <v>172</v>
      </c>
      <c r="M8" s="112" t="s">
        <v>28</v>
      </c>
      <c r="N8" s="112" t="s">
        <v>27</v>
      </c>
      <c r="O8" s="112" t="s">
        <v>28</v>
      </c>
      <c r="P8" s="111"/>
    </row>
    <row r="9" spans="1:16" ht="15.6">
      <c r="A9" s="30" t="str">
        <v>Kohls - Canton</v>
      </c>
      <c r="B9" s="31" t="str">
        <v>CT</v>
      </c>
      <c r="C9" s="11">
        <v>13827</v>
      </c>
      <c r="D9" s="18" t="s">
        <v>22</v>
      </c>
      <c r="E9" s="18" t="str">
        <f t="shared" si="0"/>
        <v/>
      </c>
      <c r="F9" s="19" t="str">
        <f t="shared" si="3"/>
        <v/>
      </c>
      <c r="G9" s="20">
        <v>11101.61</v>
      </c>
      <c r="H9" s="20">
        <f t="shared" si="1"/>
        <v>2725.3899999999994</v>
      </c>
      <c r="I9" s="19">
        <f t="shared" si="2"/>
        <v>0.24549502279399107</v>
      </c>
      <c r="J9" s="42"/>
      <c r="K9" s="43"/>
      <c r="L9" s="111"/>
      <c r="M9" s="111"/>
      <c r="N9" s="111"/>
      <c r="O9" s="111"/>
      <c r="P9" s="111"/>
    </row>
    <row r="10" spans="1:16" ht="15.6">
      <c r="A10" s="28" t="str">
        <v>Kohls - East Amherst</v>
      </c>
      <c r="B10" s="29" t="str">
        <v>NY</v>
      </c>
      <c r="C10" s="24">
        <v>30527</v>
      </c>
      <c r="D10" s="13" t="s">
        <v>22</v>
      </c>
      <c r="E10" s="13" t="str">
        <f t="shared" si="0"/>
        <v/>
      </c>
      <c r="F10" s="14" t="str">
        <f t="shared" si="3"/>
        <v/>
      </c>
      <c r="G10" s="15">
        <v>28509.69</v>
      </c>
      <c r="H10" s="15">
        <f t="shared" si="1"/>
        <v>2017.3100000000013</v>
      </c>
      <c r="I10" s="16">
        <f t="shared" si="2"/>
        <v>7.0758749042869329E-2</v>
      </c>
      <c r="J10" s="41"/>
      <c r="K10" s="41"/>
      <c r="L10" s="111"/>
      <c r="M10" s="111"/>
      <c r="N10" s="111"/>
      <c r="O10" s="111"/>
      <c r="P10" s="111"/>
    </row>
    <row r="11" spans="1:16" ht="15.6">
      <c r="A11" s="30" t="str">
        <v>Kohls - East Brunswick</v>
      </c>
      <c r="B11" s="31" t="str">
        <v>NJ</v>
      </c>
      <c r="C11" s="11">
        <v>49790</v>
      </c>
      <c r="D11" s="18" t="s">
        <v>22</v>
      </c>
      <c r="E11" s="18" t="str">
        <f t="shared" si="0"/>
        <v/>
      </c>
      <c r="F11" s="19" t="str">
        <f t="shared" si="3"/>
        <v/>
      </c>
      <c r="G11" s="20">
        <v>45835.09</v>
      </c>
      <c r="H11" s="20">
        <f t="shared" si="1"/>
        <v>3954.9100000000035</v>
      </c>
      <c r="I11" s="19">
        <f t="shared" si="2"/>
        <v>8.6285638361351613E-2</v>
      </c>
      <c r="J11" s="42"/>
      <c r="K11" s="43"/>
      <c r="L11" s="111"/>
      <c r="M11" s="111"/>
      <c r="N11" s="111"/>
      <c r="O11" s="111"/>
      <c r="P11" s="111"/>
    </row>
    <row r="12" spans="1:16" ht="15.6">
      <c r="A12" s="28" t="str">
        <v>Kohls - Edgewood</v>
      </c>
      <c r="B12" s="29" t="str">
        <v>MD</v>
      </c>
      <c r="C12" s="24">
        <v>250847</v>
      </c>
      <c r="D12" s="13" t="s">
        <v>22</v>
      </c>
      <c r="E12" s="13" t="str">
        <f t="shared" si="0"/>
        <v/>
      </c>
      <c r="F12" s="14" t="str">
        <f t="shared" si="3"/>
        <v/>
      </c>
      <c r="G12" s="15">
        <v>237369.73</v>
      </c>
      <c r="H12" s="15">
        <f t="shared" si="1"/>
        <v>13477.26999999999</v>
      </c>
      <c r="I12" s="16">
        <f t="shared" si="2"/>
        <v>5.6777542781044528E-2</v>
      </c>
      <c r="J12" s="41"/>
      <c r="K12" s="41"/>
      <c r="L12" s="111"/>
      <c r="M12" s="111"/>
      <c r="N12" s="111"/>
      <c r="O12" s="111"/>
      <c r="P12" s="111"/>
    </row>
    <row r="13" spans="1:16" ht="15.6">
      <c r="A13" s="30" t="str">
        <v>Kohls - Granite Run</v>
      </c>
      <c r="B13" s="31" t="str">
        <v>PA</v>
      </c>
      <c r="C13" s="11">
        <v>33109</v>
      </c>
      <c r="D13" s="18" t="s">
        <v>22</v>
      </c>
      <c r="E13" s="18" t="str">
        <f t="shared" si="0"/>
        <v/>
      </c>
      <c r="F13" s="19" t="str">
        <f t="shared" si="3"/>
        <v/>
      </c>
      <c r="G13" s="20">
        <v>29284.799999999999</v>
      </c>
      <c r="H13" s="20">
        <f t="shared" si="1"/>
        <v>3824.2000000000007</v>
      </c>
      <c r="I13" s="19">
        <f t="shared" si="2"/>
        <v>0.13058651587171505</v>
      </c>
      <c r="J13" s="42"/>
      <c r="K13" s="43"/>
      <c r="L13" s="111"/>
      <c r="M13" s="111"/>
      <c r="N13" s="111"/>
      <c r="O13" s="111"/>
      <c r="P13" s="111"/>
    </row>
    <row r="14" spans="1:16" ht="15.6">
      <c r="A14" s="28" t="str">
        <v>Kohls - Greece</v>
      </c>
      <c r="B14" s="29" t="str">
        <v>NY</v>
      </c>
      <c r="C14" s="24">
        <v>26115</v>
      </c>
      <c r="D14" s="13" t="s">
        <v>22</v>
      </c>
      <c r="E14" s="13" t="str">
        <f t="shared" si="0"/>
        <v/>
      </c>
      <c r="F14" s="14" t="str">
        <f t="shared" si="3"/>
        <v/>
      </c>
      <c r="G14" s="15">
        <v>27398.92</v>
      </c>
      <c r="H14" s="15">
        <f t="shared" si="1"/>
        <v>-1283.9199999999983</v>
      </c>
      <c r="I14" s="16">
        <f t="shared" si="2"/>
        <v>-4.6860241206587647E-2</v>
      </c>
      <c r="J14" s="41"/>
      <c r="K14" s="41"/>
      <c r="L14" s="111"/>
      <c r="M14" s="111"/>
      <c r="N14" s="111"/>
      <c r="O14" s="111"/>
      <c r="P14" s="111"/>
    </row>
    <row r="15" spans="1:16" ht="15.6">
      <c r="A15" s="30" t="str">
        <v>Kohls - Hanover</v>
      </c>
      <c r="B15" s="31" t="str">
        <v>PA</v>
      </c>
      <c r="C15" s="11">
        <v>37630</v>
      </c>
      <c r="D15" s="18" t="s">
        <v>22</v>
      </c>
      <c r="E15" s="18" t="str">
        <f t="shared" si="0"/>
        <v/>
      </c>
      <c r="F15" s="19" t="str">
        <f t="shared" si="3"/>
        <v/>
      </c>
      <c r="G15" s="20">
        <v>32189.09</v>
      </c>
      <c r="H15" s="20">
        <f t="shared" si="1"/>
        <v>5440.91</v>
      </c>
      <c r="I15" s="19">
        <f t="shared" si="2"/>
        <v>0.16902963084697331</v>
      </c>
      <c r="J15" s="42"/>
      <c r="K15" s="43"/>
      <c r="L15" s="111"/>
      <c r="M15" s="111"/>
      <c r="N15" s="111"/>
      <c r="O15" s="111"/>
      <c r="P15" s="111"/>
    </row>
    <row r="16" spans="1:16" ht="15.6">
      <c r="A16" s="28" t="str">
        <v>Kohls - Horsehead</v>
      </c>
      <c r="B16" s="29" t="str">
        <v>NY</v>
      </c>
      <c r="C16" s="24">
        <v>25246</v>
      </c>
      <c r="D16" s="13" t="s">
        <v>22</v>
      </c>
      <c r="E16" s="13" t="str">
        <f t="shared" si="0"/>
        <v/>
      </c>
      <c r="F16" s="14" t="str">
        <f t="shared" si="3"/>
        <v/>
      </c>
      <c r="G16" s="15">
        <v>24714.57</v>
      </c>
      <c r="H16" s="15">
        <f t="shared" si="1"/>
        <v>531.43000000000029</v>
      </c>
      <c r="I16" s="16">
        <f t="shared" si="2"/>
        <v>2.1502700633674803E-2</v>
      </c>
      <c r="J16" s="41"/>
      <c r="K16" s="41"/>
      <c r="L16" s="111"/>
      <c r="M16" s="111"/>
      <c r="N16" s="111"/>
      <c r="O16" s="111"/>
      <c r="P16" s="111"/>
    </row>
    <row r="17" spans="1:16" ht="15.6">
      <c r="A17" s="30" t="str">
        <v>Kohls - Hudson</v>
      </c>
      <c r="B17" s="31" t="str">
        <v>NY</v>
      </c>
      <c r="C17" s="11">
        <v>29884</v>
      </c>
      <c r="D17" s="18" t="s">
        <v>22</v>
      </c>
      <c r="E17" s="18" t="str">
        <f t="shared" si="0"/>
        <v/>
      </c>
      <c r="F17" s="19" t="str">
        <f t="shared" si="3"/>
        <v/>
      </c>
      <c r="G17" s="20">
        <v>29518.63</v>
      </c>
      <c r="H17" s="20">
        <f t="shared" si="1"/>
        <v>365.36999999999898</v>
      </c>
      <c r="I17" s="19">
        <f t="shared" si="2"/>
        <v>1.2377606955336308E-2</v>
      </c>
      <c r="J17" s="42"/>
      <c r="K17" s="43"/>
      <c r="L17" s="111"/>
      <c r="M17" s="111"/>
      <c r="N17" s="111"/>
      <c r="O17" s="111"/>
      <c r="P17" s="111"/>
    </row>
    <row r="18" spans="1:16" ht="15.6">
      <c r="A18" s="32" t="str">
        <v>Kohls - Ithaca</v>
      </c>
      <c r="B18" s="29" t="str">
        <v>NY</v>
      </c>
      <c r="C18" s="24">
        <v>24987</v>
      </c>
      <c r="D18" s="13" t="s">
        <v>22</v>
      </c>
      <c r="E18" s="13" t="str">
        <f t="shared" si="0"/>
        <v/>
      </c>
      <c r="F18" s="14" t="str">
        <f t="shared" si="3"/>
        <v/>
      </c>
      <c r="G18" s="15">
        <v>27056.43</v>
      </c>
      <c r="H18" s="15">
        <f t="shared" si="1"/>
        <v>-2069.4300000000003</v>
      </c>
      <c r="I18" s="16">
        <f t="shared" si="2"/>
        <v>-7.6485700441632554E-2</v>
      </c>
      <c r="J18" s="41"/>
      <c r="K18" s="41"/>
      <c r="L18" s="111"/>
      <c r="M18" s="111"/>
      <c r="N18" s="111"/>
      <c r="O18" s="111"/>
      <c r="P18" s="111"/>
    </row>
    <row r="19" spans="1:16" ht="15.6">
      <c r="A19" s="30" t="str">
        <v>Kohls - Kingston</v>
      </c>
      <c r="B19" s="31" t="str">
        <v>NY</v>
      </c>
      <c r="C19" s="11">
        <v>38808</v>
      </c>
      <c r="D19" s="18" t="s">
        <v>22</v>
      </c>
      <c r="E19" s="18" t="str">
        <f t="shared" si="0"/>
        <v/>
      </c>
      <c r="F19" s="19" t="str">
        <f t="shared" si="3"/>
        <v/>
      </c>
      <c r="G19" s="20">
        <v>41394.589999999997</v>
      </c>
      <c r="H19" s="20">
        <f t="shared" si="1"/>
        <v>-2586.5899999999965</v>
      </c>
      <c r="I19" s="19">
        <f t="shared" si="2"/>
        <v>-6.2486184788881752E-2</v>
      </c>
      <c r="J19" s="42"/>
      <c r="K19" s="42"/>
      <c r="L19" s="111"/>
      <c r="M19" s="111"/>
      <c r="N19" s="111"/>
      <c r="O19" s="111"/>
      <c r="P19" s="111"/>
    </row>
    <row r="20" spans="1:16" ht="15.6">
      <c r="A20" s="28" t="str">
        <v>Kohls - Mechanicsburg</v>
      </c>
      <c r="B20" s="29" t="str">
        <v>PA</v>
      </c>
      <c r="C20" s="24">
        <v>43003</v>
      </c>
      <c r="D20" s="13" t="s">
        <v>22</v>
      </c>
      <c r="E20" s="13" t="str">
        <f t="shared" si="0"/>
        <v/>
      </c>
      <c r="F20" s="14" t="str">
        <f t="shared" si="3"/>
        <v/>
      </c>
      <c r="G20" s="15">
        <v>37183.53</v>
      </c>
      <c r="H20" s="15">
        <f t="shared" si="1"/>
        <v>5819.4700000000012</v>
      </c>
      <c r="I20" s="16">
        <f t="shared" si="2"/>
        <v>0.15650665765192281</v>
      </c>
      <c r="J20" s="41"/>
      <c r="K20" s="41"/>
      <c r="L20" s="111"/>
      <c r="M20" s="111"/>
      <c r="N20" s="111"/>
      <c r="O20" s="111"/>
      <c r="P20" s="111"/>
    </row>
    <row r="21" spans="1:16" ht="15.6">
      <c r="A21" s="30" t="str">
        <v>Kohls - Middletown</v>
      </c>
      <c r="B21" s="31" t="str">
        <v>NJ</v>
      </c>
      <c r="C21" s="11">
        <v>65845</v>
      </c>
      <c r="D21" s="18" t="s">
        <v>22</v>
      </c>
      <c r="E21" s="18" t="str">
        <f t="shared" si="0"/>
        <v/>
      </c>
      <c r="F21" s="19" t="str">
        <f t="shared" si="3"/>
        <v/>
      </c>
      <c r="G21" s="20">
        <v>52641.66</v>
      </c>
      <c r="H21" s="20">
        <f t="shared" si="1"/>
        <v>13203.339999999997</v>
      </c>
      <c r="I21" s="19">
        <f t="shared" si="2"/>
        <v>0.25081541881468017</v>
      </c>
      <c r="J21" s="55"/>
      <c r="K21" s="54"/>
      <c r="L21" s="111"/>
      <c r="M21" s="111"/>
      <c r="N21" s="111"/>
      <c r="O21" s="111"/>
      <c r="P21" s="111"/>
    </row>
    <row r="22" spans="1:16" ht="29.1">
      <c r="A22" s="28" t="str">
        <v>Kohls - North Amherst</v>
      </c>
      <c r="B22" s="29" t="str">
        <v>NY</v>
      </c>
      <c r="C22" s="24">
        <v>0</v>
      </c>
      <c r="D22" s="13" t="s">
        <v>22</v>
      </c>
      <c r="E22" s="13" t="str">
        <f t="shared" si="0"/>
        <v/>
      </c>
      <c r="F22" s="14" t="str">
        <f t="shared" si="3"/>
        <v/>
      </c>
      <c r="G22" s="15">
        <v>25362.51</v>
      </c>
      <c r="H22" s="15">
        <f t="shared" si="1"/>
        <v>-25362.51</v>
      </c>
      <c r="I22" s="16">
        <f t="shared" si="2"/>
        <v>-1</v>
      </c>
      <c r="J22" s="97" t="s">
        <v>34</v>
      </c>
      <c r="K22" s="99" t="s">
        <v>35</v>
      </c>
      <c r="L22" s="112" t="s">
        <v>36</v>
      </c>
      <c r="M22" s="111"/>
      <c r="N22" s="111"/>
      <c r="O22" s="111"/>
      <c r="P22" s="111"/>
    </row>
    <row r="23" spans="1:16" ht="159.6">
      <c r="A23" s="30" t="str">
        <v>Kohls - Staten Island</v>
      </c>
      <c r="B23" s="31" t="str">
        <v>NY</v>
      </c>
      <c r="C23" s="11">
        <v>24384</v>
      </c>
      <c r="D23" s="18" t="s">
        <v>22</v>
      </c>
      <c r="E23" s="18" t="str">
        <f t="shared" si="0"/>
        <v/>
      </c>
      <c r="F23" s="19" t="str">
        <f t="shared" si="3"/>
        <v/>
      </c>
      <c r="G23" s="20">
        <v>31812.12</v>
      </c>
      <c r="H23" s="20">
        <f t="shared" si="1"/>
        <v>-7428.119999999999</v>
      </c>
      <c r="I23" s="19">
        <f t="shared" si="2"/>
        <v>-0.23349968502570717</v>
      </c>
      <c r="J23" s="42" t="s">
        <v>173</v>
      </c>
      <c r="K23" s="101" t="s">
        <v>174</v>
      </c>
      <c r="L23" s="112" t="s">
        <v>175</v>
      </c>
      <c r="M23" s="111"/>
      <c r="N23" s="111"/>
      <c r="O23" s="111"/>
      <c r="P23" s="111"/>
    </row>
    <row r="24" spans="1:16" ht="15.6">
      <c r="A24" s="28" t="str">
        <v>Kohls - Warminster</v>
      </c>
      <c r="B24" s="29" t="str">
        <v>PA</v>
      </c>
      <c r="C24" s="24">
        <v>43847</v>
      </c>
      <c r="D24" s="13" t="s">
        <v>22</v>
      </c>
      <c r="E24" s="13" t="str">
        <f t="shared" si="0"/>
        <v/>
      </c>
      <c r="F24" s="14" t="str">
        <f t="shared" si="3"/>
        <v/>
      </c>
      <c r="G24" s="15">
        <v>36323.74</v>
      </c>
      <c r="H24" s="15">
        <f t="shared" si="1"/>
        <v>7523.260000000002</v>
      </c>
      <c r="I24" s="16">
        <f t="shared" si="2"/>
        <v>0.20711688829399183</v>
      </c>
      <c r="J24" s="41"/>
      <c r="K24" s="41"/>
      <c r="L24" s="111"/>
      <c r="M24" s="111"/>
      <c r="N24" s="111"/>
      <c r="O24" s="111"/>
      <c r="P24" s="111"/>
    </row>
    <row r="25" spans="1:16" ht="57.95">
      <c r="A25" s="30" t="str">
        <v xml:space="preserve">Kohls - Waterbury </v>
      </c>
      <c r="B25" s="31" t="str">
        <v>CT</v>
      </c>
      <c r="C25" s="11">
        <v>31429</v>
      </c>
      <c r="D25" s="18" t="s">
        <v>22</v>
      </c>
      <c r="E25" s="18" t="str">
        <f t="shared" si="0"/>
        <v/>
      </c>
      <c r="F25" s="19" t="str">
        <f t="shared" si="3"/>
        <v/>
      </c>
      <c r="G25" s="20">
        <v>28363.71</v>
      </c>
      <c r="H25" s="20">
        <f t="shared" si="1"/>
        <v>3065.2900000000009</v>
      </c>
      <c r="I25" s="19">
        <f t="shared" si="2"/>
        <v>0.10807084122634172</v>
      </c>
      <c r="J25" s="42" t="s">
        <v>176</v>
      </c>
      <c r="K25" s="101" t="s">
        <v>127</v>
      </c>
      <c r="L25" s="111"/>
      <c r="M25" s="111"/>
      <c r="N25" s="111"/>
      <c r="O25" s="111"/>
      <c r="P25" s="111"/>
    </row>
    <row r="26" spans="1:16" ht="29.1">
      <c r="A26" s="28" t="str">
        <v>Mojave Water Agency - Headquarters</v>
      </c>
      <c r="B26" s="29" t="str">
        <v>CA</v>
      </c>
      <c r="C26" s="24">
        <v>39776</v>
      </c>
      <c r="D26" s="13" t="s">
        <v>22</v>
      </c>
      <c r="E26" s="13" t="str">
        <f t="shared" ref="E26:E68" si="4">IF(AND(ISNUMBER(C26),ISNUMBER(D26)), C26-D26, "")</f>
        <v/>
      </c>
      <c r="F26" s="14" t="str">
        <f t="shared" ref="F26:F68" si="5">IFERROR(E26/D26, "")</f>
        <v/>
      </c>
      <c r="G26" s="15">
        <v>35355.279999999999</v>
      </c>
      <c r="H26" s="15">
        <f t="shared" ref="H26:H69" si="6">IF(AND(ISNUMBER(C26),ISNUMBER(G26)), C26-G26, "")</f>
        <v>4420.7200000000012</v>
      </c>
      <c r="I26" s="16">
        <f t="shared" si="2"/>
        <v>0.12503705245722849</v>
      </c>
      <c r="J26" s="41" t="s">
        <v>177</v>
      </c>
      <c r="K26" s="99" t="s">
        <v>178</v>
      </c>
      <c r="L26" s="111"/>
      <c r="M26" s="111"/>
      <c r="N26" s="111"/>
      <c r="O26" s="111"/>
      <c r="P26" s="111"/>
    </row>
    <row r="27" spans="1:16" ht="15.6">
      <c r="A27" s="30" t="str">
        <v>CSU - Bakersfield</v>
      </c>
      <c r="B27" s="31" t="str">
        <v>CA</v>
      </c>
      <c r="C27" s="11">
        <v>123788</v>
      </c>
      <c r="D27" s="18" t="s">
        <v>22</v>
      </c>
      <c r="E27" s="18" t="str">
        <f t="shared" si="4"/>
        <v/>
      </c>
      <c r="F27" s="19" t="str">
        <f t="shared" si="5"/>
        <v/>
      </c>
      <c r="G27" s="20">
        <v>118489.14</v>
      </c>
      <c r="H27" s="20">
        <f t="shared" si="6"/>
        <v>5298.8600000000006</v>
      </c>
      <c r="I27" s="19">
        <f t="shared" si="2"/>
        <v>4.4720216553179475E-2</v>
      </c>
      <c r="J27" s="42"/>
      <c r="K27" s="43"/>
      <c r="L27" s="111"/>
      <c r="M27" s="111"/>
      <c r="N27" s="111"/>
      <c r="O27" s="111"/>
      <c r="P27" s="111"/>
    </row>
    <row r="28" spans="1:16" ht="15.6">
      <c r="A28" s="28" t="str">
        <v>Greenfield USD - Fairfield ES</v>
      </c>
      <c r="B28" s="29" t="str">
        <v>CA</v>
      </c>
      <c r="C28" s="24">
        <v>11933</v>
      </c>
      <c r="D28" s="13" t="s">
        <v>22</v>
      </c>
      <c r="E28" s="13" t="str">
        <f t="shared" si="4"/>
        <v/>
      </c>
      <c r="F28" s="14" t="str">
        <f t="shared" si="5"/>
        <v/>
      </c>
      <c r="G28" s="15">
        <v>11131.02</v>
      </c>
      <c r="H28" s="15">
        <f t="shared" si="6"/>
        <v>801.97999999999956</v>
      </c>
      <c r="I28" s="16">
        <f t="shared" si="2"/>
        <v>7.2049102418286867E-2</v>
      </c>
      <c r="J28" s="41"/>
      <c r="K28" s="41"/>
      <c r="L28" s="111"/>
      <c r="M28" s="111"/>
      <c r="N28" s="111"/>
      <c r="O28" s="111"/>
      <c r="P28" s="111"/>
    </row>
    <row r="29" spans="1:16" ht="15.6">
      <c r="A29" s="30" t="str">
        <v>Greenfield USD - Granite Point ES</v>
      </c>
      <c r="B29" s="31" t="str">
        <v>CA</v>
      </c>
      <c r="C29" s="11">
        <v>30871</v>
      </c>
      <c r="D29" s="18" t="s">
        <v>22</v>
      </c>
      <c r="E29" s="18" t="str">
        <f t="shared" si="4"/>
        <v/>
      </c>
      <c r="F29" s="19" t="str">
        <f t="shared" si="5"/>
        <v/>
      </c>
      <c r="G29" s="20">
        <v>29325.79</v>
      </c>
      <c r="H29" s="20">
        <f t="shared" si="6"/>
        <v>1545.2099999999991</v>
      </c>
      <c r="I29" s="19">
        <f t="shared" si="2"/>
        <v>5.2691163648106297E-2</v>
      </c>
      <c r="J29" s="42"/>
      <c r="K29" s="43"/>
      <c r="L29" s="111"/>
      <c r="M29" s="111"/>
      <c r="N29" s="111"/>
      <c r="O29" s="111"/>
      <c r="P29" s="111"/>
    </row>
    <row r="30" spans="1:16" ht="43.5">
      <c r="A30" s="28" t="str">
        <v>Greenfield USD - Greenfield MS</v>
      </c>
      <c r="B30" s="29" t="str">
        <v>CA</v>
      </c>
      <c r="C30" s="24">
        <v>20462</v>
      </c>
      <c r="D30" s="13" t="s">
        <v>22</v>
      </c>
      <c r="E30" s="13" t="str">
        <f t="shared" si="4"/>
        <v/>
      </c>
      <c r="F30" s="14" t="str">
        <f t="shared" si="5"/>
        <v/>
      </c>
      <c r="G30" s="15">
        <v>20074.448</v>
      </c>
      <c r="H30" s="15">
        <f t="shared" si="6"/>
        <v>387.55199999999968</v>
      </c>
      <c r="I30" s="16">
        <f t="shared" si="2"/>
        <v>1.9305736327096E-2</v>
      </c>
      <c r="J30" s="41" t="s">
        <v>179</v>
      </c>
      <c r="K30" s="99" t="s">
        <v>180</v>
      </c>
      <c r="L30" s="111"/>
      <c r="M30" s="111"/>
      <c r="N30" s="111"/>
      <c r="O30" s="111"/>
      <c r="P30" s="111"/>
    </row>
    <row r="31" spans="1:16" ht="15.6">
      <c r="A31" s="30" t="str">
        <v>Greenfield USD - Horizon ES</v>
      </c>
      <c r="B31" s="31" t="str">
        <v>CA</v>
      </c>
      <c r="C31" s="11">
        <v>30972</v>
      </c>
      <c r="D31" s="18" t="s">
        <v>22</v>
      </c>
      <c r="E31" s="18" t="str">
        <f t="shared" si="4"/>
        <v/>
      </c>
      <c r="F31" s="19" t="str">
        <f t="shared" si="5"/>
        <v/>
      </c>
      <c r="G31" s="20">
        <v>30176.01</v>
      </c>
      <c r="H31" s="20">
        <f t="shared" si="6"/>
        <v>795.9900000000016</v>
      </c>
      <c r="I31" s="19">
        <f t="shared" si="2"/>
        <v>2.6378238872534893E-2</v>
      </c>
      <c r="J31" s="42"/>
      <c r="K31" s="43"/>
      <c r="L31" s="111"/>
      <c r="M31" s="111"/>
      <c r="N31" s="111"/>
      <c r="O31" s="111"/>
      <c r="P31" s="111"/>
    </row>
    <row r="32" spans="1:16" ht="15.6">
      <c r="A32" s="28" t="str">
        <v>Greenfield USD - McKee MS</v>
      </c>
      <c r="B32" s="29" t="str">
        <v>CA</v>
      </c>
      <c r="C32" s="24">
        <v>15237</v>
      </c>
      <c r="D32" s="13" t="s">
        <v>22</v>
      </c>
      <c r="E32" s="13" t="str">
        <f t="shared" si="4"/>
        <v/>
      </c>
      <c r="F32" s="14" t="str">
        <f t="shared" si="5"/>
        <v/>
      </c>
      <c r="G32" s="15">
        <v>18447.54</v>
      </c>
      <c r="H32" s="15">
        <f t="shared" si="6"/>
        <v>-3210.5400000000009</v>
      </c>
      <c r="I32" s="16">
        <f t="shared" si="2"/>
        <v>-0.17403621295847579</v>
      </c>
      <c r="J32" s="41" t="s">
        <v>181</v>
      </c>
      <c r="K32" s="41"/>
      <c r="L32" s="111"/>
      <c r="M32" s="111"/>
      <c r="N32" s="111"/>
      <c r="O32" s="111"/>
      <c r="P32" s="111"/>
    </row>
    <row r="33" spans="1:16" ht="15.6">
      <c r="A33" s="30" t="str">
        <v>Greenfield USD - Plantation ES</v>
      </c>
      <c r="B33" s="31" t="str">
        <v>CA</v>
      </c>
      <c r="C33" s="11">
        <v>14642</v>
      </c>
      <c r="D33" s="18" t="s">
        <v>22</v>
      </c>
      <c r="E33" s="18" t="str">
        <f t="shared" si="4"/>
        <v/>
      </c>
      <c r="F33" s="19" t="str">
        <f t="shared" si="5"/>
        <v/>
      </c>
      <c r="G33" s="20">
        <v>13199.13</v>
      </c>
      <c r="H33" s="20">
        <f t="shared" si="6"/>
        <v>1442.8700000000008</v>
      </c>
      <c r="I33" s="19">
        <f t="shared" si="2"/>
        <v>0.10931553822107978</v>
      </c>
      <c r="J33" s="42"/>
      <c r="K33" s="43"/>
      <c r="L33" s="111"/>
      <c r="M33" s="111"/>
      <c r="N33" s="111"/>
      <c r="O33" s="111"/>
      <c r="P33" s="111"/>
    </row>
    <row r="34" spans="1:16" ht="43.5">
      <c r="A34" s="28" t="str">
        <v>Greenfield USD - Planz ES</v>
      </c>
      <c r="B34" s="29" t="str">
        <v>CA</v>
      </c>
      <c r="C34" s="24">
        <v>5921</v>
      </c>
      <c r="D34" s="13" t="s">
        <v>22</v>
      </c>
      <c r="E34" s="13" t="str">
        <f t="shared" si="4"/>
        <v/>
      </c>
      <c r="F34" s="14" t="str">
        <f t="shared" si="5"/>
        <v/>
      </c>
      <c r="G34" s="15">
        <v>14752.51</v>
      </c>
      <c r="H34" s="15">
        <f t="shared" si="6"/>
        <v>-8831.51</v>
      </c>
      <c r="I34" s="16">
        <f t="shared" si="2"/>
        <v>-0.5986445696359467</v>
      </c>
      <c r="J34" s="41" t="s">
        <v>182</v>
      </c>
      <c r="K34" s="99" t="s">
        <v>183</v>
      </c>
      <c r="L34" s="111"/>
      <c r="M34" s="111"/>
      <c r="N34" s="111"/>
      <c r="O34" s="111"/>
      <c r="P34" s="111"/>
    </row>
    <row r="35" spans="1:16" ht="15.6">
      <c r="A35" s="30" t="str">
        <v>Greenfield USD - Raffaello Palla ES</v>
      </c>
      <c r="B35" s="31" t="str">
        <v>CA</v>
      </c>
      <c r="C35" s="11">
        <v>27537</v>
      </c>
      <c r="D35" s="18" t="s">
        <v>22</v>
      </c>
      <c r="E35" s="18" t="str">
        <f t="shared" si="4"/>
        <v/>
      </c>
      <c r="F35" s="19" t="str">
        <f t="shared" si="5"/>
        <v/>
      </c>
      <c r="G35" s="20">
        <v>32869.15</v>
      </c>
      <c r="H35" s="20">
        <f t="shared" si="6"/>
        <v>-5332.1500000000015</v>
      </c>
      <c r="I35" s="19">
        <f t="shared" si="2"/>
        <v>-0.16222354396143501</v>
      </c>
      <c r="J35" s="42" t="s">
        <v>184</v>
      </c>
      <c r="K35" s="103" t="s">
        <v>185</v>
      </c>
      <c r="L35" s="111"/>
      <c r="M35" s="111"/>
      <c r="N35" s="111"/>
      <c r="O35" s="111"/>
      <c r="P35" s="111"/>
    </row>
    <row r="36" spans="1:16" ht="15.6">
      <c r="A36" s="28" t="str">
        <v>Greenfield USD - Valle Verde ES</v>
      </c>
      <c r="B36" s="29" t="str">
        <v>CA</v>
      </c>
      <c r="C36" s="24">
        <v>36971</v>
      </c>
      <c r="D36" s="13" t="s">
        <v>22</v>
      </c>
      <c r="E36" s="13" t="str">
        <f t="shared" si="4"/>
        <v/>
      </c>
      <c r="F36" s="14" t="str">
        <f t="shared" si="5"/>
        <v/>
      </c>
      <c r="G36" s="15">
        <v>30782.66</v>
      </c>
      <c r="H36" s="15">
        <f t="shared" si="6"/>
        <v>6188.34</v>
      </c>
      <c r="I36" s="16">
        <f t="shared" si="2"/>
        <v>0.20103330901228159</v>
      </c>
      <c r="J36" s="41"/>
      <c r="K36" s="41"/>
      <c r="L36" s="111"/>
      <c r="M36" s="111"/>
      <c r="N36" s="111"/>
      <c r="O36" s="111"/>
      <c r="P36" s="111"/>
    </row>
    <row r="37" spans="1:16" ht="29.1">
      <c r="A37" s="30" t="str">
        <v>Greenfield USD - W.A. Kendrick ES</v>
      </c>
      <c r="B37" s="31" t="str">
        <v>CA</v>
      </c>
      <c r="C37" s="11">
        <v>6145</v>
      </c>
      <c r="D37" s="18" t="s">
        <v>22</v>
      </c>
      <c r="E37" s="18" t="str">
        <f t="shared" si="4"/>
        <v/>
      </c>
      <c r="F37" s="19" t="str">
        <f t="shared" si="5"/>
        <v/>
      </c>
      <c r="G37" s="20">
        <v>11866.35</v>
      </c>
      <c r="H37" s="20">
        <f t="shared" si="6"/>
        <v>-5721.35</v>
      </c>
      <c r="I37" s="19">
        <f t="shared" si="2"/>
        <v>-0.48214910229346009</v>
      </c>
      <c r="J37" s="55" t="s">
        <v>130</v>
      </c>
      <c r="K37" s="101" t="s">
        <v>50</v>
      </c>
      <c r="L37" s="111"/>
      <c r="M37" s="111"/>
      <c r="N37" s="111"/>
      <c r="O37" s="111"/>
      <c r="P37" s="111"/>
    </row>
    <row r="38" spans="1:16" ht="57.95">
      <c r="A38" s="28" t="str">
        <v>Muroc Joint USD - Boron HS</v>
      </c>
      <c r="B38" s="29" t="str">
        <v>CA</v>
      </c>
      <c r="C38" s="24">
        <v>0</v>
      </c>
      <c r="D38" s="13" t="s">
        <v>22</v>
      </c>
      <c r="E38" s="13" t="str">
        <f t="shared" si="4"/>
        <v/>
      </c>
      <c r="F38" s="14" t="str">
        <f t="shared" si="5"/>
        <v/>
      </c>
      <c r="G38" s="15">
        <v>35271.9</v>
      </c>
      <c r="H38" s="15">
        <f t="shared" si="6"/>
        <v>-35271.9</v>
      </c>
      <c r="I38" s="16">
        <f t="shared" si="2"/>
        <v>-1</v>
      </c>
      <c r="J38" s="57" t="s">
        <v>51</v>
      </c>
      <c r="K38" s="99" t="s">
        <v>131</v>
      </c>
      <c r="L38" s="112" t="s">
        <v>132</v>
      </c>
      <c r="M38" s="112" t="s">
        <v>53</v>
      </c>
      <c r="N38" s="112" t="s">
        <v>54</v>
      </c>
      <c r="O38" s="111"/>
      <c r="P38" s="111"/>
    </row>
    <row r="39" spans="1:16" ht="15.6">
      <c r="A39" s="30" t="str">
        <v>Muroc Joint USD - W. Boron ES</v>
      </c>
      <c r="B39" s="31" t="str">
        <v>CA</v>
      </c>
      <c r="C39" s="11">
        <v>12516</v>
      </c>
      <c r="D39" s="18" t="s">
        <v>22</v>
      </c>
      <c r="E39" s="18" t="str">
        <f t="shared" si="4"/>
        <v/>
      </c>
      <c r="F39" s="19" t="str">
        <f t="shared" si="5"/>
        <v/>
      </c>
      <c r="G39" s="20">
        <v>13034.03</v>
      </c>
      <c r="H39" s="20">
        <f t="shared" si="6"/>
        <v>-518.03000000000065</v>
      </c>
      <c r="I39" s="19">
        <f t="shared" si="2"/>
        <v>-3.9744422868445185E-2</v>
      </c>
      <c r="J39" s="42"/>
      <c r="K39" s="43"/>
      <c r="L39" s="111"/>
      <c r="M39" s="111"/>
      <c r="N39" s="111"/>
      <c r="O39" s="111"/>
      <c r="P39" s="111"/>
    </row>
    <row r="40" spans="1:16" ht="101.45">
      <c r="A40" s="28" t="str">
        <v>Colusa - WTP</v>
      </c>
      <c r="B40" s="29" t="str">
        <v>CA</v>
      </c>
      <c r="C40" s="24">
        <v>0</v>
      </c>
      <c r="D40" s="13" t="s">
        <v>22</v>
      </c>
      <c r="E40" s="13" t="str">
        <f t="shared" si="4"/>
        <v/>
      </c>
      <c r="F40" s="14" t="str">
        <f t="shared" si="5"/>
        <v/>
      </c>
      <c r="G40" s="15">
        <v>42715.56</v>
      </c>
      <c r="H40" s="15">
        <f t="shared" si="6"/>
        <v>-42715.56</v>
      </c>
      <c r="I40" s="16">
        <f t="shared" si="2"/>
        <v>-1</v>
      </c>
      <c r="J40" s="57" t="s">
        <v>186</v>
      </c>
      <c r="K40" s="99" t="s">
        <v>134</v>
      </c>
      <c r="L40" s="112" t="s">
        <v>57</v>
      </c>
      <c r="M40" s="112" t="s">
        <v>58</v>
      </c>
      <c r="N40" s="112" t="s">
        <v>59</v>
      </c>
      <c r="O40" s="112" t="s">
        <v>135</v>
      </c>
      <c r="P40" s="111"/>
    </row>
    <row r="41" spans="1:16" ht="101.45">
      <c r="A41" s="30" t="str">
        <v>CDCR-North Kern State Prision</v>
      </c>
      <c r="B41" s="31" t="str">
        <v>CA</v>
      </c>
      <c r="C41" s="11">
        <v>70021</v>
      </c>
      <c r="D41" s="18" t="s">
        <v>22</v>
      </c>
      <c r="E41" s="18" t="str">
        <f t="shared" si="4"/>
        <v/>
      </c>
      <c r="F41" s="19" t="str">
        <f t="shared" si="5"/>
        <v/>
      </c>
      <c r="G41" s="20">
        <v>80319.850000000006</v>
      </c>
      <c r="H41" s="20">
        <f t="shared" si="6"/>
        <v>-10298.850000000006</v>
      </c>
      <c r="I41" s="19">
        <f t="shared" si="2"/>
        <v>-0.12822297352397952</v>
      </c>
      <c r="J41" s="42" t="s">
        <v>187</v>
      </c>
      <c r="K41" s="101" t="s">
        <v>188</v>
      </c>
      <c r="L41" s="112" t="s">
        <v>189</v>
      </c>
      <c r="M41" s="112" t="s">
        <v>190</v>
      </c>
      <c r="N41" s="112" t="s">
        <v>191</v>
      </c>
      <c r="O41" s="111"/>
      <c r="P41" s="111"/>
    </row>
    <row r="42" spans="1:16" ht="15.6">
      <c r="A42" s="28" t="str">
        <v>Muroc Joint USD - District Office</v>
      </c>
      <c r="B42" s="29" t="str">
        <v>CA</v>
      </c>
      <c r="C42" s="24">
        <v>6308</v>
      </c>
      <c r="D42" s="13" t="s">
        <v>22</v>
      </c>
      <c r="E42" s="13" t="str">
        <f t="shared" si="4"/>
        <v/>
      </c>
      <c r="F42" s="14" t="str">
        <f t="shared" si="5"/>
        <v/>
      </c>
      <c r="G42" s="15">
        <v>9177.56</v>
      </c>
      <c r="H42" s="15">
        <f t="shared" si="6"/>
        <v>-2869.5599999999995</v>
      </c>
      <c r="I42" s="16">
        <f t="shared" si="2"/>
        <v>-0.31267134183813561</v>
      </c>
      <c r="J42" s="41" t="s">
        <v>192</v>
      </c>
      <c r="K42" s="41"/>
      <c r="L42" s="111"/>
      <c r="M42" s="111"/>
      <c r="N42" s="111"/>
      <c r="O42" s="111"/>
      <c r="P42" s="111"/>
    </row>
    <row r="43" spans="1:16" ht="87">
      <c r="A43" s="30" t="str">
        <v>Whole Foods - Manhattan Beach</v>
      </c>
      <c r="B43" s="31" t="str">
        <v>CA</v>
      </c>
      <c r="C43" s="11">
        <v>15038</v>
      </c>
      <c r="D43" s="18" t="s">
        <v>22</v>
      </c>
      <c r="E43" s="18" t="str">
        <f t="shared" si="4"/>
        <v/>
      </c>
      <c r="F43" s="19" t="str">
        <f t="shared" si="5"/>
        <v/>
      </c>
      <c r="G43" s="20">
        <v>19210.439999999999</v>
      </c>
      <c r="H43" s="20">
        <f t="shared" si="6"/>
        <v>-4172.4399999999987</v>
      </c>
      <c r="I43" s="19">
        <f t="shared" si="2"/>
        <v>-0.21719648274584022</v>
      </c>
      <c r="J43" s="42" t="s">
        <v>193</v>
      </c>
      <c r="K43" s="101" t="s">
        <v>194</v>
      </c>
      <c r="L43" s="112" t="s">
        <v>64</v>
      </c>
      <c r="M43" s="112" t="s">
        <v>142</v>
      </c>
      <c r="N43" s="111"/>
      <c r="O43" s="111"/>
      <c r="P43" s="111"/>
    </row>
    <row r="44" spans="1:16" ht="29.1">
      <c r="A44" s="28" t="str">
        <v>Pioneer USD - Frontier ES</v>
      </c>
      <c r="B44" s="29" t="str">
        <v>CA</v>
      </c>
      <c r="C44" s="24">
        <v>26720</v>
      </c>
      <c r="D44" s="13" t="s">
        <v>22</v>
      </c>
      <c r="E44" s="13" t="str">
        <f t="shared" si="4"/>
        <v/>
      </c>
      <c r="F44" s="14" t="str">
        <f t="shared" si="5"/>
        <v/>
      </c>
      <c r="G44" s="15">
        <v>30695.13</v>
      </c>
      <c r="H44" s="15">
        <f t="shared" si="6"/>
        <v>-3975.130000000001</v>
      </c>
      <c r="I44" s="16">
        <f t="shared" si="2"/>
        <v>-0.12950360529504196</v>
      </c>
      <c r="J44" s="57" t="s">
        <v>143</v>
      </c>
      <c r="K44" s="99" t="s">
        <v>66</v>
      </c>
      <c r="L44" s="111"/>
      <c r="M44" s="111"/>
      <c r="N44" s="111"/>
      <c r="O44" s="111"/>
      <c r="P44" s="111"/>
    </row>
    <row r="45" spans="1:16" ht="87">
      <c r="A45" s="30" t="str">
        <v>Pioneer USD - Pioneer ES</v>
      </c>
      <c r="B45" s="31" t="str">
        <v>CA</v>
      </c>
      <c r="C45" s="11">
        <v>16109</v>
      </c>
      <c r="D45" s="18" t="s">
        <v>22</v>
      </c>
      <c r="E45" s="18" t="str">
        <f t="shared" si="4"/>
        <v/>
      </c>
      <c r="F45" s="19" t="str">
        <f t="shared" si="5"/>
        <v/>
      </c>
      <c r="G45" s="20">
        <v>31485.33</v>
      </c>
      <c r="H45" s="20">
        <f t="shared" si="6"/>
        <v>-15376.330000000002</v>
      </c>
      <c r="I45" s="19">
        <f t="shared" si="2"/>
        <v>-0.48836489882748574</v>
      </c>
      <c r="J45" s="42" t="s">
        <v>195</v>
      </c>
      <c r="K45" s="101" t="s">
        <v>196</v>
      </c>
      <c r="L45" s="112" t="s">
        <v>69</v>
      </c>
      <c r="M45" s="112" t="s">
        <v>70</v>
      </c>
      <c r="N45" s="112" t="s">
        <v>71</v>
      </c>
      <c r="O45" s="111"/>
      <c r="P45" s="111"/>
    </row>
    <row r="46" spans="1:16" ht="43.5">
      <c r="A46" s="28" t="str">
        <v>Pioneer USD - Pioneer MS</v>
      </c>
      <c r="B46" s="29" t="str">
        <v>CA</v>
      </c>
      <c r="C46" s="24">
        <v>37307</v>
      </c>
      <c r="D46" s="13" t="s">
        <v>22</v>
      </c>
      <c r="E46" s="13" t="str">
        <f t="shared" si="4"/>
        <v/>
      </c>
      <c r="F46" s="14" t="str">
        <f t="shared" si="5"/>
        <v/>
      </c>
      <c r="G46" s="15">
        <v>42362.63</v>
      </c>
      <c r="H46" s="15">
        <f t="shared" si="6"/>
        <v>-5055.6299999999974</v>
      </c>
      <c r="I46" s="16">
        <f t="shared" si="2"/>
        <v>-0.11934174058598339</v>
      </c>
      <c r="J46" s="41" t="s">
        <v>72</v>
      </c>
      <c r="K46" s="99" t="s">
        <v>73</v>
      </c>
      <c r="L46" s="112" t="s">
        <v>74</v>
      </c>
      <c r="M46" s="111"/>
      <c r="N46" s="111"/>
      <c r="O46" s="111"/>
      <c r="P46" s="111"/>
    </row>
    <row r="47" spans="1:16" ht="101.45">
      <c r="A47" s="30" t="str">
        <v>Kingsburg Joint UHSD - Kingsburg HS</v>
      </c>
      <c r="B47" s="31" t="str">
        <v>CA</v>
      </c>
      <c r="C47" s="11">
        <v>60082</v>
      </c>
      <c r="D47" s="18" t="s">
        <v>22</v>
      </c>
      <c r="E47" s="18" t="str">
        <f t="shared" si="4"/>
        <v/>
      </c>
      <c r="F47" s="19" t="str">
        <f t="shared" si="5"/>
        <v/>
      </c>
      <c r="G47" s="20">
        <v>60055.14</v>
      </c>
      <c r="H47" s="20">
        <f t="shared" si="6"/>
        <v>26.860000000000582</v>
      </c>
      <c r="I47" s="19">
        <f t="shared" si="2"/>
        <v>4.4725563873467922E-4</v>
      </c>
      <c r="J47" s="42" t="s">
        <v>197</v>
      </c>
      <c r="K47" s="101" t="s">
        <v>147</v>
      </c>
      <c r="L47" s="112" t="s">
        <v>77</v>
      </c>
      <c r="M47" s="112" t="s">
        <v>148</v>
      </c>
      <c r="N47" s="112" t="s">
        <v>149</v>
      </c>
      <c r="O47" s="112" t="s">
        <v>78</v>
      </c>
      <c r="P47" s="112" t="s">
        <v>148</v>
      </c>
    </row>
    <row r="48" spans="1:16" ht="87">
      <c r="A48" s="28" t="str">
        <v>CADRB</v>
      </c>
      <c r="B48" s="29" t="str">
        <v>CA</v>
      </c>
      <c r="C48" s="24">
        <v>0</v>
      </c>
      <c r="D48" s="13" t="s">
        <v>22</v>
      </c>
      <c r="E48" s="13" t="str">
        <f t="shared" si="4"/>
        <v/>
      </c>
      <c r="F48" s="14" t="str">
        <f t="shared" si="5"/>
        <v/>
      </c>
      <c r="G48" s="15">
        <v>700582</v>
      </c>
      <c r="H48" s="15">
        <f t="shared" si="6"/>
        <v>-700582</v>
      </c>
      <c r="I48" s="16">
        <f t="shared" si="2"/>
        <v>-1</v>
      </c>
      <c r="J48" s="41" t="s">
        <v>79</v>
      </c>
      <c r="K48" s="99" t="s">
        <v>150</v>
      </c>
      <c r="L48" s="112" t="s">
        <v>151</v>
      </c>
      <c r="M48" s="112" t="s">
        <v>81</v>
      </c>
      <c r="N48" s="112" t="s">
        <v>82</v>
      </c>
      <c r="O48" s="111"/>
      <c r="P48" s="111"/>
    </row>
    <row r="49" spans="1:16" ht="43.5">
      <c r="A49" s="30" t="str">
        <v>CDCR-CA State Prison LA County</v>
      </c>
      <c r="B49" s="31" t="str">
        <v>CA</v>
      </c>
      <c r="C49" s="11">
        <v>244891</v>
      </c>
      <c r="D49" s="18" t="s">
        <v>22</v>
      </c>
      <c r="E49" s="18" t="str">
        <f t="shared" si="4"/>
        <v/>
      </c>
      <c r="F49" s="19" t="str">
        <f t="shared" si="5"/>
        <v/>
      </c>
      <c r="G49" s="20">
        <v>414816.78</v>
      </c>
      <c r="H49" s="20">
        <f t="shared" si="6"/>
        <v>-169925.78000000003</v>
      </c>
      <c r="I49" s="19">
        <f t="shared" si="2"/>
        <v>-0.40964056468496768</v>
      </c>
      <c r="J49" s="42" t="s">
        <v>198</v>
      </c>
      <c r="K49" s="101" t="s">
        <v>199</v>
      </c>
      <c r="L49" s="111"/>
      <c r="M49" s="111"/>
      <c r="N49" s="111"/>
      <c r="O49" s="111"/>
      <c r="P49" s="111"/>
    </row>
    <row r="50" spans="1:16" ht="29.1">
      <c r="A50" s="28" t="str">
        <v>Central USD Akers ES</v>
      </c>
      <c r="B50" s="29" t="str">
        <v>CA</v>
      </c>
      <c r="C50" s="24">
        <v>27626</v>
      </c>
      <c r="D50" s="13" t="s">
        <v>22</v>
      </c>
      <c r="E50" s="13" t="str">
        <f t="shared" si="4"/>
        <v/>
      </c>
      <c r="F50" s="14" t="str">
        <f t="shared" si="5"/>
        <v/>
      </c>
      <c r="G50" s="15">
        <v>32689.27</v>
      </c>
      <c r="H50" s="15">
        <f t="shared" si="6"/>
        <v>-5063.2700000000004</v>
      </c>
      <c r="I50" s="16">
        <f t="shared" si="2"/>
        <v>-0.15489088621434496</v>
      </c>
      <c r="J50" s="41" t="s">
        <v>200</v>
      </c>
      <c r="K50" s="99" t="s">
        <v>201</v>
      </c>
      <c r="L50" s="112" t="s">
        <v>202</v>
      </c>
      <c r="M50" s="111"/>
      <c r="N50" s="111"/>
      <c r="O50" s="111"/>
      <c r="P50" s="111"/>
    </row>
    <row r="51" spans="1:16" ht="101.45">
      <c r="A51" s="30" t="str">
        <v>CUSD - District Office</v>
      </c>
      <c r="B51" s="31" t="str">
        <v>CA</v>
      </c>
      <c r="C51" s="11">
        <v>17908</v>
      </c>
      <c r="D51" s="18" t="s">
        <v>22</v>
      </c>
      <c r="E51" s="18" t="str">
        <f t="shared" si="4"/>
        <v/>
      </c>
      <c r="F51" s="19" t="str">
        <f t="shared" si="5"/>
        <v/>
      </c>
      <c r="G51" s="20">
        <v>25627.51</v>
      </c>
      <c r="H51" s="20">
        <f t="shared" si="6"/>
        <v>-7719.5099999999984</v>
      </c>
      <c r="I51" s="19">
        <f t="shared" si="2"/>
        <v>-0.30121966589809152</v>
      </c>
      <c r="J51" s="55" t="s">
        <v>203</v>
      </c>
      <c r="K51" s="101" t="s">
        <v>204</v>
      </c>
      <c r="L51" s="112" t="s">
        <v>205</v>
      </c>
      <c r="M51" s="112" t="s">
        <v>206</v>
      </c>
      <c r="N51" s="112" t="s">
        <v>207</v>
      </c>
      <c r="O51" s="111"/>
      <c r="P51" s="111"/>
    </row>
    <row r="52" spans="1:16" ht="15.6">
      <c r="A52" s="28" t="str">
        <v>Parlier - WTP</v>
      </c>
      <c r="B52" s="29" t="str">
        <v>CA</v>
      </c>
      <c r="C52" s="24">
        <v>44130</v>
      </c>
      <c r="D52" s="13" t="s">
        <v>22</v>
      </c>
      <c r="E52" s="13" t="str">
        <f t="shared" si="4"/>
        <v/>
      </c>
      <c r="F52" s="14" t="str">
        <f t="shared" si="5"/>
        <v/>
      </c>
      <c r="G52" s="15">
        <v>67783.570000000007</v>
      </c>
      <c r="H52" s="15">
        <f t="shared" si="6"/>
        <v>-23653.570000000007</v>
      </c>
      <c r="I52" s="16">
        <f t="shared" si="2"/>
        <v>-0.34895727681501587</v>
      </c>
      <c r="J52" s="41" t="s">
        <v>208</v>
      </c>
      <c r="K52" s="41"/>
      <c r="L52" s="111"/>
      <c r="M52" s="111"/>
      <c r="N52" s="111"/>
      <c r="O52" s="111"/>
      <c r="P52" s="111"/>
    </row>
    <row r="53" spans="1:16" ht="87">
      <c r="A53" s="30" t="str">
        <v>Snowline SD - Quail Valley MS</v>
      </c>
      <c r="B53" s="31" t="str">
        <v>CA</v>
      </c>
      <c r="C53" s="11">
        <v>31558</v>
      </c>
      <c r="D53" s="18" t="s">
        <v>22</v>
      </c>
      <c r="E53" s="18" t="str">
        <f t="shared" si="4"/>
        <v/>
      </c>
      <c r="F53" s="19" t="str">
        <f t="shared" si="5"/>
        <v/>
      </c>
      <c r="G53" s="20">
        <v>38526.15</v>
      </c>
      <c r="H53" s="20">
        <f t="shared" si="6"/>
        <v>-6968.1500000000015</v>
      </c>
      <c r="I53" s="19">
        <f t="shared" si="2"/>
        <v>-0.180868059746432</v>
      </c>
      <c r="J53" s="55" t="s">
        <v>209</v>
      </c>
      <c r="K53" s="101" t="s">
        <v>210</v>
      </c>
      <c r="L53" s="111"/>
      <c r="M53" s="111"/>
      <c r="N53" s="111"/>
      <c r="O53" s="111"/>
      <c r="P53" s="111"/>
    </row>
    <row r="54" spans="1:16" ht="15.6">
      <c r="A54" s="28" t="str">
        <v>Snowline SD - Serrano HS - Middle Lot</v>
      </c>
      <c r="B54" s="29" t="str">
        <v>CA</v>
      </c>
      <c r="C54" s="24">
        <v>29924</v>
      </c>
      <c r="D54" s="13" t="s">
        <v>22</v>
      </c>
      <c r="E54" s="13" t="str">
        <f t="shared" si="4"/>
        <v/>
      </c>
      <c r="F54" s="14" t="str">
        <f t="shared" si="5"/>
        <v/>
      </c>
      <c r="G54" s="15">
        <v>45412.66</v>
      </c>
      <c r="H54" s="15">
        <f t="shared" si="6"/>
        <v>-15488.660000000003</v>
      </c>
      <c r="I54" s="16">
        <f t="shared" si="2"/>
        <v>-0.34106480439595482</v>
      </c>
      <c r="J54" s="41" t="s">
        <v>211</v>
      </c>
      <c r="K54" s="41"/>
      <c r="L54" s="111"/>
      <c r="M54" s="111"/>
      <c r="N54" s="111"/>
      <c r="O54" s="111"/>
      <c r="P54" s="111"/>
    </row>
    <row r="55" spans="1:16" ht="15.6">
      <c r="A55" s="30" t="str">
        <v>Snowline SD - Pinon Hills ES</v>
      </c>
      <c r="B55" s="31" t="str">
        <v>CA</v>
      </c>
      <c r="C55" s="11">
        <v>11891</v>
      </c>
      <c r="D55" s="18" t="s">
        <v>22</v>
      </c>
      <c r="E55" s="18" t="str">
        <f t="shared" si="4"/>
        <v/>
      </c>
      <c r="F55" s="19" t="str">
        <f t="shared" si="5"/>
        <v/>
      </c>
      <c r="G55" s="20">
        <v>22548.89</v>
      </c>
      <c r="H55" s="20">
        <f t="shared" si="6"/>
        <v>-10657.89</v>
      </c>
      <c r="I55" s="19">
        <f t="shared" si="2"/>
        <v>-0.47265696892396919</v>
      </c>
      <c r="J55" s="42" t="s">
        <v>212</v>
      </c>
      <c r="K55" s="101" t="s">
        <v>92</v>
      </c>
      <c r="L55" s="111"/>
      <c r="M55" s="111"/>
      <c r="N55" s="111"/>
      <c r="O55" s="111"/>
      <c r="P55" s="111"/>
    </row>
    <row r="56" spans="1:16" ht="29.1">
      <c r="A56" s="28" t="str">
        <v>Ramona - Santa Maria WTP</v>
      </c>
      <c r="B56" s="29" t="str">
        <v>CA</v>
      </c>
      <c r="C56" s="24">
        <v>59314</v>
      </c>
      <c r="D56" s="13" t="s">
        <v>22</v>
      </c>
      <c r="E56" s="13" t="str">
        <f t="shared" si="4"/>
        <v/>
      </c>
      <c r="F56" s="14" t="str">
        <f t="shared" si="5"/>
        <v/>
      </c>
      <c r="G56" s="15">
        <v>73955.59</v>
      </c>
      <c r="H56" s="15">
        <f t="shared" si="6"/>
        <v>-14641.589999999997</v>
      </c>
      <c r="I56" s="16">
        <f t="shared" si="2"/>
        <v>-0.19797813796090324</v>
      </c>
      <c r="J56" s="41" t="s">
        <v>213</v>
      </c>
      <c r="K56" s="99" t="s">
        <v>214</v>
      </c>
      <c r="L56" s="111"/>
      <c r="M56" s="111"/>
      <c r="N56" s="111"/>
      <c r="O56" s="111"/>
      <c r="P56" s="111"/>
    </row>
    <row r="57" spans="1:16" ht="57.95">
      <c r="A57" s="30" t="str">
        <v>Kohls - Redding</v>
      </c>
      <c r="B57" s="31" t="str">
        <v>CA</v>
      </c>
      <c r="C57" s="11">
        <v>26682</v>
      </c>
      <c r="D57" s="18" t="s">
        <v>22</v>
      </c>
      <c r="E57" s="18" t="str">
        <f t="shared" si="4"/>
        <v/>
      </c>
      <c r="F57" s="19" t="str">
        <f t="shared" si="5"/>
        <v/>
      </c>
      <c r="G57" s="20">
        <v>27704.87</v>
      </c>
      <c r="H57" s="20">
        <f t="shared" si="6"/>
        <v>-1022.869999999999</v>
      </c>
      <c r="I57" s="19">
        <f t="shared" si="2"/>
        <v>-3.6920223772932304E-2</v>
      </c>
      <c r="J57" s="42" t="s">
        <v>215</v>
      </c>
      <c r="K57" s="101" t="s">
        <v>216</v>
      </c>
      <c r="L57" s="112" t="s">
        <v>95</v>
      </c>
      <c r="M57" s="112" t="s">
        <v>217</v>
      </c>
      <c r="N57" s="111"/>
      <c r="O57" s="111"/>
      <c r="P57" s="111"/>
    </row>
    <row r="58" spans="1:16" ht="50.1">
      <c r="A58" s="28" t="str">
        <v>Kohls - Salinas</v>
      </c>
      <c r="B58" s="29" t="str">
        <v>CA</v>
      </c>
      <c r="C58" s="24">
        <v>32438</v>
      </c>
      <c r="D58" s="13" t="s">
        <v>22</v>
      </c>
      <c r="E58" s="13" t="str">
        <f t="shared" si="4"/>
        <v/>
      </c>
      <c r="F58" s="14" t="str">
        <f t="shared" si="5"/>
        <v/>
      </c>
      <c r="G58" s="15">
        <v>44625.2</v>
      </c>
      <c r="H58" s="15">
        <f t="shared" si="6"/>
        <v>-12187.199999999997</v>
      </c>
      <c r="I58" s="16">
        <f t="shared" si="2"/>
        <v>-0.2731012970249993</v>
      </c>
      <c r="J58" s="41" t="s">
        <v>96</v>
      </c>
      <c r="K58" s="99" t="s">
        <v>218</v>
      </c>
      <c r="L58" s="112" t="s">
        <v>219</v>
      </c>
      <c r="M58" s="112" t="s">
        <v>157</v>
      </c>
      <c r="N58" s="112" t="s">
        <v>100</v>
      </c>
      <c r="O58" s="112" t="s">
        <v>98</v>
      </c>
      <c r="P58" s="111"/>
    </row>
    <row r="59" spans="1:16" ht="87">
      <c r="A59" s="30" t="str">
        <v>Kohls - San Bernardino - Central</v>
      </c>
      <c r="B59" s="31" t="str">
        <v>CA</v>
      </c>
      <c r="C59" s="11">
        <v>125505</v>
      </c>
      <c r="D59" s="18" t="s">
        <v>22</v>
      </c>
      <c r="E59" s="18" t="str">
        <f t="shared" si="4"/>
        <v/>
      </c>
      <c r="F59" s="19" t="str">
        <f t="shared" si="5"/>
        <v/>
      </c>
      <c r="G59" s="20">
        <v>144411.94</v>
      </c>
      <c r="H59" s="20">
        <f t="shared" si="6"/>
        <v>-18906.940000000002</v>
      </c>
      <c r="I59" s="19">
        <f t="shared" si="2"/>
        <v>-0.13092366185233714</v>
      </c>
      <c r="J59" s="42" t="s">
        <v>220</v>
      </c>
      <c r="K59" s="101" t="s">
        <v>221</v>
      </c>
      <c r="L59" s="111"/>
      <c r="M59" s="111"/>
      <c r="N59" s="111"/>
      <c r="O59" s="111"/>
      <c r="P59" s="111"/>
    </row>
    <row r="60" spans="1:16" ht="100.5" customHeight="1">
      <c r="A60" s="28" t="str">
        <v>Kohls - Sonora</v>
      </c>
      <c r="B60" s="29" t="str">
        <v>CA</v>
      </c>
      <c r="C60" s="24">
        <v>22795</v>
      </c>
      <c r="D60" s="13" t="s">
        <v>22</v>
      </c>
      <c r="E60" s="13" t="str">
        <f t="shared" si="4"/>
        <v/>
      </c>
      <c r="F60" s="14" t="str">
        <f t="shared" si="5"/>
        <v/>
      </c>
      <c r="G60" s="15">
        <v>29362.560000000001</v>
      </c>
      <c r="H60" s="15">
        <f t="shared" si="6"/>
        <v>-6567.5600000000013</v>
      </c>
      <c r="I60" s="16">
        <f t="shared" si="2"/>
        <v>-0.22367123302600322</v>
      </c>
      <c r="J60" s="41" t="s">
        <v>158</v>
      </c>
      <c r="K60" s="99" t="s">
        <v>222</v>
      </c>
      <c r="L60" s="112" t="s">
        <v>160</v>
      </c>
      <c r="M60" s="112" t="s">
        <v>103</v>
      </c>
      <c r="N60" s="112" t="s">
        <v>160</v>
      </c>
      <c r="O60" s="112" t="s">
        <v>103</v>
      </c>
      <c r="P60" s="112" t="s">
        <v>160</v>
      </c>
    </row>
    <row r="61" spans="1:16" ht="15.6">
      <c r="A61" s="30" t="str">
        <v>CUSD - Stratford ES</v>
      </c>
      <c r="B61" s="31" t="str">
        <v>CA</v>
      </c>
      <c r="C61" s="11">
        <v>22274</v>
      </c>
      <c r="D61" s="18" t="s">
        <v>22</v>
      </c>
      <c r="E61" s="18" t="str">
        <f t="shared" si="4"/>
        <v/>
      </c>
      <c r="F61" s="19" t="str">
        <f t="shared" si="5"/>
        <v/>
      </c>
      <c r="G61" s="20">
        <v>21294.17</v>
      </c>
      <c r="H61" s="20">
        <f t="shared" si="6"/>
        <v>979.83000000000175</v>
      </c>
      <c r="I61" s="19">
        <f t="shared" si="2"/>
        <v>4.6014002893749878E-2</v>
      </c>
      <c r="J61" s="42"/>
      <c r="K61" s="43"/>
      <c r="L61" s="111"/>
      <c r="M61" s="111"/>
      <c r="N61" s="111"/>
      <c r="O61" s="111"/>
      <c r="P61" s="111"/>
    </row>
    <row r="62" spans="1:16" ht="15.6">
      <c r="A62" s="28" t="str">
        <v>Taft - City Hall</v>
      </c>
      <c r="B62" s="29" t="str">
        <v>CA</v>
      </c>
      <c r="C62" s="24">
        <v>804</v>
      </c>
      <c r="D62" s="13" t="s">
        <v>22</v>
      </c>
      <c r="E62" s="13" t="str">
        <f t="shared" si="4"/>
        <v/>
      </c>
      <c r="F62" s="14" t="str">
        <f t="shared" si="5"/>
        <v/>
      </c>
      <c r="G62" s="15">
        <v>7164.9</v>
      </c>
      <c r="H62" s="15">
        <f t="shared" si="6"/>
        <v>-6360.9</v>
      </c>
      <c r="I62" s="16">
        <f t="shared" si="2"/>
        <v>-0.88778629150441735</v>
      </c>
      <c r="J62" s="41" t="s">
        <v>223</v>
      </c>
      <c r="K62" s="99" t="s">
        <v>224</v>
      </c>
      <c r="L62" s="111"/>
      <c r="M62" s="111"/>
      <c r="N62" s="111"/>
      <c r="O62" s="111"/>
      <c r="P62" s="111"/>
    </row>
    <row r="63" spans="1:16" ht="15.6">
      <c r="A63" s="30" t="str">
        <v>Taft - Federal Prison</v>
      </c>
      <c r="B63" s="31" t="str">
        <v>CA</v>
      </c>
      <c r="C63" s="11">
        <v>15160</v>
      </c>
      <c r="D63" s="18" t="s">
        <v>22</v>
      </c>
      <c r="E63" s="18" t="str">
        <f t="shared" si="4"/>
        <v/>
      </c>
      <c r="F63" s="19" t="str">
        <f t="shared" si="5"/>
        <v/>
      </c>
      <c r="G63" s="20">
        <v>11796.07</v>
      </c>
      <c r="H63" s="20">
        <f t="shared" si="6"/>
        <v>3363.9300000000003</v>
      </c>
      <c r="I63" s="19">
        <f t="shared" si="2"/>
        <v>0.28517379093206469</v>
      </c>
      <c r="J63" s="42"/>
      <c r="K63" s="43"/>
      <c r="L63" s="111"/>
      <c r="M63" s="111"/>
      <c r="N63" s="111"/>
      <c r="O63" s="111"/>
      <c r="P63" s="111"/>
    </row>
    <row r="64" spans="1:16" ht="15.6">
      <c r="A64" s="28" t="str">
        <v>Taft - Police Department</v>
      </c>
      <c r="B64" s="29" t="str">
        <v>CA</v>
      </c>
      <c r="C64" s="24">
        <v>9954</v>
      </c>
      <c r="D64" s="13" t="s">
        <v>22</v>
      </c>
      <c r="E64" s="13" t="str">
        <f t="shared" si="4"/>
        <v/>
      </c>
      <c r="F64" s="14" t="str">
        <f t="shared" si="5"/>
        <v/>
      </c>
      <c r="G64" s="15">
        <v>8217.27</v>
      </c>
      <c r="H64" s="15">
        <f t="shared" si="6"/>
        <v>1736.7299999999996</v>
      </c>
      <c r="I64" s="16">
        <f t="shared" si="2"/>
        <v>0.21135121518460503</v>
      </c>
      <c r="J64" s="41"/>
      <c r="K64" s="41"/>
      <c r="L64" s="111"/>
      <c r="M64" s="111"/>
      <c r="N64" s="111"/>
      <c r="O64" s="111"/>
      <c r="P64" s="111"/>
    </row>
    <row r="65" spans="1:16" ht="29.1">
      <c r="A65" s="30" t="str">
        <v>Taft - WTP</v>
      </c>
      <c r="B65" s="31" t="str">
        <v>CA</v>
      </c>
      <c r="C65" s="11">
        <v>18961</v>
      </c>
      <c r="D65" s="18" t="s">
        <v>22</v>
      </c>
      <c r="E65" s="18" t="str">
        <f t="shared" si="4"/>
        <v/>
      </c>
      <c r="F65" s="19" t="str">
        <f t="shared" si="5"/>
        <v/>
      </c>
      <c r="G65" s="20">
        <v>32643.96</v>
      </c>
      <c r="H65" s="20">
        <f t="shared" si="6"/>
        <v>-13682.96</v>
      </c>
      <c r="I65" s="19">
        <f t="shared" si="2"/>
        <v>-0.41915747966852057</v>
      </c>
      <c r="J65" s="42" t="s">
        <v>225</v>
      </c>
      <c r="K65" s="103" t="s">
        <v>226</v>
      </c>
      <c r="L65" s="111"/>
      <c r="M65" s="111"/>
      <c r="N65" s="111"/>
      <c r="O65" s="111"/>
      <c r="P65" s="111"/>
    </row>
    <row r="66" spans="1:16" ht="140.25" customHeight="1">
      <c r="A66" s="28" t="str">
        <v>CDCR - CA Correctional Institution</v>
      </c>
      <c r="B66" s="29" t="str">
        <v>CA</v>
      </c>
      <c r="C66" s="24">
        <v>128121</v>
      </c>
      <c r="D66" s="13" t="s">
        <v>22</v>
      </c>
      <c r="E66" s="13" t="str">
        <f t="shared" si="4"/>
        <v/>
      </c>
      <c r="F66" s="14" t="str">
        <f t="shared" si="5"/>
        <v/>
      </c>
      <c r="G66" s="15">
        <v>106071.03</v>
      </c>
      <c r="H66" s="15">
        <f t="shared" si="6"/>
        <v>22049.97</v>
      </c>
      <c r="I66" s="16">
        <f t="shared" si="2"/>
        <v>0.20787928617267129</v>
      </c>
      <c r="J66" s="41" t="s">
        <v>227</v>
      </c>
      <c r="K66" s="99" t="s">
        <v>228</v>
      </c>
      <c r="L66" s="112" t="s">
        <v>109</v>
      </c>
      <c r="M66" s="112" t="s">
        <v>110</v>
      </c>
      <c r="N66" s="112" t="s">
        <v>229</v>
      </c>
      <c r="O66" s="112" t="s">
        <v>230</v>
      </c>
      <c r="P66" s="111"/>
    </row>
    <row r="67" spans="1:16" ht="203.1">
      <c r="A67" s="30" t="str">
        <v>CDCR - CA Correctional Institution II</v>
      </c>
      <c r="B67" s="31" t="str">
        <v>CA</v>
      </c>
      <c r="C67" s="11">
        <v>110462</v>
      </c>
      <c r="D67" s="18" t="s">
        <v>22</v>
      </c>
      <c r="E67" s="18" t="str">
        <f t="shared" si="4"/>
        <v/>
      </c>
      <c r="F67" s="19" t="str">
        <f t="shared" si="5"/>
        <v/>
      </c>
      <c r="G67" s="20">
        <v>166152.23000000001</v>
      </c>
      <c r="H67" s="20">
        <f t="shared" si="6"/>
        <v>-55690.23000000001</v>
      </c>
      <c r="I67" s="19">
        <f t="shared" si="2"/>
        <v>-0.33517594076227569</v>
      </c>
      <c r="J67" s="42" t="s">
        <v>231</v>
      </c>
      <c r="K67" s="101" t="s">
        <v>232</v>
      </c>
      <c r="L67" s="112" t="s">
        <v>113</v>
      </c>
      <c r="M67" s="112" t="s">
        <v>114</v>
      </c>
      <c r="N67" s="112" t="s">
        <v>233</v>
      </c>
      <c r="O67" s="112" t="s">
        <v>234</v>
      </c>
      <c r="P67" s="111"/>
    </row>
    <row r="68" spans="1:16" ht="29.1">
      <c r="A68" s="28" t="str">
        <v>Snowline SD - Vista Verde ES</v>
      </c>
      <c r="B68" s="29" t="str">
        <v>CA</v>
      </c>
      <c r="C68" s="24">
        <v>4758</v>
      </c>
      <c r="D68" s="13" t="s">
        <v>22</v>
      </c>
      <c r="E68" s="13" t="str">
        <f t="shared" si="4"/>
        <v/>
      </c>
      <c r="F68" s="14" t="str">
        <f t="shared" si="5"/>
        <v/>
      </c>
      <c r="G68" s="15">
        <v>28101.91</v>
      </c>
      <c r="H68" s="15">
        <f t="shared" si="6"/>
        <v>-23343.91</v>
      </c>
      <c r="I68" s="16">
        <f t="shared" si="2"/>
        <v>-0.83068766500212976</v>
      </c>
      <c r="J68" s="41" t="s">
        <v>235</v>
      </c>
      <c r="K68" s="99" t="s">
        <v>236</v>
      </c>
      <c r="L68" s="111"/>
      <c r="M68" s="111"/>
      <c r="N68" s="111"/>
      <c r="O68" s="111"/>
      <c r="P68" s="111"/>
    </row>
    <row r="69" spans="1:16" ht="116.1">
      <c r="A69" s="30" t="str">
        <v>North Stonington</v>
      </c>
      <c r="B69" s="31" t="str">
        <v>CT</v>
      </c>
      <c r="C69" s="67">
        <v>1279980</v>
      </c>
      <c r="D69" s="18" t="s">
        <v>22</v>
      </c>
      <c r="E69" s="18" t="str">
        <f>IF(AND(ISNUMBER(C69),ISNUMBER(D69)), C69-D69, "")</f>
        <v/>
      </c>
      <c r="F69" s="110"/>
      <c r="G69" s="63">
        <v>0</v>
      </c>
      <c r="H69" s="20">
        <f t="shared" si="6"/>
        <v>1279980</v>
      </c>
      <c r="I69" s="19" t="str">
        <f t="shared" si="2"/>
        <v/>
      </c>
      <c r="J69" s="42" t="s">
        <v>237</v>
      </c>
      <c r="K69" s="101" t="s">
        <v>238</v>
      </c>
      <c r="L69" s="112" t="s">
        <v>239</v>
      </c>
      <c r="M69" s="112" t="s">
        <v>240</v>
      </c>
      <c r="N69" s="112" t="s">
        <v>241</v>
      </c>
      <c r="O69" s="111"/>
      <c r="P69" s="111"/>
    </row>
    <row r="70" spans="1:16" ht="14.45">
      <c r="A70" s="21"/>
      <c r="B70" s="33"/>
      <c r="C70" s="21"/>
      <c r="D70" s="21"/>
      <c r="E70" s="21"/>
      <c r="F70" s="22"/>
      <c r="G70" s="21"/>
      <c r="H70" s="21"/>
      <c r="I70" s="22"/>
      <c r="J70" s="21"/>
      <c r="K70" s="21"/>
    </row>
    <row r="71" spans="1:16" ht="14.45">
      <c r="A71" s="21"/>
      <c r="B71" s="33"/>
      <c r="C71" s="21"/>
      <c r="D71" s="21"/>
      <c r="E71" s="21"/>
      <c r="F71" s="22"/>
      <c r="G71" s="21"/>
      <c r="H71" s="21"/>
      <c r="I71" s="22"/>
      <c r="J71" s="21"/>
      <c r="K71" s="21"/>
    </row>
    <row r="72" spans="1:16" ht="14.45">
      <c r="A72" s="21"/>
      <c r="B72" s="33"/>
      <c r="C72" s="21"/>
      <c r="D72" s="21"/>
      <c r="E72" s="21"/>
      <c r="F72" s="22"/>
      <c r="G72" s="21"/>
      <c r="H72" s="21"/>
      <c r="I72" s="22"/>
      <c r="J72" s="21"/>
      <c r="K72" s="21"/>
    </row>
    <row r="73" spans="1:16" ht="14.45">
      <c r="A73" s="21"/>
      <c r="B73" s="33"/>
      <c r="C73" s="21"/>
      <c r="D73" s="21"/>
      <c r="E73" s="21"/>
      <c r="F73" s="22"/>
      <c r="G73" s="21"/>
      <c r="H73" s="21"/>
      <c r="I73" s="22"/>
      <c r="J73" s="21"/>
      <c r="K73" s="21"/>
    </row>
    <row r="74" spans="1:16" ht="14.45">
      <c r="A74" s="21"/>
      <c r="B74" s="33"/>
      <c r="C74" s="21"/>
      <c r="D74" s="21"/>
      <c r="E74" s="21"/>
      <c r="F74" s="22"/>
      <c r="G74" s="21"/>
      <c r="H74" s="21"/>
      <c r="I74" s="22"/>
      <c r="J74" s="21"/>
      <c r="K74" s="21"/>
    </row>
    <row r="75" spans="1:16" ht="14.45">
      <c r="A75" s="21"/>
      <c r="B75" s="33"/>
      <c r="C75" s="21"/>
      <c r="D75" s="21"/>
      <c r="E75" s="21"/>
      <c r="F75" s="22"/>
      <c r="G75" s="21"/>
      <c r="H75" s="21"/>
      <c r="I75" s="22"/>
      <c r="J75" s="21"/>
      <c r="K75" s="21"/>
    </row>
    <row r="76" spans="1:16" ht="14.45">
      <c r="A76" s="21"/>
      <c r="B76" s="33"/>
      <c r="C76" s="21"/>
      <c r="D76" s="21"/>
      <c r="E76" s="21"/>
      <c r="F76" s="22"/>
      <c r="G76" s="21"/>
      <c r="H76" s="21"/>
      <c r="I76" s="22"/>
      <c r="J76" s="21"/>
      <c r="K76" s="21"/>
    </row>
    <row r="77" spans="1:16" ht="14.45">
      <c r="A77" s="21"/>
      <c r="B77" s="33"/>
      <c r="C77" s="21"/>
      <c r="D77" s="21"/>
      <c r="E77" s="21"/>
      <c r="F77" s="22"/>
      <c r="G77" s="21"/>
      <c r="H77" s="21"/>
      <c r="I77" s="22"/>
      <c r="J77" s="21"/>
      <c r="K77" s="21"/>
    </row>
    <row r="78" spans="1:16" ht="14.45">
      <c r="A78" s="21"/>
      <c r="B78" s="33"/>
      <c r="C78" s="21"/>
      <c r="D78" s="21"/>
      <c r="E78" s="21"/>
      <c r="F78" s="22"/>
      <c r="G78" s="21"/>
      <c r="H78" s="21"/>
      <c r="I78" s="22"/>
      <c r="J78" s="21"/>
      <c r="K78" s="21"/>
    </row>
    <row r="79" spans="1:16" ht="14.45">
      <c r="A79" s="21"/>
      <c r="B79" s="33"/>
      <c r="C79" s="21"/>
      <c r="D79" s="21"/>
      <c r="E79" s="21"/>
      <c r="F79" s="22"/>
      <c r="G79" s="21"/>
      <c r="H79" s="21"/>
      <c r="I79" s="22"/>
      <c r="J79" s="21"/>
      <c r="K79" s="21"/>
    </row>
    <row r="80" spans="1:16"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c r="C342" s="21"/>
      <c r="D342" s="21"/>
      <c r="E342" s="21"/>
      <c r="F342" s="22"/>
      <c r="G342" s="21"/>
      <c r="H342" s="21"/>
      <c r="I342" s="22"/>
      <c r="J342" s="21"/>
      <c r="K342" s="21"/>
    </row>
  </sheetData>
  <mergeCells count="4">
    <mergeCell ref="G1:I1"/>
    <mergeCell ref="A1:C1"/>
    <mergeCell ref="D1:F1"/>
    <mergeCell ref="A2:B2"/>
  </mergeCells>
  <phoneticPr fontId="38" type="noConversion"/>
  <conditionalFormatting sqref="F2 I2">
    <cfRule type="cellIs" dxfId="44" priority="3" stopIfTrue="1" operator="lessThanOrEqual">
      <formula>-0.1</formula>
    </cfRule>
    <cfRule type="expression" dxfId="43" priority="4">
      <formula>AND(ISNUMBER(F2), F2&gt;=0.1)</formula>
    </cfRule>
  </conditionalFormatting>
  <conditionalFormatting sqref="F4:F100 I4:I100">
    <cfRule type="cellIs" dxfId="42" priority="1" stopIfTrue="1" operator="lessThanOrEqual">
      <formula>-0.1</formula>
    </cfRule>
    <cfRule type="expression" dxfId="41" priority="2">
      <formula>AND(ISNUMBER(F4), F4&gt;=0.1)</formula>
    </cfRule>
  </conditionalFormatting>
  <hyperlinks>
    <hyperlink ref="K6" r:id="rId1" display="https://us3.assetplanner.com/service_request?ID=096237" xr:uid="{A25B3551-B2EE-4DEB-882F-8F37711FB88E}"/>
    <hyperlink ref="K8" r:id="rId2" display="https://us3.assetplanner.com/service_request?ID=096145" xr:uid="{20E7F706-D973-4D93-BA3D-1E13ED1843FF}"/>
    <hyperlink ref="L8" r:id="rId3" display="https://us3.assetplanner.com/service_request?ID=096237" xr:uid="{77DFBE2C-5236-409B-A1CD-26EBAEED6010}"/>
    <hyperlink ref="M8" r:id="rId4" display="https://us3.assetplanner.com/service_request?ID=095177" xr:uid="{F2B51307-A2F4-451E-A703-92485650AC36}"/>
    <hyperlink ref="N8" r:id="rId5" display="https://us3.assetplanner.com/service_request?ID=096145" xr:uid="{E395B7F9-DAE8-4773-AA3B-4F8B030478BB}"/>
    <hyperlink ref="O8" r:id="rId6" display="https://us3.assetplanner.com/service_request?ID=095177" xr:uid="{7E5E4A70-7940-47C1-90BB-00D3755910C9}"/>
    <hyperlink ref="K22" r:id="rId7" display="https://us3.assetplanner.com/service_request?ID=093440" xr:uid="{3F0C0FC1-9810-4948-BCD7-A2AA672A1FEE}"/>
    <hyperlink ref="L22" r:id="rId8" display="https://us3.assetplanner.com/service_request?ID=093861" xr:uid="{A2F723E5-F3D7-4B51-8662-7BAD17A4BEB5}"/>
    <hyperlink ref="K23" r:id="rId9" display="https://us3.assetplanner.com/service_request?ID=095623" xr:uid="{12CE8702-AFD9-4B3F-B91D-B5B71AA21642}"/>
    <hyperlink ref="L23" r:id="rId10" display="https://us3.assetplanner.com/service_request?ID=098185" xr:uid="{751C9359-2D24-4168-AA02-A782E90DAE14}"/>
    <hyperlink ref="K25" r:id="rId11" display="https://us3.assetplanner.com/service_request?ID=097907" xr:uid="{A8C5640C-CF53-4FE6-B732-66C8364A9F96}"/>
    <hyperlink ref="K26" r:id="rId12" display="https://us3.assetplanner.com/service_request?ID=098973" xr:uid="{1C94844E-BE3F-4F20-A3A3-9F4747A8CB69}"/>
    <hyperlink ref="K30" r:id="rId13" display="https://us3.assetplanner.com/service_request?ID=089763" xr:uid="{711DEA45-F86B-40D2-AEBF-D9263BABA575}"/>
    <hyperlink ref="K34" r:id="rId14" display="https://us3.assetplanner.com/service_request?ID=092298" xr:uid="{205E4466-4BCF-4EC1-8986-B37620D47CB2}"/>
    <hyperlink ref="K37" r:id="rId15" display="https://us3.assetplanner.com/service_request?ID=094440" xr:uid="{AD9D3A2F-1395-4B55-9210-5767B70C9F11}"/>
    <hyperlink ref="K38" r:id="rId16" display="https://us3.assetplanner.com/service_request?ID=095163" xr:uid="{6751363D-AEF1-4790-B60D-2F917B8A1C1D}"/>
    <hyperlink ref="L38" r:id="rId17" display="https://us3.assetplanner.com/service_request?ID=092023" xr:uid="{570C7936-0244-42CB-AB6B-C13E064C1641}"/>
    <hyperlink ref="M38" r:id="rId18" display="https://us3.assetplanner.com/service_request?ID=089707" xr:uid="{82DC988C-651E-42B6-A455-04CA703E8587}"/>
    <hyperlink ref="N38" r:id="rId19" display="https://us3.assetplanner.com/service_request?ID=093065" xr:uid="{10EBBE01-81EB-4136-957B-D45DF7ED853F}"/>
    <hyperlink ref="K40" r:id="rId20" display="https://us3.assetplanner.com/service_request?ID=089464" xr:uid="{2B0D9C7E-3FCE-4AA0-B18B-C23B75E51046}"/>
    <hyperlink ref="L40" r:id="rId21" display="https://us3.assetplanner.com/service_request?ID=093180" xr:uid="{3FE498E9-89C9-4258-AFAB-F14A16DA5C75}"/>
    <hyperlink ref="M40" r:id="rId22" display="https://us3.assetplanner.com/service_request?ID=093174" xr:uid="{5D356A9E-AF7F-45EC-92C1-4516999C478F}"/>
    <hyperlink ref="N40" r:id="rId23" display="https://us3.assetplanner.com/service_request?ID=095356" xr:uid="{29EB4BA8-2C0A-4896-8F98-644E319FFD02}"/>
    <hyperlink ref="O40" r:id="rId24" display="https://us3.assetplanner.com/service_request?ID=096916" xr:uid="{D7BBE568-D23A-43D1-83F1-514FD3E45442}"/>
    <hyperlink ref="K41" r:id="rId25" display="https://us3.assetplanner.com/service_request?ID=097976" xr:uid="{9951B702-7326-429B-AD14-75A51808E02C}"/>
    <hyperlink ref="L41" r:id="rId26" display="https://us3.assetplanner.com/service_request?ID=098524" xr:uid="{0DBA358E-B0B9-4486-98CB-988E9818B8F8}"/>
    <hyperlink ref="M41" r:id="rId27" display="https://us3.assetplanner.com/service_request?ID=098586" xr:uid="{D5535C31-D395-4882-9F82-6F9768B10BAA}"/>
    <hyperlink ref="N41" r:id="rId28" display="https://us3.assetplanner.com/service_request?ID=092753" xr:uid="{174B2BE0-0C84-4C0A-AEA0-5F217A07C44E}"/>
    <hyperlink ref="K43" r:id="rId29" display="https://us3.assetplanner.com/service_request?ID=089461" xr:uid="{E4CA6D54-45EB-4B73-A3B3-0F975E0A1BAA}"/>
    <hyperlink ref="L43" r:id="rId30" display="https://us3.assetplanner.com/service_request?ID=090375" xr:uid="{0CCE4A6C-DE48-4B5C-8AD5-1833B892CCF0}"/>
    <hyperlink ref="M43" r:id="rId31" display="https://us3.assetplanner.com/service_request?ID=098018" xr:uid="{1C0E3D9C-51A7-47F3-A406-172735B7AD7A}"/>
    <hyperlink ref="K44" r:id="rId32" display="https://us3.assetplanner.com/service_request?ID=092276" xr:uid="{B952DBB4-DD12-4B04-9E64-CE247D0A5BF8}"/>
    <hyperlink ref="K45" r:id="rId33" display="https://us3.assetplanner.com/service_request?ID=085968" xr:uid="{B1859208-7BD7-4DD3-AD3E-77682EBA0F45}"/>
    <hyperlink ref="L45" r:id="rId34" display="https://us3.assetplanner.com/service_request?ID=092256" xr:uid="{2B26BC59-1255-49F5-A5CE-484C41639DDB}"/>
    <hyperlink ref="M45" r:id="rId35" display="https://us3.assetplanner.com/service_request?ID=090090" xr:uid="{88277B91-AD96-4DC0-9E9C-77682C334B92}"/>
    <hyperlink ref="N45" r:id="rId36" display="https://us3.assetplanner.com/service_request?ID=095592" xr:uid="{69B73D07-9665-4EFC-8FB9-07607D736436}"/>
    <hyperlink ref="K46" r:id="rId37" display="https://us3.assetplanner.com/service_request?ID=089470" xr:uid="{A8740812-D541-40B8-8304-46AFEEE59C2B}"/>
    <hyperlink ref="L46" r:id="rId38" display="https://us3.assetplanner.com/service_request?ID=092603" xr:uid="{06AB418E-EEBB-4499-BAA1-D8D8489000EE}"/>
    <hyperlink ref="K47" r:id="rId39" display="https://us3.assetplanner.com/service_request?ID=089612" xr:uid="{8B3A2A59-96AD-4AC3-A652-9D8B04934758}"/>
    <hyperlink ref="L47" r:id="rId40" display="https://us3.assetplanner.com/service_request?ID=095339" xr:uid="{03EFE8A4-0AEE-47B8-B1ED-A7F29CC04DE5}"/>
    <hyperlink ref="M47" r:id="rId41" display="https://us3.assetplanner.com/service_request?ID=095385" xr:uid="{326E9482-3B5E-411D-9D68-2662100B0325}"/>
    <hyperlink ref="N47" r:id="rId42" display="https://us3.assetplanner.com/service_request?ID=097012" xr:uid="{957F88A3-5B30-4B8C-8372-A9CB4761EB64}"/>
    <hyperlink ref="O47" r:id="rId43" display="https://us3.assetplanner.com/service_request?ID=089612" xr:uid="{36F072AF-E0F2-44B6-9983-3ACD39A47201}"/>
    <hyperlink ref="P47" r:id="rId44" display="https://us3.assetplanner.com/service_request?ID=095385" xr:uid="{0163AEAA-B1D0-4A86-AF4D-9500B9F26CF4}"/>
    <hyperlink ref="K48" r:id="rId45" display="https://us3.assetplanner.com/service_request?ID=092166" xr:uid="{3B990BAE-2525-4CDE-8706-4F3300586159}"/>
    <hyperlink ref="L48" r:id="rId46" display="https://us3.assetplanner.com/service_request?ID=097558" xr:uid="{110AC52B-EB83-49BF-BB06-7D24230C2536}"/>
    <hyperlink ref="M48" r:id="rId47" display="https://us3.assetplanner.com/service_request?ID=086220" xr:uid="{D7C68F33-50C1-4751-8144-F543E9CFDC65}"/>
    <hyperlink ref="N48" r:id="rId48" display="https://us3.assetplanner.com/service_request?ID=091312" xr:uid="{D12C2C78-B142-4E0C-A661-A73285B7E3D6}"/>
    <hyperlink ref="K49" r:id="rId49" display="https://us3.assetplanner.com/service_request?ID=098397" xr:uid="{52FC2626-5C33-4A11-87AF-54A7A4E5A4BE}"/>
    <hyperlink ref="K50" r:id="rId50" display="https://us3.assetplanner.com/service_request?ID=098178" xr:uid="{C66FC157-CE7A-45FB-8B67-52DFFC6D5BA9}"/>
    <hyperlink ref="L50" r:id="rId51" display="https://us3.assetplanner.com/service_request?ID=090370" xr:uid="{E89A2D9F-308D-467A-B1D1-D8D0FE2212C3}"/>
    <hyperlink ref="K51" r:id="rId52" display="https://us3.assetplanner.com/service_request?ID=097912" xr:uid="{D0352DA6-A647-4F0E-B023-BC28DD013586}"/>
    <hyperlink ref="L51" r:id="rId53" display="https://us3.assetplanner.com/service_request?ID=098713" xr:uid="{40DB9BC3-816D-425F-85BD-F646C789ACC0}"/>
    <hyperlink ref="M51" r:id="rId54" display="https://us3.assetplanner.com/service_request?ID=097912" xr:uid="{9813EC3B-7762-4448-B9EC-55A0CF151EEF}"/>
    <hyperlink ref="N51" r:id="rId55" display="https://us3.assetplanner.com/service_request?ID=098177" xr:uid="{6338C72F-C6C9-4570-8551-08713363CE08}"/>
    <hyperlink ref="K53" r:id="rId56" display="https://us3.assetplanner.com/service_request?ID=094545" xr:uid="{DEA8E277-6C76-4695-BF4F-679C89AFAA6E}"/>
    <hyperlink ref="K55" r:id="rId57" display="https://us3.assetplanner.com/service_request?ID=090734" xr:uid="{A5229688-15D1-429A-B157-D7DEB3A5BCFD}"/>
    <hyperlink ref="K56" r:id="rId58" display="https://us3.assetplanner.com/service_request?ID=095418" xr:uid="{5339CEFA-5D9E-4071-AABE-71E8611FBE64}"/>
    <hyperlink ref="K57" r:id="rId59" display="https://us3.assetplanner.com/service_request?ID=090293" xr:uid="{5F87F6B9-8AED-46C1-88C1-C6883D62848D}"/>
    <hyperlink ref="L57" r:id="rId60" display="https://us3.assetplanner.com/service_request?ID=095854" xr:uid="{47F9413E-B5EF-4A05-9956-3348560E2109}"/>
    <hyperlink ref="M57" r:id="rId61" display="https://us3.assetplanner.com/service_request?ID=099225" xr:uid="{697268A3-4040-4C6E-9ED5-F8B124FD3941}"/>
    <hyperlink ref="K58" r:id="rId62" display="https://us3.assetplanner.com/service_request?ID=098183" xr:uid="{CCC7C472-80DA-47AE-A588-53B74B9653E8}"/>
    <hyperlink ref="L58" r:id="rId63" display="https://us3.assetplanner.com/service_request?ID=095449" xr:uid="{838301DE-C5BC-43D3-BF3F-D5AC5687EC06}"/>
    <hyperlink ref="M58" r:id="rId64" display="https://us3.assetplanner.com/service_request?ID=093474" xr:uid="{C20486C2-513F-4341-BF1D-95804B452966}"/>
    <hyperlink ref="N58" r:id="rId65" display="https://us3.assetplanner.com/service_request?ID=090380" xr:uid="{1F8BFAFA-F501-42BC-BF50-336FE70B4632}"/>
    <hyperlink ref="O58" r:id="rId66" display="https://us3.assetplanner.com/service_request?ID=089474" xr:uid="{D680A2D5-E307-4801-9B59-9F71202A8861}"/>
    <hyperlink ref="K59" r:id="rId67" display="https://us3.assetplanner.com/service_request?ID=098826" xr:uid="{0C12A0F9-EA86-4266-B552-F7033CE9DA0C}"/>
    <hyperlink ref="K60" r:id="rId68" display="https://us3.assetplanner.com/service_request?ID=089477" xr:uid="{94F0236B-A897-475F-A7E2-503127A1FB13}"/>
    <hyperlink ref="L60" r:id="rId69" display="https://us3.assetplanner.com/service_request?ID=096348" xr:uid="{F94647D8-3535-4728-98F0-2F9159DFF815}"/>
    <hyperlink ref="M60" r:id="rId70" display="https://us3.assetplanner.com/service_request?ID=089477" xr:uid="{C1B03D49-9392-448C-B3D1-CF7B1C572C28}"/>
    <hyperlink ref="N60" r:id="rId71" display="https://us3.assetplanner.com/service_request?ID=096348" xr:uid="{491A097C-8626-48FD-B842-D86E9CDDE2D0}"/>
    <hyperlink ref="O60" r:id="rId72" display="https://us3.assetplanner.com/service_request?ID=089477" xr:uid="{CEF6441A-A6E5-4D66-8C0B-2C45DF569BE7}"/>
    <hyperlink ref="P60" r:id="rId73" display="https://us3.assetplanner.com/service_request?ID=096348" xr:uid="{8E4DC819-05DC-4B13-8FF3-3F5C7E5F65AF}"/>
    <hyperlink ref="K62" r:id="rId74" display="https://us3.assetplanner.com/service_request?ID=097948" xr:uid="{516F5076-B749-4F3A-8D5B-166FAA407229}"/>
    <hyperlink ref="K65" r:id="rId75" display="https://us3.assetplanner.com/service_request?ID=095559" xr:uid="{E82F2556-635F-4F1D-82F8-C861DECC1320}"/>
    <hyperlink ref="K66" r:id="rId76" display="https://us3.assetplanner.com/service_request?ID=097774" xr:uid="{94C3EEA5-3694-4476-8F52-9E7D92510500}"/>
    <hyperlink ref="L66" r:id="rId77" display="https://us3.assetplanner.com/service_request?ID=092170" xr:uid="{47967E73-C38C-492C-BB12-E00B82483376}"/>
    <hyperlink ref="M66" r:id="rId78" display="https://us3.assetplanner.com/service_request?ID=092456" xr:uid="{FBCE33F8-87B7-4853-B3CF-37B6C653B23C}"/>
    <hyperlink ref="N66" r:id="rId79" display="https://us3.assetplanner.com/service_request?ID=098476" xr:uid="{1178AEF1-9987-447D-BA94-4E08B96F9138}"/>
    <hyperlink ref="O66" r:id="rId80" display="https://us3.assetplanner.com/service_request?ID=096410" xr:uid="{363A3E80-D003-4647-BCF9-1D677BD53F3B}"/>
    <hyperlink ref="K67" r:id="rId81" display="https://us3.assetplanner.com/service_request?ID=092171" xr:uid="{ABEEE618-FFB9-40C3-A04A-CF36E22EFC4F}"/>
    <hyperlink ref="L67" r:id="rId82" display="https://us3.assetplanner.com/service_request?ID=092455" xr:uid="{D4B4C0BF-897C-458D-B7DF-366BEF5621B5}"/>
    <hyperlink ref="M67" r:id="rId83" display="https://us3.assetplanner.com/service_request?ID=090296" xr:uid="{8D3DD206-3199-43E4-B7E9-ECFDD9738501}"/>
    <hyperlink ref="N67" r:id="rId84" display="https://us3.assetplanner.com/service_request?ID=098666" xr:uid="{9B067C57-DB32-4517-8950-2BF6BE425592}"/>
    <hyperlink ref="O67" r:id="rId85" display="https://us3.assetplanner.com/service_request?ID=098778" xr:uid="{1EB32B14-E0F9-45C9-B4CF-F9CE8AD586BA}"/>
    <hyperlink ref="K68" r:id="rId86" display="https://us3.assetplanner.com/service_request?ID=098343" xr:uid="{A5B4430B-FCCC-4A3F-929A-32754E93066F}"/>
    <hyperlink ref="K69" r:id="rId87" display="https://us3.assetplanner.com/service_request?ID=097960" xr:uid="{0CCDB373-B7C6-4CA3-9750-9879815BA939}"/>
    <hyperlink ref="L69" r:id="rId88" display="https://us3.assetplanner.com/service_request?ID=098350" xr:uid="{67F3E6BA-D709-4473-B0A7-93B71EB87CED}"/>
    <hyperlink ref="M69" r:id="rId89" display="https://us3.assetplanner.com/service_request?ID=098382" xr:uid="{98A7A5BD-A861-4669-A452-3D03C87732C6}"/>
    <hyperlink ref="N69" r:id="rId90" display="https://us3.assetplanner.com/service_request?ID=098434" xr:uid="{657B7681-7B02-49F1-A0A7-ABA5451B8947}"/>
    <hyperlink ref="K35" r:id="rId91" xr:uid="{3CAE6E1A-BCA3-4D25-AA25-A96FC308E67A}"/>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S342"/>
  <sheetViews>
    <sheetView zoomScale="60" zoomScaleNormal="60" workbookViewId="0">
      <pane xSplit="2" ySplit="3" topLeftCell="C4" activePane="bottomRight" state="frozen"/>
      <selection pane="bottomRight" activeCell="J6" sqref="J6"/>
      <selection pane="bottomLeft" activeCell="J66" sqref="J66"/>
      <selection pane="topRight" activeCell="J66" sqref="J66"/>
    </sheetView>
  </sheetViews>
  <sheetFormatPr defaultRowHeight="14.1"/>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9" ht="19.5" customHeight="1">
      <c r="A1" s="120" t="str" cm="1">
        <f t="array" ref="A1">portfolio</f>
        <v>Silicon Ranch</v>
      </c>
      <c r="B1" s="120"/>
      <c r="C1" s="120"/>
      <c r="D1" s="121" t="s">
        <v>242</v>
      </c>
      <c r="E1" s="121"/>
      <c r="F1" s="121"/>
      <c r="G1" s="119" t="s">
        <v>243</v>
      </c>
      <c r="H1" s="119"/>
      <c r="I1" s="119"/>
      <c r="J1" s="4"/>
      <c r="K1" s="4"/>
    </row>
    <row r="2" spans="1:19" ht="19.5" customHeight="1">
      <c r="A2" s="122" t="s">
        <v>2</v>
      </c>
      <c r="B2" s="122"/>
      <c r="C2" s="5">
        <f>SUM(C4:C100)</f>
        <v>4132672</v>
      </c>
      <c r="D2" s="5">
        <f>SUM(D4:D100)</f>
        <v>0</v>
      </c>
      <c r="E2" s="5">
        <f>C2-D2</f>
        <v>4132672</v>
      </c>
      <c r="F2" s="6">
        <f>IFERROR(E2/D2, 0)</f>
        <v>0</v>
      </c>
      <c r="G2" s="5">
        <f>SUM(G4:G100)</f>
        <v>4664869.2989999996</v>
      </c>
      <c r="H2" s="7">
        <f>C2-G2</f>
        <v>-532197.29899999965</v>
      </c>
      <c r="I2" s="6">
        <f>IFERROR(H2/G2, 0)</f>
        <v>-0.11408621868871779</v>
      </c>
      <c r="J2" s="26" t="str">
        <f ca="1">IF(AND(TODAY()&gt;DATE(2024, 4, 1), COUNTA(Sites[Site])&lt;&gt;(COUNT(C:C)-1)), "Some sites are missing actual data; if new sites were added, make sure they are aligned correctly (including prior months!)", "")</f>
        <v/>
      </c>
      <c r="K2" s="4"/>
    </row>
    <row r="3" spans="1:19" ht="14.25" customHeight="1">
      <c r="A3" s="8" t="s">
        <v>3</v>
      </c>
      <c r="B3" s="8" t="s">
        <v>4</v>
      </c>
      <c r="C3" s="23" t="s">
        <v>5</v>
      </c>
      <c r="D3" s="35" t="s">
        <v>6</v>
      </c>
      <c r="E3" s="35" t="s">
        <v>7</v>
      </c>
      <c r="F3" s="36" t="s">
        <v>8</v>
      </c>
      <c r="G3" s="37" t="s">
        <v>9</v>
      </c>
      <c r="H3" s="38" t="s">
        <v>7</v>
      </c>
      <c r="I3" s="39" t="s">
        <v>8</v>
      </c>
      <c r="J3" s="25" t="s">
        <v>20</v>
      </c>
      <c r="K3" s="25" t="s">
        <v>21</v>
      </c>
    </row>
    <row r="4" spans="1:19" ht="15.6">
      <c r="A4" s="32" t="str" cm="1">
        <f t="array" ref="A4:A69">Sites[Site]</f>
        <v>Iron Mountain - Windsor</v>
      </c>
      <c r="B4" s="29" t="str" cm="1">
        <f t="array" ref="B4:B69">Sites[State]</f>
        <v>CT</v>
      </c>
      <c r="C4" s="24">
        <v>31293</v>
      </c>
      <c r="D4" s="13" t="s">
        <v>22</v>
      </c>
      <c r="E4" s="13" t="str">
        <f>IF(AND(ISNUMBER(C4),ISNUMBER(D4)), C4-D4, "")</f>
        <v/>
      </c>
      <c r="F4" s="14" t="str">
        <f>IFERROR(E4/D4, "")</f>
        <v/>
      </c>
      <c r="G4" s="15">
        <v>30934.86</v>
      </c>
      <c r="H4" s="15">
        <f>IF(AND(ISNUMBER(C4),ISNUMBER(G4)), C4-G4, "")</f>
        <v>358.13999999999942</v>
      </c>
      <c r="I4" s="16">
        <f>IFERROR(H4/G4, "")</f>
        <v>1.1577230347898759E-2</v>
      </c>
      <c r="J4" s="41"/>
      <c r="K4" s="41"/>
      <c r="L4" s="111"/>
      <c r="M4" s="111"/>
      <c r="N4" s="111"/>
      <c r="O4" s="111"/>
      <c r="P4" s="111"/>
      <c r="Q4" s="111"/>
      <c r="R4" s="111"/>
      <c r="S4" s="111"/>
    </row>
    <row r="5" spans="1:19" ht="15.6">
      <c r="A5" s="30" t="str">
        <v>Kohls - Auburn</v>
      </c>
      <c r="B5" s="31" t="str">
        <v>NY</v>
      </c>
      <c r="C5" s="11">
        <v>32335</v>
      </c>
      <c r="D5" s="18" t="s">
        <v>22</v>
      </c>
      <c r="E5" s="18" t="str">
        <f t="shared" ref="E5:E25" si="0">IF(AND(ISNUMBER(C5),ISNUMBER(D5)), C5-D5, "")</f>
        <v/>
      </c>
      <c r="F5" s="19" t="str">
        <f>IFERROR(E5/D5, "")</f>
        <v/>
      </c>
      <c r="G5" s="20">
        <v>33859.879999999997</v>
      </c>
      <c r="H5" s="20">
        <f t="shared" ref="H5:H25" si="1">IF(AND(ISNUMBER(C5),ISNUMBER(G5)), C5-G5, "")</f>
        <v>-1524.8799999999974</v>
      </c>
      <c r="I5" s="19">
        <f t="shared" ref="I5:I68" si="2">IFERROR(H5/G5, "")</f>
        <v>-4.5035008984083746E-2</v>
      </c>
      <c r="J5" s="42"/>
      <c r="K5" s="42"/>
      <c r="L5" s="111"/>
      <c r="M5" s="111"/>
      <c r="N5" s="111"/>
      <c r="O5" s="111"/>
      <c r="P5" s="111"/>
      <c r="Q5" s="111"/>
      <c r="R5" s="111"/>
      <c r="S5" s="111"/>
    </row>
    <row r="6" spans="1:19" ht="126.75" customHeight="1">
      <c r="A6" s="28" t="str">
        <v>Kohls - Bensalem</v>
      </c>
      <c r="B6" s="29" t="str">
        <v>PA</v>
      </c>
      <c r="C6" s="24">
        <v>25179</v>
      </c>
      <c r="D6" s="13" t="s">
        <v>22</v>
      </c>
      <c r="E6" s="13" t="str">
        <f t="shared" si="0"/>
        <v/>
      </c>
      <c r="F6" s="14" t="str">
        <f t="shared" ref="F6:F25" si="3">IFERROR(E6/D6, "")</f>
        <v/>
      </c>
      <c r="G6" s="15">
        <v>33628.71</v>
      </c>
      <c r="H6" s="15">
        <f t="shared" si="1"/>
        <v>-8449.7099999999991</v>
      </c>
      <c r="I6" s="16">
        <f t="shared" si="2"/>
        <v>-0.25126476751561388</v>
      </c>
      <c r="J6" s="41" t="s">
        <v>244</v>
      </c>
      <c r="K6" s="99" t="s">
        <v>245</v>
      </c>
      <c r="L6" s="111"/>
      <c r="M6" s="111"/>
      <c r="N6" s="111"/>
      <c r="O6" s="111"/>
      <c r="P6" s="111"/>
      <c r="Q6" s="111"/>
      <c r="R6" s="111"/>
      <c r="S6" s="111"/>
    </row>
    <row r="7" spans="1:19" ht="15.6">
      <c r="A7" s="30" t="str">
        <v>Kohls - Brick</v>
      </c>
      <c r="B7" s="31" t="str">
        <v>NJ</v>
      </c>
      <c r="C7" s="11">
        <v>43757</v>
      </c>
      <c r="D7" s="18" t="s">
        <v>22</v>
      </c>
      <c r="E7" s="18" t="str">
        <f t="shared" si="0"/>
        <v/>
      </c>
      <c r="F7" s="19" t="str">
        <f t="shared" si="3"/>
        <v/>
      </c>
      <c r="G7" s="20">
        <v>40857.57</v>
      </c>
      <c r="H7" s="20">
        <f t="shared" si="1"/>
        <v>2899.4300000000003</v>
      </c>
      <c r="I7" s="19">
        <f t="shared" si="2"/>
        <v>7.0964328030276899E-2</v>
      </c>
      <c r="J7" s="42"/>
      <c r="K7" s="43"/>
      <c r="L7" s="111"/>
      <c r="M7" s="111"/>
      <c r="N7" s="111"/>
      <c r="O7" s="111"/>
      <c r="P7" s="111"/>
      <c r="Q7" s="111"/>
      <c r="R7" s="111"/>
      <c r="S7" s="111"/>
    </row>
    <row r="8" spans="1:19" ht="57.95">
      <c r="A8" s="28" t="str">
        <v>Kohls - Buffalo</v>
      </c>
      <c r="B8" s="29" t="str">
        <v>NY</v>
      </c>
      <c r="C8" s="24">
        <v>35454</v>
      </c>
      <c r="D8" s="13" t="s">
        <v>22</v>
      </c>
      <c r="E8" s="13" t="str">
        <f t="shared" si="0"/>
        <v/>
      </c>
      <c r="F8" s="14" t="str">
        <f t="shared" si="3"/>
        <v/>
      </c>
      <c r="G8" s="15">
        <v>43977.120000000003</v>
      </c>
      <c r="H8" s="15">
        <f t="shared" si="1"/>
        <v>-8523.1200000000026</v>
      </c>
      <c r="I8" s="16">
        <f t="shared" si="2"/>
        <v>-0.19380805291478848</v>
      </c>
      <c r="J8" s="41" t="s">
        <v>246</v>
      </c>
      <c r="K8" s="99" t="s">
        <v>247</v>
      </c>
      <c r="L8" s="112" t="s">
        <v>172</v>
      </c>
      <c r="M8" s="112" t="s">
        <v>28</v>
      </c>
      <c r="N8" s="111"/>
      <c r="O8" s="111"/>
      <c r="P8" s="111"/>
      <c r="Q8" s="111"/>
      <c r="R8" s="111"/>
      <c r="S8" s="111"/>
    </row>
    <row r="9" spans="1:19" ht="15.6">
      <c r="A9" s="30" t="str">
        <v>Kohls - Canton</v>
      </c>
      <c r="B9" s="31" t="str">
        <v>CT</v>
      </c>
      <c r="C9" s="11">
        <v>15599</v>
      </c>
      <c r="D9" s="18" t="s">
        <v>22</v>
      </c>
      <c r="E9" s="18" t="str">
        <f t="shared" si="0"/>
        <v/>
      </c>
      <c r="F9" s="19" t="str">
        <f t="shared" si="3"/>
        <v/>
      </c>
      <c r="G9" s="20">
        <v>13622.22</v>
      </c>
      <c r="H9" s="20">
        <f t="shared" si="1"/>
        <v>1976.7800000000007</v>
      </c>
      <c r="I9" s="19">
        <f t="shared" si="2"/>
        <v>0.14511437930087759</v>
      </c>
      <c r="J9" s="56"/>
      <c r="K9" s="43"/>
      <c r="L9" s="111"/>
      <c r="M9" s="111"/>
      <c r="N9" s="111"/>
      <c r="O9" s="111"/>
      <c r="P9" s="111"/>
      <c r="Q9" s="111"/>
      <c r="R9" s="111"/>
      <c r="S9" s="111"/>
    </row>
    <row r="10" spans="1:19" ht="39" customHeight="1">
      <c r="A10" s="28" t="str">
        <v>Kohls - East Amherst</v>
      </c>
      <c r="B10" s="29" t="str">
        <v>NY</v>
      </c>
      <c r="C10" s="24">
        <v>33923</v>
      </c>
      <c r="D10" s="13" t="s">
        <v>22</v>
      </c>
      <c r="E10" s="13" t="str">
        <f t="shared" si="0"/>
        <v/>
      </c>
      <c r="F10" s="14" t="str">
        <f t="shared" si="3"/>
        <v/>
      </c>
      <c r="G10" s="15">
        <v>38691.72</v>
      </c>
      <c r="H10" s="15">
        <f t="shared" si="1"/>
        <v>-4768.7200000000012</v>
      </c>
      <c r="I10" s="16">
        <f t="shared" si="2"/>
        <v>-0.12324910859481049</v>
      </c>
      <c r="J10" s="41" t="s">
        <v>248</v>
      </c>
      <c r="K10" s="99" t="s">
        <v>249</v>
      </c>
      <c r="L10" s="111"/>
      <c r="M10" s="111"/>
      <c r="N10" s="111"/>
      <c r="O10" s="111"/>
      <c r="P10" s="111"/>
      <c r="Q10" s="111"/>
      <c r="R10" s="111"/>
      <c r="S10" s="111"/>
    </row>
    <row r="11" spans="1:19" ht="15.6">
      <c r="A11" s="30" t="str">
        <v>Kohls - East Brunswick</v>
      </c>
      <c r="B11" s="31" t="str">
        <v>NJ</v>
      </c>
      <c r="C11" s="11">
        <v>51292</v>
      </c>
      <c r="D11" s="18" t="s">
        <v>22</v>
      </c>
      <c r="E11" s="18" t="str">
        <f t="shared" si="0"/>
        <v/>
      </c>
      <c r="F11" s="19" t="str">
        <f t="shared" si="3"/>
        <v/>
      </c>
      <c r="G11" s="20">
        <v>52486.96</v>
      </c>
      <c r="H11" s="20">
        <f t="shared" si="1"/>
        <v>-1194.9599999999991</v>
      </c>
      <c r="I11" s="19">
        <f t="shared" si="2"/>
        <v>-2.2766797696037247E-2</v>
      </c>
      <c r="J11" s="42"/>
      <c r="K11" s="43"/>
      <c r="L11" s="111"/>
      <c r="M11" s="111"/>
      <c r="N11" s="111"/>
      <c r="O11" s="111"/>
      <c r="P11" s="111"/>
      <c r="Q11" s="111"/>
      <c r="R11" s="111"/>
      <c r="S11" s="111"/>
    </row>
    <row r="12" spans="1:19" ht="15.6">
      <c r="A12" s="28" t="str">
        <v>Kohls - Edgewood</v>
      </c>
      <c r="B12" s="29" t="str">
        <v>MD</v>
      </c>
      <c r="C12" s="24">
        <v>253311</v>
      </c>
      <c r="D12" s="13" t="s">
        <v>22</v>
      </c>
      <c r="E12" s="13" t="str">
        <f t="shared" si="0"/>
        <v/>
      </c>
      <c r="F12" s="14" t="str">
        <f t="shared" si="3"/>
        <v/>
      </c>
      <c r="G12" s="15">
        <v>281330.28999999998</v>
      </c>
      <c r="H12" s="15">
        <f t="shared" si="1"/>
        <v>-28019.289999999979</v>
      </c>
      <c r="I12" s="16">
        <f t="shared" si="2"/>
        <v>-9.9595710081555669E-2</v>
      </c>
      <c r="J12" s="41"/>
      <c r="K12" s="41"/>
      <c r="L12" s="111"/>
      <c r="M12" s="111"/>
      <c r="N12" s="111"/>
      <c r="O12" s="111"/>
      <c r="P12" s="111"/>
      <c r="Q12" s="111"/>
      <c r="R12" s="111"/>
      <c r="S12" s="111"/>
    </row>
    <row r="13" spans="1:19" ht="15.6">
      <c r="A13" s="30" t="str">
        <v>Kohls - Granite Run</v>
      </c>
      <c r="B13" s="31" t="str">
        <v>PA</v>
      </c>
      <c r="C13" s="11">
        <v>33656</v>
      </c>
      <c r="D13" s="18" t="s">
        <v>22</v>
      </c>
      <c r="E13" s="18" t="str">
        <f t="shared" si="0"/>
        <v/>
      </c>
      <c r="F13" s="19" t="str">
        <f t="shared" si="3"/>
        <v/>
      </c>
      <c r="G13" s="20">
        <v>33638.5</v>
      </c>
      <c r="H13" s="20">
        <f t="shared" si="1"/>
        <v>17.5</v>
      </c>
      <c r="I13" s="19">
        <f t="shared" si="2"/>
        <v>5.2023722817604826E-4</v>
      </c>
      <c r="J13" s="42"/>
      <c r="K13" s="43"/>
      <c r="L13" s="111"/>
      <c r="M13" s="111"/>
      <c r="N13" s="111"/>
      <c r="O13" s="111"/>
      <c r="P13" s="111"/>
      <c r="Q13" s="111"/>
      <c r="R13" s="111"/>
      <c r="S13" s="111"/>
    </row>
    <row r="14" spans="1:19" ht="15.6">
      <c r="A14" s="28" t="str">
        <v>Kohls - Greece</v>
      </c>
      <c r="B14" s="29" t="str">
        <v>NY</v>
      </c>
      <c r="C14" s="24">
        <v>30322</v>
      </c>
      <c r="D14" s="13" t="s">
        <v>22</v>
      </c>
      <c r="E14" s="13" t="str">
        <f t="shared" si="0"/>
        <v/>
      </c>
      <c r="F14" s="14" t="str">
        <f t="shared" si="3"/>
        <v/>
      </c>
      <c r="G14" s="15">
        <v>41394.589999999997</v>
      </c>
      <c r="H14" s="15">
        <f t="shared" si="1"/>
        <v>-11072.589999999997</v>
      </c>
      <c r="I14" s="16">
        <f t="shared" si="2"/>
        <v>-0.26748881919110679</v>
      </c>
      <c r="J14" s="41" t="s">
        <v>250</v>
      </c>
      <c r="K14" s="41"/>
      <c r="L14" s="111"/>
      <c r="M14" s="111"/>
      <c r="N14" s="111"/>
      <c r="O14" s="111"/>
      <c r="P14" s="111"/>
      <c r="Q14" s="111"/>
      <c r="R14" s="111"/>
      <c r="S14" s="111"/>
    </row>
    <row r="15" spans="1:19" ht="15.6">
      <c r="A15" s="30" t="str">
        <v>Kohls - Hanover</v>
      </c>
      <c r="B15" s="31" t="str">
        <v>PA</v>
      </c>
      <c r="C15" s="11">
        <v>38762</v>
      </c>
      <c r="D15" s="18" t="s">
        <v>22</v>
      </c>
      <c r="E15" s="18" t="str">
        <f t="shared" si="0"/>
        <v/>
      </c>
      <c r="F15" s="19" t="str">
        <f t="shared" si="3"/>
        <v/>
      </c>
      <c r="G15" s="20">
        <v>39108.42</v>
      </c>
      <c r="H15" s="20">
        <f t="shared" si="1"/>
        <v>-346.41999999999825</v>
      </c>
      <c r="I15" s="19">
        <f t="shared" si="2"/>
        <v>-8.8579390320549459E-3</v>
      </c>
      <c r="J15" s="55"/>
      <c r="K15" s="55"/>
      <c r="L15" s="111"/>
      <c r="M15" s="111"/>
      <c r="N15" s="111"/>
      <c r="O15" s="111"/>
      <c r="P15" s="111"/>
      <c r="Q15" s="111"/>
      <c r="R15" s="111"/>
      <c r="S15" s="111"/>
    </row>
    <row r="16" spans="1:19" ht="15.6">
      <c r="A16" s="28" t="str">
        <v>Kohls - Horsehead</v>
      </c>
      <c r="B16" s="29" t="str">
        <v>NY</v>
      </c>
      <c r="C16" s="24">
        <v>28572</v>
      </c>
      <c r="D16" s="13" t="s">
        <v>22</v>
      </c>
      <c r="E16" s="13" t="str">
        <f t="shared" si="0"/>
        <v/>
      </c>
      <c r="F16" s="14" t="str">
        <f t="shared" si="3"/>
        <v/>
      </c>
      <c r="G16" s="15">
        <v>28509.69</v>
      </c>
      <c r="H16" s="15">
        <f t="shared" si="1"/>
        <v>62.31000000000131</v>
      </c>
      <c r="I16" s="16">
        <f t="shared" si="2"/>
        <v>2.1855726947575126E-3</v>
      </c>
      <c r="J16" s="57"/>
      <c r="K16" s="57"/>
      <c r="L16" s="111"/>
      <c r="M16" s="111"/>
      <c r="N16" s="111"/>
      <c r="O16" s="111"/>
      <c r="P16" s="111"/>
      <c r="Q16" s="111"/>
      <c r="R16" s="111"/>
      <c r="S16" s="111"/>
    </row>
    <row r="17" spans="1:19" ht="15.6">
      <c r="A17" s="30" t="str">
        <v>Kohls - Hudson</v>
      </c>
      <c r="B17" s="31" t="str">
        <v>NY</v>
      </c>
      <c r="C17" s="11">
        <v>32078</v>
      </c>
      <c r="D17" s="18" t="s">
        <v>22</v>
      </c>
      <c r="E17" s="18" t="str">
        <f t="shared" si="0"/>
        <v/>
      </c>
      <c r="F17" s="19" t="str">
        <f t="shared" si="3"/>
        <v/>
      </c>
      <c r="G17" s="20">
        <v>32526.959999999999</v>
      </c>
      <c r="H17" s="20">
        <f t="shared" si="1"/>
        <v>-448.95999999999913</v>
      </c>
      <c r="I17" s="19">
        <f t="shared" si="2"/>
        <v>-1.3802703972335538E-2</v>
      </c>
      <c r="J17" s="55"/>
      <c r="K17" s="58"/>
      <c r="L17" s="111"/>
      <c r="M17" s="111"/>
      <c r="N17" s="111"/>
      <c r="O17" s="111"/>
      <c r="P17" s="111"/>
      <c r="Q17" s="111"/>
      <c r="R17" s="111"/>
      <c r="S17" s="111"/>
    </row>
    <row r="18" spans="1:19" ht="15.6">
      <c r="A18" s="32" t="str">
        <v>Kohls - Ithaca</v>
      </c>
      <c r="B18" s="29" t="str">
        <v>NY</v>
      </c>
      <c r="C18" s="24">
        <v>28862</v>
      </c>
      <c r="D18" s="13" t="s">
        <v>22</v>
      </c>
      <c r="E18" s="13" t="str">
        <f t="shared" si="0"/>
        <v/>
      </c>
      <c r="F18" s="14" t="str">
        <f t="shared" si="3"/>
        <v/>
      </c>
      <c r="G18" s="15">
        <v>34202.370000000003</v>
      </c>
      <c r="H18" s="15">
        <f t="shared" si="1"/>
        <v>-5340.3700000000026</v>
      </c>
      <c r="I18" s="16">
        <f t="shared" si="2"/>
        <v>-0.15614034933836463</v>
      </c>
      <c r="J18" s="41" t="s">
        <v>251</v>
      </c>
      <c r="K18" s="57"/>
      <c r="L18" s="111"/>
      <c r="M18" s="111"/>
      <c r="N18" s="111"/>
      <c r="O18" s="111"/>
      <c r="P18" s="111"/>
      <c r="Q18" s="111"/>
      <c r="R18" s="111"/>
      <c r="S18" s="111"/>
    </row>
    <row r="19" spans="1:19" ht="15.6">
      <c r="A19" s="30" t="str">
        <v>Kohls - Kingston</v>
      </c>
      <c r="B19" s="31" t="str">
        <v>NY</v>
      </c>
      <c r="C19" s="11">
        <v>42416</v>
      </c>
      <c r="D19" s="18" t="s">
        <v>22</v>
      </c>
      <c r="E19" s="18" t="str">
        <f t="shared" si="0"/>
        <v/>
      </c>
      <c r="F19" s="19" t="str">
        <f t="shared" si="3"/>
        <v/>
      </c>
      <c r="G19" s="20">
        <v>53122.43</v>
      </c>
      <c r="H19" s="20">
        <f t="shared" si="1"/>
        <v>-10706.43</v>
      </c>
      <c r="I19" s="19">
        <f t="shared" si="2"/>
        <v>-0.20154254991723836</v>
      </c>
      <c r="J19" s="55" t="s">
        <v>252</v>
      </c>
      <c r="K19" s="55"/>
      <c r="L19" s="111"/>
      <c r="M19" s="111"/>
      <c r="N19" s="111"/>
      <c r="O19" s="111"/>
      <c r="P19" s="111"/>
      <c r="Q19" s="111"/>
      <c r="R19" s="111"/>
      <c r="S19" s="111"/>
    </row>
    <row r="20" spans="1:19" ht="15.6">
      <c r="A20" s="28" t="str">
        <v>Kohls - Mechanicsburg</v>
      </c>
      <c r="B20" s="29" t="str">
        <v>PA</v>
      </c>
      <c r="C20" s="24">
        <v>45237</v>
      </c>
      <c r="D20" s="13" t="s">
        <v>22</v>
      </c>
      <c r="E20" s="13" t="str">
        <f t="shared" si="0"/>
        <v/>
      </c>
      <c r="F20" s="14" t="str">
        <f t="shared" si="3"/>
        <v/>
      </c>
      <c r="G20" s="15">
        <v>45680.27</v>
      </c>
      <c r="H20" s="15">
        <f t="shared" si="1"/>
        <v>-443.2699999999968</v>
      </c>
      <c r="I20" s="16">
        <f t="shared" si="2"/>
        <v>-9.7037517510294227E-3</v>
      </c>
      <c r="J20" s="57"/>
      <c r="K20" s="57"/>
      <c r="L20" s="111"/>
      <c r="M20" s="111"/>
      <c r="N20" s="111"/>
      <c r="O20" s="111"/>
      <c r="P20" s="111"/>
      <c r="Q20" s="111"/>
      <c r="R20" s="111"/>
      <c r="S20" s="111"/>
    </row>
    <row r="21" spans="1:19" ht="15.6">
      <c r="A21" s="30" t="str">
        <v>Kohls - Middletown</v>
      </c>
      <c r="B21" s="31" t="str">
        <v>NJ</v>
      </c>
      <c r="C21" s="11">
        <v>67983</v>
      </c>
      <c r="D21" s="18" t="s">
        <v>22</v>
      </c>
      <c r="E21" s="18" t="str">
        <f t="shared" si="0"/>
        <v/>
      </c>
      <c r="F21" s="19" t="str">
        <f t="shared" si="3"/>
        <v/>
      </c>
      <c r="G21" s="20">
        <v>60239.89</v>
      </c>
      <c r="H21" s="20">
        <f t="shared" si="1"/>
        <v>7743.1100000000006</v>
      </c>
      <c r="I21" s="19">
        <f t="shared" si="2"/>
        <v>0.12853791731691411</v>
      </c>
      <c r="J21" s="55"/>
      <c r="K21" s="55"/>
      <c r="L21" s="111"/>
      <c r="M21" s="111"/>
      <c r="N21" s="111"/>
      <c r="O21" s="111"/>
      <c r="P21" s="111"/>
      <c r="Q21" s="111"/>
      <c r="R21" s="111"/>
      <c r="S21" s="111"/>
    </row>
    <row r="22" spans="1:19" ht="101.45">
      <c r="A22" s="28" t="str">
        <v>Kohls - North Amherst</v>
      </c>
      <c r="B22" s="29" t="str">
        <v>NY</v>
      </c>
      <c r="C22" s="24">
        <v>13184</v>
      </c>
      <c r="D22" s="13" t="s">
        <v>22</v>
      </c>
      <c r="E22" s="13" t="str">
        <f t="shared" si="0"/>
        <v/>
      </c>
      <c r="F22" s="14" t="str">
        <f t="shared" si="3"/>
        <v/>
      </c>
      <c r="G22" s="15">
        <v>37025.57</v>
      </c>
      <c r="H22" s="15">
        <f>IF(AND(ISNUMBER(C22),ISNUMBER(G22)), C22-G22, "")</f>
        <v>-23841.57</v>
      </c>
      <c r="I22" s="16">
        <f t="shared" si="2"/>
        <v>-0.64392175461444623</v>
      </c>
      <c r="J22" s="97" t="s">
        <v>253</v>
      </c>
      <c r="K22" s="102" t="s">
        <v>254</v>
      </c>
      <c r="L22" s="112" t="s">
        <v>255</v>
      </c>
      <c r="M22" s="111"/>
      <c r="N22" s="111"/>
      <c r="O22" s="111"/>
      <c r="P22" s="111"/>
      <c r="Q22" s="111"/>
      <c r="R22" s="111"/>
      <c r="S22" s="111"/>
    </row>
    <row r="23" spans="1:19" ht="197.25" customHeight="1">
      <c r="A23" s="30" t="str">
        <v>Kohls - Staten Island</v>
      </c>
      <c r="B23" s="31" t="str">
        <v>NY</v>
      </c>
      <c r="C23" s="11">
        <v>29453</v>
      </c>
      <c r="D23" s="18" t="s">
        <v>22</v>
      </c>
      <c r="E23" s="18" t="str">
        <f t="shared" si="0"/>
        <v/>
      </c>
      <c r="F23" s="19" t="str">
        <f t="shared" si="3"/>
        <v/>
      </c>
      <c r="G23" s="20">
        <v>36582.559999999998</v>
      </c>
      <c r="H23" s="20">
        <f t="shared" si="1"/>
        <v>-7129.5599999999977</v>
      </c>
      <c r="I23" s="19">
        <f t="shared" si="2"/>
        <v>-0.19488958673203838</v>
      </c>
      <c r="J23" s="113" t="s">
        <v>256</v>
      </c>
      <c r="K23" s="104" t="s">
        <v>257</v>
      </c>
      <c r="L23" s="112" t="s">
        <v>175</v>
      </c>
      <c r="M23" s="112" t="s">
        <v>258</v>
      </c>
      <c r="N23" s="111"/>
      <c r="O23" s="111"/>
      <c r="P23" s="111"/>
      <c r="Q23" s="111"/>
      <c r="R23" s="111"/>
      <c r="S23" s="111"/>
    </row>
    <row r="24" spans="1:19" ht="15.6">
      <c r="A24" s="28" t="str">
        <v>Kohls - Warminster</v>
      </c>
      <c r="B24" s="29" t="str">
        <v>PA</v>
      </c>
      <c r="C24" s="24">
        <v>43159</v>
      </c>
      <c r="D24" s="13" t="s">
        <v>22</v>
      </c>
      <c r="E24" s="13" t="str">
        <f t="shared" si="0"/>
        <v/>
      </c>
      <c r="F24" s="14" t="str">
        <f t="shared" si="3"/>
        <v/>
      </c>
      <c r="G24" s="15">
        <v>41056.14</v>
      </c>
      <c r="H24" s="15">
        <f t="shared" si="1"/>
        <v>2102.8600000000006</v>
      </c>
      <c r="I24" s="16">
        <f t="shared" si="2"/>
        <v>5.1219135554389686E-2</v>
      </c>
      <c r="J24" s="41"/>
      <c r="K24" s="41"/>
      <c r="L24" s="111"/>
      <c r="M24" s="111"/>
      <c r="N24" s="111"/>
      <c r="O24" s="111"/>
      <c r="P24" s="111"/>
      <c r="Q24" s="111"/>
      <c r="R24" s="111"/>
      <c r="S24" s="111"/>
    </row>
    <row r="25" spans="1:19" ht="15.6">
      <c r="A25" s="30" t="str">
        <v xml:space="preserve">Kohls - Waterbury </v>
      </c>
      <c r="B25" s="31" t="str">
        <v>CT</v>
      </c>
      <c r="C25" s="11">
        <v>39101</v>
      </c>
      <c r="D25" s="18" t="s">
        <v>22</v>
      </c>
      <c r="E25" s="18" t="str">
        <f t="shared" si="0"/>
        <v/>
      </c>
      <c r="F25" s="19" t="str">
        <f t="shared" si="3"/>
        <v/>
      </c>
      <c r="G25" s="20">
        <v>36953.81</v>
      </c>
      <c r="H25" s="20">
        <f t="shared" si="1"/>
        <v>2147.1900000000023</v>
      </c>
      <c r="I25" s="19">
        <f t="shared" si="2"/>
        <v>5.8104698811841118E-2</v>
      </c>
      <c r="J25" s="42"/>
      <c r="K25" s="43"/>
      <c r="L25" s="111"/>
      <c r="M25" s="111"/>
      <c r="N25" s="111"/>
      <c r="O25" s="111"/>
      <c r="P25" s="111"/>
      <c r="Q25" s="111"/>
      <c r="R25" s="111"/>
      <c r="S25" s="111"/>
    </row>
    <row r="26" spans="1:19" ht="15.6">
      <c r="A26" s="28" t="str">
        <v>Mojave Water Agency - Headquarters</v>
      </c>
      <c r="B26" s="29" t="str">
        <v>CA</v>
      </c>
      <c r="C26" s="24">
        <v>45358</v>
      </c>
      <c r="D26" s="13" t="s">
        <v>22</v>
      </c>
      <c r="E26" s="13" t="str">
        <f t="shared" ref="E26:E68" si="4">IF(AND(ISNUMBER(C26),ISNUMBER(D26)), C26-D26, "")</f>
        <v/>
      </c>
      <c r="F26" s="14" t="str">
        <f t="shared" ref="F26:F68" si="5">IFERROR(E26/D26, "")</f>
        <v/>
      </c>
      <c r="G26" s="15">
        <v>38772.300000000003</v>
      </c>
      <c r="H26" s="15">
        <f t="shared" ref="H26:H68" si="6">IF(AND(ISNUMBER(C26),ISNUMBER(G26)), C26-G26, "")</f>
        <v>6585.6999999999971</v>
      </c>
      <c r="I26" s="16">
        <f t="shared" si="2"/>
        <v>0.16985579911431606</v>
      </c>
      <c r="J26" s="41" t="s">
        <v>259</v>
      </c>
      <c r="K26" s="99" t="s">
        <v>260</v>
      </c>
      <c r="L26" s="111"/>
      <c r="M26" s="111"/>
      <c r="N26" s="111"/>
      <c r="O26" s="111"/>
      <c r="P26" s="111"/>
      <c r="Q26" s="111"/>
      <c r="R26" s="111"/>
      <c r="S26" s="111"/>
    </row>
    <row r="27" spans="1:19" ht="43.5">
      <c r="A27" s="30" t="str">
        <v>CSU - Bakersfield</v>
      </c>
      <c r="B27" s="31" t="str">
        <v>CA</v>
      </c>
      <c r="C27" s="11">
        <v>147961</v>
      </c>
      <c r="D27" s="18" t="s">
        <v>22</v>
      </c>
      <c r="E27" s="18" t="str">
        <f t="shared" si="4"/>
        <v/>
      </c>
      <c r="F27" s="19" t="str">
        <f t="shared" si="5"/>
        <v/>
      </c>
      <c r="G27" s="20">
        <v>146508.14000000001</v>
      </c>
      <c r="H27" s="20">
        <f t="shared" si="6"/>
        <v>1452.859999999986</v>
      </c>
      <c r="I27" s="19">
        <f t="shared" si="2"/>
        <v>9.9165821093625643E-3</v>
      </c>
      <c r="J27" s="42" t="s">
        <v>261</v>
      </c>
      <c r="K27" s="101" t="s">
        <v>262</v>
      </c>
      <c r="L27" s="111"/>
      <c r="M27" s="111"/>
      <c r="N27" s="111"/>
      <c r="O27" s="111"/>
      <c r="P27" s="111"/>
      <c r="Q27" s="111"/>
      <c r="R27" s="111"/>
      <c r="S27" s="111"/>
    </row>
    <row r="28" spans="1:19" ht="15.6">
      <c r="A28" s="28" t="str">
        <v>Greenfield USD - Fairfield ES</v>
      </c>
      <c r="B28" s="29" t="str">
        <v>CA</v>
      </c>
      <c r="C28" s="24">
        <v>13164</v>
      </c>
      <c r="D28" s="13" t="s">
        <v>22</v>
      </c>
      <c r="E28" s="13" t="str">
        <f t="shared" si="4"/>
        <v/>
      </c>
      <c r="F28" s="14" t="str">
        <f t="shared" si="5"/>
        <v/>
      </c>
      <c r="G28" s="15">
        <v>14550.3</v>
      </c>
      <c r="H28" s="15">
        <f t="shared" si="6"/>
        <v>-1386.2999999999993</v>
      </c>
      <c r="I28" s="16">
        <f t="shared" si="2"/>
        <v>-9.5276386053895754E-2</v>
      </c>
      <c r="J28" s="41"/>
      <c r="K28" s="41"/>
      <c r="L28" s="111"/>
      <c r="M28" s="111"/>
      <c r="N28" s="111"/>
      <c r="O28" s="111"/>
      <c r="P28" s="111"/>
      <c r="Q28" s="111"/>
      <c r="R28" s="111"/>
      <c r="S28" s="111"/>
    </row>
    <row r="29" spans="1:19" ht="43.5">
      <c r="A29" s="30" t="str">
        <v>Greenfield USD - Granite Point ES</v>
      </c>
      <c r="B29" s="31" t="str">
        <v>CA</v>
      </c>
      <c r="C29" s="11">
        <v>23994</v>
      </c>
      <c r="D29" s="18" t="s">
        <v>22</v>
      </c>
      <c r="E29" s="18" t="str">
        <f t="shared" si="4"/>
        <v/>
      </c>
      <c r="F29" s="19" t="str">
        <f t="shared" si="5"/>
        <v/>
      </c>
      <c r="G29" s="20">
        <v>38398.82</v>
      </c>
      <c r="H29" s="20">
        <f t="shared" si="6"/>
        <v>-14404.82</v>
      </c>
      <c r="I29" s="19">
        <f t="shared" si="2"/>
        <v>-0.37513704848221896</v>
      </c>
      <c r="J29" s="42" t="s">
        <v>263</v>
      </c>
      <c r="K29" s="101" t="s">
        <v>264</v>
      </c>
      <c r="L29" s="111"/>
      <c r="M29" s="111"/>
      <c r="N29" s="111"/>
      <c r="O29" s="111"/>
      <c r="P29" s="111"/>
      <c r="Q29" s="111"/>
      <c r="R29" s="111"/>
      <c r="S29" s="111"/>
    </row>
    <row r="30" spans="1:19" ht="43.5">
      <c r="A30" s="28" t="str">
        <v>Greenfield USD - Greenfield MS</v>
      </c>
      <c r="B30" s="29" t="str">
        <v>CA</v>
      </c>
      <c r="C30" s="24">
        <v>23428</v>
      </c>
      <c r="D30" s="13" t="s">
        <v>22</v>
      </c>
      <c r="E30" s="13" t="str">
        <f t="shared" si="4"/>
        <v/>
      </c>
      <c r="F30" s="14" t="str">
        <f t="shared" si="5"/>
        <v/>
      </c>
      <c r="G30" s="15">
        <v>26177.669000000002</v>
      </c>
      <c r="H30" s="15">
        <f t="shared" si="6"/>
        <v>-2749.6690000000017</v>
      </c>
      <c r="I30" s="16">
        <f t="shared" si="2"/>
        <v>-0.10503872594614905</v>
      </c>
      <c r="J30" s="41" t="s">
        <v>265</v>
      </c>
      <c r="K30" s="99" t="s">
        <v>266</v>
      </c>
      <c r="L30" s="112" t="s">
        <v>267</v>
      </c>
      <c r="M30" s="112" t="s">
        <v>268</v>
      </c>
      <c r="N30" s="111"/>
      <c r="O30" s="111"/>
      <c r="P30" s="111"/>
      <c r="Q30" s="111"/>
      <c r="R30" s="111"/>
      <c r="S30" s="111"/>
    </row>
    <row r="31" spans="1:19" ht="101.45">
      <c r="A31" s="30" t="str">
        <v>Greenfield USD - Horizon ES</v>
      </c>
      <c r="B31" s="31" t="str">
        <v>CA</v>
      </c>
      <c r="C31" s="11">
        <v>35846</v>
      </c>
      <c r="D31" s="18" t="s">
        <v>22</v>
      </c>
      <c r="E31" s="18" t="str">
        <f t="shared" si="4"/>
        <v/>
      </c>
      <c r="F31" s="19" t="str">
        <f t="shared" si="5"/>
        <v/>
      </c>
      <c r="G31" s="20">
        <v>39744.47</v>
      </c>
      <c r="H31" s="20">
        <f t="shared" si="6"/>
        <v>-3898.4700000000012</v>
      </c>
      <c r="I31" s="19">
        <f t="shared" si="2"/>
        <v>-9.8088362984837918E-2</v>
      </c>
      <c r="J31" s="42" t="s">
        <v>269</v>
      </c>
      <c r="K31" s="101" t="s">
        <v>270</v>
      </c>
      <c r="L31" s="112" t="s">
        <v>271</v>
      </c>
      <c r="M31" s="111"/>
      <c r="N31" s="111"/>
      <c r="O31" s="111"/>
      <c r="P31" s="111"/>
      <c r="Q31" s="111"/>
      <c r="R31" s="111"/>
      <c r="S31" s="111"/>
    </row>
    <row r="32" spans="1:19" ht="15.6">
      <c r="A32" s="28" t="str">
        <v>Greenfield USD - McKee MS</v>
      </c>
      <c r="B32" s="29" t="str">
        <v>CA</v>
      </c>
      <c r="C32" s="24">
        <v>17465</v>
      </c>
      <c r="D32" s="13" t="s">
        <v>22</v>
      </c>
      <c r="E32" s="13" t="str">
        <f t="shared" si="4"/>
        <v/>
      </c>
      <c r="F32" s="14" t="str">
        <f t="shared" si="5"/>
        <v/>
      </c>
      <c r="G32" s="15">
        <v>24293.39</v>
      </c>
      <c r="H32" s="15">
        <f t="shared" si="6"/>
        <v>-6828.3899999999994</v>
      </c>
      <c r="I32" s="16">
        <f t="shared" si="2"/>
        <v>-0.28108016213463827</v>
      </c>
      <c r="J32" s="41" t="s">
        <v>272</v>
      </c>
      <c r="K32" s="41"/>
      <c r="L32" s="111"/>
      <c r="M32" s="111"/>
      <c r="N32" s="111"/>
      <c r="O32" s="111"/>
      <c r="P32" s="111"/>
      <c r="Q32" s="111"/>
      <c r="R32" s="111"/>
      <c r="S32" s="111"/>
    </row>
    <row r="33" spans="1:19" ht="15.6">
      <c r="A33" s="30" t="str">
        <v>Greenfield USD - Plantation ES</v>
      </c>
      <c r="B33" s="31" t="str">
        <v>CA</v>
      </c>
      <c r="C33" s="11">
        <v>16304</v>
      </c>
      <c r="D33" s="18" t="s">
        <v>22</v>
      </c>
      <c r="E33" s="18" t="str">
        <f t="shared" si="4"/>
        <v/>
      </c>
      <c r="F33" s="19" t="str">
        <f t="shared" si="5"/>
        <v/>
      </c>
      <c r="G33" s="20">
        <v>17353.740000000002</v>
      </c>
      <c r="H33" s="20">
        <f t="shared" si="6"/>
        <v>-1049.7400000000016</v>
      </c>
      <c r="I33" s="19">
        <f t="shared" si="2"/>
        <v>-6.0490706902373868E-2</v>
      </c>
      <c r="J33" s="42"/>
      <c r="K33" s="43"/>
      <c r="L33" s="111"/>
      <c r="M33" s="111"/>
      <c r="N33" s="111"/>
      <c r="O33" s="111"/>
      <c r="P33" s="111"/>
      <c r="Q33" s="111"/>
      <c r="R33" s="111"/>
      <c r="S33" s="111"/>
    </row>
    <row r="34" spans="1:19" ht="72.599999999999994">
      <c r="A34" s="28" t="str">
        <v>Greenfield USD - Planz ES</v>
      </c>
      <c r="B34" s="29" t="str">
        <v>CA</v>
      </c>
      <c r="C34" s="24">
        <v>6470</v>
      </c>
      <c r="D34" s="13" t="s">
        <v>22</v>
      </c>
      <c r="E34" s="13" t="str">
        <f t="shared" si="4"/>
        <v/>
      </c>
      <c r="F34" s="14" t="str">
        <f t="shared" si="5"/>
        <v/>
      </c>
      <c r="G34" s="15">
        <v>20901.689999999999</v>
      </c>
      <c r="H34" s="15">
        <f t="shared" si="6"/>
        <v>-14431.689999999999</v>
      </c>
      <c r="I34" s="16">
        <f t="shared" si="2"/>
        <v>-0.69045565215061555</v>
      </c>
      <c r="J34" s="41" t="s">
        <v>273</v>
      </c>
      <c r="K34" s="99" t="s">
        <v>274</v>
      </c>
      <c r="L34" s="112" t="s">
        <v>275</v>
      </c>
      <c r="M34" s="111"/>
      <c r="N34" s="111"/>
      <c r="O34" s="111"/>
      <c r="P34" s="111"/>
      <c r="Q34" s="111"/>
      <c r="R34" s="111"/>
      <c r="S34" s="111"/>
    </row>
    <row r="35" spans="1:19" ht="43.5">
      <c r="A35" s="30" t="str">
        <v>Greenfield USD - Raffaello Palla ES</v>
      </c>
      <c r="B35" s="31" t="str">
        <v>CA</v>
      </c>
      <c r="C35" s="11">
        <v>24268</v>
      </c>
      <c r="D35" s="18" t="s">
        <v>22</v>
      </c>
      <c r="E35" s="18" t="str">
        <f t="shared" si="4"/>
        <v/>
      </c>
      <c r="F35" s="19" t="str">
        <f t="shared" si="5"/>
        <v/>
      </c>
      <c r="G35" s="20">
        <v>43062.63</v>
      </c>
      <c r="H35" s="20">
        <f t="shared" si="6"/>
        <v>-18794.629999999997</v>
      </c>
      <c r="I35" s="19">
        <f t="shared" si="2"/>
        <v>-0.43644872596030476</v>
      </c>
      <c r="J35" s="55" t="s">
        <v>276</v>
      </c>
      <c r="K35" s="101" t="s">
        <v>185</v>
      </c>
      <c r="L35" s="111"/>
      <c r="M35" s="111"/>
      <c r="N35" s="111"/>
      <c r="O35" s="111"/>
      <c r="P35" s="111"/>
      <c r="Q35" s="111"/>
      <c r="R35" s="111"/>
      <c r="S35" s="111"/>
    </row>
    <row r="36" spans="1:19" ht="15.6">
      <c r="A36" s="28" t="str">
        <v>Greenfield USD - Valle Verde ES</v>
      </c>
      <c r="B36" s="29" t="str">
        <v>CA</v>
      </c>
      <c r="C36" s="24">
        <v>40766</v>
      </c>
      <c r="D36" s="13" t="s">
        <v>22</v>
      </c>
      <c r="E36" s="13" t="str">
        <f t="shared" si="4"/>
        <v/>
      </c>
      <c r="F36" s="14" t="str">
        <f t="shared" si="5"/>
        <v/>
      </c>
      <c r="G36" s="15">
        <v>40204.050000000003</v>
      </c>
      <c r="H36" s="15">
        <f t="shared" si="6"/>
        <v>561.94999999999709</v>
      </c>
      <c r="I36" s="16">
        <f t="shared" si="2"/>
        <v>1.3977447545707386E-2</v>
      </c>
      <c r="J36" s="41"/>
      <c r="K36" s="41"/>
      <c r="L36" s="111"/>
      <c r="M36" s="111"/>
      <c r="N36" s="111"/>
      <c r="O36" s="111"/>
      <c r="P36" s="111"/>
      <c r="Q36" s="111"/>
      <c r="R36" s="111"/>
      <c r="S36" s="111"/>
    </row>
    <row r="37" spans="1:19" ht="29.1">
      <c r="A37" s="30" t="str">
        <v>Greenfield USD - W.A. Kendrick ES</v>
      </c>
      <c r="B37" s="31" t="str">
        <v>CA</v>
      </c>
      <c r="C37" s="11">
        <v>0</v>
      </c>
      <c r="D37" s="18" t="s">
        <v>22</v>
      </c>
      <c r="E37" s="18" t="str">
        <f t="shared" si="4"/>
        <v/>
      </c>
      <c r="F37" s="19" t="str">
        <f t="shared" si="5"/>
        <v/>
      </c>
      <c r="G37" s="20">
        <v>15487.84</v>
      </c>
      <c r="H37" s="20">
        <f t="shared" si="6"/>
        <v>-15487.84</v>
      </c>
      <c r="I37" s="19">
        <f t="shared" si="2"/>
        <v>-1</v>
      </c>
      <c r="J37" s="42" t="s">
        <v>130</v>
      </c>
      <c r="K37" s="101" t="s">
        <v>50</v>
      </c>
      <c r="L37" s="111"/>
      <c r="M37" s="111"/>
      <c r="N37" s="111"/>
      <c r="O37" s="111"/>
      <c r="P37" s="111"/>
      <c r="Q37" s="111"/>
      <c r="R37" s="111"/>
      <c r="S37" s="111"/>
    </row>
    <row r="38" spans="1:19" ht="57.95">
      <c r="A38" s="28" t="str">
        <v>Muroc Joint USD - Boron HS</v>
      </c>
      <c r="B38" s="29" t="str">
        <v>CA</v>
      </c>
      <c r="C38" s="24">
        <v>0</v>
      </c>
      <c r="D38" s="13" t="s">
        <v>22</v>
      </c>
      <c r="E38" s="13" t="str">
        <f t="shared" si="4"/>
        <v/>
      </c>
      <c r="F38" s="14" t="str">
        <f t="shared" si="5"/>
        <v/>
      </c>
      <c r="G38" s="15">
        <v>37116.29</v>
      </c>
      <c r="H38" s="15">
        <f t="shared" si="6"/>
        <v>-37116.29</v>
      </c>
      <c r="I38" s="16">
        <f t="shared" si="2"/>
        <v>-1</v>
      </c>
      <c r="J38" s="41" t="s">
        <v>51</v>
      </c>
      <c r="K38" s="99" t="s">
        <v>131</v>
      </c>
      <c r="L38" s="112" t="s">
        <v>132</v>
      </c>
      <c r="M38" s="112" t="s">
        <v>53</v>
      </c>
      <c r="N38" s="112" t="s">
        <v>54</v>
      </c>
      <c r="O38" s="111"/>
      <c r="P38" s="111"/>
      <c r="Q38" s="111"/>
      <c r="R38" s="111"/>
      <c r="S38" s="111"/>
    </row>
    <row r="39" spans="1:19" ht="15.6">
      <c r="A39" s="30" t="str">
        <v>Muroc Joint USD - W. Boron ES</v>
      </c>
      <c r="B39" s="31" t="str">
        <v>CA</v>
      </c>
      <c r="C39" s="11">
        <v>13726</v>
      </c>
      <c r="D39" s="18" t="s">
        <v>22</v>
      </c>
      <c r="E39" s="18" t="str">
        <f t="shared" si="4"/>
        <v/>
      </c>
      <c r="F39" s="19" t="str">
        <f t="shared" si="5"/>
        <v/>
      </c>
      <c r="G39" s="20">
        <v>13684.78</v>
      </c>
      <c r="H39" s="20">
        <f t="shared" si="6"/>
        <v>41.219999999999345</v>
      </c>
      <c r="I39" s="19">
        <f t="shared" si="2"/>
        <v>3.0121054193051949E-3</v>
      </c>
      <c r="J39" s="42"/>
      <c r="K39" s="43"/>
      <c r="L39" s="111"/>
      <c r="M39" s="111"/>
      <c r="N39" s="111"/>
      <c r="O39" s="111"/>
      <c r="P39" s="111"/>
      <c r="Q39" s="111"/>
      <c r="R39" s="111"/>
      <c r="S39" s="111"/>
    </row>
    <row r="40" spans="1:19" ht="116.1">
      <c r="A40" s="28" t="str">
        <v>Colusa - WTP</v>
      </c>
      <c r="B40" s="29" t="str">
        <v>CA</v>
      </c>
      <c r="C40" s="24">
        <v>0</v>
      </c>
      <c r="D40" s="13" t="s">
        <v>22</v>
      </c>
      <c r="E40" s="13" t="str">
        <f t="shared" si="4"/>
        <v/>
      </c>
      <c r="F40" s="14" t="str">
        <f t="shared" si="5"/>
        <v/>
      </c>
      <c r="G40" s="15">
        <v>54361.94</v>
      </c>
      <c r="H40" s="15">
        <f t="shared" si="6"/>
        <v>-54361.94</v>
      </c>
      <c r="I40" s="16">
        <f t="shared" si="2"/>
        <v>-1</v>
      </c>
      <c r="J40" s="41" t="s">
        <v>277</v>
      </c>
      <c r="K40" s="99" t="s">
        <v>278</v>
      </c>
      <c r="L40" s="112" t="s">
        <v>57</v>
      </c>
      <c r="M40" s="112" t="s">
        <v>58</v>
      </c>
      <c r="N40" s="112" t="s">
        <v>59</v>
      </c>
      <c r="O40" s="112" t="s">
        <v>135</v>
      </c>
      <c r="P40" s="112" t="s">
        <v>279</v>
      </c>
      <c r="Q40" s="111"/>
      <c r="R40" s="111"/>
      <c r="S40" s="111"/>
    </row>
    <row r="41" spans="1:19" ht="26.25" customHeight="1">
      <c r="A41" s="30" t="str">
        <v>CDCR-North Kern State Prision</v>
      </c>
      <c r="B41" s="31" t="str">
        <v>CA</v>
      </c>
      <c r="C41" s="11">
        <v>110856</v>
      </c>
      <c r="D41" s="18" t="s">
        <v>22</v>
      </c>
      <c r="E41" s="18" t="str">
        <f t="shared" si="4"/>
        <v/>
      </c>
      <c r="F41" s="19" t="str">
        <f t="shared" si="5"/>
        <v/>
      </c>
      <c r="G41" s="20">
        <v>209926.89</v>
      </c>
      <c r="H41" s="20">
        <f t="shared" si="6"/>
        <v>-99070.890000000014</v>
      </c>
      <c r="I41" s="19">
        <f t="shared" si="2"/>
        <v>-0.47193044206961771</v>
      </c>
      <c r="J41" s="55" t="s">
        <v>280</v>
      </c>
      <c r="K41" s="101" t="s">
        <v>281</v>
      </c>
      <c r="L41" s="111"/>
      <c r="M41" s="111"/>
      <c r="N41" s="111"/>
      <c r="O41" s="111"/>
      <c r="P41" s="111"/>
      <c r="Q41" s="111"/>
      <c r="R41" s="111"/>
      <c r="S41" s="111"/>
    </row>
    <row r="42" spans="1:19" ht="34.5" customHeight="1">
      <c r="A42" s="28" t="str">
        <v>Muroc Joint USD - District Office</v>
      </c>
      <c r="B42" s="29" t="str">
        <v>CA</v>
      </c>
      <c r="C42" s="24">
        <v>6909</v>
      </c>
      <c r="D42" s="13" t="s">
        <v>22</v>
      </c>
      <c r="E42" s="13" t="str">
        <f t="shared" si="4"/>
        <v/>
      </c>
      <c r="F42" s="14" t="str">
        <f t="shared" si="5"/>
        <v/>
      </c>
      <c r="G42" s="15">
        <v>9656.11</v>
      </c>
      <c r="H42" s="15">
        <f t="shared" si="6"/>
        <v>-2747.1100000000006</v>
      </c>
      <c r="I42" s="16">
        <f t="shared" si="2"/>
        <v>-0.2844944806966781</v>
      </c>
      <c r="J42" s="41" t="s">
        <v>282</v>
      </c>
      <c r="K42" s="41"/>
      <c r="L42" s="111"/>
      <c r="M42" s="111"/>
      <c r="N42" s="111"/>
      <c r="O42" s="111"/>
      <c r="P42" s="111"/>
      <c r="Q42" s="111"/>
      <c r="R42" s="111"/>
      <c r="S42" s="111"/>
    </row>
    <row r="43" spans="1:19" ht="109.5" customHeight="1">
      <c r="A43" s="30" t="str">
        <v>Whole Foods - Manhattan Beach</v>
      </c>
      <c r="B43" s="31" t="str">
        <v>CA</v>
      </c>
      <c r="C43" s="11">
        <v>17007</v>
      </c>
      <c r="D43" s="18" t="s">
        <v>22</v>
      </c>
      <c r="E43" s="18" t="str">
        <f t="shared" si="4"/>
        <v/>
      </c>
      <c r="F43" s="19" t="str">
        <f t="shared" si="5"/>
        <v/>
      </c>
      <c r="G43" s="20">
        <v>21784.09</v>
      </c>
      <c r="H43" s="20">
        <f t="shared" si="6"/>
        <v>-4777.09</v>
      </c>
      <c r="I43" s="19">
        <f t="shared" si="2"/>
        <v>-0.21929261217705215</v>
      </c>
      <c r="J43" s="42" t="s">
        <v>283</v>
      </c>
      <c r="K43" s="101" t="s">
        <v>284</v>
      </c>
      <c r="L43" s="112" t="s">
        <v>285</v>
      </c>
      <c r="M43" s="112" t="s">
        <v>142</v>
      </c>
      <c r="N43" s="111"/>
      <c r="O43" s="111"/>
      <c r="P43" s="111"/>
      <c r="Q43" s="111"/>
      <c r="R43" s="111"/>
      <c r="S43" s="111"/>
    </row>
    <row r="44" spans="1:19" ht="29.1">
      <c r="A44" s="28" t="str">
        <v>Pioneer USD - Frontier ES</v>
      </c>
      <c r="B44" s="29" t="str">
        <v>CA</v>
      </c>
      <c r="C44" s="24">
        <v>30397</v>
      </c>
      <c r="D44" s="13" t="s">
        <v>22</v>
      </c>
      <c r="E44" s="13" t="str">
        <f t="shared" si="4"/>
        <v/>
      </c>
      <c r="F44" s="14" t="str">
        <f t="shared" si="5"/>
        <v/>
      </c>
      <c r="G44" s="15">
        <v>35194.19</v>
      </c>
      <c r="H44" s="15">
        <f t="shared" si="6"/>
        <v>-4797.1900000000023</v>
      </c>
      <c r="I44" s="16">
        <f t="shared" si="2"/>
        <v>-0.13630630510320033</v>
      </c>
      <c r="J44" s="41" t="s">
        <v>143</v>
      </c>
      <c r="K44" s="99" t="s">
        <v>66</v>
      </c>
      <c r="L44" s="111"/>
      <c r="M44" s="111"/>
      <c r="N44" s="111"/>
      <c r="O44" s="111"/>
      <c r="P44" s="111"/>
      <c r="Q44" s="111"/>
      <c r="R44" s="111"/>
      <c r="S44" s="111"/>
    </row>
    <row r="45" spans="1:19" ht="87">
      <c r="A45" s="30" t="str">
        <v>Pioneer USD - Pioneer ES</v>
      </c>
      <c r="B45" s="31" t="str">
        <v>CA</v>
      </c>
      <c r="C45" s="11">
        <v>19143</v>
      </c>
      <c r="D45" s="18" t="s">
        <v>22</v>
      </c>
      <c r="E45" s="18" t="str">
        <f t="shared" si="4"/>
        <v/>
      </c>
      <c r="F45" s="19" t="str">
        <f t="shared" si="5"/>
        <v/>
      </c>
      <c r="G45" s="20">
        <v>35767.49</v>
      </c>
      <c r="H45" s="20">
        <f t="shared" si="6"/>
        <v>-16624.489999999998</v>
      </c>
      <c r="I45" s="19">
        <f t="shared" si="2"/>
        <v>-0.46479330811303782</v>
      </c>
      <c r="J45" s="42" t="s">
        <v>195</v>
      </c>
      <c r="K45" s="103" t="s">
        <v>286</v>
      </c>
      <c r="L45" s="112" t="s">
        <v>69</v>
      </c>
      <c r="M45" s="112" t="s">
        <v>70</v>
      </c>
      <c r="N45" s="112" t="s">
        <v>71</v>
      </c>
      <c r="O45" s="111"/>
      <c r="P45" s="111"/>
      <c r="Q45" s="111"/>
      <c r="R45" s="111"/>
      <c r="S45" s="111"/>
    </row>
    <row r="46" spans="1:19" ht="43.5">
      <c r="A46" s="28" t="str">
        <v>Pioneer USD - Pioneer MS</v>
      </c>
      <c r="B46" s="29" t="str">
        <v>CA</v>
      </c>
      <c r="C46" s="24">
        <v>42437</v>
      </c>
      <c r="D46" s="13" t="s">
        <v>22</v>
      </c>
      <c r="E46" s="13" t="str">
        <f t="shared" si="4"/>
        <v/>
      </c>
      <c r="F46" s="14" t="str">
        <f t="shared" si="5"/>
        <v/>
      </c>
      <c r="G46" s="15">
        <v>47914.68</v>
      </c>
      <c r="H46" s="15">
        <f t="shared" si="6"/>
        <v>-5477.68</v>
      </c>
      <c r="I46" s="16">
        <f t="shared" si="2"/>
        <v>-0.11432153987045307</v>
      </c>
      <c r="J46" s="41" t="s">
        <v>72</v>
      </c>
      <c r="K46" s="99" t="s">
        <v>287</v>
      </c>
      <c r="L46" s="112" t="s">
        <v>74</v>
      </c>
      <c r="M46" s="111"/>
      <c r="N46" s="111"/>
      <c r="O46" s="111"/>
      <c r="P46" s="111"/>
      <c r="Q46" s="111"/>
      <c r="R46" s="111"/>
      <c r="S46" s="111"/>
    </row>
    <row r="47" spans="1:19" ht="184.5" customHeight="1">
      <c r="A47" s="30" t="str">
        <v>Kingsburg Joint UHSD - Kingsburg HS</v>
      </c>
      <c r="B47" s="31" t="str">
        <v>CA</v>
      </c>
      <c r="C47" s="11">
        <v>39526</v>
      </c>
      <c r="D47" s="18" t="s">
        <v>22</v>
      </c>
      <c r="E47" s="18" t="str">
        <f t="shared" si="4"/>
        <v/>
      </c>
      <c r="F47" s="19" t="str">
        <f t="shared" si="5"/>
        <v/>
      </c>
      <c r="G47" s="20">
        <v>90441.64</v>
      </c>
      <c r="H47" s="20">
        <f t="shared" si="6"/>
        <v>-50915.64</v>
      </c>
      <c r="I47" s="19">
        <f t="shared" si="2"/>
        <v>-0.56296679272954364</v>
      </c>
      <c r="J47" s="54" t="s">
        <v>288</v>
      </c>
      <c r="K47" s="101" t="s">
        <v>289</v>
      </c>
      <c r="L47" s="112" t="s">
        <v>77</v>
      </c>
      <c r="M47" s="112" t="s">
        <v>148</v>
      </c>
      <c r="N47" s="112" t="s">
        <v>149</v>
      </c>
      <c r="O47" s="112" t="s">
        <v>78</v>
      </c>
      <c r="P47" s="112" t="s">
        <v>148</v>
      </c>
      <c r="Q47" s="112" t="s">
        <v>290</v>
      </c>
      <c r="R47" s="111"/>
      <c r="S47" s="111"/>
    </row>
    <row r="48" spans="1:19" ht="87">
      <c r="A48" s="28" t="str">
        <v>CADRB</v>
      </c>
      <c r="B48" s="29" t="str">
        <v>CA</v>
      </c>
      <c r="C48" s="24">
        <v>0</v>
      </c>
      <c r="D48" s="13" t="s">
        <v>22</v>
      </c>
      <c r="E48" s="13" t="str">
        <f t="shared" si="4"/>
        <v/>
      </c>
      <c r="F48" s="14" t="str">
        <f t="shared" si="5"/>
        <v/>
      </c>
      <c r="G48" s="15">
        <v>791823</v>
      </c>
      <c r="H48" s="15">
        <f t="shared" si="6"/>
        <v>-791823</v>
      </c>
      <c r="I48" s="16">
        <f t="shared" si="2"/>
        <v>-1</v>
      </c>
      <c r="J48" s="41" t="s">
        <v>291</v>
      </c>
      <c r="K48" s="99" t="s">
        <v>292</v>
      </c>
      <c r="L48" s="112" t="s">
        <v>151</v>
      </c>
      <c r="M48" s="112" t="s">
        <v>293</v>
      </c>
      <c r="N48" s="112" t="s">
        <v>81</v>
      </c>
      <c r="O48" s="112" t="s">
        <v>293</v>
      </c>
      <c r="P48" s="112" t="s">
        <v>82</v>
      </c>
      <c r="Q48" s="111"/>
      <c r="R48" s="111"/>
      <c r="S48" s="111"/>
    </row>
    <row r="49" spans="1:19" ht="45.75" customHeight="1">
      <c r="A49" s="30" t="str">
        <v>CDCR-CA State Prison LA County</v>
      </c>
      <c r="B49" s="31" t="str">
        <v>CA</v>
      </c>
      <c r="C49" s="11">
        <v>301699</v>
      </c>
      <c r="D49" s="18" t="s">
        <v>22</v>
      </c>
      <c r="E49" s="18" t="str">
        <f t="shared" si="4"/>
        <v/>
      </c>
      <c r="F49" s="19" t="str">
        <f t="shared" si="5"/>
        <v/>
      </c>
      <c r="G49" s="20">
        <v>501677.37</v>
      </c>
      <c r="H49" s="20">
        <f t="shared" si="6"/>
        <v>-199978.37</v>
      </c>
      <c r="I49" s="19">
        <f t="shared" si="2"/>
        <v>-0.39861947530142727</v>
      </c>
      <c r="J49" s="42" t="s">
        <v>198</v>
      </c>
      <c r="K49" s="98" t="s">
        <v>199</v>
      </c>
      <c r="L49" s="111"/>
      <c r="M49" s="111"/>
      <c r="N49" s="111"/>
      <c r="O49" s="111"/>
      <c r="P49" s="111"/>
      <c r="Q49" s="111"/>
      <c r="R49" s="111"/>
      <c r="S49" s="111"/>
    </row>
    <row r="50" spans="1:19" ht="86.25" customHeight="1">
      <c r="A50" s="28" t="str">
        <v>Central USD Akers ES</v>
      </c>
      <c r="B50" s="29" t="str">
        <v>CA</v>
      </c>
      <c r="C50" s="24">
        <v>37590</v>
      </c>
      <c r="D50" s="13" t="s">
        <v>22</v>
      </c>
      <c r="E50" s="13" t="str">
        <f t="shared" si="4"/>
        <v/>
      </c>
      <c r="F50" s="14" t="str">
        <f t="shared" si="5"/>
        <v/>
      </c>
      <c r="G50" s="15">
        <v>38046.050000000003</v>
      </c>
      <c r="H50" s="15">
        <f t="shared" si="6"/>
        <v>-456.05000000000291</v>
      </c>
      <c r="I50" s="16">
        <f t="shared" si="2"/>
        <v>-1.1986789693016827E-2</v>
      </c>
      <c r="J50" s="41" t="s">
        <v>294</v>
      </c>
      <c r="K50" s="99" t="s">
        <v>201</v>
      </c>
      <c r="L50" s="112" t="s">
        <v>202</v>
      </c>
      <c r="M50" s="111"/>
      <c r="N50" s="111"/>
      <c r="O50" s="111"/>
      <c r="P50" s="111"/>
      <c r="Q50" s="111"/>
      <c r="R50" s="111"/>
      <c r="S50" s="111"/>
    </row>
    <row r="51" spans="1:19" ht="69.75" customHeight="1">
      <c r="A51" s="30" t="str">
        <v>CUSD - District Office</v>
      </c>
      <c r="B51" s="31" t="str">
        <v>CA</v>
      </c>
      <c r="C51" s="11">
        <v>20936</v>
      </c>
      <c r="D51" s="18" t="s">
        <v>22</v>
      </c>
      <c r="E51" s="18" t="str">
        <f t="shared" si="4"/>
        <v/>
      </c>
      <c r="F51" s="19" t="str">
        <f t="shared" si="5"/>
        <v/>
      </c>
      <c r="G51" s="20">
        <v>31419.67</v>
      </c>
      <c r="H51" s="20">
        <f t="shared" si="6"/>
        <v>-10483.669999999998</v>
      </c>
      <c r="I51" s="19">
        <f t="shared" si="2"/>
        <v>-0.33366582144242757</v>
      </c>
      <c r="J51" s="42" t="s">
        <v>295</v>
      </c>
      <c r="K51" s="101" t="s">
        <v>296</v>
      </c>
      <c r="L51" s="112" t="s">
        <v>297</v>
      </c>
      <c r="M51" s="112" t="s">
        <v>207</v>
      </c>
      <c r="N51" s="111"/>
      <c r="O51" s="111"/>
      <c r="P51" s="111"/>
      <c r="Q51" s="111"/>
      <c r="R51" s="111"/>
      <c r="S51" s="111"/>
    </row>
    <row r="52" spans="1:19" ht="111" customHeight="1">
      <c r="A52" s="28" t="str">
        <v>Parlier - WTP</v>
      </c>
      <c r="B52" s="29" t="str">
        <v>CA</v>
      </c>
      <c r="C52" s="24">
        <v>54539</v>
      </c>
      <c r="D52" s="13" t="s">
        <v>22</v>
      </c>
      <c r="E52" s="13" t="str">
        <f t="shared" si="4"/>
        <v/>
      </c>
      <c r="F52" s="14" t="str">
        <f t="shared" si="5"/>
        <v/>
      </c>
      <c r="G52" s="15">
        <v>91735.31</v>
      </c>
      <c r="H52" s="15">
        <f t="shared" si="6"/>
        <v>-37196.31</v>
      </c>
      <c r="I52" s="16">
        <f t="shared" si="2"/>
        <v>-0.40547429337732654</v>
      </c>
      <c r="J52" s="41" t="s">
        <v>298</v>
      </c>
      <c r="K52" s="99" t="s">
        <v>299</v>
      </c>
      <c r="L52" s="112" t="s">
        <v>300</v>
      </c>
      <c r="M52" s="111"/>
      <c r="N52" s="111"/>
      <c r="O52" s="111"/>
      <c r="P52" s="111"/>
      <c r="Q52" s="111"/>
      <c r="R52" s="111"/>
      <c r="S52" s="111"/>
    </row>
    <row r="53" spans="1:19" ht="72.599999999999994">
      <c r="A53" s="30" t="str">
        <v>Snowline SD - Quail Valley MS</v>
      </c>
      <c r="B53" s="31" t="str">
        <v>CA</v>
      </c>
      <c r="C53" s="11">
        <v>39517</v>
      </c>
      <c r="D53" s="18" t="s">
        <v>22</v>
      </c>
      <c r="E53" s="18" t="str">
        <f t="shared" si="4"/>
        <v/>
      </c>
      <c r="F53" s="19" t="str">
        <f t="shared" si="5"/>
        <v/>
      </c>
      <c r="G53" s="20">
        <v>43263.19</v>
      </c>
      <c r="H53" s="20">
        <f t="shared" si="6"/>
        <v>-3746.1900000000023</v>
      </c>
      <c r="I53" s="19">
        <f t="shared" si="2"/>
        <v>-8.6590702165050756E-2</v>
      </c>
      <c r="J53" s="42" t="s">
        <v>301</v>
      </c>
      <c r="K53" s="101" t="s">
        <v>302</v>
      </c>
      <c r="L53" s="112" t="s">
        <v>303</v>
      </c>
      <c r="M53" s="111"/>
      <c r="N53" s="111"/>
      <c r="O53" s="111"/>
      <c r="P53" s="111"/>
      <c r="Q53" s="111"/>
      <c r="R53" s="111"/>
      <c r="S53" s="111"/>
    </row>
    <row r="54" spans="1:19" ht="15.6">
      <c r="A54" s="28" t="str">
        <v>Snowline SD - Serrano HS - Middle Lot</v>
      </c>
      <c r="B54" s="29" t="str">
        <v>CA</v>
      </c>
      <c r="C54" s="24">
        <v>34848</v>
      </c>
      <c r="D54" s="13" t="s">
        <v>22</v>
      </c>
      <c r="E54" s="13" t="str">
        <f t="shared" si="4"/>
        <v/>
      </c>
      <c r="F54" s="14" t="str">
        <f t="shared" si="5"/>
        <v/>
      </c>
      <c r="G54" s="15">
        <v>55029.14</v>
      </c>
      <c r="H54" s="15">
        <f t="shared" si="6"/>
        <v>-20181.14</v>
      </c>
      <c r="I54" s="16">
        <f t="shared" si="2"/>
        <v>-0.36673551503803259</v>
      </c>
      <c r="J54" s="41" t="s">
        <v>304</v>
      </c>
      <c r="K54" s="41"/>
      <c r="L54" s="111"/>
      <c r="M54" s="111"/>
      <c r="N54" s="111"/>
      <c r="O54" s="111"/>
      <c r="P54" s="111"/>
      <c r="Q54" s="111"/>
      <c r="R54" s="111"/>
      <c r="S54" s="111"/>
    </row>
    <row r="55" spans="1:19" ht="24.75" customHeight="1">
      <c r="A55" s="30" t="str">
        <v>Snowline SD - Pinon Hills ES</v>
      </c>
      <c r="B55" s="31" t="str">
        <v>CA</v>
      </c>
      <c r="C55" s="11">
        <v>12845</v>
      </c>
      <c r="D55" s="18" t="s">
        <v>22</v>
      </c>
      <c r="E55" s="18" t="str">
        <f t="shared" si="4"/>
        <v/>
      </c>
      <c r="F55" s="19" t="str">
        <f t="shared" si="5"/>
        <v/>
      </c>
      <c r="G55" s="20">
        <v>25215.87</v>
      </c>
      <c r="H55" s="20">
        <f t="shared" si="6"/>
        <v>-12370.869999999999</v>
      </c>
      <c r="I55" s="19">
        <f t="shared" si="2"/>
        <v>-0.49059857938671159</v>
      </c>
      <c r="J55" s="55" t="s">
        <v>305</v>
      </c>
      <c r="K55" s="103" t="s">
        <v>306</v>
      </c>
      <c r="L55" s="111"/>
      <c r="M55" s="111"/>
      <c r="N55" s="111"/>
      <c r="O55" s="111"/>
      <c r="P55" s="111"/>
      <c r="Q55" s="111"/>
      <c r="R55" s="111"/>
      <c r="S55" s="111"/>
    </row>
    <row r="56" spans="1:19" ht="15.6">
      <c r="A56" s="28" t="str">
        <v>Ramona - Santa Maria WTP</v>
      </c>
      <c r="B56" s="29" t="str">
        <v>CA</v>
      </c>
      <c r="C56" s="24">
        <v>67314</v>
      </c>
      <c r="D56" s="13" t="s">
        <v>22</v>
      </c>
      <c r="E56" s="13" t="str">
        <f t="shared" si="4"/>
        <v/>
      </c>
      <c r="F56" s="14" t="str">
        <f t="shared" si="5"/>
        <v/>
      </c>
      <c r="G56" s="15">
        <v>83468.89</v>
      </c>
      <c r="H56" s="15">
        <f t="shared" si="6"/>
        <v>-16154.89</v>
      </c>
      <c r="I56" s="16">
        <f t="shared" si="2"/>
        <v>-0.19354384609643185</v>
      </c>
      <c r="J56" s="41" t="s">
        <v>304</v>
      </c>
      <c r="K56" s="41"/>
      <c r="L56" s="111"/>
      <c r="M56" s="111"/>
      <c r="N56" s="111"/>
      <c r="O56" s="111"/>
      <c r="P56" s="111"/>
      <c r="Q56" s="111"/>
      <c r="R56" s="111"/>
      <c r="S56" s="111"/>
    </row>
    <row r="57" spans="1:19" ht="56.25" customHeight="1">
      <c r="A57" s="30" t="str">
        <v>Kohls - Redding</v>
      </c>
      <c r="B57" s="31" t="str">
        <v>CA</v>
      </c>
      <c r="C57" s="11">
        <v>0</v>
      </c>
      <c r="D57" s="18" t="s">
        <v>22</v>
      </c>
      <c r="E57" s="18" t="str">
        <f t="shared" si="4"/>
        <v/>
      </c>
      <c r="F57" s="19" t="str">
        <f t="shared" si="5"/>
        <v/>
      </c>
      <c r="G57" s="20">
        <v>31544.14</v>
      </c>
      <c r="H57" s="20">
        <f t="shared" si="6"/>
        <v>-31544.14</v>
      </c>
      <c r="I57" s="19">
        <f t="shared" si="2"/>
        <v>-1</v>
      </c>
      <c r="J57" s="55" t="s">
        <v>307</v>
      </c>
      <c r="K57" s="101" t="s">
        <v>216</v>
      </c>
      <c r="L57" s="112" t="s">
        <v>95</v>
      </c>
      <c r="M57" s="112" t="s">
        <v>217</v>
      </c>
      <c r="N57" s="111"/>
      <c r="O57" s="111"/>
      <c r="P57" s="111"/>
      <c r="Q57" s="111"/>
      <c r="R57" s="111"/>
      <c r="S57" s="111"/>
    </row>
    <row r="58" spans="1:19" ht="123" customHeight="1">
      <c r="A58" s="28" t="str">
        <v>Kohls - Salinas</v>
      </c>
      <c r="B58" s="29" t="str">
        <v>CA</v>
      </c>
      <c r="C58" s="24">
        <v>34146</v>
      </c>
      <c r="D58" s="13" t="s">
        <v>22</v>
      </c>
      <c r="E58" s="13" t="str">
        <f t="shared" si="4"/>
        <v/>
      </c>
      <c r="F58" s="14" t="str">
        <f t="shared" si="5"/>
        <v/>
      </c>
      <c r="G58" s="15">
        <v>49956.33</v>
      </c>
      <c r="H58" s="15">
        <f t="shared" si="6"/>
        <v>-15810.330000000002</v>
      </c>
      <c r="I58" s="16">
        <f t="shared" si="2"/>
        <v>-0.31648301626640712</v>
      </c>
      <c r="J58" s="41" t="s">
        <v>308</v>
      </c>
      <c r="K58" s="99" t="s">
        <v>309</v>
      </c>
      <c r="L58" s="112" t="s">
        <v>219</v>
      </c>
      <c r="M58" s="112" t="s">
        <v>157</v>
      </c>
      <c r="N58" s="112" t="s">
        <v>100</v>
      </c>
      <c r="O58" s="112" t="s">
        <v>98</v>
      </c>
      <c r="P58" s="112" t="s">
        <v>310</v>
      </c>
      <c r="Q58" s="111"/>
      <c r="R58" s="111"/>
      <c r="S58" s="111"/>
    </row>
    <row r="59" spans="1:19" ht="203.1">
      <c r="A59" s="30" t="str">
        <v>Kohls - San Bernardino - Central</v>
      </c>
      <c r="B59" s="31" t="str">
        <v>CA</v>
      </c>
      <c r="C59" s="11">
        <v>1201</v>
      </c>
      <c r="D59" s="18" t="s">
        <v>22</v>
      </c>
      <c r="E59" s="18" t="str">
        <f t="shared" si="4"/>
        <v/>
      </c>
      <c r="F59" s="19" t="str">
        <f t="shared" si="5"/>
        <v/>
      </c>
      <c r="G59" s="20">
        <v>137860.17000000001</v>
      </c>
      <c r="H59" s="20">
        <f t="shared" si="6"/>
        <v>-136659.17000000001</v>
      </c>
      <c r="I59" s="19">
        <f t="shared" si="2"/>
        <v>-0.99128827419841425</v>
      </c>
      <c r="J59" s="42" t="s">
        <v>311</v>
      </c>
      <c r="K59" s="101" t="s">
        <v>312</v>
      </c>
      <c r="L59" s="112" t="s">
        <v>313</v>
      </c>
      <c r="M59" s="111"/>
      <c r="N59" s="111"/>
      <c r="O59" s="111"/>
      <c r="P59" s="111"/>
      <c r="Q59" s="111"/>
      <c r="R59" s="111"/>
      <c r="S59" s="111"/>
    </row>
    <row r="60" spans="1:19" ht="118.5" customHeight="1">
      <c r="A60" s="28" t="str">
        <v>Kohls - Sonora</v>
      </c>
      <c r="B60" s="29" t="str">
        <v>CA</v>
      </c>
      <c r="C60" s="24">
        <v>28132</v>
      </c>
      <c r="D60" s="13" t="s">
        <v>22</v>
      </c>
      <c r="E60" s="13" t="str">
        <f t="shared" si="4"/>
        <v/>
      </c>
      <c r="F60" s="14" t="str">
        <f t="shared" si="5"/>
        <v/>
      </c>
      <c r="G60" s="15">
        <v>33281.85</v>
      </c>
      <c r="H60" s="15">
        <f t="shared" si="6"/>
        <v>-5149.8499999999985</v>
      </c>
      <c r="I60" s="16">
        <f t="shared" si="2"/>
        <v>-0.15473448741581369</v>
      </c>
      <c r="J60" s="41" t="s">
        <v>158</v>
      </c>
      <c r="K60" s="102" t="s">
        <v>222</v>
      </c>
      <c r="L60" s="112" t="s">
        <v>160</v>
      </c>
      <c r="M60" s="112" t="s">
        <v>103</v>
      </c>
      <c r="N60" s="112" t="s">
        <v>160</v>
      </c>
      <c r="O60" s="112" t="s">
        <v>103</v>
      </c>
      <c r="P60" s="112" t="s">
        <v>160</v>
      </c>
      <c r="Q60" s="111"/>
      <c r="R60" s="111"/>
      <c r="S60" s="111"/>
    </row>
    <row r="61" spans="1:19" ht="15.6">
      <c r="A61" s="30" t="str">
        <v>CUSD - Stratford ES</v>
      </c>
      <c r="B61" s="31" t="str">
        <v>CA</v>
      </c>
      <c r="C61" s="11">
        <v>24848</v>
      </c>
      <c r="D61" s="18" t="s">
        <v>22</v>
      </c>
      <c r="E61" s="18" t="str">
        <f t="shared" si="4"/>
        <v/>
      </c>
      <c r="F61" s="19" t="str">
        <f t="shared" si="5"/>
        <v/>
      </c>
      <c r="G61" s="20">
        <v>23724.43</v>
      </c>
      <c r="H61" s="20">
        <f t="shared" si="6"/>
        <v>1123.5699999999997</v>
      </c>
      <c r="I61" s="19">
        <f t="shared" si="2"/>
        <v>4.7359198935443325E-2</v>
      </c>
      <c r="J61" s="42"/>
      <c r="K61" s="43"/>
      <c r="L61" s="111"/>
      <c r="M61" s="111"/>
      <c r="N61" s="111"/>
      <c r="O61" s="111"/>
      <c r="P61" s="111"/>
      <c r="Q61" s="111"/>
      <c r="R61" s="111"/>
      <c r="S61" s="111"/>
    </row>
    <row r="62" spans="1:19" ht="23.25" customHeight="1">
      <c r="A62" s="28" t="str">
        <v>Taft - City Hall</v>
      </c>
      <c r="B62" s="29" t="str">
        <v>CA</v>
      </c>
      <c r="C62" s="24">
        <v>876</v>
      </c>
      <c r="D62" s="13" t="s">
        <v>22</v>
      </c>
      <c r="E62" s="13" t="str">
        <f t="shared" si="4"/>
        <v/>
      </c>
      <c r="F62" s="14" t="str">
        <f t="shared" si="5"/>
        <v/>
      </c>
      <c r="G62" s="15">
        <v>9524.2900000000009</v>
      </c>
      <c r="H62" s="15">
        <f t="shared" si="6"/>
        <v>-8648.2900000000009</v>
      </c>
      <c r="I62" s="16">
        <f t="shared" si="2"/>
        <v>-0.90802464015690409</v>
      </c>
      <c r="J62" s="41" t="s">
        <v>314</v>
      </c>
      <c r="K62" s="102" t="s">
        <v>224</v>
      </c>
      <c r="L62" s="111"/>
      <c r="M62" s="111"/>
      <c r="N62" s="111"/>
      <c r="O62" s="111"/>
      <c r="P62" s="111"/>
      <c r="Q62" s="111"/>
      <c r="R62" s="111"/>
      <c r="S62" s="111"/>
    </row>
    <row r="63" spans="1:19" ht="15.6">
      <c r="A63" s="30" t="str">
        <v>Taft - Federal Prison</v>
      </c>
      <c r="B63" s="31" t="str">
        <v>CA</v>
      </c>
      <c r="C63" s="11">
        <v>16199</v>
      </c>
      <c r="D63" s="18" t="s">
        <v>22</v>
      </c>
      <c r="E63" s="18" t="str">
        <f t="shared" si="4"/>
        <v/>
      </c>
      <c r="F63" s="19" t="str">
        <f t="shared" si="5"/>
        <v/>
      </c>
      <c r="G63" s="20">
        <v>15175.89</v>
      </c>
      <c r="H63" s="20">
        <f t="shared" si="6"/>
        <v>1023.1100000000006</v>
      </c>
      <c r="I63" s="19">
        <f t="shared" si="2"/>
        <v>6.741680389090858E-2</v>
      </c>
      <c r="J63" s="42"/>
      <c r="K63" s="43"/>
      <c r="L63" s="111"/>
      <c r="M63" s="111"/>
      <c r="N63" s="111"/>
      <c r="O63" s="111"/>
      <c r="P63" s="111"/>
      <c r="Q63" s="111"/>
      <c r="R63" s="111"/>
      <c r="S63" s="111"/>
    </row>
    <row r="64" spans="1:19" ht="15.6">
      <c r="A64" s="28" t="str">
        <v>Taft - Police Department</v>
      </c>
      <c r="B64" s="29" t="str">
        <v>CA</v>
      </c>
      <c r="C64" s="24">
        <v>11295</v>
      </c>
      <c r="D64" s="13" t="s">
        <v>22</v>
      </c>
      <c r="E64" s="13" t="str">
        <f t="shared" si="4"/>
        <v/>
      </c>
      <c r="F64" s="14" t="str">
        <f t="shared" si="5"/>
        <v/>
      </c>
      <c r="G64" s="15">
        <v>10899.77</v>
      </c>
      <c r="H64" s="15">
        <f t="shared" si="6"/>
        <v>395.22999999999956</v>
      </c>
      <c r="I64" s="16">
        <f t="shared" si="2"/>
        <v>3.6260398155190388E-2</v>
      </c>
      <c r="J64" s="41"/>
      <c r="K64" s="41"/>
      <c r="L64" s="111"/>
      <c r="M64" s="111"/>
      <c r="N64" s="111"/>
      <c r="O64" s="111"/>
      <c r="P64" s="111"/>
      <c r="Q64" s="111"/>
      <c r="R64" s="111"/>
      <c r="S64" s="111"/>
    </row>
    <row r="65" spans="1:19" ht="81.75" customHeight="1">
      <c r="A65" s="30" t="str">
        <v>Taft - WTP</v>
      </c>
      <c r="B65" s="31" t="str">
        <v>CA</v>
      </c>
      <c r="C65" s="11">
        <v>876</v>
      </c>
      <c r="D65" s="18" t="s">
        <v>22</v>
      </c>
      <c r="E65" s="18" t="str">
        <f t="shared" si="4"/>
        <v/>
      </c>
      <c r="F65" s="19" t="str">
        <f t="shared" si="5"/>
        <v/>
      </c>
      <c r="G65" s="20">
        <v>9524.2900000000009</v>
      </c>
      <c r="H65" s="20">
        <f t="shared" si="6"/>
        <v>-8648.2900000000009</v>
      </c>
      <c r="I65" s="19">
        <f t="shared" si="2"/>
        <v>-0.90802464015690409</v>
      </c>
      <c r="J65" s="42" t="s">
        <v>315</v>
      </c>
      <c r="K65" s="101" t="s">
        <v>316</v>
      </c>
      <c r="L65" s="112" t="s">
        <v>317</v>
      </c>
      <c r="M65" s="112" t="s">
        <v>317</v>
      </c>
      <c r="N65" s="111"/>
      <c r="O65" s="111"/>
      <c r="P65" s="111"/>
      <c r="Q65" s="111"/>
      <c r="R65" s="111"/>
      <c r="S65" s="111"/>
    </row>
    <row r="66" spans="1:19" ht="78" customHeight="1">
      <c r="A66" s="28" t="str">
        <v>CDCR - CA Correctional Institution</v>
      </c>
      <c r="B66" s="29" t="str">
        <v>CA</v>
      </c>
      <c r="C66" s="24">
        <v>193202</v>
      </c>
      <c r="D66" s="13" t="s">
        <v>22</v>
      </c>
      <c r="E66" s="13" t="str">
        <f t="shared" si="4"/>
        <v/>
      </c>
      <c r="F66" s="14" t="str">
        <f t="shared" si="5"/>
        <v/>
      </c>
      <c r="G66" s="15">
        <v>221609.78</v>
      </c>
      <c r="H66" s="15">
        <f t="shared" si="6"/>
        <v>-28407.78</v>
      </c>
      <c r="I66" s="16">
        <f t="shared" si="2"/>
        <v>-0.12818829566095863</v>
      </c>
      <c r="J66" s="41" t="s">
        <v>318</v>
      </c>
      <c r="K66" s="99" t="s">
        <v>319</v>
      </c>
      <c r="L66" s="112" t="s">
        <v>110</v>
      </c>
      <c r="M66" s="112" t="s">
        <v>320</v>
      </c>
      <c r="N66" s="111"/>
      <c r="O66" s="111"/>
      <c r="P66" s="111"/>
      <c r="Q66" s="111"/>
      <c r="R66" s="111"/>
      <c r="S66" s="111"/>
    </row>
    <row r="67" spans="1:19" ht="288" customHeight="1">
      <c r="A67" s="30" t="str">
        <v>CDCR - CA Correctional Institution II</v>
      </c>
      <c r="B67" s="31" t="str">
        <v>CA</v>
      </c>
      <c r="C67" s="11">
        <v>140791</v>
      </c>
      <c r="D67" s="18" t="s">
        <v>22</v>
      </c>
      <c r="E67" s="18" t="str">
        <f t="shared" si="4"/>
        <v/>
      </c>
      <c r="F67" s="19" t="str">
        <f t="shared" si="5"/>
        <v/>
      </c>
      <c r="G67" s="20">
        <v>317401.68</v>
      </c>
      <c r="H67" s="20">
        <f t="shared" si="6"/>
        <v>-176610.68</v>
      </c>
      <c r="I67" s="19">
        <f t="shared" si="2"/>
        <v>-0.5564264184108918</v>
      </c>
      <c r="J67" s="55" t="s">
        <v>321</v>
      </c>
      <c r="K67" s="101" t="s">
        <v>322</v>
      </c>
      <c r="L67" s="112" t="s">
        <v>113</v>
      </c>
      <c r="M67" s="112" t="s">
        <v>323</v>
      </c>
      <c r="N67" s="112" t="s">
        <v>234</v>
      </c>
      <c r="O67" s="112" t="s">
        <v>324</v>
      </c>
      <c r="P67" s="111"/>
      <c r="Q67" s="111"/>
      <c r="R67" s="111"/>
      <c r="S67" s="111"/>
    </row>
    <row r="68" spans="1:19" ht="54.75" customHeight="1">
      <c r="A68" s="28" t="str">
        <v>Snowline SD - Vista Verde ES</v>
      </c>
      <c r="B68" s="29" t="str">
        <v>CA</v>
      </c>
      <c r="C68" s="24">
        <v>15985</v>
      </c>
      <c r="D68" s="13" t="s">
        <v>22</v>
      </c>
      <c r="E68" s="13" t="str">
        <f t="shared" si="4"/>
        <v/>
      </c>
      <c r="F68" s="14" t="str">
        <f t="shared" si="5"/>
        <v/>
      </c>
      <c r="G68" s="15">
        <v>31954.52</v>
      </c>
      <c r="H68" s="15">
        <f t="shared" si="6"/>
        <v>-15969.52</v>
      </c>
      <c r="I68" s="16">
        <f t="shared" si="2"/>
        <v>-0.49975778074588512</v>
      </c>
      <c r="J68" s="41" t="s">
        <v>325</v>
      </c>
      <c r="K68" s="99" t="s">
        <v>326</v>
      </c>
      <c r="L68" s="111"/>
      <c r="M68" s="111"/>
      <c r="N68" s="111"/>
      <c r="O68" s="111"/>
      <c r="P68" s="111"/>
      <c r="Q68" s="111"/>
      <c r="R68" s="111"/>
      <c r="S68" s="111"/>
    </row>
    <row r="69" spans="1:19" ht="43.5">
      <c r="A69" s="30" t="str">
        <v>North Stonington</v>
      </c>
      <c r="B69" s="31" t="str">
        <v>CT</v>
      </c>
      <c r="C69" s="11">
        <v>1425880</v>
      </c>
      <c r="D69" s="18" t="s">
        <v>22</v>
      </c>
      <c r="E69" s="18"/>
      <c r="F69" s="19"/>
      <c r="G69" s="92" t="s">
        <v>22</v>
      </c>
      <c r="H69" s="20"/>
      <c r="I69" s="19"/>
      <c r="J69" s="54" t="s">
        <v>327</v>
      </c>
      <c r="K69" s="101" t="s">
        <v>328</v>
      </c>
      <c r="L69" s="111"/>
      <c r="M69" s="111"/>
      <c r="N69" s="111"/>
      <c r="O69" s="111"/>
      <c r="P69" s="111"/>
      <c r="Q69" s="111"/>
      <c r="R69" s="111"/>
      <c r="S69" s="111"/>
    </row>
    <row r="70" spans="1:19" ht="14.45">
      <c r="A70" s="21"/>
      <c r="B70" s="33"/>
      <c r="C70" s="21"/>
      <c r="D70" s="21"/>
      <c r="E70" s="21"/>
      <c r="F70" s="22"/>
      <c r="G70" s="21"/>
      <c r="H70" s="21"/>
      <c r="I70" s="22"/>
      <c r="J70" s="21"/>
      <c r="K70" s="21"/>
    </row>
    <row r="71" spans="1:19" ht="14.45">
      <c r="A71" s="21"/>
      <c r="B71" s="33"/>
      <c r="C71" s="21"/>
      <c r="D71" s="21"/>
      <c r="E71" s="21"/>
      <c r="F71" s="22"/>
      <c r="G71" s="21"/>
      <c r="H71" s="21"/>
      <c r="I71" s="22"/>
      <c r="J71" s="21"/>
      <c r="K71" s="21"/>
    </row>
    <row r="72" spans="1:19" ht="14.45">
      <c r="A72" s="21"/>
      <c r="B72" s="33"/>
      <c r="C72" s="21"/>
      <c r="D72" s="21"/>
      <c r="E72" s="21"/>
      <c r="F72" s="22"/>
      <c r="G72" s="21"/>
      <c r="H72" s="21"/>
      <c r="I72" s="22"/>
      <c r="J72" s="21"/>
      <c r="K72" s="21"/>
    </row>
    <row r="73" spans="1:19" ht="14.45">
      <c r="A73" s="21"/>
      <c r="B73" s="33"/>
      <c r="C73" s="21"/>
      <c r="D73" s="21"/>
      <c r="E73" s="21"/>
      <c r="F73" s="22"/>
      <c r="G73" s="21"/>
      <c r="H73" s="21"/>
      <c r="I73" s="22"/>
      <c r="J73" s="21"/>
      <c r="K73" s="21"/>
    </row>
    <row r="74" spans="1:19" ht="14.45">
      <c r="A74" s="21"/>
      <c r="B74" s="33"/>
      <c r="C74" s="21"/>
      <c r="D74" s="21"/>
      <c r="E74" s="21"/>
      <c r="F74" s="22"/>
      <c r="G74" s="21"/>
      <c r="H74" s="21"/>
      <c r="I74" s="22"/>
      <c r="J74" s="21"/>
      <c r="K74" s="21"/>
    </row>
    <row r="75" spans="1:19" ht="14.45">
      <c r="A75" s="21"/>
      <c r="B75" s="33"/>
      <c r="C75" s="21"/>
      <c r="D75" s="21"/>
      <c r="E75" s="21"/>
      <c r="F75" s="22"/>
      <c r="G75" s="21"/>
      <c r="H75" s="21"/>
      <c r="I75" s="22"/>
      <c r="J75" s="21"/>
      <c r="K75" s="21"/>
    </row>
    <row r="76" spans="1:19" ht="14.45">
      <c r="A76" s="21"/>
      <c r="B76" s="33"/>
      <c r="C76" s="21"/>
      <c r="D76" s="21"/>
      <c r="E76" s="21"/>
      <c r="F76" s="22"/>
      <c r="G76" s="21"/>
      <c r="H76" s="21"/>
      <c r="I76" s="22"/>
      <c r="J76" s="21"/>
      <c r="K76" s="21"/>
    </row>
    <row r="77" spans="1:19" ht="14.45">
      <c r="A77" s="21"/>
      <c r="B77" s="33"/>
      <c r="C77" s="21"/>
      <c r="D77" s="21"/>
      <c r="E77" s="21"/>
      <c r="F77" s="22"/>
      <c r="G77" s="21"/>
      <c r="H77" s="21"/>
      <c r="I77" s="22"/>
      <c r="J77" s="21"/>
      <c r="K77" s="21"/>
    </row>
    <row r="78" spans="1:19" ht="14.45">
      <c r="A78" s="21"/>
      <c r="B78" s="33"/>
      <c r="C78" s="21"/>
      <c r="D78" s="21"/>
      <c r="E78" s="21"/>
      <c r="F78" s="22"/>
      <c r="G78" s="21"/>
      <c r="H78" s="21"/>
      <c r="I78" s="22"/>
      <c r="J78" s="21"/>
      <c r="K78" s="21"/>
    </row>
    <row r="79" spans="1:19" ht="14.45">
      <c r="A79" s="21"/>
      <c r="B79" s="33"/>
      <c r="C79" s="21"/>
      <c r="D79" s="21"/>
      <c r="E79" s="21"/>
      <c r="F79" s="22"/>
      <c r="G79" s="21"/>
      <c r="H79" s="21"/>
      <c r="I79" s="22"/>
      <c r="J79" s="21"/>
      <c r="K79" s="21"/>
    </row>
    <row r="80" spans="1:19"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40" priority="3" stopIfTrue="1" operator="lessThanOrEqual">
      <formula>-0.1</formula>
    </cfRule>
    <cfRule type="expression" dxfId="39" priority="4">
      <formula>AND(ISNUMBER(F2), F2&gt;=0.1)</formula>
    </cfRule>
  </conditionalFormatting>
  <conditionalFormatting sqref="F4:F100 I4:I100">
    <cfRule type="cellIs" dxfId="38" priority="1" stopIfTrue="1" operator="lessThanOrEqual">
      <formula>-0.1</formula>
    </cfRule>
    <cfRule type="expression" dxfId="37" priority="2">
      <formula>AND(ISNUMBER(F4), F4&gt;=0.1)</formula>
    </cfRule>
  </conditionalFormatting>
  <hyperlinks>
    <hyperlink ref="K6" r:id="rId1" display="https://us3.assetplanner.com/service_request?ID=098590" xr:uid="{16C15586-E4CB-41DB-A78E-0CCA7702FD7F}"/>
    <hyperlink ref="K8" r:id="rId2" display="https://us3.assetplanner.com/service_request?ID=096145" xr:uid="{67C3A21D-1B01-4D9F-87EF-C29F3DB77050}"/>
    <hyperlink ref="L8" r:id="rId3" display="https://us3.assetplanner.com/service_request?ID=096237" xr:uid="{785EF9D5-859D-4C8D-B1BA-3EE1F10C0A80}"/>
    <hyperlink ref="M8" r:id="rId4" display="https://us3.assetplanner.com/service_request?ID=095177" xr:uid="{713316C5-C6E0-4261-8D29-C742766BB503}"/>
    <hyperlink ref="K10" r:id="rId5" display="https://us3.assetplanner.com/service_request?ID=100632" xr:uid="{691CDF22-4333-4D82-BFD3-44FBA745D0FC}"/>
    <hyperlink ref="K22" r:id="rId6" display="https://us3.assetplanner.com/service_request?ID=093861" xr:uid="{93FBF8AE-0BD0-41C2-9229-1D1F402CAB5A}"/>
    <hyperlink ref="L22" r:id="rId7" display="https://us3.assetplanner.com/service_request?ID=100060" xr:uid="{EC4545AC-7871-467D-A455-0A448580E36D}"/>
    <hyperlink ref="K23" r:id="rId8" display="https://us3.assetplanner.com/service_request?ID=095623" xr:uid="{4BA203B6-E773-42F5-844A-686FA0F90564}"/>
    <hyperlink ref="L23" r:id="rId9" display="https://us3.assetplanner.com/service_request?ID=098185" xr:uid="{51753CE6-8FFC-4559-AA77-715E10AECA1B}"/>
    <hyperlink ref="M23" r:id="rId10" display="https://us3.assetplanner.com/service_request?ID=099451" xr:uid="{8800BD5A-097C-4EE9-AD67-DB9F99C2721A}"/>
    <hyperlink ref="K26" r:id="rId11" display="https://us3.assetplanner.com/service_request?ID=098973" xr:uid="{CC2D6D68-42A1-4E36-A846-DEFE12368772}"/>
    <hyperlink ref="K27" r:id="rId12" display="https://us3.assetplanner.com/service_request?ID=099380" xr:uid="{06141A57-B3B0-499D-9C51-150847A60D04}"/>
    <hyperlink ref="K29" r:id="rId13" display="https://us3.assetplanner.com/service_request?ID=100011" xr:uid="{49F8D21F-FCFD-4E45-ADB4-3742F749F851}"/>
    <hyperlink ref="K30" r:id="rId14" display="https://us3.assetplanner.com/service_request?ID=100743" xr:uid="{5D4FDC31-28BA-4EB1-9436-30461F72750B}"/>
    <hyperlink ref="L30" r:id="rId15" display="https://us3.assetplanner.com/service_request?ID=092112" xr:uid="{B3A766E9-DEE9-4A67-9299-F967936C1F03}"/>
    <hyperlink ref="M30" r:id="rId16" display="https://us3.assetplanner.com/service_request?ID=089763" xr:uid="{BC04ACA1-714F-43A2-9365-CCB827B74C9E}"/>
    <hyperlink ref="K31" r:id="rId17" display="https://us3.assetplanner.com/service_request?ID=099725" xr:uid="{7DB3C6CD-8850-4ED3-A90A-ACE744E85561}"/>
    <hyperlink ref="L31" r:id="rId18" display="https://us3.assetplanner.com/service_request?ID=100459" xr:uid="{95DD5EBF-2E00-4EA7-BA6F-5EABDB46528D}"/>
    <hyperlink ref="K34" r:id="rId19" display="https://us3.assetplanner.com/service_request?ID=092298" xr:uid="{010A0798-BB2E-4786-B272-FE43747AFAAB}"/>
    <hyperlink ref="L34" r:id="rId20" display="https://us3.assetplanner.com/service_request?ID=099912" xr:uid="{4857C847-CA2A-4678-968E-7848E17C1058}"/>
    <hyperlink ref="K35" r:id="rId21" display="https://us3.assetplanner.com/service_request?ID=099206" xr:uid="{26F3A504-3DBD-447C-A631-CDE7DA38ACA6}"/>
    <hyperlink ref="K37" r:id="rId22" display="https://us3.assetplanner.com/service_request?ID=094440" xr:uid="{0C865A1D-413C-478F-9A3A-546458B64D8D}"/>
    <hyperlink ref="K38" r:id="rId23" display="https://us3.assetplanner.com/service_request?ID=095163" xr:uid="{56CA462F-C7A9-4B5D-BE7E-D9F91E0A1DFB}"/>
    <hyperlink ref="L38" r:id="rId24" display="https://us3.assetplanner.com/service_request?ID=092023" xr:uid="{103F3F4A-1414-4090-9A1A-64D95AE20039}"/>
    <hyperlink ref="M38" r:id="rId25" display="https://us3.assetplanner.com/service_request?ID=089707" xr:uid="{2A623F31-118E-4D8E-926C-4018F56EDF3C}"/>
    <hyperlink ref="N38" r:id="rId26" display="https://us3.assetplanner.com/service_request?ID=093065" xr:uid="{8BCDAB69-F07E-4642-9728-2D018628910E}"/>
    <hyperlink ref="K40" r:id="rId27" display="https://us3.assetplanner.com/service_request?ID=089464" xr:uid="{CD46A9D6-8841-4BFD-8DB2-357B61865F9F}"/>
    <hyperlink ref="L40" r:id="rId28" display="https://us3.assetplanner.com/service_request?ID=093180" xr:uid="{3A07709A-DC2E-4FFF-A003-903628C194FB}"/>
    <hyperlink ref="M40" r:id="rId29" display="https://us3.assetplanner.com/service_request?ID=093174" xr:uid="{1088ACF4-3F1A-4D43-8228-8C808EA9FCB4}"/>
    <hyperlink ref="N40" r:id="rId30" display="https://us3.assetplanner.com/service_request?ID=095356" xr:uid="{8AF09753-D493-452B-AE6E-1F0DFF134F37}"/>
    <hyperlink ref="O40" r:id="rId31" display="https://us3.assetplanner.com/service_request?ID=096916" xr:uid="{ACB1B4E6-7222-42F6-A24B-F3F8BB2521FA}"/>
    <hyperlink ref="P40" r:id="rId32" display="https://us3.assetplanner.com/service_request?ID=100537" xr:uid="{EA641ED2-E812-470A-9DDF-AA8C8D8822D2}"/>
    <hyperlink ref="K41" r:id="rId33" display="https://us3.assetplanner.com/service_request?ID=092753" xr:uid="{92FEC746-2565-4B13-97AD-C37E2C80CC26}"/>
    <hyperlink ref="K43" r:id="rId34" display="https://us3.assetplanner.com/service_request?ID=090375" xr:uid="{364679C5-74D9-4D43-A969-9482093870BA}"/>
    <hyperlink ref="L43" r:id="rId35" display="https://us3.assetplanner.com/service_request?ID=089461" xr:uid="{9E6D7552-7BDB-43F6-B1F5-CFAB0BA17DA4}"/>
    <hyperlink ref="M43" r:id="rId36" display="https://us3.assetplanner.com/service_request?ID=098018" xr:uid="{133DECA3-522B-41DA-8C29-8AB33FD03819}"/>
    <hyperlink ref="K44" r:id="rId37" display="https://us3.assetplanner.com/service_request?ID=092276" xr:uid="{3C53075F-B765-4106-BA3C-5336B249D581}"/>
    <hyperlink ref="K45" r:id="rId38" display="https://us3.assetplanner.com/service_request?ID=085968" xr:uid="{BBB33E71-76D3-4667-9DA4-B19A9264247F}"/>
    <hyperlink ref="L45" r:id="rId39" display="https://us3.assetplanner.com/service_request?ID=092256" xr:uid="{5F9CFE7D-6085-4F4A-ADCA-505D9A1F6974}"/>
    <hyperlink ref="M45" r:id="rId40" display="https://us3.assetplanner.com/service_request?ID=090090" xr:uid="{3C9E8D2D-AEE3-4BB6-AF0B-1D96C47B791A}"/>
    <hyperlink ref="N45" r:id="rId41" display="https://us3.assetplanner.com/service_request?ID=095592" xr:uid="{19AA2FE3-857F-49F9-A175-7DA3259D808E}"/>
    <hyperlink ref="K46" r:id="rId42" display="https://us3.assetplanner.com/service_request?ID=089470" xr:uid="{2586645C-A166-4B5A-A248-A6B22156934E}"/>
    <hyperlink ref="L46" r:id="rId43" display="https://us3.assetplanner.com/service_request?ID=092603" xr:uid="{67049C6A-4EFB-47A6-B6FF-223FBE6007AE}"/>
    <hyperlink ref="K47" r:id="rId44" display="https://us3.assetplanner.com/service_request?ID=089612" xr:uid="{F849D23A-0125-4F33-9CEA-6EA2B3A5E787}"/>
    <hyperlink ref="L47" r:id="rId45" display="https://us3.assetplanner.com/service_request?ID=095339" xr:uid="{5C34BE79-DD4E-4EB9-AF8E-4CBD17DEE52A}"/>
    <hyperlink ref="M47" r:id="rId46" display="https://us3.assetplanner.com/service_request?ID=095385" xr:uid="{803F956C-B198-4BA8-BEB6-24FD8E9BB2FB}"/>
    <hyperlink ref="N47" r:id="rId47" display="https://us3.assetplanner.com/service_request?ID=097012" xr:uid="{A149630A-5067-42D7-84B5-A8A76F09D24D}"/>
    <hyperlink ref="O47" r:id="rId48" display="https://us3.assetplanner.com/service_request?ID=089612" xr:uid="{5E9C859C-A193-4C44-82EB-F12F5FBA927C}"/>
    <hyperlink ref="P47" r:id="rId49" display="https://us3.assetplanner.com/service_request?ID=095385" xr:uid="{1DA00B06-5A83-4C64-9B82-213C6420A253}"/>
    <hyperlink ref="Q47" r:id="rId50" display="https://us3.assetplanner.com/service_request?ID=099766" xr:uid="{BAED89D0-5717-47A6-A476-25A1CD642629}"/>
    <hyperlink ref="K48" r:id="rId51" display="https://us3.assetplanner.com/service_request?ID=092166" xr:uid="{6CB3176C-C13A-4A33-A473-134CD4D1ADD8}"/>
    <hyperlink ref="L48" r:id="rId52" display="https://us3.assetplanner.com/service_request?ID=097558" xr:uid="{0A8C835C-A883-42E1-8BBC-618BF7F64351}"/>
    <hyperlink ref="M48" r:id="rId53" display="https://us3.assetplanner.com/service_request?ID=098717" xr:uid="{77C3F68F-C94F-423B-8FDF-843C345043FA}"/>
    <hyperlink ref="N48" r:id="rId54" display="https://us3.assetplanner.com/service_request?ID=086220" xr:uid="{D4A2384D-31AE-4806-852B-D86D7B46664D}"/>
    <hyperlink ref="O48" r:id="rId55" display="https://us3.assetplanner.com/service_request?ID=098717" xr:uid="{49F1A999-FF6F-42DA-BC91-E35B297767C2}"/>
    <hyperlink ref="P48" r:id="rId56" display="https://us3.assetplanner.com/service_request?ID=091312" xr:uid="{0B013380-76E8-4F3D-A8C6-159B88A5FED8}"/>
    <hyperlink ref="K49" r:id="rId57" display="https://us3.assetplanner.com/service_request?ID=098397" xr:uid="{A475280D-C5D1-41E0-9B6A-DA35BFEC4901}"/>
    <hyperlink ref="K50" r:id="rId58" display="https://us3.assetplanner.com/service_request?ID=098178" xr:uid="{B5172461-E7F1-4977-89B2-B1FEAB86B4FC}"/>
    <hyperlink ref="L50" r:id="rId59" display="https://us3.assetplanner.com/service_request?ID=090370" xr:uid="{F546F8B8-4AB6-409B-B397-78521A5B7524}"/>
    <hyperlink ref="K51" r:id="rId60" display="https://us3.assetplanner.com/service_request?ID=099747" xr:uid="{AA0313C8-FD2C-4087-83C9-45540A6AEDF9}"/>
    <hyperlink ref="L51" r:id="rId61" display="https://us3.assetplanner.com/service_request?ID=099540" xr:uid="{EF4E18C9-7FF8-4A97-BB8B-F256BE3D0498}"/>
    <hyperlink ref="M51" r:id="rId62" display="https://us3.assetplanner.com/service_request?ID=098177" xr:uid="{69C9B6C8-1BFA-4BC2-B783-64ADF92C173F}"/>
    <hyperlink ref="K52" r:id="rId63" display="https://us3.assetplanner.com/service_request?ID=100064" xr:uid="{480E750C-EF6C-4DE5-86E0-5F8E402F6521}"/>
    <hyperlink ref="L52" r:id="rId64" display="https://us3.assetplanner.com/service_request?ID=100858" xr:uid="{0327B3F8-C58F-4935-905C-C82A3BA78177}"/>
    <hyperlink ref="K53" r:id="rId65" display="https://us3.assetplanner.com/service_request?ID=094545" xr:uid="{B02AC763-D72B-4064-881C-C3945F3950DD}"/>
    <hyperlink ref="L53" r:id="rId66" display="https://us3.assetplanner.com/service_request?ID=100842" xr:uid="{431C6DC9-98CF-4866-9FD2-DC9B9D3E4AE6}"/>
    <hyperlink ref="K55" r:id="rId67" display="https://us3.assetplanner.com/service_request?ID=090734" xr:uid="{DFEB0F89-DC77-4949-8D92-E9C71BF5257E}"/>
    <hyperlink ref="K57" r:id="rId68" display="https://us3.assetplanner.com/service_request?ID=090293" xr:uid="{6E7367AA-3C9F-4716-97CD-8E31A02C653A}"/>
    <hyperlink ref="L57" r:id="rId69" display="https://us3.assetplanner.com/service_request?ID=095854" xr:uid="{F18EFE6B-51A4-466E-8B12-F8730BF8DD21}"/>
    <hyperlink ref="M57" r:id="rId70" display="https://us3.assetplanner.com/service_request?ID=099225" xr:uid="{76A882A3-DA55-49B6-9145-968BBFE02BB7}"/>
    <hyperlink ref="K58" r:id="rId71" display="https://us3.assetplanner.com/service_request?ID=098183" xr:uid="{01AE499A-49BC-4D2A-A6FD-5561938AC0CD}"/>
    <hyperlink ref="L58" r:id="rId72" display="https://us3.assetplanner.com/service_request?ID=095449" xr:uid="{347CC055-E2B7-4805-8771-4C6C55233597}"/>
    <hyperlink ref="M58" r:id="rId73" display="https://us3.assetplanner.com/service_request?ID=093474" xr:uid="{21EB10BE-7B4C-47D3-9641-EA209DE121FA}"/>
    <hyperlink ref="N58" r:id="rId74" display="https://us3.assetplanner.com/service_request?ID=090380" xr:uid="{5E89BADA-419D-404C-B5A8-494A74A34847}"/>
    <hyperlink ref="O58" r:id="rId75" display="https://us3.assetplanner.com/service_request?ID=089474" xr:uid="{EA62EBE8-A684-4159-8FF8-56B2333614CE}"/>
    <hyperlink ref="P58" r:id="rId76" display="https://us3.assetplanner.com/service_request?ID=098183" xr:uid="{9E30CD20-4333-43BE-B1E3-B5AD274DCCA4}"/>
    <hyperlink ref="K59" r:id="rId77" display="https://us3.assetplanner.com/service_request?ID=098826" xr:uid="{6B81DA24-791F-4A4A-B2C8-2A57B5431725}"/>
    <hyperlink ref="L59" r:id="rId78" display="https://us3.assetplanner.com/service_request?ID=099327" xr:uid="{EA5DB467-D189-4976-9F9E-10FFCF1F950F}"/>
    <hyperlink ref="K60" r:id="rId79" display="https://us3.assetplanner.com/service_request?ID=089477" xr:uid="{81DDBB8C-3BE4-43B4-82FF-D5B3A5F69229}"/>
    <hyperlink ref="L60" r:id="rId80" display="https://us3.assetplanner.com/service_request?ID=096348" xr:uid="{101C7423-7BA6-4DE0-86B1-376ECD9E1FF4}"/>
    <hyperlink ref="M60" r:id="rId81" display="https://us3.assetplanner.com/service_request?ID=089477" xr:uid="{0514EBB6-9725-4A9E-9739-5A94E1A72B66}"/>
    <hyperlink ref="N60" r:id="rId82" display="https://us3.assetplanner.com/service_request?ID=096348" xr:uid="{2471F84B-6F83-45E4-B0B8-CF808B020FB3}"/>
    <hyperlink ref="O60" r:id="rId83" display="https://us3.assetplanner.com/service_request?ID=089477" xr:uid="{68EB74D2-F643-468D-B573-464548E0D0DB}"/>
    <hyperlink ref="P60" r:id="rId84" display="https://us3.assetplanner.com/service_request?ID=096348" xr:uid="{AF071ECD-20CD-4E49-972B-18F5D54973E0}"/>
    <hyperlink ref="K65" r:id="rId85" display="https://us3.assetplanner.com/service_request?ID=095559" xr:uid="{05DB2F67-55BA-4E8D-B7B5-CDA969F4E397}"/>
    <hyperlink ref="L65" r:id="rId86" display="https://us3.assetplanner.com/service_request?ID=099641" xr:uid="{623AA5A0-C5E5-439B-AE78-4DDAF2FBB615}"/>
    <hyperlink ref="M65" r:id="rId87" display="https://us3.assetplanner.com/service_request?ID=099641" xr:uid="{4E5CFD82-1B47-44B1-850A-FA4258E0B686}"/>
    <hyperlink ref="K66" r:id="rId88" display="https://us3.assetplanner.com/service_request?ID=092170" xr:uid="{BD6E8CAD-6FFD-4E18-B9DF-FA9378162C67}"/>
    <hyperlink ref="L66" r:id="rId89" display="https://us3.assetplanner.com/service_request?ID=092456" xr:uid="{8F32D3B9-DDA3-4BE6-A3F9-F9C98ED2416D}"/>
    <hyperlink ref="M66" r:id="rId90" display="https://us3.assetplanner.com/service_request?ID=101007" xr:uid="{8B502F7C-73D8-4301-8B1B-47C2A8ACA4DD}"/>
    <hyperlink ref="K67" r:id="rId91" display="https://us3.assetplanner.com/service_request?ID=092171" xr:uid="{3487B4DD-AD88-49B6-B7B9-FA3A0067A074}"/>
    <hyperlink ref="L67" r:id="rId92" display="https://us3.assetplanner.com/service_request?ID=092455" xr:uid="{F94BAB75-0DA3-4A1B-AA0C-2FB9EED80BB1}"/>
    <hyperlink ref="M67" r:id="rId93" display="https://us3.assetplanner.com/service_request?ID=099609" xr:uid="{8C84F3DE-EC67-47A5-A4AD-204B16DA2920}"/>
    <hyperlink ref="N67" r:id="rId94" display="https://us3.assetplanner.com/service_request?ID=098778" xr:uid="{2C46BB4A-678A-4F4B-974F-6BDB827B5334}"/>
    <hyperlink ref="O67" r:id="rId95" display="https://us3.assetplanner.com/service_request?ID=099493" xr:uid="{3DE134BC-1B01-4D58-B692-B297404AB2EE}"/>
    <hyperlink ref="K68" r:id="rId96" display="https://us3.assetplanner.com/service_request?ID=098343" xr:uid="{DD616FE4-E092-4889-8563-52278F96FB90}"/>
    <hyperlink ref="K69" r:id="rId97" display="https://us3.assetplanner.com/service_request?ID=097960" xr:uid="{97C1477E-56BE-4DDC-8E59-0B7A43234BFD}"/>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U342"/>
  <sheetViews>
    <sheetView zoomScale="70" zoomScaleNormal="70" workbookViewId="0">
      <pane xSplit="2" ySplit="3" topLeftCell="C44" activePane="bottomRight" state="frozen"/>
      <selection pane="bottomRight" activeCell="R50" sqref="R50"/>
      <selection pane="bottomLeft" activeCell="J66" sqref="J66"/>
      <selection pane="topRight" activeCell="J66" sqref="J66"/>
    </sheetView>
  </sheetViews>
  <sheetFormatPr defaultRowHeight="14.1"/>
  <cols>
    <col min="1" max="1" width="35.85546875" bestFit="1" customWidth="1"/>
    <col min="2" max="2" width="8.42578125" style="34" customWidth="1"/>
    <col min="3" max="3" width="11.42578125" bestFit="1"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21" width="8.85546875" style="111"/>
  </cols>
  <sheetData>
    <row r="1" spans="1:13" ht="19.5" customHeight="1">
      <c r="A1" s="120" t="str" cm="1">
        <f t="array" ref="A1">portfolio</f>
        <v>Silicon Ranch</v>
      </c>
      <c r="B1" s="120"/>
      <c r="C1" s="120"/>
      <c r="D1" s="121" t="s">
        <v>329</v>
      </c>
      <c r="E1" s="121"/>
      <c r="F1" s="121"/>
      <c r="G1" s="119" t="s">
        <v>330</v>
      </c>
      <c r="H1" s="119"/>
      <c r="I1" s="119"/>
      <c r="J1" s="4"/>
      <c r="K1" s="4"/>
    </row>
    <row r="2" spans="1:13" ht="19.5" customHeight="1">
      <c r="A2" s="122" t="s">
        <v>2</v>
      </c>
      <c r="B2" s="122"/>
      <c r="C2" s="5">
        <f>SUM(C4:C100)</f>
        <v>4475625</v>
      </c>
      <c r="D2" s="5">
        <f>SUM(D4:D100)</f>
        <v>0</v>
      </c>
      <c r="E2" s="5">
        <f>C2-D2</f>
        <v>4475625</v>
      </c>
      <c r="F2" s="6">
        <f>IFERROR(E2/D2, 0)</f>
        <v>0</v>
      </c>
      <c r="G2" s="5">
        <f>SUM(G4:G100)</f>
        <v>5417492.1100000013</v>
      </c>
      <c r="H2" s="7">
        <f>C2-G2</f>
        <v>-941867.11000000127</v>
      </c>
      <c r="I2" s="6">
        <f>IFERROR(H2/G2, 0)</f>
        <v>-0.17385666483231871</v>
      </c>
      <c r="J2" s="26" t="str">
        <f ca="1">IF(AND(TODAY()&gt;DATE(2024, 5, 1), COUNTA(Sites[Site])&lt;&gt;(COUNT(C:C)-1)), "Some sites are missing actual data; if new sites were added, make sure they are aligned correctly (including prior months!)", "")</f>
        <v/>
      </c>
      <c r="K2" s="4"/>
    </row>
    <row r="3" spans="1:13" ht="14.25" customHeight="1">
      <c r="A3" s="8" t="s">
        <v>3</v>
      </c>
      <c r="B3" s="8" t="s">
        <v>4</v>
      </c>
      <c r="C3" s="23" t="s">
        <v>5</v>
      </c>
      <c r="D3" s="35" t="s">
        <v>6</v>
      </c>
      <c r="E3" s="35" t="s">
        <v>7</v>
      </c>
      <c r="F3" s="36" t="s">
        <v>8</v>
      </c>
      <c r="G3" s="37" t="s">
        <v>9</v>
      </c>
      <c r="H3" s="38" t="s">
        <v>7</v>
      </c>
      <c r="I3" s="39" t="s">
        <v>8</v>
      </c>
      <c r="J3" s="25" t="s">
        <v>20</v>
      </c>
      <c r="K3" s="25" t="s">
        <v>21</v>
      </c>
    </row>
    <row r="4" spans="1:13" ht="15.6">
      <c r="A4" s="32" t="str" cm="1">
        <f t="array" ref="A4:A69">Sites[Site]</f>
        <v>Iron Mountain - Windsor</v>
      </c>
      <c r="B4" s="29" t="str" cm="1">
        <f t="array" ref="B4:B69">Sites[State]</f>
        <v>CT</v>
      </c>
      <c r="C4" s="24">
        <v>29586</v>
      </c>
      <c r="D4" s="13" t="s">
        <v>22</v>
      </c>
      <c r="E4" s="13" t="str">
        <f>IF(AND(ISNUMBER(C4),ISNUMBER(D4)), C4-D4, "")</f>
        <v/>
      </c>
      <c r="F4" s="14" t="str">
        <f>IFERROR(E4/D4, "")</f>
        <v/>
      </c>
      <c r="G4" s="15">
        <v>34313.449999999997</v>
      </c>
      <c r="H4" s="15">
        <f>IF(AND(ISNUMBER(C4),ISNUMBER(G4)), C4-G4, "")</f>
        <v>-4727.4499999999971</v>
      </c>
      <c r="I4" s="16">
        <f>IFERROR(H4/G4, "")</f>
        <v>-0.13777250611640618</v>
      </c>
      <c r="J4" s="41" t="s">
        <v>331</v>
      </c>
      <c r="K4" s="41"/>
    </row>
    <row r="5" spans="1:13" ht="15.6">
      <c r="A5" s="30" t="str">
        <v>Kohls - Auburn</v>
      </c>
      <c r="B5" s="31" t="str">
        <v>NY</v>
      </c>
      <c r="C5" s="11">
        <v>31098</v>
      </c>
      <c r="D5" s="18" t="s">
        <v>22</v>
      </c>
      <c r="E5" s="18" t="str">
        <f t="shared" ref="E5:E25" si="0">IF(AND(ISNUMBER(C5),ISNUMBER(D5)), C5-D5, "")</f>
        <v/>
      </c>
      <c r="F5" s="19" t="str">
        <f>IFERROR(E5/D5, "")</f>
        <v/>
      </c>
      <c r="G5" s="20">
        <v>45680.29</v>
      </c>
      <c r="H5" s="20">
        <f t="shared" ref="H5:H17" si="1">IF(AND(ISNUMBER(C5),ISNUMBER(G5)), C5-G5, "")</f>
        <v>-14582.29</v>
      </c>
      <c r="I5" s="19">
        <f t="shared" ref="I5:I68" si="2">IFERROR(H5/G5, "")</f>
        <v>-0.31922498740704142</v>
      </c>
      <c r="J5" s="42" t="s">
        <v>332</v>
      </c>
      <c r="K5" s="42"/>
    </row>
    <row r="6" spans="1:13" ht="130.5">
      <c r="A6" s="28" t="str">
        <v>Kohls - Bensalem</v>
      </c>
      <c r="B6" s="29" t="str">
        <v>PA</v>
      </c>
      <c r="C6" s="24">
        <v>0</v>
      </c>
      <c r="D6" s="13" t="s">
        <v>22</v>
      </c>
      <c r="E6" s="13" t="str">
        <f t="shared" si="0"/>
        <v/>
      </c>
      <c r="F6" s="14" t="str">
        <f t="shared" ref="F6:F17" si="3">IFERROR(E6/D6, "")</f>
        <v/>
      </c>
      <c r="G6" s="15">
        <v>37858.58</v>
      </c>
      <c r="H6" s="15">
        <f t="shared" si="1"/>
        <v>-37858.58</v>
      </c>
      <c r="I6" s="16">
        <f t="shared" si="2"/>
        <v>-1</v>
      </c>
      <c r="J6" s="41" t="s">
        <v>333</v>
      </c>
      <c r="K6" s="99" t="s">
        <v>169</v>
      </c>
    </row>
    <row r="7" spans="1:13" ht="101.45">
      <c r="A7" s="30" t="str">
        <v>Kohls - Brick</v>
      </c>
      <c r="B7" s="31" t="str">
        <v>NJ</v>
      </c>
      <c r="C7" s="11">
        <v>31086</v>
      </c>
      <c r="D7" s="18" t="s">
        <v>22</v>
      </c>
      <c r="E7" s="18" t="str">
        <f t="shared" si="0"/>
        <v/>
      </c>
      <c r="F7" s="19" t="str">
        <f t="shared" si="3"/>
        <v/>
      </c>
      <c r="G7" s="20">
        <v>46381.08</v>
      </c>
      <c r="H7" s="20">
        <f t="shared" si="1"/>
        <v>-15295.080000000002</v>
      </c>
      <c r="I7" s="19">
        <f t="shared" si="2"/>
        <v>-0.32976981131099148</v>
      </c>
      <c r="J7" s="55" t="s">
        <v>334</v>
      </c>
      <c r="K7" s="101" t="s">
        <v>335</v>
      </c>
    </row>
    <row r="8" spans="1:13" ht="57.95">
      <c r="A8" s="28" t="str">
        <v>Kohls - Buffalo</v>
      </c>
      <c r="B8" s="29" t="str">
        <v>NY</v>
      </c>
      <c r="C8" s="24">
        <v>38164</v>
      </c>
      <c r="D8" s="13" t="s">
        <v>22</v>
      </c>
      <c r="E8" s="13" t="str">
        <f t="shared" si="0"/>
        <v/>
      </c>
      <c r="F8" s="14" t="str">
        <f t="shared" si="3"/>
        <v/>
      </c>
      <c r="G8" s="15">
        <v>50993.46</v>
      </c>
      <c r="H8" s="15">
        <f t="shared" si="1"/>
        <v>-12829.46</v>
      </c>
      <c r="I8" s="16">
        <f t="shared" si="2"/>
        <v>-0.25159030197205678</v>
      </c>
      <c r="J8" s="41" t="s">
        <v>336</v>
      </c>
      <c r="K8" s="102" t="s">
        <v>247</v>
      </c>
      <c r="L8" s="112" t="s">
        <v>172</v>
      </c>
      <c r="M8" s="112" t="s">
        <v>28</v>
      </c>
    </row>
    <row r="9" spans="1:13" ht="15.6">
      <c r="A9" s="30" t="str">
        <v>Kohls - Canton</v>
      </c>
      <c r="B9" s="31" t="str">
        <v>CT</v>
      </c>
      <c r="C9" s="11">
        <v>14284</v>
      </c>
      <c r="D9" s="18" t="s">
        <v>22</v>
      </c>
      <c r="E9" s="18" t="str">
        <f t="shared" si="0"/>
        <v/>
      </c>
      <c r="F9" s="19" t="str">
        <f t="shared" si="3"/>
        <v/>
      </c>
      <c r="G9" s="20">
        <v>15305.66</v>
      </c>
      <c r="H9" s="20">
        <f t="shared" si="1"/>
        <v>-1021.6599999999999</v>
      </c>
      <c r="I9" s="19">
        <f t="shared" si="2"/>
        <v>-6.6750470087536234E-2</v>
      </c>
      <c r="J9" s="42"/>
      <c r="K9" s="43"/>
    </row>
    <row r="10" spans="1:13" ht="116.1">
      <c r="A10" s="28" t="str">
        <v>Kohls - East Amherst</v>
      </c>
      <c r="B10" s="29" t="str">
        <v>NY</v>
      </c>
      <c r="C10" s="24">
        <v>26632</v>
      </c>
      <c r="D10" s="13" t="s">
        <v>22</v>
      </c>
      <c r="E10" s="13" t="str">
        <f t="shared" si="0"/>
        <v/>
      </c>
      <c r="F10" s="14" t="str">
        <f t="shared" si="3"/>
        <v/>
      </c>
      <c r="G10" s="15">
        <v>45726.58</v>
      </c>
      <c r="H10" s="15">
        <f t="shared" si="1"/>
        <v>-19094.580000000002</v>
      </c>
      <c r="I10" s="16">
        <f t="shared" si="2"/>
        <v>-0.41758163413926869</v>
      </c>
      <c r="J10" s="41" t="s">
        <v>337</v>
      </c>
      <c r="K10" s="99" t="s">
        <v>249</v>
      </c>
    </row>
    <row r="11" spans="1:13" ht="29.1">
      <c r="A11" s="30" t="str">
        <v>Kohls - East Brunswick</v>
      </c>
      <c r="B11" s="31" t="str">
        <v>NJ</v>
      </c>
      <c r="C11" s="11">
        <v>49282</v>
      </c>
      <c r="D11" s="18" t="s">
        <v>22</v>
      </c>
      <c r="E11" s="18" t="str">
        <f t="shared" si="0"/>
        <v/>
      </c>
      <c r="F11" s="19" t="str">
        <f t="shared" si="3"/>
        <v/>
      </c>
      <c r="G11" s="20">
        <v>59211.63</v>
      </c>
      <c r="H11" s="20">
        <f t="shared" si="1"/>
        <v>-9929.6299999999974</v>
      </c>
      <c r="I11" s="19">
        <f t="shared" si="2"/>
        <v>-0.16769729190025673</v>
      </c>
      <c r="J11" s="55" t="s">
        <v>338</v>
      </c>
      <c r="K11" s="101" t="s">
        <v>339</v>
      </c>
    </row>
    <row r="12" spans="1:13" ht="15.6">
      <c r="A12" s="28" t="str">
        <v>Kohls - Edgewood</v>
      </c>
      <c r="B12" s="29" t="str">
        <v>MD</v>
      </c>
      <c r="C12" s="24">
        <v>263413</v>
      </c>
      <c r="D12" s="13" t="s">
        <v>22</v>
      </c>
      <c r="E12" s="13" t="str">
        <f t="shared" si="0"/>
        <v/>
      </c>
      <c r="F12" s="14" t="str">
        <f t="shared" si="3"/>
        <v/>
      </c>
      <c r="G12" s="15">
        <v>310676.77</v>
      </c>
      <c r="H12" s="15">
        <f t="shared" si="1"/>
        <v>-47263.770000000019</v>
      </c>
      <c r="I12" s="16">
        <f t="shared" si="2"/>
        <v>-0.1521316511691557</v>
      </c>
      <c r="J12" s="41" t="s">
        <v>340</v>
      </c>
      <c r="K12" s="41"/>
    </row>
    <row r="13" spans="1:13" ht="15.6">
      <c r="A13" s="30" t="str">
        <v>Kohls - Granite Run</v>
      </c>
      <c r="B13" s="31" t="str">
        <v>PA</v>
      </c>
      <c r="C13" s="11">
        <v>33132</v>
      </c>
      <c r="D13" s="18" t="s">
        <v>22</v>
      </c>
      <c r="E13" s="18" t="str">
        <f t="shared" si="0"/>
        <v/>
      </c>
      <c r="F13" s="19" t="str">
        <f t="shared" si="3"/>
        <v/>
      </c>
      <c r="G13" s="20">
        <v>37858.03</v>
      </c>
      <c r="H13" s="20">
        <f t="shared" si="1"/>
        <v>-4726.0299999999988</v>
      </c>
      <c r="I13" s="19">
        <f t="shared" si="2"/>
        <v>-0.12483560290907897</v>
      </c>
      <c r="J13" s="42" t="s">
        <v>341</v>
      </c>
      <c r="K13" s="43"/>
    </row>
    <row r="14" spans="1:13" ht="15.6">
      <c r="A14" s="28" t="str">
        <v>Kohls - Greece</v>
      </c>
      <c r="B14" s="29" t="str">
        <v>NY</v>
      </c>
      <c r="C14" s="24">
        <v>32389</v>
      </c>
      <c r="D14" s="13" t="s">
        <v>22</v>
      </c>
      <c r="E14" s="13" t="str">
        <f t="shared" si="0"/>
        <v/>
      </c>
      <c r="F14" s="14" t="str">
        <f t="shared" si="3"/>
        <v/>
      </c>
      <c r="G14" s="15">
        <v>49808.65</v>
      </c>
      <c r="H14" s="15">
        <f t="shared" si="1"/>
        <v>-17419.650000000001</v>
      </c>
      <c r="I14" s="16">
        <f t="shared" si="2"/>
        <v>-0.34973142215257791</v>
      </c>
      <c r="J14" s="41" t="s">
        <v>342</v>
      </c>
      <c r="K14" s="41"/>
    </row>
    <row r="15" spans="1:13" ht="15.6">
      <c r="A15" s="30" t="str">
        <v>Kohls - Hanover</v>
      </c>
      <c r="B15" s="31" t="str">
        <v>PA</v>
      </c>
      <c r="C15" s="11">
        <v>40175</v>
      </c>
      <c r="D15" s="18" t="s">
        <v>22</v>
      </c>
      <c r="E15" s="18" t="str">
        <f t="shared" si="0"/>
        <v/>
      </c>
      <c r="F15" s="19" t="str">
        <f t="shared" si="3"/>
        <v/>
      </c>
      <c r="G15" s="20">
        <v>41915.35</v>
      </c>
      <c r="H15" s="20">
        <f t="shared" si="1"/>
        <v>-1740.3499999999985</v>
      </c>
      <c r="I15" s="19">
        <f t="shared" si="2"/>
        <v>-4.1520588519480303E-2</v>
      </c>
      <c r="J15" s="42"/>
      <c r="K15" s="43"/>
    </row>
    <row r="16" spans="1:13" ht="15.6">
      <c r="A16" s="28" t="str">
        <v>Kohls - Horsehead</v>
      </c>
      <c r="B16" s="29" t="str">
        <v>NY</v>
      </c>
      <c r="C16" s="24">
        <v>27105</v>
      </c>
      <c r="D16" s="13" t="s">
        <v>22</v>
      </c>
      <c r="E16" s="13" t="str">
        <f t="shared" si="0"/>
        <v/>
      </c>
      <c r="F16" s="14" t="str">
        <f t="shared" si="3"/>
        <v/>
      </c>
      <c r="G16" s="15">
        <v>35914.800000000003</v>
      </c>
      <c r="H16" s="15">
        <f t="shared" si="1"/>
        <v>-8809.8000000000029</v>
      </c>
      <c r="I16" s="16">
        <f t="shared" si="2"/>
        <v>-0.2452972033813359</v>
      </c>
      <c r="J16" s="41" t="s">
        <v>343</v>
      </c>
      <c r="K16" s="41"/>
    </row>
    <row r="17" spans="1:13" ht="15.6">
      <c r="A17" s="30" t="str">
        <v>Kohls - Hudson</v>
      </c>
      <c r="B17" s="31" t="str">
        <v>NY</v>
      </c>
      <c r="C17" s="11">
        <v>31815</v>
      </c>
      <c r="D17" s="18" t="s">
        <v>22</v>
      </c>
      <c r="E17" s="18" t="str">
        <f t="shared" si="0"/>
        <v/>
      </c>
      <c r="F17" s="19" t="str">
        <f t="shared" si="3"/>
        <v/>
      </c>
      <c r="G17" s="20">
        <v>35803.72</v>
      </c>
      <c r="H17" s="20">
        <f t="shared" si="1"/>
        <v>-3988.7200000000012</v>
      </c>
      <c r="I17" s="19">
        <f t="shared" si="2"/>
        <v>-0.11140518359544765</v>
      </c>
      <c r="J17" s="42" t="s">
        <v>344</v>
      </c>
      <c r="K17" s="43"/>
    </row>
    <row r="18" spans="1:13" ht="12.75" customHeight="1">
      <c r="A18" s="32" t="str">
        <v>Kohls - Ithaca</v>
      </c>
      <c r="B18" s="29" t="str">
        <v>NY</v>
      </c>
      <c r="C18" s="24">
        <v>28310</v>
      </c>
      <c r="D18" s="13" t="s">
        <v>22</v>
      </c>
      <c r="E18" s="13" t="str">
        <f t="shared" si="0"/>
        <v/>
      </c>
      <c r="F18" s="14"/>
      <c r="G18" s="15">
        <v>41098.379999999997</v>
      </c>
      <c r="H18" s="15">
        <f t="shared" ref="H18:H25" si="4">IF(AND(ISNUMBER(C18),ISNUMBER(G18)), C18-G18, "")</f>
        <v>-12788.379999999997</v>
      </c>
      <c r="I18" s="16">
        <f t="shared" si="2"/>
        <v>-0.31116506295381957</v>
      </c>
      <c r="J18" s="41" t="s">
        <v>345</v>
      </c>
      <c r="K18" s="41"/>
    </row>
    <row r="19" spans="1:13" ht="15.6">
      <c r="A19" s="30" t="str">
        <v>Kohls - Kingston</v>
      </c>
      <c r="B19" s="31" t="str">
        <v>NY</v>
      </c>
      <c r="C19" s="11">
        <v>41330</v>
      </c>
      <c r="D19" s="18" t="s">
        <v>22</v>
      </c>
      <c r="E19" s="18" t="str">
        <f t="shared" si="0"/>
        <v/>
      </c>
      <c r="F19" s="19"/>
      <c r="G19" s="20">
        <v>59092.81</v>
      </c>
      <c r="H19" s="20">
        <f t="shared" si="4"/>
        <v>-17762.809999999998</v>
      </c>
      <c r="I19" s="19">
        <f t="shared" si="2"/>
        <v>-0.30059173019526397</v>
      </c>
      <c r="J19" s="42" t="s">
        <v>346</v>
      </c>
      <c r="K19" s="42"/>
    </row>
    <row r="20" spans="1:13" ht="15.6">
      <c r="A20" s="28" t="str">
        <v>Kohls - Mechanicsburg</v>
      </c>
      <c r="B20" s="29" t="str">
        <v>PA</v>
      </c>
      <c r="C20" s="24">
        <v>43971</v>
      </c>
      <c r="D20" s="13" t="s">
        <v>22</v>
      </c>
      <c r="E20" s="13" t="str">
        <f t="shared" si="0"/>
        <v/>
      </c>
      <c r="F20" s="14"/>
      <c r="G20" s="15">
        <v>48943.99</v>
      </c>
      <c r="H20" s="15">
        <f t="shared" si="4"/>
        <v>-4972.989999999998</v>
      </c>
      <c r="I20" s="16">
        <f t="shared" si="2"/>
        <v>-0.10160573341078237</v>
      </c>
      <c r="J20" s="41" t="s">
        <v>347</v>
      </c>
      <c r="K20" s="41"/>
    </row>
    <row r="21" spans="1:13" ht="101.45">
      <c r="A21" s="30" t="str">
        <v>Kohls - Middletown</v>
      </c>
      <c r="B21" s="31" t="str">
        <v>NJ</v>
      </c>
      <c r="C21" s="11">
        <v>42063</v>
      </c>
      <c r="D21" s="18" t="s">
        <v>22</v>
      </c>
      <c r="E21" s="18" t="str">
        <f t="shared" si="0"/>
        <v/>
      </c>
      <c r="F21" s="19"/>
      <c r="G21" s="20">
        <v>72424.36</v>
      </c>
      <c r="H21" s="20">
        <f t="shared" si="4"/>
        <v>-30361.360000000001</v>
      </c>
      <c r="I21" s="19">
        <f t="shared" si="2"/>
        <v>-0.41921475039613743</v>
      </c>
      <c r="J21" s="42" t="s">
        <v>348</v>
      </c>
      <c r="K21" s="101" t="s">
        <v>349</v>
      </c>
      <c r="L21" s="112" t="s">
        <v>350</v>
      </c>
    </row>
    <row r="22" spans="1:13" ht="29.1">
      <c r="A22" s="28" t="str">
        <v>Kohls - North Amherst</v>
      </c>
      <c r="B22" s="29" t="str">
        <v>NY</v>
      </c>
      <c r="C22" s="24">
        <v>27872</v>
      </c>
      <c r="D22" s="13" t="s">
        <v>22</v>
      </c>
      <c r="E22" s="13" t="str">
        <f t="shared" si="0"/>
        <v/>
      </c>
      <c r="F22" s="14"/>
      <c r="G22" s="15">
        <v>43967.86</v>
      </c>
      <c r="H22" s="15">
        <f t="shared" si="4"/>
        <v>-16095.86</v>
      </c>
      <c r="I22" s="16">
        <f t="shared" si="2"/>
        <v>-0.36608240655788116</v>
      </c>
      <c r="J22" s="41" t="s">
        <v>351</v>
      </c>
      <c r="K22" s="99" t="s">
        <v>352</v>
      </c>
      <c r="L22" s="112" t="s">
        <v>353</v>
      </c>
    </row>
    <row r="23" spans="1:13" ht="72.599999999999994">
      <c r="A23" s="30" t="str">
        <v>Kohls - Staten Island</v>
      </c>
      <c r="B23" s="31" t="str">
        <v>NY</v>
      </c>
      <c r="C23" s="11">
        <v>29967</v>
      </c>
      <c r="D23" s="18" t="s">
        <v>22</v>
      </c>
      <c r="E23" s="18" t="str">
        <f t="shared" si="0"/>
        <v/>
      </c>
      <c r="F23" s="19"/>
      <c r="G23" s="20">
        <v>41334.61</v>
      </c>
      <c r="H23" s="20">
        <f t="shared" si="4"/>
        <v>-11367.61</v>
      </c>
      <c r="I23" s="19">
        <f t="shared" si="2"/>
        <v>-0.2750143281864762</v>
      </c>
      <c r="J23" s="55" t="s">
        <v>354</v>
      </c>
      <c r="K23" s="101" t="s">
        <v>355</v>
      </c>
      <c r="L23" s="112" t="s">
        <v>39</v>
      </c>
    </row>
    <row r="24" spans="1:13" ht="15.6">
      <c r="A24" s="28" t="str">
        <v>Kohls - Warminster</v>
      </c>
      <c r="B24" s="29" t="str">
        <v>PA</v>
      </c>
      <c r="C24" s="24">
        <v>44971</v>
      </c>
      <c r="D24" s="13" t="s">
        <v>22</v>
      </c>
      <c r="E24" s="13" t="str">
        <f t="shared" si="0"/>
        <v/>
      </c>
      <c r="F24" s="14"/>
      <c r="G24" s="15">
        <v>46156.09</v>
      </c>
      <c r="H24" s="15">
        <f t="shared" si="4"/>
        <v>-1185.0899999999965</v>
      </c>
      <c r="I24" s="16">
        <f t="shared" si="2"/>
        <v>-2.5675701732967342E-2</v>
      </c>
      <c r="J24" s="41"/>
      <c r="K24" s="41"/>
    </row>
    <row r="25" spans="1:13" ht="29.1">
      <c r="A25" s="30" t="str">
        <v xml:space="preserve">Kohls - Waterbury </v>
      </c>
      <c r="B25" s="31" t="str">
        <v>CT</v>
      </c>
      <c r="C25" s="11">
        <v>32687</v>
      </c>
      <c r="D25" s="18" t="s">
        <v>22</v>
      </c>
      <c r="E25" s="18" t="str">
        <f t="shared" si="0"/>
        <v/>
      </c>
      <c r="F25" s="19"/>
      <c r="G25" s="20">
        <v>41949.53</v>
      </c>
      <c r="H25" s="20">
        <f t="shared" si="4"/>
        <v>-9262.5299999999988</v>
      </c>
      <c r="I25" s="19">
        <f t="shared" si="2"/>
        <v>-0.22080175868478144</v>
      </c>
      <c r="J25" s="42" t="s">
        <v>356</v>
      </c>
      <c r="K25" s="101" t="s">
        <v>357</v>
      </c>
    </row>
    <row r="26" spans="1:13" ht="15.6">
      <c r="A26" s="28" t="str">
        <v>Mojave Water Agency - Headquarters</v>
      </c>
      <c r="B26" s="29" t="str">
        <v>CA</v>
      </c>
      <c r="C26" s="24">
        <v>48793</v>
      </c>
      <c r="D26" s="13" t="s">
        <v>22</v>
      </c>
      <c r="E26" s="13" t="str">
        <f t="shared" ref="E26:E68" si="5">IF(AND(ISNUMBER(C26),ISNUMBER(D26)), C26-D26, "")</f>
        <v/>
      </c>
      <c r="F26" s="14"/>
      <c r="G26" s="15">
        <v>39526.57</v>
      </c>
      <c r="H26" s="15">
        <f t="shared" ref="H26:H68" si="6">IF(AND(ISNUMBER(C26),ISNUMBER(G26)), C26-G26, "")</f>
        <v>9266.43</v>
      </c>
      <c r="I26" s="16">
        <f t="shared" si="2"/>
        <v>0.23443546960942982</v>
      </c>
      <c r="J26" s="41"/>
      <c r="K26" s="41"/>
    </row>
    <row r="27" spans="1:13" ht="15.6">
      <c r="A27" s="30" t="str">
        <v>CSU - Bakersfield</v>
      </c>
      <c r="B27" s="31" t="str">
        <v>CA</v>
      </c>
      <c r="C27" s="11">
        <v>192332</v>
      </c>
      <c r="D27" s="18" t="s">
        <v>22</v>
      </c>
      <c r="E27" s="18" t="str">
        <f t="shared" si="5"/>
        <v/>
      </c>
      <c r="F27" s="19"/>
      <c r="G27" s="20">
        <v>171459.72</v>
      </c>
      <c r="H27" s="20">
        <f t="shared" si="6"/>
        <v>20872.28</v>
      </c>
      <c r="I27" s="19">
        <f t="shared" si="2"/>
        <v>0.1217328478082199</v>
      </c>
      <c r="J27" s="42"/>
      <c r="K27" s="43"/>
    </row>
    <row r="28" spans="1:13" ht="15.6">
      <c r="A28" s="28" t="str">
        <v>Greenfield USD - Fairfield ES</v>
      </c>
      <c r="B28" s="29" t="str">
        <v>CA</v>
      </c>
      <c r="C28" s="24">
        <v>15664</v>
      </c>
      <c r="D28" s="13" t="s">
        <v>22</v>
      </c>
      <c r="E28" s="13" t="str">
        <f t="shared" si="5"/>
        <v/>
      </c>
      <c r="F28" s="14"/>
      <c r="G28" s="15">
        <v>16930.919999999998</v>
      </c>
      <c r="H28" s="15">
        <f t="shared" si="6"/>
        <v>-1266.9199999999983</v>
      </c>
      <c r="I28" s="16">
        <f t="shared" si="2"/>
        <v>-7.4828774809638135E-2</v>
      </c>
      <c r="J28" s="41"/>
      <c r="K28" s="41"/>
    </row>
    <row r="29" spans="1:13" ht="87">
      <c r="A29" s="30" t="str">
        <v>Greenfield USD - Granite Point ES</v>
      </c>
      <c r="B29" s="31" t="str">
        <v>CA</v>
      </c>
      <c r="C29" s="11">
        <v>30488</v>
      </c>
      <c r="D29" s="18" t="s">
        <v>22</v>
      </c>
      <c r="E29" s="18" t="str">
        <f t="shared" si="5"/>
        <v/>
      </c>
      <c r="F29" s="19"/>
      <c r="G29" s="20">
        <v>44787.9</v>
      </c>
      <c r="H29" s="20">
        <f t="shared" si="6"/>
        <v>-14299.900000000001</v>
      </c>
      <c r="I29" s="19">
        <f t="shared" si="2"/>
        <v>-0.31928043065202882</v>
      </c>
      <c r="J29" s="42" t="s">
        <v>358</v>
      </c>
      <c r="K29" s="101" t="s">
        <v>359</v>
      </c>
      <c r="L29" s="112" t="s">
        <v>360</v>
      </c>
      <c r="M29" s="112" t="s">
        <v>361</v>
      </c>
    </row>
    <row r="30" spans="1:13" ht="43.5">
      <c r="A30" s="28" t="str">
        <v>Greenfield USD - Greenfield MS</v>
      </c>
      <c r="B30" s="29" t="str">
        <v>CA</v>
      </c>
      <c r="C30" s="24">
        <v>18146</v>
      </c>
      <c r="D30" s="13" t="s">
        <v>22</v>
      </c>
      <c r="E30" s="13" t="str">
        <f t="shared" si="5"/>
        <v/>
      </c>
      <c r="F30" s="14"/>
      <c r="G30" s="15">
        <v>30442.57</v>
      </c>
      <c r="H30" s="15">
        <f t="shared" si="6"/>
        <v>-12296.57</v>
      </c>
      <c r="I30" s="16">
        <f t="shared" si="2"/>
        <v>-0.40392680381452684</v>
      </c>
      <c r="J30" s="41" t="s">
        <v>362</v>
      </c>
      <c r="K30" s="99" t="s">
        <v>363</v>
      </c>
    </row>
    <row r="31" spans="1:13" ht="188.45">
      <c r="A31" s="30" t="str">
        <v>Greenfield USD - Horizon ES</v>
      </c>
      <c r="B31" s="31" t="str">
        <v>CA</v>
      </c>
      <c r="C31" s="11">
        <v>35689</v>
      </c>
      <c r="D31" s="18" t="s">
        <v>22</v>
      </c>
      <c r="E31" s="18" t="str">
        <f t="shared" si="5"/>
        <v/>
      </c>
      <c r="F31" s="19"/>
      <c r="G31" s="20">
        <v>46583.01</v>
      </c>
      <c r="H31" s="20">
        <f t="shared" si="6"/>
        <v>-10894.010000000002</v>
      </c>
      <c r="I31" s="19">
        <f t="shared" si="2"/>
        <v>-0.23386230301562741</v>
      </c>
      <c r="J31" s="42" t="s">
        <v>364</v>
      </c>
      <c r="K31" s="101" t="s">
        <v>365</v>
      </c>
      <c r="L31" s="112" t="s">
        <v>366</v>
      </c>
      <c r="M31" s="112" t="s">
        <v>367</v>
      </c>
    </row>
    <row r="32" spans="1:13" ht="15.6">
      <c r="A32" s="28" t="str">
        <v>Greenfield USD - McKee MS</v>
      </c>
      <c r="B32" s="29" t="str">
        <v>CA</v>
      </c>
      <c r="C32" s="24">
        <v>21016</v>
      </c>
      <c r="D32" s="13" t="s">
        <v>22</v>
      </c>
      <c r="E32" s="13" t="str">
        <f t="shared" si="5"/>
        <v/>
      </c>
      <c r="F32" s="14"/>
      <c r="G32" s="15">
        <v>28438.799999999999</v>
      </c>
      <c r="H32" s="15">
        <f t="shared" si="6"/>
        <v>-7422.7999999999993</v>
      </c>
      <c r="I32" s="16">
        <f t="shared" si="2"/>
        <v>-0.26100960659380845</v>
      </c>
      <c r="J32" s="41" t="s">
        <v>368</v>
      </c>
      <c r="K32" s="41"/>
    </row>
    <row r="33" spans="1:16" ht="15.6">
      <c r="A33" s="30" t="str">
        <v>Greenfield USD - Plantation ES</v>
      </c>
      <c r="B33" s="31" t="str">
        <v>CA</v>
      </c>
      <c r="C33" s="11">
        <v>19780</v>
      </c>
      <c r="D33" s="18" t="s">
        <v>22</v>
      </c>
      <c r="E33" s="18" t="str">
        <f t="shared" si="5"/>
        <v/>
      </c>
      <c r="F33" s="19"/>
      <c r="G33" s="20">
        <v>20341</v>
      </c>
      <c r="H33" s="20">
        <f t="shared" si="6"/>
        <v>-561</v>
      </c>
      <c r="I33" s="19">
        <f t="shared" si="2"/>
        <v>-2.7579765006636843E-2</v>
      </c>
      <c r="J33" s="42"/>
      <c r="K33" s="43"/>
    </row>
    <row r="34" spans="1:16" ht="57.95">
      <c r="A34" s="28" t="str">
        <v>Greenfield USD - Planz ES</v>
      </c>
      <c r="B34" s="29" t="str">
        <v>CA</v>
      </c>
      <c r="C34" s="24">
        <v>7844</v>
      </c>
      <c r="D34" s="13" t="s">
        <v>22</v>
      </c>
      <c r="E34" s="13" t="str">
        <f t="shared" si="5"/>
        <v/>
      </c>
      <c r="F34" s="14"/>
      <c r="G34" s="15">
        <v>22372.35</v>
      </c>
      <c r="H34" s="15">
        <f t="shared" si="6"/>
        <v>-14528.349999999999</v>
      </c>
      <c r="I34" s="16">
        <f t="shared" si="2"/>
        <v>-0.64938864267723329</v>
      </c>
      <c r="J34" s="41" t="s">
        <v>369</v>
      </c>
      <c r="K34" s="99" t="s">
        <v>370</v>
      </c>
    </row>
    <row r="35" spans="1:16" ht="43.5">
      <c r="A35" s="30" t="str">
        <v>Greenfield USD - Raffaello Palla ES</v>
      </c>
      <c r="B35" s="31" t="str">
        <v>CA</v>
      </c>
      <c r="C35" s="11">
        <v>28616</v>
      </c>
      <c r="D35" s="18" t="s">
        <v>22</v>
      </c>
      <c r="E35" s="18" t="str">
        <f t="shared" si="5"/>
        <v/>
      </c>
      <c r="F35" s="19"/>
      <c r="G35" s="20">
        <v>50057.440000000002</v>
      </c>
      <c r="H35" s="20">
        <f t="shared" si="6"/>
        <v>-21441.440000000002</v>
      </c>
      <c r="I35" s="19">
        <f t="shared" si="2"/>
        <v>-0.4283367267682886</v>
      </c>
      <c r="J35" s="42" t="s">
        <v>276</v>
      </c>
      <c r="K35" s="101" t="s">
        <v>371</v>
      </c>
    </row>
    <row r="36" spans="1:16" ht="15.6">
      <c r="A36" s="28" t="str">
        <v>Greenfield USD - Valle Verde ES</v>
      </c>
      <c r="B36" s="29" t="str">
        <v>CA</v>
      </c>
      <c r="C36" s="24">
        <v>48072</v>
      </c>
      <c r="D36" s="13" t="s">
        <v>22</v>
      </c>
      <c r="E36" s="13" t="str">
        <f t="shared" si="5"/>
        <v/>
      </c>
      <c r="F36" s="14"/>
      <c r="G36" s="15">
        <v>46702.51</v>
      </c>
      <c r="H36" s="15">
        <f t="shared" si="6"/>
        <v>1369.489999999998</v>
      </c>
      <c r="I36" s="16">
        <f t="shared" si="2"/>
        <v>2.9323691596019098E-2</v>
      </c>
      <c r="J36" s="41"/>
      <c r="K36" s="41"/>
    </row>
    <row r="37" spans="1:16" ht="29.1">
      <c r="A37" s="30" t="str">
        <v>Greenfield USD - W.A. Kendrick ES</v>
      </c>
      <c r="B37" s="31" t="str">
        <v>CA</v>
      </c>
      <c r="C37" s="11">
        <v>0</v>
      </c>
      <c r="D37" s="18" t="s">
        <v>22</v>
      </c>
      <c r="E37" s="18" t="str">
        <f t="shared" si="5"/>
        <v/>
      </c>
      <c r="F37" s="19"/>
      <c r="G37" s="20">
        <v>18015.53</v>
      </c>
      <c r="H37" s="20">
        <f t="shared" si="6"/>
        <v>-18015.53</v>
      </c>
      <c r="I37" s="19">
        <f t="shared" si="2"/>
        <v>-1</v>
      </c>
      <c r="J37" s="42" t="s">
        <v>130</v>
      </c>
      <c r="K37" s="101" t="s">
        <v>50</v>
      </c>
    </row>
    <row r="38" spans="1:16" ht="57.95">
      <c r="A38" s="28" t="str">
        <v>Muroc Joint USD - Boron HS</v>
      </c>
      <c r="B38" s="29" t="str">
        <v>CA</v>
      </c>
      <c r="C38" s="24">
        <v>0</v>
      </c>
      <c r="D38" s="13" t="s">
        <v>22</v>
      </c>
      <c r="E38" s="13" t="str">
        <f t="shared" si="5"/>
        <v/>
      </c>
      <c r="F38" s="14"/>
      <c r="G38" s="15">
        <v>40633.79</v>
      </c>
      <c r="H38" s="15">
        <f t="shared" si="6"/>
        <v>-40633.79</v>
      </c>
      <c r="I38" s="16">
        <f t="shared" si="2"/>
        <v>-1</v>
      </c>
      <c r="J38" s="41" t="s">
        <v>372</v>
      </c>
      <c r="K38" s="99" t="s">
        <v>373</v>
      </c>
      <c r="L38" s="112" t="s">
        <v>54</v>
      </c>
    </row>
    <row r="39" spans="1:16" ht="15.6">
      <c r="A39" s="30" t="str">
        <v>Muroc Joint USD - W. Boron ES</v>
      </c>
      <c r="B39" s="31" t="str">
        <v>CA</v>
      </c>
      <c r="C39" s="11">
        <v>13740</v>
      </c>
      <c r="D39" s="18" t="s">
        <v>22</v>
      </c>
      <c r="E39" s="18" t="str">
        <f t="shared" si="5"/>
        <v/>
      </c>
      <c r="F39" s="19"/>
      <c r="G39" s="20">
        <v>14985.37</v>
      </c>
      <c r="H39" s="20">
        <f t="shared" si="6"/>
        <v>-1245.3700000000008</v>
      </c>
      <c r="I39" s="19">
        <f t="shared" si="2"/>
        <v>-8.3105722447960967E-2</v>
      </c>
      <c r="J39" s="42"/>
      <c r="K39" s="43"/>
    </row>
    <row r="40" spans="1:16" ht="130.5">
      <c r="A40" s="28" t="str">
        <v>Colusa - WTP</v>
      </c>
      <c r="B40" s="29" t="str">
        <v>CA</v>
      </c>
      <c r="C40" s="24">
        <v>0</v>
      </c>
      <c r="D40" s="13" t="s">
        <v>22</v>
      </c>
      <c r="E40" s="13" t="str">
        <f t="shared" si="5"/>
        <v/>
      </c>
      <c r="F40" s="14"/>
      <c r="G40" s="15">
        <v>62987.19</v>
      </c>
      <c r="H40" s="15">
        <f t="shared" si="6"/>
        <v>-62987.19</v>
      </c>
      <c r="I40" s="16">
        <f t="shared" si="2"/>
        <v>-1</v>
      </c>
      <c r="J40" s="41" t="s">
        <v>374</v>
      </c>
      <c r="K40" s="99" t="s">
        <v>278</v>
      </c>
      <c r="L40" s="112" t="s">
        <v>57</v>
      </c>
      <c r="M40" s="112" t="s">
        <v>58</v>
      </c>
      <c r="N40" s="112" t="s">
        <v>59</v>
      </c>
      <c r="O40" s="112" t="s">
        <v>135</v>
      </c>
      <c r="P40" s="112" t="s">
        <v>279</v>
      </c>
    </row>
    <row r="41" spans="1:16" ht="29.1">
      <c r="A41" s="30" t="str">
        <v>CDCR-North Kern State Prision</v>
      </c>
      <c r="B41" s="31" t="str">
        <v>CA</v>
      </c>
      <c r="C41" s="11">
        <v>140327</v>
      </c>
      <c r="D41" s="18" t="s">
        <v>22</v>
      </c>
      <c r="E41" s="18" t="str">
        <f t="shared" si="5"/>
        <v/>
      </c>
      <c r="F41" s="19"/>
      <c r="G41" s="20">
        <v>253737.72</v>
      </c>
      <c r="H41" s="20">
        <f t="shared" si="6"/>
        <v>-113410.72</v>
      </c>
      <c r="I41" s="19">
        <f t="shared" si="2"/>
        <v>-0.44696042827215443</v>
      </c>
      <c r="J41" s="55" t="s">
        <v>375</v>
      </c>
      <c r="K41" s="101" t="s">
        <v>376</v>
      </c>
    </row>
    <row r="42" spans="1:16" ht="15.6">
      <c r="A42" s="28" t="str">
        <v>Muroc Joint USD - District Office</v>
      </c>
      <c r="B42" s="29" t="str">
        <v>CA</v>
      </c>
      <c r="C42" s="24">
        <v>6928</v>
      </c>
      <c r="D42" s="13" t="s">
        <v>22</v>
      </c>
      <c r="E42" s="13" t="str">
        <f t="shared" si="5"/>
        <v/>
      </c>
      <c r="F42" s="14"/>
      <c r="G42" s="15">
        <v>10570.6</v>
      </c>
      <c r="H42" s="15">
        <f t="shared" si="6"/>
        <v>-3642.6000000000004</v>
      </c>
      <c r="I42" s="16">
        <f t="shared" si="2"/>
        <v>-0.3445972792462112</v>
      </c>
      <c r="J42" s="41" t="s">
        <v>377</v>
      </c>
      <c r="K42" s="41"/>
    </row>
    <row r="43" spans="1:16" ht="144.94999999999999">
      <c r="A43" s="30" t="str">
        <v>Whole Foods - Manhattan Beach</v>
      </c>
      <c r="B43" s="31" t="str">
        <v>CA</v>
      </c>
      <c r="C43" s="11">
        <v>16498</v>
      </c>
      <c r="D43" s="18" t="s">
        <v>22</v>
      </c>
      <c r="E43" s="18" t="str">
        <f t="shared" si="5"/>
        <v/>
      </c>
      <c r="F43" s="19"/>
      <c r="G43" s="20">
        <v>22703.25</v>
      </c>
      <c r="H43" s="20">
        <f t="shared" si="6"/>
        <v>-6205.25</v>
      </c>
      <c r="I43" s="19">
        <f t="shared" si="2"/>
        <v>-0.273319899133384</v>
      </c>
      <c r="J43" s="55" t="s">
        <v>378</v>
      </c>
      <c r="K43" s="101" t="s">
        <v>379</v>
      </c>
      <c r="L43" s="112" t="s">
        <v>285</v>
      </c>
      <c r="M43" s="112" t="s">
        <v>142</v>
      </c>
      <c r="N43" s="112" t="s">
        <v>380</v>
      </c>
      <c r="O43" s="112" t="s">
        <v>381</v>
      </c>
    </row>
    <row r="44" spans="1:16" ht="29.1">
      <c r="A44" s="28" t="str">
        <v>Pioneer USD - Frontier ES</v>
      </c>
      <c r="B44" s="29" t="str">
        <v>CA</v>
      </c>
      <c r="C44" s="24">
        <v>33974</v>
      </c>
      <c r="D44" s="13" t="s">
        <v>22</v>
      </c>
      <c r="E44" s="13" t="str">
        <f t="shared" si="5"/>
        <v/>
      </c>
      <c r="F44" s="14"/>
      <c r="G44" s="15">
        <v>39041.660000000003</v>
      </c>
      <c r="H44" s="15">
        <f t="shared" si="6"/>
        <v>-5067.6600000000035</v>
      </c>
      <c r="I44" s="16">
        <f t="shared" si="2"/>
        <v>-0.12980134553704947</v>
      </c>
      <c r="J44" s="41" t="s">
        <v>143</v>
      </c>
      <c r="K44" s="99" t="s">
        <v>382</v>
      </c>
    </row>
    <row r="45" spans="1:16" ht="144.94999999999999">
      <c r="A45" s="30" t="str">
        <v>Pioneer USD - Pioneer ES</v>
      </c>
      <c r="B45" s="31" t="str">
        <v>CA</v>
      </c>
      <c r="C45" s="11">
        <v>9968</v>
      </c>
      <c r="D45" s="18" t="s">
        <v>22</v>
      </c>
      <c r="E45" s="18" t="str">
        <f t="shared" si="5"/>
        <v/>
      </c>
      <c r="F45" s="19"/>
      <c r="G45" s="20">
        <v>39764.35</v>
      </c>
      <c r="H45" s="20">
        <f t="shared" si="6"/>
        <v>-29796.35</v>
      </c>
      <c r="I45" s="19">
        <f t="shared" si="2"/>
        <v>-0.74932320030378974</v>
      </c>
      <c r="J45" s="42" t="s">
        <v>383</v>
      </c>
      <c r="K45" s="101" t="s">
        <v>384</v>
      </c>
      <c r="L45" s="112" t="s">
        <v>69</v>
      </c>
      <c r="M45" s="112" t="s">
        <v>70</v>
      </c>
      <c r="N45" s="112" t="s">
        <v>71</v>
      </c>
      <c r="O45" s="112" t="s">
        <v>71</v>
      </c>
    </row>
    <row r="46" spans="1:16" ht="72.599999999999994">
      <c r="A46" s="28" t="str">
        <v>Pioneer USD - Pioneer MS</v>
      </c>
      <c r="B46" s="29" t="str">
        <v>CA</v>
      </c>
      <c r="C46" s="24">
        <v>47623</v>
      </c>
      <c r="D46" s="13" t="s">
        <v>22</v>
      </c>
      <c r="E46" s="13" t="str">
        <f t="shared" si="5"/>
        <v/>
      </c>
      <c r="F46" s="14"/>
      <c r="G46" s="15">
        <v>53427.14</v>
      </c>
      <c r="H46" s="15">
        <f t="shared" si="6"/>
        <v>-5804.1399999999994</v>
      </c>
      <c r="I46" s="16">
        <f t="shared" si="2"/>
        <v>-0.10863654689358254</v>
      </c>
      <c r="J46" s="41" t="s">
        <v>385</v>
      </c>
      <c r="K46" s="99" t="s">
        <v>386</v>
      </c>
      <c r="L46" s="112" t="s">
        <v>74</v>
      </c>
    </row>
    <row r="47" spans="1:16" ht="179.65" customHeight="1">
      <c r="A47" s="30" t="str">
        <v>Kingsburg Joint UHSD - Kingsburg HS</v>
      </c>
      <c r="B47" s="31" t="str">
        <v>CA</v>
      </c>
      <c r="C47" s="11">
        <v>74894</v>
      </c>
      <c r="D47" s="18" t="s">
        <v>22</v>
      </c>
      <c r="E47" s="18" t="str">
        <f t="shared" si="5"/>
        <v/>
      </c>
      <c r="F47" s="19"/>
      <c r="G47" s="20">
        <v>87255.83</v>
      </c>
      <c r="H47" s="20">
        <f t="shared" si="6"/>
        <v>-12361.830000000002</v>
      </c>
      <c r="I47" s="19">
        <f t="shared" si="2"/>
        <v>-0.14167339878607541</v>
      </c>
      <c r="J47" s="55" t="s">
        <v>387</v>
      </c>
      <c r="K47" s="101" t="s">
        <v>388</v>
      </c>
      <c r="L47" s="112" t="s">
        <v>148</v>
      </c>
      <c r="M47" s="112" t="s">
        <v>389</v>
      </c>
      <c r="N47" s="112" t="s">
        <v>290</v>
      </c>
    </row>
    <row r="48" spans="1:16" ht="87">
      <c r="A48" s="28" t="str">
        <v>CADRB</v>
      </c>
      <c r="B48" s="29" t="str">
        <v>CA</v>
      </c>
      <c r="C48" s="24">
        <v>0</v>
      </c>
      <c r="D48" s="13" t="s">
        <v>22</v>
      </c>
      <c r="E48" s="13" t="str">
        <f t="shared" si="5"/>
        <v/>
      </c>
      <c r="F48" s="14"/>
      <c r="G48" s="15">
        <v>906720</v>
      </c>
      <c r="H48" s="15">
        <f t="shared" si="6"/>
        <v>-906720</v>
      </c>
      <c r="I48" s="16">
        <f t="shared" si="2"/>
        <v>-1</v>
      </c>
      <c r="J48" s="41" t="s">
        <v>291</v>
      </c>
      <c r="K48" s="99" t="s">
        <v>292</v>
      </c>
      <c r="L48" s="112" t="s">
        <v>151</v>
      </c>
      <c r="M48" s="112" t="s">
        <v>293</v>
      </c>
      <c r="N48" s="112" t="s">
        <v>81</v>
      </c>
      <c r="O48" s="112" t="s">
        <v>293</v>
      </c>
      <c r="P48" s="112" t="s">
        <v>82</v>
      </c>
    </row>
    <row r="49" spans="1:20" ht="72.599999999999994">
      <c r="A49" s="30" t="str">
        <v>CDCR-CA State Prison LA County</v>
      </c>
      <c r="B49" s="31" t="str">
        <v>CA</v>
      </c>
      <c r="C49" s="11">
        <v>337153</v>
      </c>
      <c r="D49" s="18" t="s">
        <v>22</v>
      </c>
      <c r="E49" s="18" t="str">
        <f t="shared" si="5"/>
        <v/>
      </c>
      <c r="F49" s="19"/>
      <c r="G49" s="20">
        <v>572636</v>
      </c>
      <c r="H49" s="20">
        <f t="shared" si="6"/>
        <v>-235483</v>
      </c>
      <c r="I49" s="19">
        <f t="shared" si="2"/>
        <v>-0.41122632876731469</v>
      </c>
      <c r="J49" s="42" t="s">
        <v>390</v>
      </c>
      <c r="K49" s="101" t="s">
        <v>391</v>
      </c>
      <c r="L49" s="112" t="s">
        <v>392</v>
      </c>
    </row>
    <row r="50" spans="1:20" ht="15.6">
      <c r="A50" s="28" t="str">
        <v>Central USD Akers ES</v>
      </c>
      <c r="B50" s="29" t="str">
        <v>CA</v>
      </c>
      <c r="C50" s="24">
        <v>48197</v>
      </c>
      <c r="D50" s="13" t="s">
        <v>22</v>
      </c>
      <c r="E50" s="13" t="str">
        <f t="shared" si="5"/>
        <v/>
      </c>
      <c r="F50" s="14"/>
      <c r="G50" s="15">
        <v>43541.58</v>
      </c>
      <c r="H50" s="15">
        <f t="shared" si="6"/>
        <v>4655.4199999999983</v>
      </c>
      <c r="I50" s="16">
        <f t="shared" si="2"/>
        <v>0.10691894965685669</v>
      </c>
      <c r="J50" s="41"/>
      <c r="K50" s="41"/>
    </row>
    <row r="51" spans="1:20" ht="159.6">
      <c r="A51" s="30" t="str">
        <v>CUSD - District Office</v>
      </c>
      <c r="B51" s="31" t="str">
        <v>CA</v>
      </c>
      <c r="C51" s="11">
        <v>24878</v>
      </c>
      <c r="D51" s="18" t="s">
        <v>22</v>
      </c>
      <c r="E51" s="18" t="str">
        <f t="shared" si="5"/>
        <v/>
      </c>
      <c r="F51" s="19"/>
      <c r="G51" s="20">
        <v>37350.559999999998</v>
      </c>
      <c r="H51" s="20">
        <f t="shared" si="6"/>
        <v>-12472.559999999998</v>
      </c>
      <c r="I51" s="19">
        <f t="shared" si="2"/>
        <v>-0.33393234264760685</v>
      </c>
      <c r="J51" s="42" t="s">
        <v>393</v>
      </c>
      <c r="K51" s="101" t="s">
        <v>394</v>
      </c>
      <c r="L51" s="112" t="s">
        <v>395</v>
      </c>
    </row>
    <row r="52" spans="1:20" ht="43.5">
      <c r="A52" s="28" t="str">
        <v>Parlier - WTP</v>
      </c>
      <c r="B52" s="29" t="str">
        <v>CA</v>
      </c>
      <c r="C52" s="24">
        <v>43664</v>
      </c>
      <c r="D52" s="13" t="s">
        <v>22</v>
      </c>
      <c r="E52" s="13" t="str">
        <f t="shared" si="5"/>
        <v/>
      </c>
      <c r="F52" s="14"/>
      <c r="G52" s="15">
        <v>103327.84</v>
      </c>
      <c r="H52" s="15">
        <f t="shared" si="6"/>
        <v>-59663.839999999997</v>
      </c>
      <c r="I52" s="16">
        <f t="shared" si="2"/>
        <v>-0.5774226965356094</v>
      </c>
      <c r="J52" s="41" t="s">
        <v>396</v>
      </c>
      <c r="K52" s="99" t="s">
        <v>397</v>
      </c>
    </row>
    <row r="53" spans="1:20" ht="87">
      <c r="A53" s="30" t="str">
        <v>Snowline SD - Quail Valley MS</v>
      </c>
      <c r="B53" s="31" t="str">
        <v>CA</v>
      </c>
      <c r="C53" s="11">
        <v>42433</v>
      </c>
      <c r="D53" s="18" t="s">
        <v>22</v>
      </c>
      <c r="E53" s="18" t="str">
        <f t="shared" si="5"/>
        <v/>
      </c>
      <c r="F53" s="19"/>
      <c r="G53" s="20">
        <v>49077.26</v>
      </c>
      <c r="H53" s="20">
        <f t="shared" si="6"/>
        <v>-6644.260000000002</v>
      </c>
      <c r="I53" s="19">
        <f t="shared" si="2"/>
        <v>-0.13538367871392987</v>
      </c>
      <c r="J53" s="42" t="s">
        <v>301</v>
      </c>
      <c r="K53" s="101" t="s">
        <v>398</v>
      </c>
      <c r="L53" s="112" t="s">
        <v>303</v>
      </c>
    </row>
    <row r="54" spans="1:20" ht="15.6">
      <c r="A54" s="28" t="str">
        <v>Snowline SD - Serrano HS - Middle Lot</v>
      </c>
      <c r="B54" s="29" t="str">
        <v>CA</v>
      </c>
      <c r="C54" s="24">
        <v>38334</v>
      </c>
      <c r="D54" s="13" t="s">
        <v>22</v>
      </c>
      <c r="E54" s="13" t="str">
        <f t="shared" si="5"/>
        <v/>
      </c>
      <c r="F54" s="14"/>
      <c r="G54" s="15">
        <v>62475.15</v>
      </c>
      <c r="H54" s="15">
        <f t="shared" si="6"/>
        <v>-24141.15</v>
      </c>
      <c r="I54" s="16">
        <f t="shared" si="2"/>
        <v>-0.3864120374260806</v>
      </c>
      <c r="J54" s="41" t="s">
        <v>399</v>
      </c>
      <c r="K54" s="41"/>
    </row>
    <row r="55" spans="1:20" ht="29.1">
      <c r="A55" s="30" t="str">
        <v>Snowline SD - Pinon Hills ES</v>
      </c>
      <c r="B55" s="31" t="str">
        <v>CA</v>
      </c>
      <c r="C55" s="11">
        <v>13006</v>
      </c>
      <c r="D55" s="18" t="s">
        <v>22</v>
      </c>
      <c r="E55" s="18" t="str">
        <f t="shared" si="5"/>
        <v/>
      </c>
      <c r="F55" s="19"/>
      <c r="G55" s="20">
        <v>26919.02</v>
      </c>
      <c r="H55" s="20">
        <f t="shared" si="6"/>
        <v>-13913.02</v>
      </c>
      <c r="I55" s="19">
        <f t="shared" si="2"/>
        <v>-0.51684719577458615</v>
      </c>
      <c r="J55" s="55" t="s">
        <v>400</v>
      </c>
      <c r="K55" s="101" t="s">
        <v>401</v>
      </c>
      <c r="L55" s="112" t="s">
        <v>402</v>
      </c>
    </row>
    <row r="56" spans="1:20" ht="15.6">
      <c r="A56" s="28" t="str">
        <v>Ramona - Santa Maria WTP</v>
      </c>
      <c r="B56" s="29" t="str">
        <v>CA</v>
      </c>
      <c r="C56" s="24">
        <v>67824</v>
      </c>
      <c r="D56" s="13" t="s">
        <v>22</v>
      </c>
      <c r="E56" s="13" t="str">
        <f t="shared" si="5"/>
        <v/>
      </c>
      <c r="F56" s="14"/>
      <c r="G56" s="15">
        <v>81023.929999999993</v>
      </c>
      <c r="H56" s="15">
        <f t="shared" si="6"/>
        <v>-13199.929999999993</v>
      </c>
      <c r="I56" s="16">
        <f t="shared" si="2"/>
        <v>-0.16291396874972608</v>
      </c>
      <c r="J56" s="41" t="s">
        <v>403</v>
      </c>
      <c r="K56" s="41"/>
    </row>
    <row r="57" spans="1:20" ht="15.6">
      <c r="A57" s="30" t="str">
        <v>Kohls - Redding</v>
      </c>
      <c r="B57" s="31" t="str">
        <v>CA</v>
      </c>
      <c r="C57" s="11">
        <v>36806</v>
      </c>
      <c r="D57" s="18" t="s">
        <v>22</v>
      </c>
      <c r="E57" s="18" t="str">
        <f t="shared" si="5"/>
        <v/>
      </c>
      <c r="F57" s="19"/>
      <c r="G57" s="20">
        <v>36330.5</v>
      </c>
      <c r="H57" s="20">
        <f t="shared" si="6"/>
        <v>475.5</v>
      </c>
      <c r="I57" s="19">
        <f t="shared" si="2"/>
        <v>1.3088176600927596E-2</v>
      </c>
      <c r="J57" s="42"/>
      <c r="K57" s="55"/>
    </row>
    <row r="58" spans="1:20" ht="130.5">
      <c r="A58" s="28" t="str">
        <v>Kohls - Salinas</v>
      </c>
      <c r="B58" s="29" t="str">
        <v>CA</v>
      </c>
      <c r="C58" s="24">
        <v>40888</v>
      </c>
      <c r="D58" s="13" t="s">
        <v>22</v>
      </c>
      <c r="E58" s="13" t="str">
        <f t="shared" si="5"/>
        <v/>
      </c>
      <c r="F58" s="14"/>
      <c r="G58" s="15">
        <v>53596.2</v>
      </c>
      <c r="H58" s="15">
        <f t="shared" si="6"/>
        <v>-12708.199999999997</v>
      </c>
      <c r="I58" s="16">
        <f t="shared" si="2"/>
        <v>-0.2371100936260406</v>
      </c>
      <c r="J58" s="41" t="s">
        <v>404</v>
      </c>
      <c r="K58" s="99" t="s">
        <v>405</v>
      </c>
      <c r="L58" s="112" t="s">
        <v>219</v>
      </c>
      <c r="M58" s="112" t="s">
        <v>157</v>
      </c>
      <c r="N58" s="112" t="s">
        <v>100</v>
      </c>
      <c r="O58" s="112" t="s">
        <v>98</v>
      </c>
      <c r="P58" s="112" t="s">
        <v>310</v>
      </c>
      <c r="Q58" s="112" t="s">
        <v>406</v>
      </c>
    </row>
    <row r="59" spans="1:20" ht="203.1">
      <c r="A59" s="30" t="str">
        <v>Kohls - San Bernardino - Central</v>
      </c>
      <c r="B59" s="31" t="str">
        <v>CA</v>
      </c>
      <c r="C59" s="11">
        <v>0</v>
      </c>
      <c r="D59" s="18" t="s">
        <v>22</v>
      </c>
      <c r="E59" s="18" t="str">
        <f t="shared" si="5"/>
        <v/>
      </c>
      <c r="F59" s="19"/>
      <c r="G59" s="20">
        <v>174622.88</v>
      </c>
      <c r="H59" s="20">
        <f t="shared" si="6"/>
        <v>-174622.88</v>
      </c>
      <c r="I59" s="19">
        <f t="shared" si="2"/>
        <v>-1</v>
      </c>
      <c r="J59" s="42" t="s">
        <v>407</v>
      </c>
      <c r="K59" s="101" t="s">
        <v>408</v>
      </c>
      <c r="L59" s="112" t="s">
        <v>409</v>
      </c>
      <c r="M59" s="112" t="s">
        <v>313</v>
      </c>
      <c r="N59" s="112" t="s">
        <v>410</v>
      </c>
    </row>
    <row r="60" spans="1:20" ht="188.45">
      <c r="A60" s="28" t="str">
        <v>Kohls - Sonora</v>
      </c>
      <c r="B60" s="29" t="str">
        <v>CA</v>
      </c>
      <c r="C60" s="24">
        <v>32625</v>
      </c>
      <c r="D60" s="13" t="s">
        <v>22</v>
      </c>
      <c r="E60" s="13" t="str">
        <f t="shared" si="5"/>
        <v/>
      </c>
      <c r="F60" s="14"/>
      <c r="G60" s="15">
        <v>38514.629999999997</v>
      </c>
      <c r="H60" s="15">
        <f t="shared" si="6"/>
        <v>-5889.6299999999974</v>
      </c>
      <c r="I60" s="16">
        <f t="shared" si="2"/>
        <v>-0.15291929326596149</v>
      </c>
      <c r="J60" s="41" t="s">
        <v>411</v>
      </c>
      <c r="K60" s="99" t="s">
        <v>412</v>
      </c>
      <c r="L60" s="112" t="s">
        <v>160</v>
      </c>
      <c r="M60" s="112" t="s">
        <v>413</v>
      </c>
      <c r="N60" s="112" t="s">
        <v>103</v>
      </c>
      <c r="O60" s="112" t="s">
        <v>160</v>
      </c>
      <c r="P60" s="112" t="s">
        <v>103</v>
      </c>
      <c r="Q60" s="112" t="s">
        <v>160</v>
      </c>
      <c r="R60" s="112" t="s">
        <v>414</v>
      </c>
      <c r="S60" s="112" t="s">
        <v>413</v>
      </c>
      <c r="T60" s="112" t="s">
        <v>414</v>
      </c>
    </row>
    <row r="61" spans="1:20" ht="15.6">
      <c r="A61" s="30" t="str">
        <v>CUSD - Stratford ES</v>
      </c>
      <c r="B61" s="31" t="str">
        <v>CA</v>
      </c>
      <c r="C61" s="11">
        <v>28234</v>
      </c>
      <c r="D61" s="18" t="s">
        <v>22</v>
      </c>
      <c r="E61" s="18" t="str">
        <f t="shared" si="5"/>
        <v/>
      </c>
      <c r="F61" s="19"/>
      <c r="G61" s="20">
        <v>26263.15</v>
      </c>
      <c r="H61" s="20">
        <f t="shared" si="6"/>
        <v>1970.8499999999985</v>
      </c>
      <c r="I61" s="19">
        <f t="shared" si="2"/>
        <v>7.5042407327376895E-2</v>
      </c>
      <c r="J61" s="42"/>
      <c r="K61" s="55"/>
    </row>
    <row r="62" spans="1:20" ht="15.6">
      <c r="A62" s="28" t="str">
        <v>Taft - City Hall</v>
      </c>
      <c r="B62" s="29" t="str">
        <v>CA</v>
      </c>
      <c r="C62" s="24">
        <v>796</v>
      </c>
      <c r="D62" s="13" t="s">
        <v>22</v>
      </c>
      <c r="E62" s="13" t="str">
        <f t="shared" si="5"/>
        <v/>
      </c>
      <c r="F62" s="14"/>
      <c r="G62" s="15">
        <v>11244.78</v>
      </c>
      <c r="H62" s="15">
        <f t="shared" si="6"/>
        <v>-10448.780000000001</v>
      </c>
      <c r="I62" s="16">
        <f t="shared" si="2"/>
        <v>-0.92921159862620706</v>
      </c>
      <c r="J62" s="41" t="s">
        <v>314</v>
      </c>
      <c r="K62" s="99" t="s">
        <v>224</v>
      </c>
    </row>
    <row r="63" spans="1:20" ht="15.6">
      <c r="A63" s="30" t="str">
        <v>Taft - Federal Prison</v>
      </c>
      <c r="B63" s="31" t="str">
        <v>CA</v>
      </c>
      <c r="C63" s="11">
        <v>18988</v>
      </c>
      <c r="D63" s="18" t="s">
        <v>22</v>
      </c>
      <c r="E63" s="18" t="str">
        <f t="shared" si="5"/>
        <v/>
      </c>
      <c r="F63" s="19"/>
      <c r="G63" s="20">
        <v>17368.259999999998</v>
      </c>
      <c r="H63" s="20">
        <f t="shared" si="6"/>
        <v>1619.7400000000016</v>
      </c>
      <c r="I63" s="19">
        <f t="shared" si="2"/>
        <v>9.3258622337528449E-2</v>
      </c>
      <c r="J63" s="42"/>
      <c r="K63" s="43"/>
    </row>
    <row r="64" spans="1:20" ht="15.6">
      <c r="A64" s="28" t="str">
        <v>Taft - Police Department</v>
      </c>
      <c r="B64" s="29" t="str">
        <v>CA</v>
      </c>
      <c r="C64" s="24">
        <v>13959</v>
      </c>
      <c r="D64" s="13" t="s">
        <v>22</v>
      </c>
      <c r="E64" s="13" t="str">
        <f t="shared" si="5"/>
        <v/>
      </c>
      <c r="F64" s="14"/>
      <c r="G64" s="15">
        <v>12861.22</v>
      </c>
      <c r="H64" s="15">
        <f t="shared" si="6"/>
        <v>1097.7800000000007</v>
      </c>
      <c r="I64" s="16">
        <f t="shared" si="2"/>
        <v>8.5355821609458565E-2</v>
      </c>
      <c r="J64" s="41"/>
      <c r="K64" s="41"/>
    </row>
    <row r="65" spans="1:14" ht="72.599999999999994">
      <c r="A65" s="30" t="str">
        <v>Taft - WTP</v>
      </c>
      <c r="B65" s="31" t="str">
        <v>CA</v>
      </c>
      <c r="C65" s="11">
        <v>65151</v>
      </c>
      <c r="D65" s="18" t="s">
        <v>22</v>
      </c>
      <c r="E65" s="18" t="str">
        <f t="shared" si="5"/>
        <v/>
      </c>
      <c r="F65" s="19"/>
      <c r="G65" s="20">
        <v>77110.149999999994</v>
      </c>
      <c r="H65" s="20">
        <f t="shared" si="6"/>
        <v>-11959.149999999994</v>
      </c>
      <c r="I65" s="19">
        <f t="shared" si="2"/>
        <v>-0.1550917745588615</v>
      </c>
      <c r="J65" s="42" t="s">
        <v>415</v>
      </c>
      <c r="K65" s="101" t="s">
        <v>316</v>
      </c>
      <c r="L65" s="112" t="s">
        <v>317</v>
      </c>
      <c r="M65" s="112" t="s">
        <v>317</v>
      </c>
    </row>
    <row r="66" spans="1:14" ht="29.1">
      <c r="A66" s="28" t="str">
        <v>CDCR - CA Correctional Institution</v>
      </c>
      <c r="B66" s="29" t="str">
        <v>CA</v>
      </c>
      <c r="C66" s="24">
        <v>250530</v>
      </c>
      <c r="D66" s="13" t="s">
        <v>22</v>
      </c>
      <c r="E66" s="13" t="str">
        <f t="shared" si="5"/>
        <v/>
      </c>
      <c r="F66" s="14"/>
      <c r="G66" s="15">
        <v>260218.07</v>
      </c>
      <c r="H66" s="15">
        <f t="shared" si="6"/>
        <v>-9688.070000000007</v>
      </c>
      <c r="I66" s="16">
        <f t="shared" si="2"/>
        <v>-3.723058125825008E-2</v>
      </c>
      <c r="J66" s="41" t="s">
        <v>416</v>
      </c>
      <c r="K66" s="99" t="s">
        <v>417</v>
      </c>
    </row>
    <row r="67" spans="1:14" ht="159.6">
      <c r="A67" s="30" t="str">
        <v>CDCR - CA Correctional Institution II</v>
      </c>
      <c r="B67" s="31" t="str">
        <v>CA</v>
      </c>
      <c r="C67" s="11">
        <v>203177</v>
      </c>
      <c r="D67" s="18" t="s">
        <v>22</v>
      </c>
      <c r="E67" s="18" t="str">
        <f t="shared" si="5"/>
        <v/>
      </c>
      <c r="F67" s="19"/>
      <c r="G67" s="20">
        <v>386824.62</v>
      </c>
      <c r="H67" s="20">
        <f t="shared" si="6"/>
        <v>-183647.62</v>
      </c>
      <c r="I67" s="19">
        <f t="shared" si="2"/>
        <v>-0.47475680322519287</v>
      </c>
      <c r="J67" s="42" t="s">
        <v>418</v>
      </c>
      <c r="K67" s="101" t="s">
        <v>419</v>
      </c>
      <c r="L67" s="112" t="s">
        <v>113</v>
      </c>
      <c r="M67" s="112" t="s">
        <v>420</v>
      </c>
      <c r="N67" s="112" t="s">
        <v>234</v>
      </c>
    </row>
    <row r="68" spans="1:14" ht="29.1">
      <c r="A68" s="28" t="str">
        <v>Snowline SD - Vista Verde ES</v>
      </c>
      <c r="B68" s="29" t="str">
        <v>CA</v>
      </c>
      <c r="C68" s="24">
        <v>15618</v>
      </c>
      <c r="D68" s="13" t="s">
        <v>22</v>
      </c>
      <c r="E68" s="13" t="str">
        <f t="shared" si="5"/>
        <v/>
      </c>
      <c r="F68" s="14"/>
      <c r="G68" s="15">
        <v>36285.410000000003</v>
      </c>
      <c r="H68" s="15">
        <f t="shared" si="6"/>
        <v>-20667.410000000003</v>
      </c>
      <c r="I68" s="16">
        <f t="shared" si="2"/>
        <v>-0.56957906772997746</v>
      </c>
      <c r="J68" s="41" t="s">
        <v>421</v>
      </c>
      <c r="K68" s="99" t="s">
        <v>422</v>
      </c>
    </row>
    <row r="69" spans="1:14" ht="87">
      <c r="A69" s="30" t="str">
        <v>North Stonington</v>
      </c>
      <c r="B69" s="31" t="str">
        <v>CT</v>
      </c>
      <c r="C69" s="11">
        <v>1403640</v>
      </c>
      <c r="D69" s="18" t="s">
        <v>22</v>
      </c>
      <c r="E69" s="18"/>
      <c r="F69" s="19"/>
      <c r="G69" s="92" t="s">
        <v>22</v>
      </c>
      <c r="H69" s="20"/>
      <c r="I69" s="19"/>
      <c r="J69" s="54" t="s">
        <v>423</v>
      </c>
      <c r="K69" s="101" t="s">
        <v>424</v>
      </c>
      <c r="L69" s="112" t="s">
        <v>425</v>
      </c>
    </row>
    <row r="70" spans="1:14" ht="14.45">
      <c r="A70" s="21"/>
      <c r="B70" s="33"/>
      <c r="C70" s="21"/>
      <c r="D70" s="21"/>
      <c r="E70" s="21"/>
      <c r="F70" s="22"/>
      <c r="G70" s="21"/>
      <c r="H70" s="21"/>
      <c r="I70" s="22"/>
      <c r="J70" s="21"/>
      <c r="K70" s="21"/>
    </row>
    <row r="71" spans="1:14" ht="14.45">
      <c r="A71" s="21"/>
      <c r="B71" s="33"/>
      <c r="C71" s="21"/>
      <c r="D71" s="21"/>
      <c r="E71" s="21"/>
      <c r="F71" s="22"/>
      <c r="G71" s="21"/>
      <c r="H71" s="21"/>
      <c r="I71" s="22"/>
      <c r="J71" s="21"/>
      <c r="K71" s="21"/>
    </row>
    <row r="72" spans="1:14" ht="14.45">
      <c r="A72" s="21"/>
      <c r="B72" s="33"/>
      <c r="C72" s="21"/>
      <c r="D72" s="21"/>
      <c r="E72" s="21"/>
      <c r="F72" s="22"/>
      <c r="G72" s="21"/>
      <c r="H72" s="21"/>
      <c r="I72" s="22"/>
      <c r="J72" s="21"/>
      <c r="K72" s="21"/>
    </row>
    <row r="73" spans="1:14" ht="14.45">
      <c r="A73" s="21"/>
      <c r="B73" s="33"/>
      <c r="C73" s="21"/>
      <c r="D73" s="21"/>
      <c r="E73" s="21"/>
      <c r="F73" s="22"/>
      <c r="G73" s="21"/>
      <c r="H73" s="21"/>
      <c r="I73" s="22"/>
      <c r="J73" s="21"/>
      <c r="K73" s="21"/>
    </row>
    <row r="74" spans="1:14" ht="14.45">
      <c r="A74" s="21"/>
      <c r="B74" s="33"/>
      <c r="C74" s="21"/>
      <c r="D74" s="21"/>
      <c r="E74" s="21"/>
      <c r="F74" s="22"/>
      <c r="G74" s="21"/>
      <c r="H74" s="21"/>
      <c r="I74" s="22"/>
      <c r="J74" s="21"/>
      <c r="K74" s="21"/>
    </row>
    <row r="75" spans="1:14" ht="14.45">
      <c r="A75" s="21"/>
      <c r="B75" s="33"/>
      <c r="C75" s="21"/>
      <c r="D75" s="21"/>
      <c r="E75" s="21"/>
      <c r="F75" s="22"/>
      <c r="G75" s="21"/>
      <c r="H75" s="21"/>
      <c r="I75" s="22"/>
      <c r="J75" s="21"/>
      <c r="K75" s="21"/>
    </row>
    <row r="76" spans="1:14" ht="14.45">
      <c r="A76" s="21"/>
      <c r="B76" s="33"/>
      <c r="C76" s="21"/>
      <c r="D76" s="21"/>
      <c r="E76" s="21"/>
      <c r="F76" s="22"/>
      <c r="G76" s="21"/>
      <c r="H76" s="21"/>
      <c r="I76" s="22"/>
      <c r="J76" s="21"/>
      <c r="K76" s="21"/>
    </row>
    <row r="77" spans="1:14" ht="14.45">
      <c r="A77" s="21"/>
      <c r="B77" s="33"/>
      <c r="C77" s="21"/>
      <c r="D77" s="21"/>
      <c r="E77" s="21"/>
      <c r="F77" s="22"/>
      <c r="G77" s="21"/>
      <c r="H77" s="21"/>
      <c r="I77" s="22"/>
      <c r="J77" s="21"/>
      <c r="K77" s="21"/>
    </row>
    <row r="78" spans="1:14" ht="14.45">
      <c r="A78" s="21"/>
      <c r="B78" s="33"/>
      <c r="C78" s="21"/>
      <c r="D78" s="21"/>
      <c r="E78" s="21"/>
      <c r="F78" s="22"/>
      <c r="G78" s="21"/>
      <c r="H78" s="21"/>
      <c r="I78" s="22"/>
      <c r="J78" s="21"/>
      <c r="K78" s="21"/>
    </row>
    <row r="79" spans="1:14" ht="14.45">
      <c r="A79" s="21"/>
      <c r="B79" s="33"/>
      <c r="C79" s="21"/>
      <c r="D79" s="21"/>
      <c r="E79" s="21"/>
      <c r="F79" s="22"/>
      <c r="G79" s="21"/>
      <c r="H79" s="21"/>
      <c r="I79" s="22"/>
      <c r="J79" s="21"/>
      <c r="K79" s="21"/>
    </row>
    <row r="80" spans="1:14"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36" priority="3" stopIfTrue="1" operator="lessThanOrEqual">
      <formula>-0.1</formula>
    </cfRule>
    <cfRule type="expression" dxfId="35" priority="4">
      <formula>AND(ISNUMBER(F2), F2&gt;=0.1)</formula>
    </cfRule>
  </conditionalFormatting>
  <conditionalFormatting sqref="F4:F100 I4:I100">
    <cfRule type="cellIs" dxfId="34" priority="1" stopIfTrue="1" operator="lessThanOrEqual">
      <formula>-0.1</formula>
    </cfRule>
    <cfRule type="expression" dxfId="33" priority="2">
      <formula>AND(ISNUMBER(F4), F4&gt;=0.1)</formula>
    </cfRule>
  </conditionalFormatting>
  <hyperlinks>
    <hyperlink ref="K6" r:id="rId1" display="https://us3.assetplanner.com/service_request?ID=098590" xr:uid="{A89C459B-1461-4481-A948-8BC30672862D}"/>
    <hyperlink ref="K7" r:id="rId2" display="https://us3.assetplanner.com/service_request?ID=101056" xr:uid="{26CBD58E-92C6-45C3-9679-979B65E7893E}"/>
    <hyperlink ref="K8" r:id="rId3" display="https://us3.assetplanner.com/service_request?ID=096145" xr:uid="{FC0C69A1-FFCB-43B5-BE34-48DB52D3EB3B}"/>
    <hyperlink ref="L8" r:id="rId4" display="https://us3.assetplanner.com/service_request?ID=096237" xr:uid="{A19BAA4E-BCB3-45C2-A5B8-F4543AA27B48}"/>
    <hyperlink ref="M8" r:id="rId5" display="https://us3.assetplanner.com/service_request?ID=095177" xr:uid="{2B46FB33-7FC3-4749-9E4F-C890E9D9AC5D}"/>
    <hyperlink ref="K10" r:id="rId6" display="https://us3.assetplanner.com/service_request?ID=100632" xr:uid="{D049ADE5-5F3F-4C49-B706-C23BB45DDBD3}"/>
    <hyperlink ref="K11" r:id="rId7" display="https://us3.assetplanner.com/service_request?ID=101939" xr:uid="{3C7BC4A6-6A6E-4818-8443-7125C7154E79}"/>
    <hyperlink ref="K21" r:id="rId8" display="https://us3.assetplanner.com/service_request?ID=100937" xr:uid="{02B91FE0-8319-4EAE-9887-70305F326980}"/>
    <hyperlink ref="L21" r:id="rId9" display="https://us3.assetplanner.com/service_request?ID=101331" xr:uid="{4FFF7057-AB48-48F7-BA10-B947BB105FFD}"/>
    <hyperlink ref="K22" r:id="rId10" display="https://us3.assetplanner.com/service_request?ID=100060" xr:uid="{ABFF863C-00FC-4851-B88B-196B208A969C}"/>
    <hyperlink ref="L22" r:id="rId11" display="https://us3.assetplanner.com/service_request?ID=093440" xr:uid="{1DB09D23-7D2D-4179-BE9B-C6FB37BE6BA2}"/>
    <hyperlink ref="K23" r:id="rId12" display="https://us3.assetplanner.com/service_request?ID=102013" xr:uid="{24F03105-396C-492F-A82E-E24CB7B73C06}"/>
    <hyperlink ref="L23" r:id="rId13" display="https://us3.assetplanner.com/service_request?ID=095623" xr:uid="{B4CAE119-1ED2-49A6-9CC0-F82487B98303}"/>
    <hyperlink ref="K25" r:id="rId14" display="https://us3.assetplanner.com/service_request?ID=101039" xr:uid="{EA2228AF-FFAB-40D4-87E8-95EBB1341426}"/>
    <hyperlink ref="K29" r:id="rId15" display="https://us3.assetplanner.com/service_request?ID=100011" xr:uid="{5D507A27-B96D-4EBB-BE3A-A517F1DB9844}"/>
    <hyperlink ref="L29" r:id="rId16" display="https://us3.assetplanner.com/service_request?ID=101440" xr:uid="{7ED8DCB3-B29A-445C-9F9F-F8A73890028F}"/>
    <hyperlink ref="M29" r:id="rId17" display="https://us3.assetplanner.com/service_request?ID=101862" xr:uid="{30567681-B8E2-441B-B7AC-A177BC8BAA3F}"/>
    <hyperlink ref="K30" r:id="rId18" display="https://us3.assetplanner.com/service_request?ID=100743" xr:uid="{0FAFD48E-16AB-4736-B18E-87BABF22508D}"/>
    <hyperlink ref="K31" r:id="rId19" display="https://us3.assetplanner.com/service_request?ID=100459" xr:uid="{227FD0B8-76F6-4293-9E33-E382FEB6F276}"/>
    <hyperlink ref="L31" r:id="rId20" display="https://us3.assetplanner.com/service_request?ID=101131" xr:uid="{E6B5C76B-31AA-4E04-B3D5-7B75000EBB03}"/>
    <hyperlink ref="M31" r:id="rId21" display="https://us3.assetplanner.com/service_request?ID=102150" xr:uid="{E5C937E2-C2C3-4A7F-BAA5-8743B098CAB8}"/>
    <hyperlink ref="K34" r:id="rId22" display="https://us3.assetplanner.com/service_request?ID=099912" xr:uid="{B59CDFBA-2F92-4EAC-A9D1-BFDEFAAB6872}"/>
    <hyperlink ref="K35" r:id="rId23" display="https://us3.assetplanner.com/service_request?ID=099206" xr:uid="{E07EC9BF-D93B-4326-8F0B-BB6527F287F9}"/>
    <hyperlink ref="K37" r:id="rId24" display="https://us3.assetplanner.com/service_request?ID=094440" xr:uid="{64F932C9-B059-4BFB-B17C-6832A6F0B282}"/>
    <hyperlink ref="K38" r:id="rId25" display="https://us3.assetplanner.com/service_request?ID=095163" xr:uid="{13F37E15-1D3A-4F14-831A-0DC1CB7A47D1}"/>
    <hyperlink ref="L38" r:id="rId26" display="https://us3.assetplanner.com/service_request?ID=093065" xr:uid="{D4BD519E-A1EC-4032-A757-BB2CA10D27E1}"/>
    <hyperlink ref="K40" r:id="rId27" display="https://us3.assetplanner.com/service_request?ID=089464" xr:uid="{2F8378E4-E58E-4808-A13D-E8A953943270}"/>
    <hyperlink ref="L40" r:id="rId28" display="https://us3.assetplanner.com/service_request?ID=093180" xr:uid="{FFB733D9-A4B2-41CD-BE93-FCAD2D44E4FD}"/>
    <hyperlink ref="M40" r:id="rId29" display="https://us3.assetplanner.com/service_request?ID=093174" xr:uid="{FF5FD974-2951-46AA-BDF5-4E1443694042}"/>
    <hyperlink ref="N40" r:id="rId30" display="https://us3.assetplanner.com/service_request?ID=095356" xr:uid="{3B13FB90-BF55-4A2D-BF9E-0E7AA4A671F0}"/>
    <hyperlink ref="O40" r:id="rId31" display="https://us3.assetplanner.com/service_request?ID=096916" xr:uid="{FBA9C5DF-F68D-439C-BDE7-A420BA55B6A2}"/>
    <hyperlink ref="P40" r:id="rId32" display="https://us3.assetplanner.com/service_request?ID=100537" xr:uid="{792B58FE-20D4-4FA7-A5EC-965C28671CB3}"/>
    <hyperlink ref="K41" r:id="rId33" display="https://us3.assetplanner.com/service_request?ID=092753" xr:uid="{CC760CBF-C4EE-4418-BADD-6F87911E88CA}"/>
    <hyperlink ref="K43" r:id="rId34" display="https://us3.assetplanner.com/service_request?ID=090375" xr:uid="{C66C05D2-8122-4063-AF69-919DFF3A8B17}"/>
    <hyperlink ref="L43" r:id="rId35" display="https://us3.assetplanner.com/service_request?ID=089461" xr:uid="{0DDA650D-D29D-471B-B775-EE7BE614A369}"/>
    <hyperlink ref="M43" r:id="rId36" display="https://us3.assetplanner.com/service_request?ID=098018" xr:uid="{7112B97C-DC01-44BB-8EF6-F03D278B88D7}"/>
    <hyperlink ref="N43" r:id="rId37" display="https://us3.assetplanner.com/service_request?ID=101562" xr:uid="{92F65D1A-4D99-40A6-BE9F-BCDA8EAF1D2C}"/>
    <hyperlink ref="O43" r:id="rId38" display="https://us3.assetplanner.com/service_request?ID=101561" xr:uid="{47DCD746-49EE-4047-8810-FF38EAEE659C}"/>
    <hyperlink ref="K44" r:id="rId39" display="https://us3.assetplanner.com/service_request?ID=092276" xr:uid="{DC152675-DDC9-4DAE-A672-D12B1EB70B57}"/>
    <hyperlink ref="K45" r:id="rId40" display="https://us3.assetplanner.com/service_request?ID=085968" xr:uid="{17BE7AC6-DC68-4119-997A-25EED88115D7}"/>
    <hyperlink ref="L45" r:id="rId41" display="https://us3.assetplanner.com/service_request?ID=092256" xr:uid="{99FCECC6-1223-495A-89C9-70741235377A}"/>
    <hyperlink ref="M45" r:id="rId42" display="https://us3.assetplanner.com/service_request?ID=090090" xr:uid="{42806F88-B6A1-4B1C-AFD6-0605539F72B3}"/>
    <hyperlink ref="N45" r:id="rId43" display="https://us3.assetplanner.com/service_request?ID=095592" xr:uid="{59197EE3-D7C0-4DA1-9E6E-BB54BF462960}"/>
    <hyperlink ref="O45" r:id="rId44" display="https://us3.assetplanner.com/service_request?ID=095592" xr:uid="{8856525D-34B8-4217-9BF1-8C9D242ACADF}"/>
    <hyperlink ref="K46" r:id="rId45" display="https://us3.assetplanner.com/service_request?ID=089470" xr:uid="{13CA512F-05C0-4D75-A74C-FB757926E86D}"/>
    <hyperlink ref="L46" r:id="rId46" display="https://us3.assetplanner.com/service_request?ID=092603" xr:uid="{4DD885B7-4CB9-40BB-8C9D-B4B2BB33C264}"/>
    <hyperlink ref="K47" r:id="rId47" display="https://us3.assetplanner.com/service_request?ID=089612" xr:uid="{3C18A927-DF79-4234-86DF-5BB99314ADFB}"/>
    <hyperlink ref="L47" r:id="rId48" display="https://us3.assetplanner.com/service_request?ID=095385" xr:uid="{16D2B576-91E5-4CEB-BA51-87FE104B9E75}"/>
    <hyperlink ref="M47" r:id="rId49" display="https://us3.assetplanner.com/service_request?ID=102060" xr:uid="{6B57F9F5-598B-46CE-BAC3-752C28AD701E}"/>
    <hyperlink ref="N47" r:id="rId50" display="https://us3.assetplanner.com/service_request?ID=099766" xr:uid="{408E25EC-BDE5-4C88-8C93-3414E0272F6F}"/>
    <hyperlink ref="K48" r:id="rId51" display="https://us3.assetplanner.com/service_request?ID=092166" xr:uid="{85446B3C-8A36-4FD6-8C67-6FFD8E24B741}"/>
    <hyperlink ref="L48" r:id="rId52" display="https://us3.assetplanner.com/service_request?ID=097558" xr:uid="{8E98ED96-8DEC-45FA-AEA8-AB556BE3A277}"/>
    <hyperlink ref="M48" r:id="rId53" display="https://us3.assetplanner.com/service_request?ID=098717" xr:uid="{689D87C0-1BB1-4667-904B-F8417F6A5597}"/>
    <hyperlink ref="N48" r:id="rId54" display="https://us3.assetplanner.com/service_request?ID=086220" xr:uid="{B100B82C-56DD-487F-9CD7-D0CFE3D6F50D}"/>
    <hyperlink ref="O48" r:id="rId55" display="https://us3.assetplanner.com/service_request?ID=098717" xr:uid="{710D6905-394C-46FC-96F4-DD4E79A3EB1F}"/>
    <hyperlink ref="P48" r:id="rId56" display="https://us3.assetplanner.com/service_request?ID=091312" xr:uid="{7A23369C-2495-43DC-924C-362AA4438908}"/>
    <hyperlink ref="K49" r:id="rId57" display="https://us3.assetplanner.com/service_request?ID=098397" xr:uid="{8AC5F564-F91B-4A4D-AB33-B8E147CBD436}"/>
    <hyperlink ref="L49" r:id="rId58" display="https://us3.assetplanner.com/service_request?ID=098397" xr:uid="{F5C832CB-C0D4-4094-9D87-002B77FBF810}"/>
    <hyperlink ref="K51" r:id="rId59" display="https://us3.assetplanner.com/service_request?ID=101829" xr:uid="{589A043A-A79C-4D58-A1F1-A67A4CA5C319}"/>
    <hyperlink ref="L51" r:id="rId60" display="https://us3.assetplanner.com/service_request?ID=101132" xr:uid="{8BCDF120-9AAC-4FFF-B75A-3578321E5C30}"/>
    <hyperlink ref="K52" r:id="rId61" display="https://us3.assetplanner.com/service_request?ID=100858" xr:uid="{17973ECF-0905-45DE-A618-E33C6D176C0F}"/>
    <hyperlink ref="K53" r:id="rId62" display="https://us3.assetplanner.com/service_request?ID=094545" xr:uid="{0F718068-4852-4F7C-987C-2735CA2658B5}"/>
    <hyperlink ref="L53" r:id="rId63" display="https://us3.assetplanner.com/service_request?ID=100842" xr:uid="{E32404F2-64A3-4162-B614-D7F48F9B0E85}"/>
    <hyperlink ref="K55" r:id="rId64" display="https://us3.assetplanner.com/service_request?ID=080516" xr:uid="{78C4A802-E3F3-4CE3-925B-4B95FA09AED5}"/>
    <hyperlink ref="L55" r:id="rId65" display="https://us3.assetplanner.com/service_request?ID=100976" xr:uid="{80372BBA-9089-4D44-B5BF-C646360A178A}"/>
    <hyperlink ref="K58" r:id="rId66" display="https://us3.assetplanner.com/service_request?ID=098183" xr:uid="{CF47B02C-6CD1-4735-A7A8-50DB2C65005D}"/>
    <hyperlink ref="L58" r:id="rId67" display="https://us3.assetplanner.com/service_request?ID=095449" xr:uid="{4D726792-1B26-46D1-B244-F66544EEFD78}"/>
    <hyperlink ref="M58" r:id="rId68" display="https://us3.assetplanner.com/service_request?ID=093474" xr:uid="{65E27C40-0660-44D1-9C65-708F6E394EC8}"/>
    <hyperlink ref="N58" r:id="rId69" display="https://us3.assetplanner.com/service_request?ID=090380" xr:uid="{7E620AA9-07AD-40F1-9077-F02CF8E976FC}"/>
    <hyperlink ref="O58" r:id="rId70" display="https://us3.assetplanner.com/service_request?ID=089474" xr:uid="{9E098807-FB58-4C66-BE7B-896306F98B8B}"/>
    <hyperlink ref="P58" r:id="rId71" display="https://us3.assetplanner.com/service_request?ID=098183" xr:uid="{C634C2EC-9AF5-41FC-9ABF-8BE6953768FC}"/>
    <hyperlink ref="Q58" r:id="rId72" display="https://us3.assetplanner.com/service_request?ID=101740" xr:uid="{AB943CBF-A924-4E0F-B278-01D95EA17E76}"/>
    <hyperlink ref="K59" r:id="rId73" display="https://us3.assetplanner.com/service_request?ID=098826" xr:uid="{AC61FFDF-7329-4328-8451-276A6F6AE3C9}"/>
    <hyperlink ref="L59" r:id="rId74" display="https://us3.assetplanner.com/service_request?ID=099338" xr:uid="{6FA3A06E-D4DD-46C2-90A8-3ED0FB157EA4}"/>
    <hyperlink ref="M59" r:id="rId75" display="https://us3.assetplanner.com/service_request?ID=099327" xr:uid="{D2F7CF4E-D816-4DD3-86C8-820F0ACBD84C}"/>
    <hyperlink ref="N59" r:id="rId76" display="https://us3.assetplanner.com/service_request?ID=102082" xr:uid="{649B2406-7B3D-4F76-85BF-43ECD3EDAC5D}"/>
    <hyperlink ref="K60" r:id="rId77" display="https://us3.assetplanner.com/service_request?ID=089477" xr:uid="{E3D32AAF-0EA1-4CD3-9A46-9C889EE4FFD8}"/>
    <hyperlink ref="L60" r:id="rId78" display="https://us3.assetplanner.com/service_request?ID=096348" xr:uid="{0800C4EB-9114-488A-B299-355C81E024CB}"/>
    <hyperlink ref="M60" r:id="rId79" display="https://us3.assetplanner.com/service_request?ID=101285" xr:uid="{16AD3119-3A2A-475C-A7AE-9AC4C85928F0}"/>
    <hyperlink ref="N60" r:id="rId80" display="https://us3.assetplanner.com/service_request?ID=089477" xr:uid="{9A009EC3-98E4-4A1F-A12B-67D9DC993AB8}"/>
    <hyperlink ref="O60" r:id="rId81" display="https://us3.assetplanner.com/service_request?ID=096348" xr:uid="{009FA878-E3B6-4E8A-AAB9-01A4B0735872}"/>
    <hyperlink ref="P60" r:id="rId82" display="https://us3.assetplanner.com/service_request?ID=089477" xr:uid="{D50489C8-D1FE-444F-9CF5-91917BB02149}"/>
    <hyperlink ref="Q60" r:id="rId83" display="https://us3.assetplanner.com/service_request?ID=096348" xr:uid="{E46CEDE2-7446-4F29-9213-4271DE27EDC0}"/>
    <hyperlink ref="R60" r:id="rId84" display="https://us3.assetplanner.com/service_request?ID=102153" xr:uid="{28A6FC87-264A-4385-A123-8C92B4F4CB1B}"/>
    <hyperlink ref="S60" r:id="rId85" display="https://us3.assetplanner.com/service_request?ID=101285" xr:uid="{1DA03C94-841E-4DFC-AE84-739CDBDA48A2}"/>
    <hyperlink ref="T60" r:id="rId86" display="https://us3.assetplanner.com/service_request?ID=102153" xr:uid="{049CE486-8D9D-4347-9222-9884471A4C9D}"/>
    <hyperlink ref="K62" r:id="rId87" display="https://us3.assetplanner.com/service_request?ID=097948" xr:uid="{F0AD25FD-E2DF-40CD-B19F-CDE45A0B4559}"/>
    <hyperlink ref="K65" r:id="rId88" display="https://us3.assetplanner.com/service_request?ID=095559" xr:uid="{DC7E9509-3C8D-4E14-B253-C1637215A39C}"/>
    <hyperlink ref="L65" r:id="rId89" display="https://us3.assetplanner.com/service_request?ID=099641" xr:uid="{8916D127-6A5A-42EF-9ABB-F9FF6BED59B9}"/>
    <hyperlink ref="M65" r:id="rId90" display="https://us3.assetplanner.com/service_request?ID=099641" xr:uid="{874E66BF-A1B4-417C-89B5-50F4A3F62A06}"/>
    <hyperlink ref="K66" r:id="rId91" display="https://us3.assetplanner.com/service_request?ID=101606" xr:uid="{86CBD8EF-9D17-4222-B894-D684D4FEAF1F}"/>
    <hyperlink ref="K67" r:id="rId92" display="https://us3.assetplanner.com/service_request?ID=092171" xr:uid="{BBD81C4E-F636-4B56-8453-24E1058DAC00}"/>
    <hyperlink ref="L67" r:id="rId93" display="https://us3.assetplanner.com/service_request?ID=092455" xr:uid="{73CDD2D7-094A-44E4-8BD6-140639776E30}"/>
    <hyperlink ref="M67" r:id="rId94" display="https://us3.assetplanner.com/service_request?ID=101475" xr:uid="{916BEB5E-6BE4-42D0-B215-50AD71975BDE}"/>
    <hyperlink ref="N67" r:id="rId95" display="https://us3.assetplanner.com/service_request?ID=098778" xr:uid="{91248122-4BB2-49FB-A6FD-08A04AEAB707}"/>
    <hyperlink ref="K68" r:id="rId96" display="https://us3.assetplanner.com/service_request?ID=101624" xr:uid="{BDE95E02-5C1A-48F7-9CA9-3DF16F78E059}"/>
    <hyperlink ref="K69" r:id="rId97" display="https://us3.assetplanner.com/service_request?ID=100820" xr:uid="{5EF57AFA-CB50-4C12-AF7C-46DB5AD571DA}"/>
    <hyperlink ref="L69" r:id="rId98" display="https://us3.assetplanner.com/service_request?ID=101886" xr:uid="{92DBF92E-90BB-4EA8-B88E-8F8EBDC11308}"/>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K342"/>
  <sheetViews>
    <sheetView zoomScale="85" zoomScaleNormal="85" workbookViewId="0">
      <pane xSplit="2" ySplit="3" topLeftCell="C4" activePane="bottomRight" state="frozen"/>
      <selection pane="bottomRight" activeCell="J31" sqref="A30:J31"/>
      <selection pane="bottomLeft" activeCell="J66" sqref="J66"/>
      <selection pane="topRight" activeCell="J66" sqref="J66"/>
    </sheetView>
  </sheetViews>
  <sheetFormatPr defaultRowHeight="14.1"/>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4.42578125" customWidth="1"/>
  </cols>
  <sheetData>
    <row r="1" spans="1:11" ht="19.5" customHeight="1">
      <c r="A1" s="120" t="str" cm="1">
        <f t="array" ref="A1">portfolio</f>
        <v>Silicon Ranch</v>
      </c>
      <c r="B1" s="120"/>
      <c r="C1" s="120"/>
      <c r="D1" s="121" t="s">
        <v>426</v>
      </c>
      <c r="E1" s="121"/>
      <c r="F1" s="121"/>
      <c r="G1" s="119" t="s">
        <v>427</v>
      </c>
      <c r="H1" s="119"/>
      <c r="I1" s="119"/>
      <c r="J1" s="4"/>
      <c r="K1" s="4"/>
    </row>
    <row r="2" spans="1:11" ht="19.5" customHeight="1">
      <c r="A2" s="122" t="s">
        <v>2</v>
      </c>
      <c r="B2" s="122"/>
      <c r="C2" s="5">
        <f>SUM(C4:C100)</f>
        <v>0</v>
      </c>
      <c r="D2" s="5">
        <f>SUM(D4:D100)</f>
        <v>0</v>
      </c>
      <c r="E2" s="5">
        <f>C2-D2</f>
        <v>0</v>
      </c>
      <c r="F2" s="6">
        <f>IFERROR(E2/D2, 0)</f>
        <v>0</v>
      </c>
      <c r="G2" s="5">
        <f>SUM(G4:G100)</f>
        <v>0</v>
      </c>
      <c r="H2" s="7">
        <f>C2-G2</f>
        <v>0</v>
      </c>
      <c r="I2" s="6">
        <f>IFERROR(H2/G2, 0)</f>
        <v>0</v>
      </c>
      <c r="J2" s="26"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6">
      <c r="A4" s="32" t="str" cm="1">
        <f t="array" ref="A4:A69">Sites[Site]</f>
        <v>Iron Mountain - Windsor</v>
      </c>
      <c r="B4" s="29" t="str" cm="1">
        <f t="array" ref="B4:B69">Sites[State]</f>
        <v>CT</v>
      </c>
      <c r="C4" s="24"/>
      <c r="D4" s="13"/>
      <c r="E4" s="13" t="str">
        <f>IF(AND(ISNUMBER(C4),ISNUMBER(D4)), C4-D4, "")</f>
        <v/>
      </c>
      <c r="F4" s="14" t="str">
        <f>IFERROR(E4/D4, "")</f>
        <v/>
      </c>
      <c r="G4" s="15"/>
      <c r="H4" s="15" t="str">
        <f>IF(AND(ISNUMBER(C4),ISNUMBER(G4)), C4-G4, "")</f>
        <v/>
      </c>
      <c r="I4" s="16" t="str">
        <f>IFERROR(H4/G4, "")</f>
        <v/>
      </c>
      <c r="J4" s="57"/>
      <c r="K4" s="57"/>
    </row>
    <row r="5" spans="1:11" ht="15.6">
      <c r="A5" s="30" t="str">
        <v>Kohls - Auburn</v>
      </c>
      <c r="B5" s="31" t="str">
        <v>NY</v>
      </c>
      <c r="C5" s="11"/>
      <c r="D5" s="18"/>
      <c r="E5" s="18" t="str">
        <f t="shared" ref="E5:E25" si="0">IF(AND(ISNUMBER(C5),ISNUMBER(D5)), C5-D5, "")</f>
        <v/>
      </c>
      <c r="F5" s="19" t="str">
        <f>IFERROR(E5/D5, "")</f>
        <v/>
      </c>
      <c r="G5" s="20"/>
      <c r="H5" s="20" t="str">
        <f t="shared" ref="H5:H25" si="1">IF(AND(ISNUMBER(C5),ISNUMBER(G5)), C5-G5, "")</f>
        <v/>
      </c>
      <c r="I5" s="19" t="str">
        <f t="shared" ref="I5:I68" si="2">IFERROR(H5/G5, "")</f>
        <v/>
      </c>
      <c r="J5" s="59"/>
      <c r="K5" s="59"/>
    </row>
    <row r="6" spans="1:11" ht="15.6">
      <c r="A6" s="28" t="str">
        <v>Kohls - Bensalem</v>
      </c>
      <c r="B6" s="29" t="str">
        <v>PA</v>
      </c>
      <c r="C6" s="24"/>
      <c r="D6" s="13"/>
      <c r="E6" s="13" t="str">
        <f t="shared" si="0"/>
        <v/>
      </c>
      <c r="F6" s="14" t="str">
        <f t="shared" ref="F6:F17" si="3">IFERROR(E6/D6, "")</f>
        <v/>
      </c>
      <c r="G6" s="15"/>
      <c r="H6" s="15" t="str">
        <f t="shared" si="1"/>
        <v/>
      </c>
      <c r="I6" s="16" t="str">
        <f t="shared" si="2"/>
        <v/>
      </c>
      <c r="J6" s="57"/>
      <c r="K6" s="57"/>
    </row>
    <row r="7" spans="1:11" ht="15.6">
      <c r="A7" s="30" t="str">
        <v>Kohls - Brick</v>
      </c>
      <c r="B7" s="31" t="str">
        <v>NJ</v>
      </c>
      <c r="C7" s="11"/>
      <c r="D7" s="18"/>
      <c r="E7" s="18" t="str">
        <f t="shared" si="0"/>
        <v/>
      </c>
      <c r="F7" s="19" t="str">
        <f t="shared" si="3"/>
        <v/>
      </c>
      <c r="G7" s="20"/>
      <c r="H7" s="20" t="str">
        <f t="shared" si="1"/>
        <v/>
      </c>
      <c r="I7" s="19" t="str">
        <f t="shared" si="2"/>
        <v/>
      </c>
      <c r="J7" s="59"/>
      <c r="K7" s="60"/>
    </row>
    <row r="8" spans="1:11" ht="15.6">
      <c r="A8" s="28" t="str">
        <v>Kohls - Buffalo</v>
      </c>
      <c r="B8" s="29" t="str">
        <v>NY</v>
      </c>
      <c r="C8" s="24"/>
      <c r="D8" s="13"/>
      <c r="E8" s="13" t="str">
        <f t="shared" si="0"/>
        <v/>
      </c>
      <c r="F8" s="14" t="str">
        <f t="shared" si="3"/>
        <v/>
      </c>
      <c r="G8" s="15"/>
      <c r="H8" s="15" t="str">
        <f t="shared" si="1"/>
        <v/>
      </c>
      <c r="I8" s="16" t="str">
        <f t="shared" si="2"/>
        <v/>
      </c>
      <c r="J8" s="57"/>
      <c r="K8" s="57"/>
    </row>
    <row r="9" spans="1:11" ht="15.6">
      <c r="A9" s="30" t="str">
        <v>Kohls - Canton</v>
      </c>
      <c r="B9" s="31" t="str">
        <v>CT</v>
      </c>
      <c r="C9" s="11"/>
      <c r="D9" s="18"/>
      <c r="E9" s="18" t="str">
        <f t="shared" si="0"/>
        <v/>
      </c>
      <c r="F9" s="19" t="str">
        <f t="shared" si="3"/>
        <v/>
      </c>
      <c r="G9" s="20"/>
      <c r="H9" s="20" t="str">
        <f t="shared" si="1"/>
        <v/>
      </c>
      <c r="I9" s="19" t="str">
        <f t="shared" si="2"/>
        <v/>
      </c>
      <c r="J9" s="59"/>
      <c r="K9" s="60"/>
    </row>
    <row r="10" spans="1:11" ht="15.6">
      <c r="A10" s="28" t="str">
        <v>Kohls - East Amherst</v>
      </c>
      <c r="B10" s="29" t="str">
        <v>NY</v>
      </c>
      <c r="C10" s="24"/>
      <c r="D10" s="13"/>
      <c r="E10" s="13" t="str">
        <f t="shared" si="0"/>
        <v/>
      </c>
      <c r="F10" s="14" t="str">
        <f t="shared" si="3"/>
        <v/>
      </c>
      <c r="G10" s="15"/>
      <c r="H10" s="15" t="str">
        <f t="shared" si="1"/>
        <v/>
      </c>
      <c r="I10" s="16" t="str">
        <f t="shared" si="2"/>
        <v/>
      </c>
      <c r="J10" s="57"/>
      <c r="K10" s="57"/>
    </row>
    <row r="11" spans="1:11" ht="15.6">
      <c r="A11" s="30" t="str">
        <v>Kohls - East Brunswick</v>
      </c>
      <c r="B11" s="31" t="str">
        <v>NJ</v>
      </c>
      <c r="C11" s="11"/>
      <c r="D11" s="18"/>
      <c r="E11" s="18" t="str">
        <f t="shared" si="0"/>
        <v/>
      </c>
      <c r="F11" s="19" t="str">
        <f t="shared" si="3"/>
        <v/>
      </c>
      <c r="G11" s="20"/>
      <c r="H11" s="20" t="str">
        <f t="shared" si="1"/>
        <v/>
      </c>
      <c r="I11" s="19" t="str">
        <f t="shared" si="2"/>
        <v/>
      </c>
      <c r="J11" s="59"/>
      <c r="K11" s="60"/>
    </row>
    <row r="12" spans="1:11" ht="15.6">
      <c r="A12" s="28" t="str">
        <v>Kohls - Edgewood</v>
      </c>
      <c r="B12" s="29" t="str">
        <v>MD</v>
      </c>
      <c r="C12" s="24"/>
      <c r="D12" s="13"/>
      <c r="E12" s="13" t="str">
        <f t="shared" si="0"/>
        <v/>
      </c>
      <c r="F12" s="14" t="str">
        <f t="shared" si="3"/>
        <v/>
      </c>
      <c r="G12" s="15"/>
      <c r="H12" s="15" t="str">
        <f t="shared" si="1"/>
        <v/>
      </c>
      <c r="I12" s="16" t="str">
        <f t="shared" si="2"/>
        <v/>
      </c>
      <c r="J12" s="57"/>
      <c r="K12" s="57"/>
    </row>
    <row r="13" spans="1:11" ht="15.6">
      <c r="A13" s="30" t="str">
        <v>Kohls - Granite Run</v>
      </c>
      <c r="B13" s="31" t="str">
        <v>PA</v>
      </c>
      <c r="C13" s="11"/>
      <c r="D13" s="18"/>
      <c r="E13" s="18" t="str">
        <f t="shared" si="0"/>
        <v/>
      </c>
      <c r="F13" s="19" t="str">
        <f t="shared" si="3"/>
        <v/>
      </c>
      <c r="G13" s="20"/>
      <c r="H13" s="20" t="str">
        <f t="shared" si="1"/>
        <v/>
      </c>
      <c r="I13" s="19" t="str">
        <f t="shared" si="2"/>
        <v/>
      </c>
      <c r="J13" s="59"/>
      <c r="K13" s="60"/>
    </row>
    <row r="14" spans="1:11" ht="15.6">
      <c r="A14" s="28" t="str">
        <v>Kohls - Greece</v>
      </c>
      <c r="B14" s="29" t="str">
        <v>NY</v>
      </c>
      <c r="C14" s="24"/>
      <c r="D14" s="13"/>
      <c r="E14" s="13" t="str">
        <f t="shared" si="0"/>
        <v/>
      </c>
      <c r="F14" s="14" t="str">
        <f t="shared" si="3"/>
        <v/>
      </c>
      <c r="G14" s="15"/>
      <c r="H14" s="15" t="str">
        <f t="shared" si="1"/>
        <v/>
      </c>
      <c r="I14" s="16" t="str">
        <f t="shared" si="2"/>
        <v/>
      </c>
      <c r="J14" s="57"/>
      <c r="K14" s="57"/>
    </row>
    <row r="15" spans="1:11" ht="15.6">
      <c r="A15" s="30" t="str">
        <v>Kohls - Hanover</v>
      </c>
      <c r="B15" s="31" t="str">
        <v>PA</v>
      </c>
      <c r="C15" s="11"/>
      <c r="D15" s="18"/>
      <c r="E15" s="18" t="str">
        <f t="shared" si="0"/>
        <v/>
      </c>
      <c r="F15" s="19" t="str">
        <f t="shared" si="3"/>
        <v/>
      </c>
      <c r="G15" s="20"/>
      <c r="H15" s="20" t="str">
        <f t="shared" si="1"/>
        <v/>
      </c>
      <c r="I15" s="19" t="str">
        <f t="shared" si="2"/>
        <v/>
      </c>
      <c r="J15" s="59"/>
      <c r="K15" s="60"/>
    </row>
    <row r="16" spans="1:11" ht="15.6">
      <c r="A16" s="28" t="str">
        <v>Kohls - Horsehead</v>
      </c>
      <c r="B16" s="29" t="str">
        <v>NY</v>
      </c>
      <c r="C16" s="24"/>
      <c r="D16" s="13"/>
      <c r="E16" s="13" t="str">
        <f t="shared" si="0"/>
        <v/>
      </c>
      <c r="F16" s="14" t="str">
        <f t="shared" si="3"/>
        <v/>
      </c>
      <c r="G16" s="15"/>
      <c r="H16" s="15" t="str">
        <f t="shared" si="1"/>
        <v/>
      </c>
      <c r="I16" s="16" t="str">
        <f t="shared" si="2"/>
        <v/>
      </c>
      <c r="J16" s="57"/>
      <c r="K16" s="57"/>
    </row>
    <row r="17" spans="1:11" ht="15.6">
      <c r="A17" s="30" t="str">
        <v>Kohls - Hudson</v>
      </c>
      <c r="B17" s="31" t="str">
        <v>NY</v>
      </c>
      <c r="C17" s="11"/>
      <c r="D17" s="18"/>
      <c r="E17" s="18" t="str">
        <f t="shared" si="0"/>
        <v/>
      </c>
      <c r="F17" s="19" t="str">
        <f t="shared" si="3"/>
        <v/>
      </c>
      <c r="G17" s="20"/>
      <c r="H17" s="20" t="str">
        <f t="shared" si="1"/>
        <v/>
      </c>
      <c r="I17" s="19" t="str">
        <f t="shared" si="2"/>
        <v/>
      </c>
      <c r="J17" s="59"/>
      <c r="K17" s="59"/>
    </row>
    <row r="18" spans="1:11" ht="12.75" customHeight="1">
      <c r="A18" s="32" t="str">
        <v>Kohls - Ithaca</v>
      </c>
      <c r="B18" s="29" t="str">
        <v>NY</v>
      </c>
      <c r="C18" s="24"/>
      <c r="D18" s="13"/>
      <c r="E18" s="13" t="str">
        <f t="shared" si="0"/>
        <v/>
      </c>
      <c r="F18" s="14"/>
      <c r="G18" s="15"/>
      <c r="H18" s="15" t="str">
        <f t="shared" si="1"/>
        <v/>
      </c>
      <c r="I18" s="16" t="str">
        <f t="shared" si="2"/>
        <v/>
      </c>
      <c r="J18" s="57"/>
      <c r="K18" s="57"/>
    </row>
    <row r="19" spans="1:11" ht="15.6">
      <c r="A19" s="30" t="str">
        <v>Kohls - Kingston</v>
      </c>
      <c r="B19" s="31" t="str">
        <v>NY</v>
      </c>
      <c r="C19" s="11"/>
      <c r="D19" s="18"/>
      <c r="E19" s="18" t="str">
        <f t="shared" si="0"/>
        <v/>
      </c>
      <c r="F19" s="19"/>
      <c r="G19" s="20"/>
      <c r="H19" s="20" t="str">
        <f t="shared" si="1"/>
        <v/>
      </c>
      <c r="I19" s="19" t="str">
        <f t="shared" si="2"/>
        <v/>
      </c>
      <c r="J19" s="59"/>
      <c r="K19" s="59"/>
    </row>
    <row r="20" spans="1:11" ht="15.6">
      <c r="A20" s="28" t="str">
        <v>Kohls - Mechanicsburg</v>
      </c>
      <c r="B20" s="29" t="str">
        <v>PA</v>
      </c>
      <c r="C20" s="24"/>
      <c r="D20" s="13"/>
      <c r="E20" s="13" t="str">
        <f t="shared" si="0"/>
        <v/>
      </c>
      <c r="F20" s="14"/>
      <c r="G20" s="15"/>
      <c r="H20" s="15" t="str">
        <f t="shared" si="1"/>
        <v/>
      </c>
      <c r="I20" s="16" t="str">
        <f t="shared" si="2"/>
        <v/>
      </c>
      <c r="J20" s="57"/>
      <c r="K20" s="57"/>
    </row>
    <row r="21" spans="1:11" ht="69" customHeight="1">
      <c r="A21" s="30" t="str">
        <v>Kohls - Middletown</v>
      </c>
      <c r="B21" s="31" t="str">
        <v>NJ</v>
      </c>
      <c r="C21" s="11"/>
      <c r="D21" s="18"/>
      <c r="E21" s="18" t="str">
        <f t="shared" si="0"/>
        <v/>
      </c>
      <c r="F21" s="19"/>
      <c r="G21" s="20"/>
      <c r="H21" s="20" t="str">
        <f t="shared" si="1"/>
        <v/>
      </c>
      <c r="I21" s="19" t="str">
        <f t="shared" si="2"/>
        <v/>
      </c>
      <c r="J21" s="55"/>
      <c r="K21" s="58"/>
    </row>
    <row r="22" spans="1:11" ht="15.6">
      <c r="A22" s="28" t="str">
        <v>Kohls - North Amherst</v>
      </c>
      <c r="B22" s="29" t="str">
        <v>NY</v>
      </c>
      <c r="C22" s="24"/>
      <c r="D22" s="13"/>
      <c r="E22" s="13" t="str">
        <f t="shared" si="0"/>
        <v/>
      </c>
      <c r="F22" s="14"/>
      <c r="G22" s="15"/>
      <c r="H22" s="15" t="str">
        <f t="shared" si="1"/>
        <v/>
      </c>
      <c r="I22" s="16" t="str">
        <f t="shared" si="2"/>
        <v/>
      </c>
      <c r="J22" s="57"/>
      <c r="K22" s="57"/>
    </row>
    <row r="23" spans="1:11" ht="15.6">
      <c r="A23" s="30" t="str">
        <v>Kohls - Staten Island</v>
      </c>
      <c r="B23" s="31" t="str">
        <v>NY</v>
      </c>
      <c r="C23" s="11"/>
      <c r="D23" s="18"/>
      <c r="E23" s="18" t="str">
        <f t="shared" si="0"/>
        <v/>
      </c>
      <c r="F23" s="19"/>
      <c r="G23" s="20"/>
      <c r="H23" s="20" t="str">
        <f t="shared" si="1"/>
        <v/>
      </c>
      <c r="I23" s="19" t="str">
        <f t="shared" si="2"/>
        <v/>
      </c>
      <c r="J23" s="59"/>
      <c r="K23" s="60"/>
    </row>
    <row r="24" spans="1:11" ht="15.6">
      <c r="A24" s="28" t="str">
        <v>Kohls - Warminster</v>
      </c>
      <c r="B24" s="29" t="str">
        <v>PA</v>
      </c>
      <c r="C24" s="24"/>
      <c r="D24" s="13"/>
      <c r="E24" s="13" t="str">
        <f t="shared" si="0"/>
        <v/>
      </c>
      <c r="F24" s="14"/>
      <c r="G24" s="15"/>
      <c r="H24" s="15" t="str">
        <f t="shared" si="1"/>
        <v/>
      </c>
      <c r="I24" s="16" t="str">
        <f t="shared" si="2"/>
        <v/>
      </c>
      <c r="J24" s="57"/>
      <c r="K24" s="57"/>
    </row>
    <row r="25" spans="1:11" ht="15.6">
      <c r="A25" s="30" t="str">
        <v xml:space="preserve">Kohls - Waterbury </v>
      </c>
      <c r="B25" s="31" t="str">
        <v>CT</v>
      </c>
      <c r="C25" s="11"/>
      <c r="D25" s="18"/>
      <c r="E25" s="18" t="str">
        <f t="shared" si="0"/>
        <v/>
      </c>
      <c r="F25" s="19"/>
      <c r="G25" s="20"/>
      <c r="H25" s="20" t="str">
        <f t="shared" si="1"/>
        <v/>
      </c>
      <c r="I25" s="19" t="str">
        <f t="shared" si="2"/>
        <v/>
      </c>
      <c r="J25" s="42"/>
      <c r="K25" s="43"/>
    </row>
    <row r="26" spans="1:11" ht="15.6">
      <c r="A26" s="28" t="str">
        <v>Mojave Water Agency - Headquarters</v>
      </c>
      <c r="B26" s="29" t="str">
        <v>CA</v>
      </c>
      <c r="C26" s="24"/>
      <c r="D26" s="13"/>
      <c r="E26" s="13" t="str">
        <f t="shared" ref="E26:E68" si="4">IF(AND(ISNUMBER(C26),ISNUMBER(D26)), C26-D26, "")</f>
        <v/>
      </c>
      <c r="F26" s="14"/>
      <c r="G26" s="15"/>
      <c r="H26" s="15" t="str">
        <f t="shared" ref="H26:H68" si="5">IF(AND(ISNUMBER(C26),ISNUMBER(G26)), C26-G26, "")</f>
        <v/>
      </c>
      <c r="I26" s="16" t="str">
        <f t="shared" si="2"/>
        <v/>
      </c>
      <c r="J26" s="57"/>
      <c r="K26" s="57"/>
    </row>
    <row r="27" spans="1:11" ht="15.6">
      <c r="A27" s="30" t="str">
        <v>CSU - Bakersfield</v>
      </c>
      <c r="B27" s="31" t="str">
        <v>CA</v>
      </c>
      <c r="C27" s="11"/>
      <c r="D27" s="18"/>
      <c r="E27" s="18" t="str">
        <f t="shared" si="4"/>
        <v/>
      </c>
      <c r="F27" s="19"/>
      <c r="G27" s="20"/>
      <c r="H27" s="20" t="str">
        <f t="shared" si="5"/>
        <v/>
      </c>
      <c r="I27" s="19" t="str">
        <f t="shared" si="2"/>
        <v/>
      </c>
      <c r="J27" s="42"/>
      <c r="K27" s="43"/>
    </row>
    <row r="28" spans="1:11" ht="15.6">
      <c r="A28" s="28" t="str">
        <v>Greenfield USD - Fairfield ES</v>
      </c>
      <c r="B28" s="29" t="str">
        <v>CA</v>
      </c>
      <c r="C28" s="24"/>
      <c r="D28" s="13"/>
      <c r="E28" s="13" t="str">
        <f t="shared" si="4"/>
        <v/>
      </c>
      <c r="F28" s="14"/>
      <c r="G28" s="15"/>
      <c r="H28" s="15" t="str">
        <f t="shared" si="5"/>
        <v/>
      </c>
      <c r="I28" s="16" t="str">
        <f t="shared" si="2"/>
        <v/>
      </c>
      <c r="J28" s="57"/>
      <c r="K28" s="57"/>
    </row>
    <row r="29" spans="1:11" ht="15.6">
      <c r="A29" s="30" t="str">
        <v>Greenfield USD - Granite Point ES</v>
      </c>
      <c r="B29" s="31" t="str">
        <v>CA</v>
      </c>
      <c r="C29" s="11"/>
      <c r="D29" s="18"/>
      <c r="E29" s="18" t="str">
        <f t="shared" si="4"/>
        <v/>
      </c>
      <c r="F29" s="19"/>
      <c r="G29" s="20"/>
      <c r="H29" s="20" t="str">
        <f t="shared" si="5"/>
        <v/>
      </c>
      <c r="I29" s="19" t="str">
        <f t="shared" si="2"/>
        <v/>
      </c>
      <c r="J29" s="42"/>
      <c r="K29" s="43"/>
    </row>
    <row r="30" spans="1:11" ht="15.6">
      <c r="A30" s="28" t="str">
        <v>Greenfield USD - Greenfield MS</v>
      </c>
      <c r="B30" s="29" t="str">
        <v>CA</v>
      </c>
      <c r="C30" s="24"/>
      <c r="D30" s="13"/>
      <c r="E30" s="13" t="str">
        <f t="shared" si="4"/>
        <v/>
      </c>
      <c r="F30" s="14"/>
      <c r="G30" s="15"/>
      <c r="H30" s="15" t="str">
        <f t="shared" si="5"/>
        <v/>
      </c>
      <c r="I30" s="16" t="str">
        <f t="shared" si="2"/>
        <v/>
      </c>
      <c r="J30" s="57"/>
      <c r="K30" s="57"/>
    </row>
    <row r="31" spans="1:11" ht="15.6">
      <c r="A31" s="30" t="str">
        <v>Greenfield USD - Horizon ES</v>
      </c>
      <c r="B31" s="31" t="str">
        <v>CA</v>
      </c>
      <c r="C31" s="11"/>
      <c r="D31" s="18"/>
      <c r="E31" s="18" t="str">
        <f t="shared" si="4"/>
        <v/>
      </c>
      <c r="F31" s="19"/>
      <c r="G31" s="20"/>
      <c r="H31" s="20" t="str">
        <f t="shared" si="5"/>
        <v/>
      </c>
      <c r="I31" s="19" t="str">
        <f t="shared" si="2"/>
        <v/>
      </c>
      <c r="J31" s="42"/>
      <c r="K31" s="43"/>
    </row>
    <row r="32" spans="1:11" ht="15.6">
      <c r="A32" s="28" t="str">
        <v>Greenfield USD - McKee MS</v>
      </c>
      <c r="B32" s="29" t="str">
        <v>CA</v>
      </c>
      <c r="C32" s="24"/>
      <c r="D32" s="13"/>
      <c r="E32" s="13" t="str">
        <f t="shared" si="4"/>
        <v/>
      </c>
      <c r="F32" s="14"/>
      <c r="G32" s="15"/>
      <c r="H32" s="15" t="str">
        <f t="shared" si="5"/>
        <v/>
      </c>
      <c r="I32" s="16" t="str">
        <f t="shared" si="2"/>
        <v/>
      </c>
      <c r="J32" s="57"/>
      <c r="K32" s="57"/>
    </row>
    <row r="33" spans="1:11" ht="15.6">
      <c r="A33" s="30" t="str">
        <v>Greenfield USD - Plantation ES</v>
      </c>
      <c r="B33" s="31" t="str">
        <v>CA</v>
      </c>
      <c r="C33" s="11"/>
      <c r="D33" s="18"/>
      <c r="E33" s="18" t="str">
        <f t="shared" si="4"/>
        <v/>
      </c>
      <c r="F33" s="19"/>
      <c r="G33" s="20"/>
      <c r="H33" s="20" t="str">
        <f t="shared" si="5"/>
        <v/>
      </c>
      <c r="I33" s="19" t="str">
        <f t="shared" si="2"/>
        <v/>
      </c>
      <c r="J33" s="42"/>
      <c r="K33" s="43"/>
    </row>
    <row r="34" spans="1:11" ht="15.6">
      <c r="A34" s="28" t="str">
        <v>Greenfield USD - Planz ES</v>
      </c>
      <c r="B34" s="29" t="str">
        <v>CA</v>
      </c>
      <c r="C34" s="24"/>
      <c r="D34" s="13"/>
      <c r="E34" s="13" t="str">
        <f t="shared" si="4"/>
        <v/>
      </c>
      <c r="F34" s="14"/>
      <c r="G34" s="15"/>
      <c r="H34" s="15" t="str">
        <f t="shared" si="5"/>
        <v/>
      </c>
      <c r="I34" s="16" t="str">
        <f t="shared" si="2"/>
        <v/>
      </c>
      <c r="J34" s="57"/>
      <c r="K34" s="57"/>
    </row>
    <row r="35" spans="1:11" ht="15.6">
      <c r="A35" s="30" t="str">
        <v>Greenfield USD - Raffaello Palla ES</v>
      </c>
      <c r="B35" s="31" t="str">
        <v>CA</v>
      </c>
      <c r="C35" s="11"/>
      <c r="D35" s="18"/>
      <c r="E35" s="18" t="str">
        <f t="shared" si="4"/>
        <v/>
      </c>
      <c r="F35" s="19"/>
      <c r="G35" s="20"/>
      <c r="H35" s="20" t="str">
        <f t="shared" si="5"/>
        <v/>
      </c>
      <c r="I35" s="19" t="str">
        <f t="shared" si="2"/>
        <v/>
      </c>
      <c r="J35" s="42"/>
      <c r="K35" s="43"/>
    </row>
    <row r="36" spans="1:11" ht="15.6">
      <c r="A36" s="28" t="str">
        <v>Greenfield USD - Valle Verde ES</v>
      </c>
      <c r="B36" s="29" t="str">
        <v>CA</v>
      </c>
      <c r="C36" s="24"/>
      <c r="D36" s="13"/>
      <c r="E36" s="13" t="str">
        <f t="shared" si="4"/>
        <v/>
      </c>
      <c r="F36" s="14"/>
      <c r="G36" s="15"/>
      <c r="H36" s="15" t="str">
        <f t="shared" si="5"/>
        <v/>
      </c>
      <c r="I36" s="16" t="str">
        <f t="shared" si="2"/>
        <v/>
      </c>
      <c r="J36" s="57"/>
      <c r="K36" s="57"/>
    </row>
    <row r="37" spans="1:11" ht="15.6">
      <c r="A37" s="30" t="str">
        <v>Greenfield USD - W.A. Kendrick ES</v>
      </c>
      <c r="B37" s="31" t="str">
        <v>CA</v>
      </c>
      <c r="C37" s="11"/>
      <c r="D37" s="18"/>
      <c r="E37" s="18" t="str">
        <f t="shared" si="4"/>
        <v/>
      </c>
      <c r="F37" s="19"/>
      <c r="G37" s="20"/>
      <c r="H37" s="20" t="str">
        <f t="shared" si="5"/>
        <v/>
      </c>
      <c r="I37" s="19" t="str">
        <f t="shared" si="2"/>
        <v/>
      </c>
      <c r="J37" s="42"/>
      <c r="K37" s="43"/>
    </row>
    <row r="38" spans="1:11" ht="15.6">
      <c r="A38" s="28" t="str">
        <v>Muroc Joint USD - Boron HS</v>
      </c>
      <c r="B38" s="29" t="str">
        <v>CA</v>
      </c>
      <c r="C38" s="24"/>
      <c r="D38" s="13"/>
      <c r="E38" s="13" t="str">
        <f t="shared" si="4"/>
        <v/>
      </c>
      <c r="F38" s="14"/>
      <c r="G38" s="15"/>
      <c r="H38" s="15" t="str">
        <f t="shared" si="5"/>
        <v/>
      </c>
      <c r="I38" s="16" t="str">
        <f t="shared" si="2"/>
        <v/>
      </c>
      <c r="J38" s="57"/>
      <c r="K38" s="57"/>
    </row>
    <row r="39" spans="1:11" ht="15.6">
      <c r="A39" s="30" t="str">
        <v>Muroc Joint USD - W. Boron ES</v>
      </c>
      <c r="B39" s="31" t="str">
        <v>CA</v>
      </c>
      <c r="C39" s="11"/>
      <c r="D39" s="18"/>
      <c r="E39" s="18" t="str">
        <f t="shared" si="4"/>
        <v/>
      </c>
      <c r="F39" s="19"/>
      <c r="G39" s="20"/>
      <c r="H39" s="20" t="str">
        <f t="shared" si="5"/>
        <v/>
      </c>
      <c r="I39" s="19" t="str">
        <f t="shared" si="2"/>
        <v/>
      </c>
      <c r="J39" s="42"/>
      <c r="K39" s="43"/>
    </row>
    <row r="40" spans="1:11" ht="15.6">
      <c r="A40" s="28" t="str">
        <v>Colusa - WTP</v>
      </c>
      <c r="B40" s="29" t="str">
        <v>CA</v>
      </c>
      <c r="C40" s="24"/>
      <c r="D40" s="13"/>
      <c r="E40" s="13" t="str">
        <f t="shared" si="4"/>
        <v/>
      </c>
      <c r="F40" s="14"/>
      <c r="G40" s="15"/>
      <c r="H40" s="15" t="str">
        <f t="shared" si="5"/>
        <v/>
      </c>
      <c r="I40" s="16" t="str">
        <f t="shared" si="2"/>
        <v/>
      </c>
      <c r="J40" s="57"/>
      <c r="K40" s="57"/>
    </row>
    <row r="41" spans="1:11" ht="15.6">
      <c r="A41" s="30" t="str">
        <v>CDCR-North Kern State Prision</v>
      </c>
      <c r="B41" s="31" t="str">
        <v>CA</v>
      </c>
      <c r="C41" s="11"/>
      <c r="D41" s="18"/>
      <c r="E41" s="18" t="str">
        <f t="shared" si="4"/>
        <v/>
      </c>
      <c r="F41" s="19"/>
      <c r="G41" s="20"/>
      <c r="H41" s="20" t="str">
        <f t="shared" si="5"/>
        <v/>
      </c>
      <c r="I41" s="19" t="str">
        <f t="shared" si="2"/>
        <v/>
      </c>
      <c r="J41" s="42"/>
      <c r="K41" s="43"/>
    </row>
    <row r="42" spans="1:11" ht="15.6">
      <c r="A42" s="28" t="str">
        <v>Muroc Joint USD - District Office</v>
      </c>
      <c r="B42" s="29" t="str">
        <v>CA</v>
      </c>
      <c r="C42" s="24"/>
      <c r="D42" s="13"/>
      <c r="E42" s="13" t="str">
        <f t="shared" si="4"/>
        <v/>
      </c>
      <c r="F42" s="14"/>
      <c r="G42" s="15"/>
      <c r="H42" s="15" t="str">
        <f t="shared" si="5"/>
        <v/>
      </c>
      <c r="I42" s="16" t="str">
        <f t="shared" si="2"/>
        <v/>
      </c>
      <c r="J42" s="57"/>
      <c r="K42" s="57"/>
    </row>
    <row r="43" spans="1:11" ht="15.6">
      <c r="A43" s="30" t="str">
        <v>Whole Foods - Manhattan Beach</v>
      </c>
      <c r="B43" s="31" t="str">
        <v>CA</v>
      </c>
      <c r="C43" s="11"/>
      <c r="D43" s="18"/>
      <c r="E43" s="18" t="str">
        <f t="shared" si="4"/>
        <v/>
      </c>
      <c r="F43" s="19"/>
      <c r="G43" s="20"/>
      <c r="H43" s="20" t="str">
        <f t="shared" si="5"/>
        <v/>
      </c>
      <c r="I43" s="19" t="str">
        <f t="shared" si="2"/>
        <v/>
      </c>
      <c r="J43" s="42"/>
      <c r="K43" s="43"/>
    </row>
    <row r="44" spans="1:11" ht="15.6">
      <c r="A44" s="28" t="str">
        <v>Pioneer USD - Frontier ES</v>
      </c>
      <c r="B44" s="29" t="str">
        <v>CA</v>
      </c>
      <c r="C44" s="24"/>
      <c r="D44" s="13"/>
      <c r="E44" s="13" t="str">
        <f t="shared" si="4"/>
        <v/>
      </c>
      <c r="F44" s="14"/>
      <c r="G44" s="15"/>
      <c r="H44" s="15" t="str">
        <f t="shared" si="5"/>
        <v/>
      </c>
      <c r="I44" s="16" t="str">
        <f t="shared" si="2"/>
        <v/>
      </c>
      <c r="J44" s="57"/>
      <c r="K44" s="57"/>
    </row>
    <row r="45" spans="1:11" ht="15.6">
      <c r="A45" s="30" t="str">
        <v>Pioneer USD - Pioneer ES</v>
      </c>
      <c r="B45" s="31" t="str">
        <v>CA</v>
      </c>
      <c r="C45" s="11"/>
      <c r="D45" s="18"/>
      <c r="E45" s="18" t="str">
        <f t="shared" si="4"/>
        <v/>
      </c>
      <c r="F45" s="19"/>
      <c r="G45" s="20"/>
      <c r="H45" s="20" t="str">
        <f t="shared" si="5"/>
        <v/>
      </c>
      <c r="I45" s="19" t="str">
        <f t="shared" si="2"/>
        <v/>
      </c>
      <c r="J45" s="42"/>
      <c r="K45" s="43"/>
    </row>
    <row r="46" spans="1:11" ht="15.6">
      <c r="A46" s="28" t="str">
        <v>Pioneer USD - Pioneer MS</v>
      </c>
      <c r="B46" s="29" t="str">
        <v>CA</v>
      </c>
      <c r="C46" s="24"/>
      <c r="D46" s="13"/>
      <c r="E46" s="13" t="str">
        <f t="shared" si="4"/>
        <v/>
      </c>
      <c r="F46" s="14"/>
      <c r="G46" s="15"/>
      <c r="H46" s="15" t="str">
        <f t="shared" si="5"/>
        <v/>
      </c>
      <c r="I46" s="16" t="str">
        <f t="shared" si="2"/>
        <v/>
      </c>
      <c r="J46" s="57"/>
      <c r="K46" s="57"/>
    </row>
    <row r="47" spans="1:11" ht="15.6">
      <c r="A47" s="30" t="str">
        <v>Kingsburg Joint UHSD - Kingsburg HS</v>
      </c>
      <c r="B47" s="31" t="str">
        <v>CA</v>
      </c>
      <c r="C47" s="11"/>
      <c r="D47" s="18"/>
      <c r="E47" s="18" t="str">
        <f t="shared" si="4"/>
        <v/>
      </c>
      <c r="F47" s="19"/>
      <c r="G47" s="20"/>
      <c r="H47" s="20" t="str">
        <f t="shared" si="5"/>
        <v/>
      </c>
      <c r="I47" s="19" t="str">
        <f t="shared" si="2"/>
        <v/>
      </c>
      <c r="J47" s="42"/>
      <c r="K47" s="43"/>
    </row>
    <row r="48" spans="1:11" ht="15.6">
      <c r="A48" s="28" t="str">
        <v>CADRB</v>
      </c>
      <c r="B48" s="29" t="str">
        <v>CA</v>
      </c>
      <c r="C48" s="24"/>
      <c r="D48" s="13"/>
      <c r="E48" s="13" t="str">
        <f t="shared" si="4"/>
        <v/>
      </c>
      <c r="F48" s="14"/>
      <c r="G48" s="15"/>
      <c r="H48" s="15" t="str">
        <f t="shared" si="5"/>
        <v/>
      </c>
      <c r="I48" s="16" t="str">
        <f t="shared" si="2"/>
        <v/>
      </c>
      <c r="J48" s="57"/>
      <c r="K48" s="57"/>
    </row>
    <row r="49" spans="1:11" ht="15.6">
      <c r="A49" s="30" t="str">
        <v>CDCR-CA State Prison LA County</v>
      </c>
      <c r="B49" s="31" t="str">
        <v>CA</v>
      </c>
      <c r="C49" s="11"/>
      <c r="D49" s="18"/>
      <c r="E49" s="18" t="str">
        <f t="shared" si="4"/>
        <v/>
      </c>
      <c r="F49" s="19"/>
      <c r="G49" s="20"/>
      <c r="H49" s="20" t="str">
        <f t="shared" si="5"/>
        <v/>
      </c>
      <c r="I49" s="19" t="str">
        <f t="shared" si="2"/>
        <v/>
      </c>
      <c r="J49" s="42"/>
      <c r="K49" s="43"/>
    </row>
    <row r="50" spans="1:11" ht="15.6">
      <c r="A50" s="28" t="str">
        <v>Central USD Akers ES</v>
      </c>
      <c r="B50" s="29" t="str">
        <v>CA</v>
      </c>
      <c r="C50" s="24"/>
      <c r="D50" s="13"/>
      <c r="E50" s="13" t="str">
        <f t="shared" si="4"/>
        <v/>
      </c>
      <c r="F50" s="14"/>
      <c r="G50" s="15"/>
      <c r="H50" s="15" t="str">
        <f t="shared" si="5"/>
        <v/>
      </c>
      <c r="I50" s="16" t="str">
        <f t="shared" si="2"/>
        <v/>
      </c>
      <c r="J50" s="57"/>
      <c r="K50" s="57"/>
    </row>
    <row r="51" spans="1:11" ht="15.6">
      <c r="A51" s="30" t="str">
        <v>CUSD - District Office</v>
      </c>
      <c r="B51" s="31" t="str">
        <v>CA</v>
      </c>
      <c r="C51" s="11"/>
      <c r="D51" s="18"/>
      <c r="E51" s="18" t="str">
        <f t="shared" si="4"/>
        <v/>
      </c>
      <c r="F51" s="19"/>
      <c r="G51" s="20"/>
      <c r="H51" s="20" t="str">
        <f t="shared" si="5"/>
        <v/>
      </c>
      <c r="I51" s="19" t="str">
        <f t="shared" si="2"/>
        <v/>
      </c>
      <c r="J51" s="42"/>
      <c r="K51" s="43"/>
    </row>
    <row r="52" spans="1:11" ht="15.6">
      <c r="A52" s="28" t="str">
        <v>Parlier - WTP</v>
      </c>
      <c r="B52" s="29" t="str">
        <v>CA</v>
      </c>
      <c r="C52" s="24"/>
      <c r="D52" s="13"/>
      <c r="E52" s="13" t="str">
        <f t="shared" si="4"/>
        <v/>
      </c>
      <c r="F52" s="14"/>
      <c r="G52" s="15"/>
      <c r="H52" s="15" t="str">
        <f t="shared" si="5"/>
        <v/>
      </c>
      <c r="I52" s="16" t="str">
        <f t="shared" si="2"/>
        <v/>
      </c>
      <c r="J52" s="57"/>
      <c r="K52" s="57"/>
    </row>
    <row r="53" spans="1:11" ht="15.6">
      <c r="A53" s="30" t="str">
        <v>Snowline SD - Quail Valley MS</v>
      </c>
      <c r="B53" s="31" t="str">
        <v>CA</v>
      </c>
      <c r="C53" s="11"/>
      <c r="D53" s="18"/>
      <c r="E53" s="18" t="str">
        <f t="shared" si="4"/>
        <v/>
      </c>
      <c r="F53" s="19"/>
      <c r="G53" s="20"/>
      <c r="H53" s="20" t="str">
        <f t="shared" si="5"/>
        <v/>
      </c>
      <c r="I53" s="19" t="str">
        <f t="shared" si="2"/>
        <v/>
      </c>
      <c r="J53" s="42"/>
      <c r="K53" s="43"/>
    </row>
    <row r="54" spans="1:11" ht="15.6">
      <c r="A54" s="28" t="str">
        <v>Snowline SD - Serrano HS - Middle Lot</v>
      </c>
      <c r="B54" s="29" t="str">
        <v>CA</v>
      </c>
      <c r="C54" s="24"/>
      <c r="D54" s="13"/>
      <c r="E54" s="13" t="str">
        <f t="shared" si="4"/>
        <v/>
      </c>
      <c r="F54" s="14"/>
      <c r="G54" s="15"/>
      <c r="H54" s="15" t="str">
        <f t="shared" si="5"/>
        <v/>
      </c>
      <c r="I54" s="16" t="str">
        <f t="shared" si="2"/>
        <v/>
      </c>
      <c r="J54" s="57"/>
      <c r="K54" s="57"/>
    </row>
    <row r="55" spans="1:11" ht="15.6">
      <c r="A55" s="30" t="str">
        <v>Snowline SD - Pinon Hills ES</v>
      </c>
      <c r="B55" s="31" t="str">
        <v>CA</v>
      </c>
      <c r="C55" s="11"/>
      <c r="D55" s="18"/>
      <c r="E55" s="18" t="str">
        <f t="shared" si="4"/>
        <v/>
      </c>
      <c r="F55" s="19"/>
      <c r="G55" s="20"/>
      <c r="H55" s="20" t="str">
        <f t="shared" si="5"/>
        <v/>
      </c>
      <c r="I55" s="19" t="str">
        <f t="shared" si="2"/>
        <v/>
      </c>
      <c r="J55" s="42"/>
      <c r="K55" s="43"/>
    </row>
    <row r="56" spans="1:11" ht="15.6">
      <c r="A56" s="28" t="str">
        <v>Ramona - Santa Maria WTP</v>
      </c>
      <c r="B56" s="29" t="str">
        <v>CA</v>
      </c>
      <c r="C56" s="24"/>
      <c r="D56" s="13"/>
      <c r="E56" s="13" t="str">
        <f t="shared" si="4"/>
        <v/>
      </c>
      <c r="F56" s="14"/>
      <c r="G56" s="15"/>
      <c r="H56" s="15" t="str">
        <f t="shared" si="5"/>
        <v/>
      </c>
      <c r="I56" s="16" t="str">
        <f t="shared" si="2"/>
        <v/>
      </c>
      <c r="J56" s="57"/>
      <c r="K56" s="57"/>
    </row>
    <row r="57" spans="1:11" ht="15.6">
      <c r="A57" s="30" t="str">
        <v>Kohls - Redding</v>
      </c>
      <c r="B57" s="31" t="str">
        <v>CA</v>
      </c>
      <c r="C57" s="11"/>
      <c r="D57" s="18"/>
      <c r="E57" s="18" t="str">
        <f t="shared" si="4"/>
        <v/>
      </c>
      <c r="F57" s="19"/>
      <c r="G57" s="20"/>
      <c r="H57" s="20" t="str">
        <f t="shared" si="5"/>
        <v/>
      </c>
      <c r="I57" s="19" t="str">
        <f t="shared" si="2"/>
        <v/>
      </c>
      <c r="J57" s="42"/>
      <c r="K57" s="43"/>
    </row>
    <row r="58" spans="1:11" ht="15.6">
      <c r="A58" s="28" t="str">
        <v>Kohls - Salinas</v>
      </c>
      <c r="B58" s="29" t="str">
        <v>CA</v>
      </c>
      <c r="C58" s="24"/>
      <c r="D58" s="13"/>
      <c r="E58" s="13" t="str">
        <f t="shared" si="4"/>
        <v/>
      </c>
      <c r="F58" s="14"/>
      <c r="G58" s="15"/>
      <c r="H58" s="15" t="str">
        <f t="shared" si="5"/>
        <v/>
      </c>
      <c r="I58" s="16" t="str">
        <f t="shared" si="2"/>
        <v/>
      </c>
      <c r="J58" s="57"/>
      <c r="K58" s="57"/>
    </row>
    <row r="59" spans="1:11" ht="15.6">
      <c r="A59" s="30" t="str">
        <v>Kohls - San Bernardino - Central</v>
      </c>
      <c r="B59" s="31" t="str">
        <v>CA</v>
      </c>
      <c r="C59" s="11"/>
      <c r="D59" s="18"/>
      <c r="E59" s="18" t="str">
        <f t="shared" si="4"/>
        <v/>
      </c>
      <c r="F59" s="19"/>
      <c r="G59" s="20"/>
      <c r="H59" s="20" t="str">
        <f t="shared" si="5"/>
        <v/>
      </c>
      <c r="I59" s="19" t="str">
        <f t="shared" si="2"/>
        <v/>
      </c>
      <c r="J59" s="42"/>
      <c r="K59" s="43"/>
    </row>
    <row r="60" spans="1:11" ht="15.6">
      <c r="A60" s="28" t="str">
        <v>Kohls - Sonora</v>
      </c>
      <c r="B60" s="29" t="str">
        <v>CA</v>
      </c>
      <c r="C60" s="24"/>
      <c r="D60" s="13"/>
      <c r="E60" s="13" t="str">
        <f t="shared" si="4"/>
        <v/>
      </c>
      <c r="F60" s="14"/>
      <c r="G60" s="15"/>
      <c r="H60" s="15" t="str">
        <f t="shared" si="5"/>
        <v/>
      </c>
      <c r="I60" s="16" t="str">
        <f t="shared" si="2"/>
        <v/>
      </c>
      <c r="J60" s="57"/>
      <c r="K60" s="57"/>
    </row>
    <row r="61" spans="1:11" ht="15.6">
      <c r="A61" s="30" t="str">
        <v>CUSD - Stratford ES</v>
      </c>
      <c r="B61" s="31" t="str">
        <v>CA</v>
      </c>
      <c r="C61" s="11"/>
      <c r="D61" s="18"/>
      <c r="E61" s="18" t="str">
        <f t="shared" si="4"/>
        <v/>
      </c>
      <c r="F61" s="19"/>
      <c r="G61" s="20"/>
      <c r="H61" s="20" t="str">
        <f t="shared" si="5"/>
        <v/>
      </c>
      <c r="I61" s="19" t="str">
        <f t="shared" si="2"/>
        <v/>
      </c>
      <c r="J61" s="42"/>
      <c r="K61" s="43"/>
    </row>
    <row r="62" spans="1:11" ht="15.6">
      <c r="A62" s="28" t="str">
        <v>Taft - City Hall</v>
      </c>
      <c r="B62" s="29" t="str">
        <v>CA</v>
      </c>
      <c r="C62" s="24"/>
      <c r="D62" s="13"/>
      <c r="E62" s="13" t="str">
        <f t="shared" si="4"/>
        <v/>
      </c>
      <c r="F62" s="14"/>
      <c r="G62" s="15"/>
      <c r="H62" s="15" t="str">
        <f t="shared" si="5"/>
        <v/>
      </c>
      <c r="I62" s="16" t="str">
        <f t="shared" si="2"/>
        <v/>
      </c>
      <c r="J62" s="57"/>
      <c r="K62" s="57"/>
    </row>
    <row r="63" spans="1:11" ht="15.6">
      <c r="A63" s="30" t="str">
        <v>Taft - Federal Prison</v>
      </c>
      <c r="B63" s="31" t="str">
        <v>CA</v>
      </c>
      <c r="C63" s="11"/>
      <c r="D63" s="18"/>
      <c r="E63" s="18" t="str">
        <f t="shared" si="4"/>
        <v/>
      </c>
      <c r="F63" s="19"/>
      <c r="G63" s="20"/>
      <c r="H63" s="20" t="str">
        <f t="shared" si="5"/>
        <v/>
      </c>
      <c r="I63" s="19" t="str">
        <f t="shared" si="2"/>
        <v/>
      </c>
      <c r="J63" s="42"/>
      <c r="K63" s="43"/>
    </row>
    <row r="64" spans="1:11" ht="15.6">
      <c r="A64" s="28" t="str">
        <v>Taft - Police Department</v>
      </c>
      <c r="B64" s="29" t="str">
        <v>CA</v>
      </c>
      <c r="C64" s="24"/>
      <c r="D64" s="13"/>
      <c r="E64" s="13" t="str">
        <f t="shared" si="4"/>
        <v/>
      </c>
      <c r="F64" s="14"/>
      <c r="G64" s="15"/>
      <c r="H64" s="15" t="str">
        <f t="shared" si="5"/>
        <v/>
      </c>
      <c r="I64" s="16" t="str">
        <f t="shared" si="2"/>
        <v/>
      </c>
      <c r="J64" s="57"/>
      <c r="K64" s="57"/>
    </row>
    <row r="65" spans="1:11" ht="15.6">
      <c r="A65" s="30" t="str">
        <v>Taft - WTP</v>
      </c>
      <c r="B65" s="31" t="str">
        <v>CA</v>
      </c>
      <c r="C65" s="11"/>
      <c r="D65" s="18"/>
      <c r="E65" s="18" t="str">
        <f t="shared" si="4"/>
        <v/>
      </c>
      <c r="F65" s="19"/>
      <c r="G65" s="20"/>
      <c r="H65" s="20" t="str">
        <f t="shared" si="5"/>
        <v/>
      </c>
      <c r="I65" s="19" t="str">
        <f t="shared" si="2"/>
        <v/>
      </c>
      <c r="J65" s="42"/>
      <c r="K65" s="43"/>
    </row>
    <row r="66" spans="1:11" ht="15.6">
      <c r="A66" s="28" t="str">
        <v>CDCR - CA Correctional Institution</v>
      </c>
      <c r="B66" s="29" t="str">
        <v>CA</v>
      </c>
      <c r="C66" s="24"/>
      <c r="D66" s="13"/>
      <c r="E66" s="13" t="str">
        <f t="shared" si="4"/>
        <v/>
      </c>
      <c r="F66" s="14"/>
      <c r="G66" s="15"/>
      <c r="H66" s="15" t="str">
        <f t="shared" si="5"/>
        <v/>
      </c>
      <c r="I66" s="16" t="str">
        <f t="shared" si="2"/>
        <v/>
      </c>
      <c r="J66" s="57"/>
      <c r="K66" s="57"/>
    </row>
    <row r="67" spans="1:11" ht="15.6">
      <c r="A67" s="30" t="str">
        <v>CDCR - CA Correctional Institution II</v>
      </c>
      <c r="B67" s="31" t="str">
        <v>CA</v>
      </c>
      <c r="C67" s="11"/>
      <c r="D67" s="18"/>
      <c r="E67" s="18" t="str">
        <f t="shared" si="4"/>
        <v/>
      </c>
      <c r="F67" s="19"/>
      <c r="G67" s="20"/>
      <c r="H67" s="20" t="str">
        <f t="shared" si="5"/>
        <v/>
      </c>
      <c r="I67" s="19" t="str">
        <f t="shared" si="2"/>
        <v/>
      </c>
      <c r="J67" s="42"/>
      <c r="K67" s="43"/>
    </row>
    <row r="68" spans="1:11" ht="15.6">
      <c r="A68" s="28" t="str">
        <v>Snowline SD - Vista Verde ES</v>
      </c>
      <c r="B68" s="29" t="str">
        <v>CA</v>
      </c>
      <c r="C68" s="24"/>
      <c r="D68" s="13"/>
      <c r="E68" s="13" t="str">
        <f t="shared" si="4"/>
        <v/>
      </c>
      <c r="F68" s="14"/>
      <c r="G68" s="15"/>
      <c r="H68" s="15" t="str">
        <f t="shared" si="5"/>
        <v/>
      </c>
      <c r="I68" s="16" t="str">
        <f t="shared" si="2"/>
        <v/>
      </c>
      <c r="J68" s="57"/>
      <c r="K68" s="57"/>
    </row>
    <row r="69" spans="1:11" ht="14.45">
      <c r="A69" s="21" t="str">
        <v>North Stonington</v>
      </c>
      <c r="B69" s="33" t="str">
        <v>CT</v>
      </c>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32" priority="3" stopIfTrue="1" operator="lessThanOrEqual">
      <formula>-0.1</formula>
    </cfRule>
    <cfRule type="expression" dxfId="31" priority="4">
      <formula>AND(ISNUMBER(F2), F2&gt;=0.1)</formula>
    </cfRule>
  </conditionalFormatting>
  <conditionalFormatting sqref="F4:F100 I4:I100">
    <cfRule type="cellIs" dxfId="30" priority="1" stopIfTrue="1" operator="lessThanOrEqual">
      <formula>-0.1</formula>
    </cfRule>
    <cfRule type="expression" dxfId="29" priority="2">
      <formula>AND(ISNUMBER(F4), F4&gt;=0.1)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42"/>
  <sheetViews>
    <sheetView zoomScale="80" zoomScaleNormal="80" workbookViewId="0">
      <pane xSplit="2" ySplit="3" topLeftCell="C57" activePane="bottomRight" state="frozen"/>
      <selection pane="bottomRight" activeCell="J66" sqref="J66"/>
      <selection pane="bottomLeft" activeCell="J66" sqref="J66"/>
      <selection pane="topRight" activeCell="J66" sqref="J66"/>
    </sheetView>
  </sheetViews>
  <sheetFormatPr defaultRowHeight="14.1"/>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20" t="str" cm="1">
        <f t="array" ref="A1">portfolio</f>
        <v>Silicon Ranch</v>
      </c>
      <c r="B1" s="120"/>
      <c r="C1" s="120"/>
      <c r="D1" s="121" t="s">
        <v>428</v>
      </c>
      <c r="E1" s="121"/>
      <c r="F1" s="121"/>
      <c r="G1" s="119" t="s">
        <v>429</v>
      </c>
      <c r="H1" s="119"/>
      <c r="I1" s="119"/>
      <c r="J1" s="4"/>
      <c r="K1" s="4"/>
    </row>
    <row r="2" spans="1:11" ht="19.5" customHeight="1">
      <c r="A2" s="122" t="s">
        <v>2</v>
      </c>
      <c r="B2" s="122"/>
      <c r="C2" s="5">
        <f>SUM(C4:C100)</f>
        <v>0</v>
      </c>
      <c r="D2" s="5">
        <f>SUM(D4:D100)</f>
        <v>0</v>
      </c>
      <c r="E2" s="5">
        <f>C2-D2</f>
        <v>0</v>
      </c>
      <c r="F2" s="6">
        <f>IFERROR(E2/D2, 0)</f>
        <v>0</v>
      </c>
      <c r="G2" s="5">
        <f>SUM(G4:G100)</f>
        <v>0</v>
      </c>
      <c r="H2" s="7">
        <f>C2-G2</f>
        <v>0</v>
      </c>
      <c r="I2" s="6">
        <f>IFERROR(H2/G2, 0)</f>
        <v>0</v>
      </c>
      <c r="J2" s="26"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6">
      <c r="A4" s="32" t="str" cm="1">
        <f t="array" ref="A4:A69">Sites[Site]</f>
        <v>Iron Mountain - Windsor</v>
      </c>
      <c r="B4" s="29" t="str" cm="1">
        <f t="array" ref="B4:B69">Sites[State]</f>
        <v>CT</v>
      </c>
      <c r="C4" s="24"/>
      <c r="D4" s="13"/>
      <c r="E4" s="13" t="str">
        <f>IF(AND(ISNUMBER(C4),ISNUMBER(D4)), C4-D4, "")</f>
        <v/>
      </c>
      <c r="F4" s="14" t="str">
        <f>IFERROR(E4/D4, "")</f>
        <v/>
      </c>
      <c r="G4" s="15"/>
      <c r="H4" s="15" t="str">
        <f>IF(AND(ISNUMBER(C4),ISNUMBER(G4)), C4-G4, "")</f>
        <v/>
      </c>
      <c r="I4" s="16" t="str">
        <f>IFERROR(H4/G4, "")</f>
        <v/>
      </c>
      <c r="J4" s="41"/>
      <c r="K4" s="41"/>
    </row>
    <row r="5" spans="1:11" ht="15.6">
      <c r="A5" s="30" t="str">
        <v>Kohls - Auburn</v>
      </c>
      <c r="B5" s="31" t="str">
        <v>NY</v>
      </c>
      <c r="C5" s="11"/>
      <c r="D5" s="18"/>
      <c r="E5" s="18" t="str">
        <f t="shared" ref="E5:E25" si="0">IF(AND(ISNUMBER(C5),ISNUMBER(D5)), C5-D5, "")</f>
        <v/>
      </c>
      <c r="F5" s="19" t="str">
        <f>IFERROR(E5/D5, "")</f>
        <v/>
      </c>
      <c r="G5" s="20"/>
      <c r="H5" s="20" t="str">
        <f t="shared" ref="H5:H25" si="1">IF(AND(ISNUMBER(C5),ISNUMBER(G5)), C5-G5, "")</f>
        <v/>
      </c>
      <c r="I5" s="19" t="str">
        <f t="shared" ref="I5:I68" si="2">IFERROR(H5/G5, "")</f>
        <v/>
      </c>
      <c r="J5" s="42"/>
      <c r="K5" s="42"/>
    </row>
    <row r="6" spans="1:11" ht="15.6">
      <c r="A6" s="28" t="str">
        <v>Kohls - Bensalem</v>
      </c>
      <c r="B6" s="29" t="str">
        <v>PA</v>
      </c>
      <c r="C6" s="24"/>
      <c r="D6" s="13"/>
      <c r="E6" s="13" t="str">
        <f t="shared" si="0"/>
        <v/>
      </c>
      <c r="F6" s="14" t="str">
        <f t="shared" ref="F6:F25" si="3">IFERROR(E6/D6, "")</f>
        <v/>
      </c>
      <c r="G6" s="15"/>
      <c r="H6" s="15" t="str">
        <f t="shared" si="1"/>
        <v/>
      </c>
      <c r="I6" s="16" t="str">
        <f t="shared" si="2"/>
        <v/>
      </c>
      <c r="J6" s="41"/>
      <c r="K6" s="41"/>
    </row>
    <row r="7" spans="1:11" ht="15.6">
      <c r="A7" s="30" t="str">
        <v>Kohls - Brick</v>
      </c>
      <c r="B7" s="31" t="str">
        <v>NJ</v>
      </c>
      <c r="C7" s="11"/>
      <c r="D7" s="18"/>
      <c r="E7" s="18" t="str">
        <f t="shared" si="0"/>
        <v/>
      </c>
      <c r="F7" s="19" t="str">
        <f t="shared" si="3"/>
        <v/>
      </c>
      <c r="G7" s="20"/>
      <c r="H7" s="20" t="str">
        <f t="shared" si="1"/>
        <v/>
      </c>
      <c r="I7" s="19" t="str">
        <f t="shared" si="2"/>
        <v/>
      </c>
      <c r="J7" s="42"/>
      <c r="K7" s="43"/>
    </row>
    <row r="8" spans="1:11" ht="15.6">
      <c r="A8" s="28" t="str">
        <v>Kohls - Buffalo</v>
      </c>
      <c r="B8" s="29" t="str">
        <v>NY</v>
      </c>
      <c r="C8" s="24"/>
      <c r="D8" s="13"/>
      <c r="E8" s="13" t="str">
        <f t="shared" si="0"/>
        <v/>
      </c>
      <c r="F8" s="14" t="str">
        <f t="shared" si="3"/>
        <v/>
      </c>
      <c r="G8" s="15"/>
      <c r="H8" s="15" t="str">
        <f t="shared" si="1"/>
        <v/>
      </c>
      <c r="I8" s="16" t="str">
        <f t="shared" si="2"/>
        <v/>
      </c>
      <c r="J8" s="41"/>
      <c r="K8" s="41"/>
    </row>
    <row r="9" spans="1:11" ht="15.6">
      <c r="A9" s="30" t="str">
        <v>Kohls - Canton</v>
      </c>
      <c r="B9" s="31" t="str">
        <v>CT</v>
      </c>
      <c r="C9" s="11"/>
      <c r="D9" s="18"/>
      <c r="E9" s="18" t="str">
        <f t="shared" si="0"/>
        <v/>
      </c>
      <c r="F9" s="19" t="str">
        <f t="shared" si="3"/>
        <v/>
      </c>
      <c r="G9" s="20"/>
      <c r="H9" s="20" t="str">
        <f t="shared" si="1"/>
        <v/>
      </c>
      <c r="I9" s="19" t="str">
        <f t="shared" si="2"/>
        <v/>
      </c>
      <c r="J9" s="42"/>
      <c r="K9" s="43"/>
    </row>
    <row r="10" spans="1:11" ht="15.6">
      <c r="A10" s="28" t="str">
        <v>Kohls - East Amherst</v>
      </c>
      <c r="B10" s="29" t="str">
        <v>NY</v>
      </c>
      <c r="C10" s="24"/>
      <c r="D10" s="13"/>
      <c r="E10" s="13" t="str">
        <f t="shared" si="0"/>
        <v/>
      </c>
      <c r="F10" s="14" t="str">
        <f t="shared" si="3"/>
        <v/>
      </c>
      <c r="G10" s="15"/>
      <c r="H10" s="15" t="str">
        <f t="shared" si="1"/>
        <v/>
      </c>
      <c r="I10" s="16" t="str">
        <f t="shared" si="2"/>
        <v/>
      </c>
      <c r="J10" s="41"/>
      <c r="K10" s="41"/>
    </row>
    <row r="11" spans="1:11" ht="15.6">
      <c r="A11" s="30" t="str">
        <v>Kohls - East Brunswick</v>
      </c>
      <c r="B11" s="31" t="str">
        <v>NJ</v>
      </c>
      <c r="C11" s="11"/>
      <c r="D11" s="18"/>
      <c r="E11" s="18" t="str">
        <f t="shared" si="0"/>
        <v/>
      </c>
      <c r="F11" s="19" t="str">
        <f t="shared" si="3"/>
        <v/>
      </c>
      <c r="G11" s="20"/>
      <c r="H11" s="20" t="str">
        <f t="shared" si="1"/>
        <v/>
      </c>
      <c r="I11" s="19" t="str">
        <f t="shared" si="2"/>
        <v/>
      </c>
      <c r="J11" s="42"/>
      <c r="K11" s="43"/>
    </row>
    <row r="12" spans="1:11" ht="15.6">
      <c r="A12" s="28" t="str">
        <v>Kohls - Edgewood</v>
      </c>
      <c r="B12" s="29" t="str">
        <v>MD</v>
      </c>
      <c r="C12" s="24"/>
      <c r="D12" s="13"/>
      <c r="E12" s="13" t="str">
        <f t="shared" si="0"/>
        <v/>
      </c>
      <c r="F12" s="14" t="str">
        <f t="shared" si="3"/>
        <v/>
      </c>
      <c r="G12" s="15"/>
      <c r="H12" s="15" t="str">
        <f t="shared" si="1"/>
        <v/>
      </c>
      <c r="I12" s="16" t="str">
        <f t="shared" si="2"/>
        <v/>
      </c>
      <c r="J12" s="41"/>
      <c r="K12" s="41"/>
    </row>
    <row r="13" spans="1:11" ht="15.6">
      <c r="A13" s="30" t="str">
        <v>Kohls - Granite Run</v>
      </c>
      <c r="B13" s="31" t="str">
        <v>PA</v>
      </c>
      <c r="C13" s="11"/>
      <c r="D13" s="18"/>
      <c r="E13" s="18" t="str">
        <f t="shared" si="0"/>
        <v/>
      </c>
      <c r="F13" s="19" t="str">
        <f t="shared" si="3"/>
        <v/>
      </c>
      <c r="G13" s="20"/>
      <c r="H13" s="20" t="str">
        <f t="shared" si="1"/>
        <v/>
      </c>
      <c r="I13" s="19" t="str">
        <f t="shared" si="2"/>
        <v/>
      </c>
      <c r="J13" s="42"/>
      <c r="K13" s="43"/>
    </row>
    <row r="14" spans="1:11" ht="15.6">
      <c r="A14" s="28" t="str">
        <v>Kohls - Greece</v>
      </c>
      <c r="B14" s="29" t="str">
        <v>NY</v>
      </c>
      <c r="C14" s="24"/>
      <c r="D14" s="13"/>
      <c r="E14" s="13" t="str">
        <f t="shared" si="0"/>
        <v/>
      </c>
      <c r="F14" s="14" t="str">
        <f t="shared" si="3"/>
        <v/>
      </c>
      <c r="G14" s="15"/>
      <c r="H14" s="15" t="str">
        <f t="shared" si="1"/>
        <v/>
      </c>
      <c r="I14" s="16" t="str">
        <f t="shared" si="2"/>
        <v/>
      </c>
      <c r="J14" s="41"/>
      <c r="K14" s="41"/>
    </row>
    <row r="15" spans="1:11" ht="15.6">
      <c r="A15" s="30" t="str">
        <v>Kohls - Hanover</v>
      </c>
      <c r="B15" s="31" t="str">
        <v>PA</v>
      </c>
      <c r="C15" s="11"/>
      <c r="D15" s="18"/>
      <c r="E15" s="18" t="str">
        <f t="shared" si="0"/>
        <v/>
      </c>
      <c r="F15" s="19" t="str">
        <f t="shared" si="3"/>
        <v/>
      </c>
      <c r="G15" s="20"/>
      <c r="H15" s="20" t="str">
        <f t="shared" si="1"/>
        <v/>
      </c>
      <c r="I15" s="19" t="str">
        <f t="shared" si="2"/>
        <v/>
      </c>
      <c r="J15" s="42"/>
      <c r="K15" s="43"/>
    </row>
    <row r="16" spans="1:11" ht="15.6">
      <c r="A16" s="28" t="str">
        <v>Kohls - Horsehead</v>
      </c>
      <c r="B16" s="29" t="str">
        <v>NY</v>
      </c>
      <c r="C16" s="24"/>
      <c r="D16" s="13"/>
      <c r="E16" s="13" t="str">
        <f t="shared" si="0"/>
        <v/>
      </c>
      <c r="F16" s="14" t="str">
        <f t="shared" si="3"/>
        <v/>
      </c>
      <c r="G16" s="15"/>
      <c r="H16" s="15" t="str">
        <f t="shared" si="1"/>
        <v/>
      </c>
      <c r="I16" s="16" t="str">
        <f t="shared" si="2"/>
        <v/>
      </c>
      <c r="J16" s="41"/>
      <c r="K16" s="41"/>
    </row>
    <row r="17" spans="1:11" ht="15.6">
      <c r="A17" s="30" t="str">
        <v>Kohls - Hudson</v>
      </c>
      <c r="B17" s="31" t="str">
        <v>NY</v>
      </c>
      <c r="C17" s="11"/>
      <c r="D17" s="18"/>
      <c r="E17" s="18" t="str">
        <f t="shared" si="0"/>
        <v/>
      </c>
      <c r="F17" s="19" t="str">
        <f t="shared" si="3"/>
        <v/>
      </c>
      <c r="G17" s="20"/>
      <c r="H17" s="20" t="str">
        <f t="shared" si="1"/>
        <v/>
      </c>
      <c r="I17" s="19" t="str">
        <f t="shared" si="2"/>
        <v/>
      </c>
      <c r="J17" s="54"/>
      <c r="K17" s="43"/>
    </row>
    <row r="18" spans="1:11" ht="12.75" customHeight="1">
      <c r="A18" s="32" t="str">
        <v>Kohls - Ithaca</v>
      </c>
      <c r="B18" s="29" t="str">
        <v>NY</v>
      </c>
      <c r="C18" s="24"/>
      <c r="D18" s="13"/>
      <c r="E18" s="13" t="str">
        <f t="shared" si="0"/>
        <v/>
      </c>
      <c r="F18" s="14" t="str">
        <f t="shared" si="3"/>
        <v/>
      </c>
      <c r="G18" s="15"/>
      <c r="H18" s="15" t="str">
        <f t="shared" si="1"/>
        <v/>
      </c>
      <c r="I18" s="16" t="str">
        <f t="shared" si="2"/>
        <v/>
      </c>
      <c r="J18" s="41"/>
      <c r="K18" s="41"/>
    </row>
    <row r="19" spans="1:11" ht="15.6">
      <c r="A19" s="30" t="str">
        <v>Kohls - Kingston</v>
      </c>
      <c r="B19" s="31" t="str">
        <v>NY</v>
      </c>
      <c r="C19" s="11"/>
      <c r="D19" s="18"/>
      <c r="E19" s="18" t="str">
        <f t="shared" si="0"/>
        <v/>
      </c>
      <c r="F19" s="19" t="str">
        <f t="shared" si="3"/>
        <v/>
      </c>
      <c r="G19" s="20"/>
      <c r="H19" s="20" t="str">
        <f t="shared" si="1"/>
        <v/>
      </c>
      <c r="I19" s="19" t="str">
        <f t="shared" si="2"/>
        <v/>
      </c>
      <c r="J19" s="42"/>
      <c r="K19" s="42"/>
    </row>
    <row r="20" spans="1:11" ht="15.6">
      <c r="A20" s="28" t="str">
        <v>Kohls - Mechanicsburg</v>
      </c>
      <c r="B20" s="29" t="str">
        <v>PA</v>
      </c>
      <c r="C20" s="24"/>
      <c r="D20" s="13"/>
      <c r="E20" s="13" t="str">
        <f t="shared" si="0"/>
        <v/>
      </c>
      <c r="F20" s="14" t="str">
        <f t="shared" si="3"/>
        <v/>
      </c>
      <c r="G20" s="15"/>
      <c r="H20" s="15" t="str">
        <f t="shared" si="1"/>
        <v/>
      </c>
      <c r="I20" s="16" t="str">
        <f t="shared" si="2"/>
        <v/>
      </c>
      <c r="J20" s="41"/>
      <c r="K20" s="41"/>
    </row>
    <row r="21" spans="1:11" ht="15.6">
      <c r="A21" s="30" t="str">
        <v>Kohls - Middletown</v>
      </c>
      <c r="B21" s="31" t="str">
        <v>NJ</v>
      </c>
      <c r="C21" s="11"/>
      <c r="D21" s="18"/>
      <c r="E21" s="18" t="str">
        <f t="shared" si="0"/>
        <v/>
      </c>
      <c r="F21" s="19" t="str">
        <f t="shared" si="3"/>
        <v/>
      </c>
      <c r="G21" s="20"/>
      <c r="H21" s="20" t="str">
        <f t="shared" si="1"/>
        <v/>
      </c>
      <c r="I21" s="19" t="str">
        <f t="shared" si="2"/>
        <v/>
      </c>
      <c r="J21" s="42"/>
      <c r="K21" s="43"/>
    </row>
    <row r="22" spans="1:11" ht="15.6">
      <c r="A22" s="28" t="str">
        <v>Kohls - North Amherst</v>
      </c>
      <c r="B22" s="29" t="str">
        <v>NY</v>
      </c>
      <c r="C22" s="24"/>
      <c r="D22" s="13"/>
      <c r="E22" s="13" t="str">
        <f t="shared" si="0"/>
        <v/>
      </c>
      <c r="F22" s="14" t="str">
        <f t="shared" si="3"/>
        <v/>
      </c>
      <c r="G22" s="15"/>
      <c r="H22" s="15" t="str">
        <f t="shared" si="1"/>
        <v/>
      </c>
      <c r="I22" s="16" t="str">
        <f t="shared" si="2"/>
        <v/>
      </c>
      <c r="J22" s="41"/>
      <c r="K22" s="41"/>
    </row>
    <row r="23" spans="1:11" ht="15.6">
      <c r="A23" s="30" t="str">
        <v>Kohls - Staten Island</v>
      </c>
      <c r="B23" s="31" t="str">
        <v>NY</v>
      </c>
      <c r="C23" s="11"/>
      <c r="D23" s="18"/>
      <c r="E23" s="18" t="str">
        <f t="shared" si="0"/>
        <v/>
      </c>
      <c r="F23" s="19" t="str">
        <f t="shared" si="3"/>
        <v/>
      </c>
      <c r="G23" s="20"/>
      <c r="H23" s="20" t="str">
        <f t="shared" si="1"/>
        <v/>
      </c>
      <c r="I23" s="19" t="str">
        <f t="shared" si="2"/>
        <v/>
      </c>
      <c r="J23" s="42"/>
      <c r="K23" s="61"/>
    </row>
    <row r="24" spans="1:11" ht="15.6">
      <c r="A24" s="28" t="str">
        <v>Kohls - Warminster</v>
      </c>
      <c r="B24" s="29" t="str">
        <v>PA</v>
      </c>
      <c r="C24" s="24"/>
      <c r="D24" s="13"/>
      <c r="E24" s="13" t="str">
        <f t="shared" si="0"/>
        <v/>
      </c>
      <c r="F24" s="14" t="str">
        <f t="shared" si="3"/>
        <v/>
      </c>
      <c r="G24" s="15"/>
      <c r="H24" s="15" t="str">
        <f t="shared" si="1"/>
        <v/>
      </c>
      <c r="I24" s="16" t="str">
        <f t="shared" si="2"/>
        <v/>
      </c>
      <c r="J24" s="41"/>
      <c r="K24" s="41"/>
    </row>
    <row r="25" spans="1:11" ht="15.6">
      <c r="A25" s="30" t="str">
        <v xml:space="preserve">Kohls - Waterbury </v>
      </c>
      <c r="B25" s="31" t="str">
        <v>CT</v>
      </c>
      <c r="C25" s="11"/>
      <c r="D25" s="18"/>
      <c r="E25" s="18" t="str">
        <f t="shared" si="0"/>
        <v/>
      </c>
      <c r="F25" s="19" t="str">
        <f t="shared" si="3"/>
        <v/>
      </c>
      <c r="G25" s="20"/>
      <c r="H25" s="20" t="str">
        <f t="shared" si="1"/>
        <v/>
      </c>
      <c r="I25" s="19" t="str">
        <f t="shared" si="2"/>
        <v/>
      </c>
      <c r="J25" s="42"/>
      <c r="K25" s="43"/>
    </row>
    <row r="26" spans="1:11" ht="15.6">
      <c r="A26" s="28" t="str">
        <v>Mojave Water Agency - Headquarters</v>
      </c>
      <c r="B26" s="29" t="str">
        <v>CA</v>
      </c>
      <c r="C26" s="24"/>
      <c r="D26" s="13"/>
      <c r="E26" s="13" t="str">
        <f t="shared" ref="E26:E68" si="4">IF(AND(ISNUMBER(C26),ISNUMBER(D26)), C26-D26, "")</f>
        <v/>
      </c>
      <c r="F26" s="14" t="str">
        <f t="shared" ref="F26:F68" si="5">IFERROR(E26/D26, "")</f>
        <v/>
      </c>
      <c r="G26" s="15"/>
      <c r="H26" s="15" t="str">
        <f t="shared" ref="H26:H68" si="6">IF(AND(ISNUMBER(C26),ISNUMBER(G26)), C26-G26, "")</f>
        <v/>
      </c>
      <c r="I26" s="16" t="str">
        <f t="shared" si="2"/>
        <v/>
      </c>
      <c r="J26" s="41"/>
      <c r="K26" s="41"/>
    </row>
    <row r="27" spans="1:11" ht="15.6">
      <c r="A27" s="30" t="str">
        <v>CSU - Bakersfield</v>
      </c>
      <c r="B27" s="31" t="str">
        <v>CA</v>
      </c>
      <c r="C27" s="11"/>
      <c r="D27" s="18"/>
      <c r="E27" s="18" t="str">
        <f t="shared" si="4"/>
        <v/>
      </c>
      <c r="F27" s="19" t="str">
        <f t="shared" si="5"/>
        <v/>
      </c>
      <c r="G27" s="20"/>
      <c r="H27" s="20" t="str">
        <f t="shared" si="6"/>
        <v/>
      </c>
      <c r="I27" s="19" t="str">
        <f t="shared" si="2"/>
        <v/>
      </c>
      <c r="J27" s="42"/>
      <c r="K27" s="43"/>
    </row>
    <row r="28" spans="1:11" ht="15.6">
      <c r="A28" s="28" t="str">
        <v>Greenfield USD - Fairfield ES</v>
      </c>
      <c r="B28" s="29" t="str">
        <v>CA</v>
      </c>
      <c r="C28" s="24"/>
      <c r="D28" s="13"/>
      <c r="E28" s="13" t="str">
        <f t="shared" si="4"/>
        <v/>
      </c>
      <c r="F28" s="14" t="str">
        <f t="shared" si="5"/>
        <v/>
      </c>
      <c r="G28" s="15"/>
      <c r="H28" s="15" t="str">
        <f t="shared" si="6"/>
        <v/>
      </c>
      <c r="I28" s="16" t="str">
        <f t="shared" si="2"/>
        <v/>
      </c>
      <c r="J28" s="41"/>
      <c r="K28" s="41"/>
    </row>
    <row r="29" spans="1:11" ht="15.6">
      <c r="A29" s="30" t="str">
        <v>Greenfield USD - Granite Point ES</v>
      </c>
      <c r="B29" s="31" t="str">
        <v>CA</v>
      </c>
      <c r="C29" s="11"/>
      <c r="D29" s="18"/>
      <c r="E29" s="18" t="str">
        <f t="shared" si="4"/>
        <v/>
      </c>
      <c r="F29" s="19" t="str">
        <f t="shared" si="5"/>
        <v/>
      </c>
      <c r="G29" s="20"/>
      <c r="H29" s="20" t="str">
        <f t="shared" si="6"/>
        <v/>
      </c>
      <c r="I29" s="19" t="str">
        <f t="shared" si="2"/>
        <v/>
      </c>
      <c r="J29" s="42"/>
      <c r="K29" s="43"/>
    </row>
    <row r="30" spans="1:11" ht="15.6">
      <c r="A30" s="28" t="str">
        <v>Greenfield USD - Greenfield MS</v>
      </c>
      <c r="B30" s="29" t="str">
        <v>CA</v>
      </c>
      <c r="C30" s="24"/>
      <c r="D30" s="13"/>
      <c r="E30" s="13" t="str">
        <f t="shared" si="4"/>
        <v/>
      </c>
      <c r="F30" s="14" t="str">
        <f t="shared" si="5"/>
        <v/>
      </c>
      <c r="G30" s="15"/>
      <c r="H30" s="15" t="str">
        <f t="shared" si="6"/>
        <v/>
      </c>
      <c r="I30" s="16" t="str">
        <f t="shared" si="2"/>
        <v/>
      </c>
      <c r="J30" s="41"/>
      <c r="K30" s="41"/>
    </row>
    <row r="31" spans="1:11" ht="15.6">
      <c r="A31" s="30" t="str">
        <v>Greenfield USD - Horizon ES</v>
      </c>
      <c r="B31" s="31" t="str">
        <v>CA</v>
      </c>
      <c r="C31" s="11"/>
      <c r="D31" s="18"/>
      <c r="E31" s="18" t="str">
        <f t="shared" si="4"/>
        <v/>
      </c>
      <c r="F31" s="19" t="str">
        <f t="shared" si="5"/>
        <v/>
      </c>
      <c r="G31" s="20"/>
      <c r="H31" s="20" t="str">
        <f t="shared" si="6"/>
        <v/>
      </c>
      <c r="I31" s="19" t="str">
        <f t="shared" si="2"/>
        <v/>
      </c>
      <c r="J31" s="42"/>
      <c r="K31" s="43"/>
    </row>
    <row r="32" spans="1:11" ht="15.6">
      <c r="A32" s="28" t="str">
        <v>Greenfield USD - McKee MS</v>
      </c>
      <c r="B32" s="29" t="str">
        <v>CA</v>
      </c>
      <c r="C32" s="24"/>
      <c r="D32" s="13"/>
      <c r="E32" s="13" t="str">
        <f t="shared" si="4"/>
        <v/>
      </c>
      <c r="F32" s="14" t="str">
        <f t="shared" si="5"/>
        <v/>
      </c>
      <c r="G32" s="15"/>
      <c r="H32" s="15" t="str">
        <f t="shared" si="6"/>
        <v/>
      </c>
      <c r="I32" s="16" t="str">
        <f t="shared" si="2"/>
        <v/>
      </c>
      <c r="J32" s="41"/>
      <c r="K32" s="41"/>
    </row>
    <row r="33" spans="1:11" ht="15.6">
      <c r="A33" s="30" t="str">
        <v>Greenfield USD - Plantation ES</v>
      </c>
      <c r="B33" s="31" t="str">
        <v>CA</v>
      </c>
      <c r="C33" s="11"/>
      <c r="D33" s="18"/>
      <c r="E33" s="18" t="str">
        <f t="shared" si="4"/>
        <v/>
      </c>
      <c r="F33" s="19" t="str">
        <f t="shared" si="5"/>
        <v/>
      </c>
      <c r="G33" s="20"/>
      <c r="H33" s="20" t="str">
        <f t="shared" si="6"/>
        <v/>
      </c>
      <c r="I33" s="19" t="str">
        <f t="shared" si="2"/>
        <v/>
      </c>
      <c r="J33" s="42"/>
      <c r="K33" s="43"/>
    </row>
    <row r="34" spans="1:11" ht="15.6">
      <c r="A34" s="28" t="str">
        <v>Greenfield USD - Planz ES</v>
      </c>
      <c r="B34" s="29" t="str">
        <v>CA</v>
      </c>
      <c r="C34" s="24"/>
      <c r="D34" s="13"/>
      <c r="E34" s="13" t="str">
        <f t="shared" si="4"/>
        <v/>
      </c>
      <c r="F34" s="14" t="str">
        <f t="shared" si="5"/>
        <v/>
      </c>
      <c r="G34" s="15"/>
      <c r="H34" s="15" t="str">
        <f t="shared" si="6"/>
        <v/>
      </c>
      <c r="I34" s="16" t="str">
        <f t="shared" si="2"/>
        <v/>
      </c>
      <c r="J34" s="41"/>
      <c r="K34" s="41"/>
    </row>
    <row r="35" spans="1:11" ht="15.6">
      <c r="A35" s="30" t="str">
        <v>Greenfield USD - Raffaello Palla ES</v>
      </c>
      <c r="B35" s="31" t="str">
        <v>CA</v>
      </c>
      <c r="C35" s="11"/>
      <c r="D35" s="18"/>
      <c r="E35" s="18" t="str">
        <f t="shared" si="4"/>
        <v/>
      </c>
      <c r="F35" s="19" t="str">
        <f t="shared" si="5"/>
        <v/>
      </c>
      <c r="G35" s="20"/>
      <c r="H35" s="20" t="str">
        <f t="shared" si="6"/>
        <v/>
      </c>
      <c r="I35" s="19" t="str">
        <f t="shared" si="2"/>
        <v/>
      </c>
      <c r="J35" s="42"/>
      <c r="K35" s="43"/>
    </row>
    <row r="36" spans="1:11" ht="15.6">
      <c r="A36" s="28" t="str">
        <v>Greenfield USD - Valle Verde ES</v>
      </c>
      <c r="B36" s="29" t="str">
        <v>CA</v>
      </c>
      <c r="C36" s="24"/>
      <c r="D36" s="13"/>
      <c r="E36" s="13" t="str">
        <f t="shared" si="4"/>
        <v/>
      </c>
      <c r="F36" s="14" t="str">
        <f t="shared" si="5"/>
        <v/>
      </c>
      <c r="G36" s="15"/>
      <c r="H36" s="15" t="str">
        <f t="shared" si="6"/>
        <v/>
      </c>
      <c r="I36" s="16" t="str">
        <f t="shared" si="2"/>
        <v/>
      </c>
      <c r="J36" s="41"/>
      <c r="K36" s="41"/>
    </row>
    <row r="37" spans="1:11" ht="15.6">
      <c r="A37" s="30" t="str">
        <v>Greenfield USD - W.A. Kendrick ES</v>
      </c>
      <c r="B37" s="31" t="str">
        <v>CA</v>
      </c>
      <c r="C37" s="11"/>
      <c r="D37" s="18"/>
      <c r="E37" s="18" t="str">
        <f t="shared" si="4"/>
        <v/>
      </c>
      <c r="F37" s="19" t="str">
        <f t="shared" si="5"/>
        <v/>
      </c>
      <c r="G37" s="20"/>
      <c r="H37" s="20" t="str">
        <f t="shared" si="6"/>
        <v/>
      </c>
      <c r="I37" s="19" t="str">
        <f t="shared" si="2"/>
        <v/>
      </c>
      <c r="J37" s="42"/>
      <c r="K37" s="43"/>
    </row>
    <row r="38" spans="1:11" ht="15.6">
      <c r="A38" s="28" t="str">
        <v>Muroc Joint USD - Boron HS</v>
      </c>
      <c r="B38" s="29" t="str">
        <v>CA</v>
      </c>
      <c r="C38" s="24"/>
      <c r="D38" s="13"/>
      <c r="E38" s="13" t="str">
        <f t="shared" si="4"/>
        <v/>
      </c>
      <c r="F38" s="14" t="str">
        <f t="shared" si="5"/>
        <v/>
      </c>
      <c r="G38" s="15"/>
      <c r="H38" s="15" t="str">
        <f t="shared" si="6"/>
        <v/>
      </c>
      <c r="I38" s="16" t="str">
        <f t="shared" si="2"/>
        <v/>
      </c>
      <c r="J38" s="41"/>
      <c r="K38" s="41"/>
    </row>
    <row r="39" spans="1:11" ht="15.6">
      <c r="A39" s="30" t="str">
        <v>Muroc Joint USD - W. Boron ES</v>
      </c>
      <c r="B39" s="31" t="str">
        <v>CA</v>
      </c>
      <c r="C39" s="11"/>
      <c r="D39" s="18"/>
      <c r="E39" s="18" t="str">
        <f t="shared" si="4"/>
        <v/>
      </c>
      <c r="F39" s="19" t="str">
        <f t="shared" si="5"/>
        <v/>
      </c>
      <c r="G39" s="20"/>
      <c r="H39" s="20" t="str">
        <f t="shared" si="6"/>
        <v/>
      </c>
      <c r="I39" s="19" t="str">
        <f t="shared" si="2"/>
        <v/>
      </c>
      <c r="J39" s="42"/>
      <c r="K39" s="43"/>
    </row>
    <row r="40" spans="1:11" ht="15.6">
      <c r="A40" s="28" t="str">
        <v>Colusa - WTP</v>
      </c>
      <c r="B40" s="29" t="str">
        <v>CA</v>
      </c>
      <c r="C40" s="24"/>
      <c r="D40" s="13"/>
      <c r="E40" s="13" t="str">
        <f t="shared" si="4"/>
        <v/>
      </c>
      <c r="F40" s="14" t="str">
        <f t="shared" si="5"/>
        <v/>
      </c>
      <c r="G40" s="15"/>
      <c r="H40" s="15" t="str">
        <f t="shared" si="6"/>
        <v/>
      </c>
      <c r="I40" s="16" t="str">
        <f t="shared" si="2"/>
        <v/>
      </c>
      <c r="J40" s="41"/>
      <c r="K40" s="41"/>
    </row>
    <row r="41" spans="1:11" ht="15.6">
      <c r="A41" s="30" t="str">
        <v>CDCR-North Kern State Prision</v>
      </c>
      <c r="B41" s="31" t="str">
        <v>CA</v>
      </c>
      <c r="C41" s="11"/>
      <c r="D41" s="18"/>
      <c r="E41" s="18" t="str">
        <f t="shared" si="4"/>
        <v/>
      </c>
      <c r="F41" s="19" t="str">
        <f t="shared" si="5"/>
        <v/>
      </c>
      <c r="G41" s="20"/>
      <c r="H41" s="20" t="str">
        <f t="shared" si="6"/>
        <v/>
      </c>
      <c r="I41" s="19" t="str">
        <f t="shared" si="2"/>
        <v/>
      </c>
      <c r="J41" s="42"/>
      <c r="K41" s="43"/>
    </row>
    <row r="42" spans="1:11" ht="15.6">
      <c r="A42" s="28" t="str">
        <v>Muroc Joint USD - District Office</v>
      </c>
      <c r="B42" s="29" t="str">
        <v>CA</v>
      </c>
      <c r="C42" s="24"/>
      <c r="D42" s="13"/>
      <c r="E42" s="13" t="str">
        <f t="shared" si="4"/>
        <v/>
      </c>
      <c r="F42" s="14" t="str">
        <f t="shared" si="5"/>
        <v/>
      </c>
      <c r="G42" s="15"/>
      <c r="H42" s="15" t="str">
        <f t="shared" si="6"/>
        <v/>
      </c>
      <c r="I42" s="16" t="str">
        <f t="shared" si="2"/>
        <v/>
      </c>
      <c r="J42" s="41"/>
      <c r="K42" s="41"/>
    </row>
    <row r="43" spans="1:11" ht="15.6">
      <c r="A43" s="30" t="str">
        <v>Whole Foods - Manhattan Beach</v>
      </c>
      <c r="B43" s="31" t="str">
        <v>CA</v>
      </c>
      <c r="C43" s="11"/>
      <c r="D43" s="18"/>
      <c r="E43" s="18" t="str">
        <f t="shared" si="4"/>
        <v/>
      </c>
      <c r="F43" s="19" t="str">
        <f t="shared" si="5"/>
        <v/>
      </c>
      <c r="G43" s="20"/>
      <c r="H43" s="20" t="str">
        <f t="shared" si="6"/>
        <v/>
      </c>
      <c r="I43" s="19" t="str">
        <f t="shared" si="2"/>
        <v/>
      </c>
      <c r="J43" s="42"/>
      <c r="K43" s="43"/>
    </row>
    <row r="44" spans="1:11" ht="15.6">
      <c r="A44" s="28" t="str">
        <v>Pioneer USD - Frontier ES</v>
      </c>
      <c r="B44" s="29" t="str">
        <v>CA</v>
      </c>
      <c r="C44" s="24"/>
      <c r="D44" s="13"/>
      <c r="E44" s="13" t="str">
        <f t="shared" si="4"/>
        <v/>
      </c>
      <c r="F44" s="14" t="str">
        <f t="shared" si="5"/>
        <v/>
      </c>
      <c r="G44" s="15"/>
      <c r="H44" s="15" t="str">
        <f t="shared" si="6"/>
        <v/>
      </c>
      <c r="I44" s="16" t="str">
        <f t="shared" si="2"/>
        <v/>
      </c>
      <c r="J44" s="41"/>
      <c r="K44" s="41"/>
    </row>
    <row r="45" spans="1:11" ht="15.6">
      <c r="A45" s="30" t="str">
        <v>Pioneer USD - Pioneer ES</v>
      </c>
      <c r="B45" s="31" t="str">
        <v>CA</v>
      </c>
      <c r="C45" s="11"/>
      <c r="D45" s="18"/>
      <c r="E45" s="18" t="str">
        <f t="shared" si="4"/>
        <v/>
      </c>
      <c r="F45" s="19" t="str">
        <f t="shared" si="5"/>
        <v/>
      </c>
      <c r="G45" s="20"/>
      <c r="H45" s="20" t="str">
        <f t="shared" si="6"/>
        <v/>
      </c>
      <c r="I45" s="19" t="str">
        <f t="shared" si="2"/>
        <v/>
      </c>
      <c r="J45" s="42"/>
      <c r="K45" s="43"/>
    </row>
    <row r="46" spans="1:11" ht="15.6">
      <c r="A46" s="28" t="str">
        <v>Pioneer USD - Pioneer MS</v>
      </c>
      <c r="B46" s="29" t="str">
        <v>CA</v>
      </c>
      <c r="C46" s="24"/>
      <c r="D46" s="13"/>
      <c r="E46" s="13" t="str">
        <f t="shared" si="4"/>
        <v/>
      </c>
      <c r="F46" s="14" t="str">
        <f t="shared" si="5"/>
        <v/>
      </c>
      <c r="G46" s="15"/>
      <c r="H46" s="15" t="str">
        <f t="shared" si="6"/>
        <v/>
      </c>
      <c r="I46" s="16" t="str">
        <f t="shared" si="2"/>
        <v/>
      </c>
      <c r="J46" s="41"/>
      <c r="K46" s="41"/>
    </row>
    <row r="47" spans="1:11" ht="15.6">
      <c r="A47" s="30" t="str">
        <v>Kingsburg Joint UHSD - Kingsburg HS</v>
      </c>
      <c r="B47" s="31" t="str">
        <v>CA</v>
      </c>
      <c r="C47" s="11"/>
      <c r="D47" s="18"/>
      <c r="E47" s="18" t="str">
        <f t="shared" si="4"/>
        <v/>
      </c>
      <c r="F47" s="19" t="str">
        <f t="shared" si="5"/>
        <v/>
      </c>
      <c r="G47" s="20"/>
      <c r="H47" s="20" t="str">
        <f t="shared" si="6"/>
        <v/>
      </c>
      <c r="I47" s="19" t="str">
        <f t="shared" si="2"/>
        <v/>
      </c>
      <c r="J47" s="42"/>
      <c r="K47" s="43"/>
    </row>
    <row r="48" spans="1:11" ht="15.6">
      <c r="A48" s="28" t="str">
        <v>CADRB</v>
      </c>
      <c r="B48" s="29" t="str">
        <v>CA</v>
      </c>
      <c r="C48" s="24"/>
      <c r="D48" s="13"/>
      <c r="E48" s="13" t="str">
        <f t="shared" si="4"/>
        <v/>
      </c>
      <c r="F48" s="14" t="str">
        <f t="shared" si="5"/>
        <v/>
      </c>
      <c r="G48" s="15"/>
      <c r="H48" s="15" t="str">
        <f t="shared" si="6"/>
        <v/>
      </c>
      <c r="I48" s="16" t="str">
        <f t="shared" si="2"/>
        <v/>
      </c>
      <c r="J48" s="41"/>
      <c r="K48" s="41"/>
    </row>
    <row r="49" spans="1:11" ht="15.6">
      <c r="A49" s="30" t="str">
        <v>CDCR-CA State Prison LA County</v>
      </c>
      <c r="B49" s="31" t="str">
        <v>CA</v>
      </c>
      <c r="C49" s="11"/>
      <c r="D49" s="18"/>
      <c r="E49" s="18" t="str">
        <f t="shared" si="4"/>
        <v/>
      </c>
      <c r="F49" s="19" t="str">
        <f t="shared" si="5"/>
        <v/>
      </c>
      <c r="G49" s="20"/>
      <c r="H49" s="20" t="str">
        <f t="shared" si="6"/>
        <v/>
      </c>
      <c r="I49" s="19" t="str">
        <f t="shared" si="2"/>
        <v/>
      </c>
      <c r="J49" s="42"/>
      <c r="K49" s="43"/>
    </row>
    <row r="50" spans="1:11" ht="15.6">
      <c r="A50" s="28" t="str">
        <v>Central USD Akers ES</v>
      </c>
      <c r="B50" s="29" t="str">
        <v>CA</v>
      </c>
      <c r="C50" s="24"/>
      <c r="D50" s="13"/>
      <c r="E50" s="13" t="str">
        <f t="shared" si="4"/>
        <v/>
      </c>
      <c r="F50" s="14" t="str">
        <f t="shared" si="5"/>
        <v/>
      </c>
      <c r="G50" s="15"/>
      <c r="H50" s="15" t="str">
        <f t="shared" si="6"/>
        <v/>
      </c>
      <c r="I50" s="16" t="str">
        <f t="shared" si="2"/>
        <v/>
      </c>
      <c r="J50" s="41"/>
      <c r="K50" s="41"/>
    </row>
    <row r="51" spans="1:11" ht="15.6">
      <c r="A51" s="30" t="str">
        <v>CUSD - District Office</v>
      </c>
      <c r="B51" s="31" t="str">
        <v>CA</v>
      </c>
      <c r="C51" s="11"/>
      <c r="D51" s="18"/>
      <c r="E51" s="18" t="str">
        <f t="shared" si="4"/>
        <v/>
      </c>
      <c r="F51" s="19" t="str">
        <f t="shared" si="5"/>
        <v/>
      </c>
      <c r="G51" s="20"/>
      <c r="H51" s="20" t="str">
        <f t="shared" si="6"/>
        <v/>
      </c>
      <c r="I51" s="19" t="str">
        <f t="shared" si="2"/>
        <v/>
      </c>
      <c r="J51" s="42"/>
      <c r="K51" s="43"/>
    </row>
    <row r="52" spans="1:11" ht="15.6">
      <c r="A52" s="28" t="str">
        <v>Parlier - WTP</v>
      </c>
      <c r="B52" s="29" t="str">
        <v>CA</v>
      </c>
      <c r="C52" s="24"/>
      <c r="D52" s="13"/>
      <c r="E52" s="13" t="str">
        <f t="shared" si="4"/>
        <v/>
      </c>
      <c r="F52" s="14" t="str">
        <f t="shared" si="5"/>
        <v/>
      </c>
      <c r="G52" s="15"/>
      <c r="H52" s="15" t="str">
        <f t="shared" si="6"/>
        <v/>
      </c>
      <c r="I52" s="16" t="str">
        <f t="shared" si="2"/>
        <v/>
      </c>
      <c r="J52" s="41"/>
      <c r="K52" s="41"/>
    </row>
    <row r="53" spans="1:11" ht="15.6">
      <c r="A53" s="30" t="str">
        <v>Snowline SD - Quail Valley MS</v>
      </c>
      <c r="B53" s="31" t="str">
        <v>CA</v>
      </c>
      <c r="C53" s="11"/>
      <c r="D53" s="18"/>
      <c r="E53" s="18" t="str">
        <f t="shared" si="4"/>
        <v/>
      </c>
      <c r="F53" s="19" t="str">
        <f t="shared" si="5"/>
        <v/>
      </c>
      <c r="G53" s="20"/>
      <c r="H53" s="20" t="str">
        <f t="shared" si="6"/>
        <v/>
      </c>
      <c r="I53" s="19" t="str">
        <f t="shared" si="2"/>
        <v/>
      </c>
      <c r="J53" s="42"/>
      <c r="K53" s="43"/>
    </row>
    <row r="54" spans="1:11" ht="15.6">
      <c r="A54" s="28" t="str">
        <v>Snowline SD - Serrano HS - Middle Lot</v>
      </c>
      <c r="B54" s="29" t="str">
        <v>CA</v>
      </c>
      <c r="C54" s="24"/>
      <c r="D54" s="13"/>
      <c r="E54" s="13" t="str">
        <f t="shared" si="4"/>
        <v/>
      </c>
      <c r="F54" s="14" t="str">
        <f t="shared" si="5"/>
        <v/>
      </c>
      <c r="G54" s="15"/>
      <c r="H54" s="15" t="str">
        <f t="shared" si="6"/>
        <v/>
      </c>
      <c r="I54" s="16" t="str">
        <f t="shared" si="2"/>
        <v/>
      </c>
      <c r="J54" s="41"/>
      <c r="K54" s="41"/>
    </row>
    <row r="55" spans="1:11" ht="15.6">
      <c r="A55" s="30" t="str">
        <v>Snowline SD - Pinon Hills ES</v>
      </c>
      <c r="B55" s="31" t="str">
        <v>CA</v>
      </c>
      <c r="C55" s="11"/>
      <c r="D55" s="18"/>
      <c r="E55" s="18" t="str">
        <f t="shared" si="4"/>
        <v/>
      </c>
      <c r="F55" s="19" t="str">
        <f t="shared" si="5"/>
        <v/>
      </c>
      <c r="G55" s="20"/>
      <c r="H55" s="20" t="str">
        <f t="shared" si="6"/>
        <v/>
      </c>
      <c r="I55" s="19" t="str">
        <f t="shared" si="2"/>
        <v/>
      </c>
      <c r="J55" s="42"/>
      <c r="K55" s="43"/>
    </row>
    <row r="56" spans="1:11" ht="15.6">
      <c r="A56" s="28" t="str">
        <v>Ramona - Santa Maria WTP</v>
      </c>
      <c r="B56" s="29" t="str">
        <v>CA</v>
      </c>
      <c r="C56" s="24"/>
      <c r="D56" s="13"/>
      <c r="E56" s="13" t="str">
        <f t="shared" si="4"/>
        <v/>
      </c>
      <c r="F56" s="14" t="str">
        <f t="shared" si="5"/>
        <v/>
      </c>
      <c r="G56" s="15"/>
      <c r="H56" s="15" t="str">
        <f t="shared" si="6"/>
        <v/>
      </c>
      <c r="I56" s="16" t="str">
        <f t="shared" si="2"/>
        <v/>
      </c>
      <c r="J56" s="41"/>
      <c r="K56" s="41"/>
    </row>
    <row r="57" spans="1:11" ht="15.6">
      <c r="A57" s="30" t="str">
        <v>Kohls - Redding</v>
      </c>
      <c r="B57" s="31" t="str">
        <v>CA</v>
      </c>
      <c r="C57" s="11"/>
      <c r="D57" s="18"/>
      <c r="E57" s="18" t="str">
        <f t="shared" si="4"/>
        <v/>
      </c>
      <c r="F57" s="19" t="str">
        <f t="shared" si="5"/>
        <v/>
      </c>
      <c r="G57" s="20"/>
      <c r="H57" s="20" t="str">
        <f t="shared" si="6"/>
        <v/>
      </c>
      <c r="I57" s="19" t="str">
        <f t="shared" si="2"/>
        <v/>
      </c>
      <c r="J57" s="42"/>
      <c r="K57" s="43"/>
    </row>
    <row r="58" spans="1:11" ht="15.6">
      <c r="A58" s="28" t="str">
        <v>Kohls - Salinas</v>
      </c>
      <c r="B58" s="29" t="str">
        <v>CA</v>
      </c>
      <c r="C58" s="24"/>
      <c r="D58" s="13"/>
      <c r="E58" s="13" t="str">
        <f t="shared" si="4"/>
        <v/>
      </c>
      <c r="F58" s="14" t="str">
        <f t="shared" si="5"/>
        <v/>
      </c>
      <c r="G58" s="15"/>
      <c r="H58" s="15" t="str">
        <f t="shared" si="6"/>
        <v/>
      </c>
      <c r="I58" s="16" t="str">
        <f t="shared" si="2"/>
        <v/>
      </c>
      <c r="J58" s="41"/>
      <c r="K58" s="41"/>
    </row>
    <row r="59" spans="1:11" ht="15.6">
      <c r="A59" s="30" t="str">
        <v>Kohls - San Bernardino - Central</v>
      </c>
      <c r="B59" s="31" t="str">
        <v>CA</v>
      </c>
      <c r="C59" s="11"/>
      <c r="D59" s="18"/>
      <c r="E59" s="18" t="str">
        <f t="shared" si="4"/>
        <v/>
      </c>
      <c r="F59" s="19" t="str">
        <f t="shared" si="5"/>
        <v/>
      </c>
      <c r="G59" s="20"/>
      <c r="H59" s="20" t="str">
        <f t="shared" si="6"/>
        <v/>
      </c>
      <c r="I59" s="19" t="str">
        <f t="shared" si="2"/>
        <v/>
      </c>
      <c r="J59" s="42"/>
      <c r="K59" s="43"/>
    </row>
    <row r="60" spans="1:11" ht="15.6">
      <c r="A60" s="28" t="str">
        <v>Kohls - Sonora</v>
      </c>
      <c r="B60" s="29" t="str">
        <v>CA</v>
      </c>
      <c r="C60" s="24"/>
      <c r="D60" s="13"/>
      <c r="E60" s="13" t="str">
        <f t="shared" si="4"/>
        <v/>
      </c>
      <c r="F60" s="14" t="str">
        <f t="shared" si="5"/>
        <v/>
      </c>
      <c r="G60" s="15"/>
      <c r="H60" s="15" t="str">
        <f t="shared" si="6"/>
        <v/>
      </c>
      <c r="I60" s="16" t="str">
        <f t="shared" si="2"/>
        <v/>
      </c>
      <c r="J60" s="41"/>
      <c r="K60" s="41"/>
    </row>
    <row r="61" spans="1:11" ht="15.6">
      <c r="A61" s="30" t="str">
        <v>CUSD - Stratford ES</v>
      </c>
      <c r="B61" s="31" t="str">
        <v>CA</v>
      </c>
      <c r="C61" s="11"/>
      <c r="D61" s="18"/>
      <c r="E61" s="18" t="str">
        <f t="shared" si="4"/>
        <v/>
      </c>
      <c r="F61" s="19" t="str">
        <f t="shared" si="5"/>
        <v/>
      </c>
      <c r="G61" s="20"/>
      <c r="H61" s="20" t="str">
        <f t="shared" si="6"/>
        <v/>
      </c>
      <c r="I61" s="19" t="str">
        <f t="shared" si="2"/>
        <v/>
      </c>
      <c r="J61" s="42"/>
      <c r="K61" s="43"/>
    </row>
    <row r="62" spans="1:11" ht="15.6">
      <c r="A62" s="28" t="str">
        <v>Taft - City Hall</v>
      </c>
      <c r="B62" s="29" t="str">
        <v>CA</v>
      </c>
      <c r="C62" s="24"/>
      <c r="D62" s="13"/>
      <c r="E62" s="13" t="str">
        <f t="shared" si="4"/>
        <v/>
      </c>
      <c r="F62" s="14" t="str">
        <f t="shared" si="5"/>
        <v/>
      </c>
      <c r="G62" s="15"/>
      <c r="H62" s="15" t="str">
        <f t="shared" si="6"/>
        <v/>
      </c>
      <c r="I62" s="16" t="str">
        <f t="shared" si="2"/>
        <v/>
      </c>
      <c r="J62" s="41"/>
      <c r="K62" s="41"/>
    </row>
    <row r="63" spans="1:11" ht="15.6">
      <c r="A63" s="30" t="str">
        <v>Taft - Federal Prison</v>
      </c>
      <c r="B63" s="31" t="str">
        <v>CA</v>
      </c>
      <c r="C63" s="11"/>
      <c r="D63" s="18"/>
      <c r="E63" s="18" t="str">
        <f t="shared" si="4"/>
        <v/>
      </c>
      <c r="F63" s="19" t="str">
        <f t="shared" si="5"/>
        <v/>
      </c>
      <c r="G63" s="20"/>
      <c r="H63" s="20" t="str">
        <f t="shared" si="6"/>
        <v/>
      </c>
      <c r="I63" s="19" t="str">
        <f t="shared" si="2"/>
        <v/>
      </c>
      <c r="J63" s="42"/>
      <c r="K63" s="43"/>
    </row>
    <row r="64" spans="1:11" ht="15.6">
      <c r="A64" s="28" t="str">
        <v>Taft - Police Department</v>
      </c>
      <c r="B64" s="29" t="str">
        <v>CA</v>
      </c>
      <c r="C64" s="24"/>
      <c r="D64" s="13"/>
      <c r="E64" s="13" t="str">
        <f t="shared" si="4"/>
        <v/>
      </c>
      <c r="F64" s="14" t="str">
        <f t="shared" si="5"/>
        <v/>
      </c>
      <c r="G64" s="15"/>
      <c r="H64" s="15" t="str">
        <f t="shared" si="6"/>
        <v/>
      </c>
      <c r="I64" s="16" t="str">
        <f t="shared" si="2"/>
        <v/>
      </c>
      <c r="J64" s="41"/>
      <c r="K64" s="41"/>
    </row>
    <row r="65" spans="1:11" ht="15.6">
      <c r="A65" s="30" t="str">
        <v>Taft - WTP</v>
      </c>
      <c r="B65" s="31" t="str">
        <v>CA</v>
      </c>
      <c r="C65" s="11"/>
      <c r="D65" s="18"/>
      <c r="E65" s="18" t="str">
        <f t="shared" si="4"/>
        <v/>
      </c>
      <c r="F65" s="19" t="str">
        <f t="shared" si="5"/>
        <v/>
      </c>
      <c r="G65" s="20"/>
      <c r="H65" s="20" t="str">
        <f t="shared" si="6"/>
        <v/>
      </c>
      <c r="I65" s="19" t="str">
        <f t="shared" si="2"/>
        <v/>
      </c>
      <c r="J65" s="42"/>
      <c r="K65" s="43"/>
    </row>
    <row r="66" spans="1:11" ht="15.6">
      <c r="A66" s="28" t="str">
        <v>CDCR - CA Correctional Institution</v>
      </c>
      <c r="B66" s="29" t="str">
        <v>CA</v>
      </c>
      <c r="C66" s="24"/>
      <c r="D66" s="13"/>
      <c r="E66" s="13" t="str">
        <f t="shared" si="4"/>
        <v/>
      </c>
      <c r="F66" s="14" t="str">
        <f t="shared" si="5"/>
        <v/>
      </c>
      <c r="G66" s="15"/>
      <c r="H66" s="15" t="str">
        <f t="shared" si="6"/>
        <v/>
      </c>
      <c r="I66" s="16" t="str">
        <f t="shared" si="2"/>
        <v/>
      </c>
      <c r="J66" s="41"/>
      <c r="K66" s="41"/>
    </row>
    <row r="67" spans="1:11" ht="15.6">
      <c r="A67" s="30" t="str">
        <v>CDCR - CA Correctional Institution II</v>
      </c>
      <c r="B67" s="31" t="str">
        <v>CA</v>
      </c>
      <c r="C67" s="11"/>
      <c r="D67" s="18"/>
      <c r="E67" s="18" t="str">
        <f t="shared" si="4"/>
        <v/>
      </c>
      <c r="F67" s="19" t="str">
        <f t="shared" si="5"/>
        <v/>
      </c>
      <c r="G67" s="20"/>
      <c r="H67" s="20" t="str">
        <f t="shared" si="6"/>
        <v/>
      </c>
      <c r="I67" s="19" t="str">
        <f t="shared" si="2"/>
        <v/>
      </c>
      <c r="J67" s="42"/>
      <c r="K67" s="43"/>
    </row>
    <row r="68" spans="1:11" ht="15.6">
      <c r="A68" s="28" t="str">
        <v>Snowline SD - Vista Verde ES</v>
      </c>
      <c r="B68" s="29" t="str">
        <v>CA</v>
      </c>
      <c r="C68" s="24"/>
      <c r="D68" s="13"/>
      <c r="E68" s="13" t="str">
        <f t="shared" si="4"/>
        <v/>
      </c>
      <c r="F68" s="14" t="str">
        <f t="shared" si="5"/>
        <v/>
      </c>
      <c r="G68" s="15"/>
      <c r="H68" s="15" t="str">
        <f t="shared" si="6"/>
        <v/>
      </c>
      <c r="I68" s="16" t="str">
        <f t="shared" si="2"/>
        <v/>
      </c>
      <c r="J68" s="41"/>
      <c r="K68" s="41"/>
    </row>
    <row r="69" spans="1:11" ht="14.45">
      <c r="A69" s="21" t="str">
        <v>North Stonington</v>
      </c>
      <c r="B69" s="33" t="str">
        <v>CT</v>
      </c>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c r="C342" s="21"/>
      <c r="D342" s="21"/>
      <c r="E342" s="21"/>
      <c r="F342" s="22"/>
      <c r="G342" s="21"/>
      <c r="H342" s="21"/>
      <c r="I342" s="22"/>
      <c r="J342" s="21"/>
      <c r="K342" s="21"/>
    </row>
  </sheetData>
  <sortState xmlns:xlrd2="http://schemas.microsoft.com/office/spreadsheetml/2017/richdata2" ref="A3:K15">
    <sortCondition ref="A3:A15"/>
  </sortState>
  <mergeCells count="4">
    <mergeCell ref="G1:I1"/>
    <mergeCell ref="A1:C1"/>
    <mergeCell ref="D1:F1"/>
    <mergeCell ref="A2:B2"/>
  </mergeCells>
  <phoneticPr fontId="38" type="noConversion"/>
  <conditionalFormatting sqref="F2 I2">
    <cfRule type="cellIs" dxfId="28" priority="3" stopIfTrue="1" operator="lessThanOrEqual">
      <formula>-0.1</formula>
    </cfRule>
    <cfRule type="expression" dxfId="27" priority="4">
      <formula>AND(ISNUMBER(F2), F2&gt;=0.1)</formula>
    </cfRule>
  </conditionalFormatting>
  <conditionalFormatting sqref="F4:F100 I4:I100">
    <cfRule type="cellIs" dxfId="26" priority="1" stopIfTrue="1" operator="lessThanOrEqual">
      <formula>-0.1</formula>
    </cfRule>
    <cfRule type="expression" dxfId="25" priority="2">
      <formula>AND(ISNUMBER(F4), F4&gt;=0.1)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42"/>
  <sheetViews>
    <sheetView zoomScale="85" zoomScaleNormal="80" workbookViewId="0">
      <pane xSplit="2" ySplit="3" topLeftCell="G96" activePane="bottomRight" state="frozen"/>
      <selection pane="bottomRight" activeCell="J66" sqref="J66"/>
      <selection pane="bottomLeft" activeCell="J66" sqref="J66"/>
      <selection pane="topRight" activeCell="J66" sqref="J66"/>
    </sheetView>
  </sheetViews>
  <sheetFormatPr defaultRowHeight="14.1"/>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20" t="str" cm="1">
        <f t="array" ref="A1">portfolio</f>
        <v>Silicon Ranch</v>
      </c>
      <c r="B1" s="120"/>
      <c r="C1" s="120"/>
      <c r="D1" s="121" t="s">
        <v>430</v>
      </c>
      <c r="E1" s="121"/>
      <c r="F1" s="121"/>
      <c r="G1" s="119" t="s">
        <v>431</v>
      </c>
      <c r="H1" s="119"/>
      <c r="I1" s="119"/>
      <c r="J1" s="4"/>
      <c r="K1" s="4"/>
    </row>
    <row r="2" spans="1:11" ht="19.5" customHeight="1">
      <c r="A2" s="122" t="s">
        <v>2</v>
      </c>
      <c r="B2" s="122"/>
      <c r="C2" s="5">
        <f>SUM(C4:C100)</f>
        <v>0</v>
      </c>
      <c r="D2" s="5">
        <f>SUM(D4:D100)</f>
        <v>0</v>
      </c>
      <c r="E2" s="5">
        <f>C2-D2</f>
        <v>0</v>
      </c>
      <c r="F2" s="6">
        <f>IFERROR(E2/D2, 0)</f>
        <v>0</v>
      </c>
      <c r="G2" s="5">
        <f>SUM(G4:G100)</f>
        <v>0</v>
      </c>
      <c r="H2" s="7">
        <f>C2-G2</f>
        <v>0</v>
      </c>
      <c r="I2" s="6">
        <f>IFERROR(H2/G2, 0)</f>
        <v>0</v>
      </c>
      <c r="J2" s="26"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tr" cm="1">
        <f t="array" ref="A3">portfolio</f>
        <v>Silicon Ranch</v>
      </c>
      <c r="B3" s="8" t="s">
        <v>4</v>
      </c>
      <c r="C3" s="23" t="s">
        <v>5</v>
      </c>
      <c r="D3" s="35" t="s">
        <v>6</v>
      </c>
      <c r="E3" s="35" t="s">
        <v>7</v>
      </c>
      <c r="F3" s="36" t="s">
        <v>8</v>
      </c>
      <c r="G3" s="37" t="s">
        <v>9</v>
      </c>
      <c r="H3" s="38" t="s">
        <v>7</v>
      </c>
      <c r="I3" s="39" t="s">
        <v>8</v>
      </c>
      <c r="J3" s="25" t="s">
        <v>20</v>
      </c>
      <c r="K3" s="25" t="s">
        <v>21</v>
      </c>
    </row>
    <row r="4" spans="1:11" ht="15.6">
      <c r="A4" s="32" t="str" cm="1">
        <f t="array" ref="A4:A69">Sites[Site]</f>
        <v>Iron Mountain - Windsor</v>
      </c>
      <c r="B4" s="29" t="str" cm="1">
        <f t="array" ref="B4:B69">Sites[State]</f>
        <v>CT</v>
      </c>
      <c r="C4" s="24"/>
      <c r="D4" s="13"/>
      <c r="E4" s="13" t="str">
        <f t="shared" ref="E4:E10" si="0">IF(AND(ISNUMBER(C4),ISNUMBER(D4)), C4-D4, "")</f>
        <v/>
      </c>
      <c r="F4" s="14" t="str">
        <f t="shared" ref="F4:F11" si="1">IFERROR(E4/D4, "")</f>
        <v/>
      </c>
      <c r="G4" s="15"/>
      <c r="H4" s="15" t="str">
        <f t="shared" ref="H4:H10" si="2">IF(AND(ISNUMBER(C4),ISNUMBER(G4)), C4-G4, "")</f>
        <v/>
      </c>
      <c r="I4" s="16" t="str">
        <f t="shared" ref="I4:I10" si="3">IFERROR(H4/G4, "")</f>
        <v/>
      </c>
      <c r="J4" s="41"/>
      <c r="K4" s="41"/>
    </row>
    <row r="5" spans="1:11" ht="15.6">
      <c r="A5" s="30" t="str">
        <v>Kohls - Auburn</v>
      </c>
      <c r="B5" s="31" t="str">
        <v>NY</v>
      </c>
      <c r="C5" s="11"/>
      <c r="D5" s="18"/>
      <c r="E5" s="18" t="str">
        <f t="shared" si="0"/>
        <v/>
      </c>
      <c r="F5" s="19" t="str">
        <f t="shared" si="1"/>
        <v/>
      </c>
      <c r="G5" s="20"/>
      <c r="H5" s="20" t="str">
        <f t="shared" si="2"/>
        <v/>
      </c>
      <c r="I5" s="19" t="str">
        <f t="shared" si="3"/>
        <v/>
      </c>
      <c r="J5" s="42"/>
      <c r="K5" s="42"/>
    </row>
    <row r="6" spans="1:11" ht="15.6">
      <c r="A6" s="28" t="str">
        <v>Kohls - Bensalem</v>
      </c>
      <c r="B6" s="29" t="str">
        <v>PA</v>
      </c>
      <c r="C6" s="24"/>
      <c r="D6" s="13"/>
      <c r="E6" s="13" t="str">
        <f t="shared" si="0"/>
        <v/>
      </c>
      <c r="F6" s="14" t="str">
        <f t="shared" si="1"/>
        <v/>
      </c>
      <c r="G6" s="15"/>
      <c r="H6" s="15" t="str">
        <f t="shared" si="2"/>
        <v/>
      </c>
      <c r="I6" s="16" t="str">
        <f t="shared" si="3"/>
        <v/>
      </c>
      <c r="J6" s="41"/>
      <c r="K6" s="41"/>
    </row>
    <row r="7" spans="1:11" ht="15.6">
      <c r="A7" s="30" t="str">
        <v>Kohls - Brick</v>
      </c>
      <c r="B7" s="31" t="str">
        <v>NJ</v>
      </c>
      <c r="C7" s="11"/>
      <c r="D7" s="18"/>
      <c r="E7" s="18" t="str">
        <f t="shared" si="0"/>
        <v/>
      </c>
      <c r="F7" s="19" t="str">
        <f t="shared" si="1"/>
        <v/>
      </c>
      <c r="G7" s="20"/>
      <c r="H7" s="20" t="str">
        <f t="shared" si="2"/>
        <v/>
      </c>
      <c r="I7" s="19" t="str">
        <f t="shared" si="3"/>
        <v/>
      </c>
      <c r="J7" s="42"/>
      <c r="K7" s="43"/>
    </row>
    <row r="8" spans="1:11" ht="15.6">
      <c r="A8" s="28" t="str">
        <v>Kohls - Buffalo</v>
      </c>
      <c r="B8" s="29" t="str">
        <v>NY</v>
      </c>
      <c r="C8" s="24"/>
      <c r="D8" s="13"/>
      <c r="E8" s="13" t="str">
        <f t="shared" si="0"/>
        <v/>
      </c>
      <c r="F8" s="14" t="str">
        <f t="shared" si="1"/>
        <v/>
      </c>
      <c r="G8" s="15"/>
      <c r="H8" s="15" t="str">
        <f t="shared" si="2"/>
        <v/>
      </c>
      <c r="I8" s="16" t="str">
        <f t="shared" si="3"/>
        <v/>
      </c>
      <c r="J8" s="41"/>
      <c r="K8" s="41"/>
    </row>
    <row r="9" spans="1:11" ht="15.6">
      <c r="A9" s="30" t="str">
        <v>Kohls - Canton</v>
      </c>
      <c r="B9" s="31" t="str">
        <v>CT</v>
      </c>
      <c r="C9" s="11"/>
      <c r="D9" s="18"/>
      <c r="E9" s="18" t="str">
        <f t="shared" si="0"/>
        <v/>
      </c>
      <c r="F9" s="19" t="str">
        <f t="shared" si="1"/>
        <v/>
      </c>
      <c r="G9" s="20"/>
      <c r="H9" s="20" t="str">
        <f t="shared" si="2"/>
        <v/>
      </c>
      <c r="I9" s="19" t="str">
        <f t="shared" si="3"/>
        <v/>
      </c>
      <c r="J9" s="42"/>
      <c r="K9" s="43"/>
    </row>
    <row r="10" spans="1:11" ht="15.6">
      <c r="A10" s="28" t="str">
        <v>Kohls - East Amherst</v>
      </c>
      <c r="B10" s="29" t="str">
        <v>NY</v>
      </c>
      <c r="C10" s="24"/>
      <c r="D10" s="13"/>
      <c r="E10" s="13" t="str">
        <f t="shared" si="0"/>
        <v/>
      </c>
      <c r="F10" s="14" t="str">
        <f t="shared" si="1"/>
        <v/>
      </c>
      <c r="G10" s="15"/>
      <c r="H10" s="15" t="str">
        <f t="shared" si="2"/>
        <v/>
      </c>
      <c r="I10" s="16" t="str">
        <f t="shared" si="3"/>
        <v/>
      </c>
      <c r="J10" s="41"/>
      <c r="K10" s="41"/>
    </row>
    <row r="11" spans="1:11" ht="15.6">
      <c r="A11" s="30" t="str">
        <v>Kohls - East Brunswick</v>
      </c>
      <c r="B11" s="31" t="str">
        <v>NJ</v>
      </c>
      <c r="C11" s="11"/>
      <c r="D11" s="18"/>
      <c r="E11" s="18" t="str">
        <f t="shared" ref="E11:E17" si="4">IF(AND(ISNUMBER(C11),ISNUMBER(D11)), C11-D11, "")</f>
        <v/>
      </c>
      <c r="F11" s="19" t="str">
        <f t="shared" si="1"/>
        <v/>
      </c>
      <c r="G11" s="20"/>
      <c r="H11" s="20" t="str">
        <f t="shared" ref="H11:H17" si="5">IF(AND(ISNUMBER(C11),ISNUMBER(G11)), C11-G11, "")</f>
        <v/>
      </c>
      <c r="I11" s="19" t="str">
        <f t="shared" ref="I11:I68" si="6">IFERROR(H11/G11, "")</f>
        <v/>
      </c>
      <c r="J11" s="42"/>
      <c r="K11" s="43"/>
    </row>
    <row r="12" spans="1:11" ht="15.6">
      <c r="A12" s="28" t="str">
        <v>Kohls - Edgewood</v>
      </c>
      <c r="B12" s="29" t="str">
        <v>MD</v>
      </c>
      <c r="C12" s="24"/>
      <c r="D12" s="13"/>
      <c r="E12" s="13" t="str">
        <f t="shared" si="4"/>
        <v/>
      </c>
      <c r="F12" s="14" t="str">
        <f t="shared" ref="F12:F17" si="7">IFERROR(E12/D12, "")</f>
        <v/>
      </c>
      <c r="G12" s="15"/>
      <c r="H12" s="15" t="str">
        <f t="shared" si="5"/>
        <v/>
      </c>
      <c r="I12" s="16" t="str">
        <f t="shared" si="6"/>
        <v/>
      </c>
      <c r="J12" s="41"/>
      <c r="K12" s="41"/>
    </row>
    <row r="13" spans="1:11" ht="15.6">
      <c r="A13" s="30" t="str">
        <v>Kohls - Granite Run</v>
      </c>
      <c r="B13" s="31" t="str">
        <v>PA</v>
      </c>
      <c r="C13" s="11"/>
      <c r="D13" s="18"/>
      <c r="E13" s="18" t="str">
        <f t="shared" si="4"/>
        <v/>
      </c>
      <c r="F13" s="19" t="str">
        <f t="shared" si="7"/>
        <v/>
      </c>
      <c r="G13" s="20"/>
      <c r="H13" s="20" t="str">
        <f t="shared" si="5"/>
        <v/>
      </c>
      <c r="I13" s="19" t="str">
        <f t="shared" si="6"/>
        <v/>
      </c>
      <c r="J13" s="42"/>
      <c r="K13" s="43"/>
    </row>
    <row r="14" spans="1:11" ht="15.6">
      <c r="A14" s="28" t="str">
        <v>Kohls - Greece</v>
      </c>
      <c r="B14" s="29" t="str">
        <v>NY</v>
      </c>
      <c r="C14" s="24"/>
      <c r="D14" s="13"/>
      <c r="E14" s="13" t="str">
        <f t="shared" si="4"/>
        <v/>
      </c>
      <c r="F14" s="14" t="str">
        <f t="shared" si="7"/>
        <v/>
      </c>
      <c r="G14" s="15"/>
      <c r="H14" s="15" t="str">
        <f t="shared" si="5"/>
        <v/>
      </c>
      <c r="I14" s="16" t="str">
        <f t="shared" si="6"/>
        <v/>
      </c>
      <c r="J14" s="41"/>
      <c r="K14" s="41"/>
    </row>
    <row r="15" spans="1:11" ht="15.6">
      <c r="A15" s="30" t="str">
        <v>Kohls - Hanover</v>
      </c>
      <c r="B15" s="31" t="str">
        <v>PA</v>
      </c>
      <c r="C15" s="11"/>
      <c r="D15" s="18"/>
      <c r="E15" s="18" t="str">
        <f t="shared" si="4"/>
        <v/>
      </c>
      <c r="F15" s="19" t="str">
        <f t="shared" si="7"/>
        <v/>
      </c>
      <c r="G15" s="20"/>
      <c r="H15" s="20" t="str">
        <f t="shared" si="5"/>
        <v/>
      </c>
      <c r="I15" s="19" t="str">
        <f t="shared" si="6"/>
        <v/>
      </c>
      <c r="J15" s="55"/>
      <c r="K15" s="55"/>
    </row>
    <row r="16" spans="1:11" ht="15.6">
      <c r="A16" s="28" t="str">
        <v>Kohls - Horsehead</v>
      </c>
      <c r="B16" s="29" t="str">
        <v>NY</v>
      </c>
      <c r="C16" s="24"/>
      <c r="D16" s="13"/>
      <c r="E16" s="13" t="str">
        <f t="shared" si="4"/>
        <v/>
      </c>
      <c r="F16" s="14" t="str">
        <f t="shared" si="7"/>
        <v/>
      </c>
      <c r="G16" s="15"/>
      <c r="H16" s="15" t="str">
        <f t="shared" si="5"/>
        <v/>
      </c>
      <c r="I16" s="16" t="str">
        <f t="shared" si="6"/>
        <v/>
      </c>
      <c r="J16" s="41"/>
      <c r="K16" s="41"/>
    </row>
    <row r="17" spans="1:11" ht="15.6">
      <c r="A17" s="30" t="str">
        <v>Kohls - Hudson</v>
      </c>
      <c r="B17" s="31" t="str">
        <v>NY</v>
      </c>
      <c r="C17" s="11"/>
      <c r="D17" s="18"/>
      <c r="E17" s="18" t="str">
        <f t="shared" si="4"/>
        <v/>
      </c>
      <c r="F17" s="19" t="str">
        <f t="shared" si="7"/>
        <v/>
      </c>
      <c r="G17" s="20"/>
      <c r="H17" s="20" t="str">
        <f t="shared" si="5"/>
        <v/>
      </c>
      <c r="I17" s="19" t="str">
        <f t="shared" si="6"/>
        <v/>
      </c>
      <c r="J17" s="42"/>
      <c r="K17" s="55"/>
    </row>
    <row r="18" spans="1:11" ht="12.75" customHeight="1">
      <c r="A18" s="32" t="str">
        <v>Kohls - Ithaca</v>
      </c>
      <c r="B18" s="29" t="str">
        <v>NY</v>
      </c>
      <c r="C18" s="24"/>
      <c r="D18" s="13"/>
      <c r="E18" s="13" t="str">
        <f t="shared" ref="E18:E68" si="8">IF(AND(ISNUMBER(C18),ISNUMBER(D18)), C18-D18, "")</f>
        <v/>
      </c>
      <c r="F18" s="14" t="str">
        <f t="shared" ref="F18:F68" si="9">IFERROR(E18/D18, "")</f>
        <v/>
      </c>
      <c r="G18" s="15"/>
      <c r="H18" s="15" t="str">
        <f t="shared" ref="H18:H68" si="10">IF(AND(ISNUMBER(C18),ISNUMBER(G18)), C18-G18, "")</f>
        <v/>
      </c>
      <c r="I18" s="16" t="str">
        <f t="shared" si="6"/>
        <v/>
      </c>
      <c r="J18" s="41"/>
      <c r="K18" s="41"/>
    </row>
    <row r="19" spans="1:11" ht="15.6">
      <c r="A19" s="30" t="str">
        <v>Kohls - Kingston</v>
      </c>
      <c r="B19" s="31" t="str">
        <v>NY</v>
      </c>
      <c r="C19" s="11"/>
      <c r="D19" s="18"/>
      <c r="E19" s="18" t="str">
        <f t="shared" si="8"/>
        <v/>
      </c>
      <c r="F19" s="19" t="str">
        <f t="shared" si="9"/>
        <v/>
      </c>
      <c r="G19" s="20"/>
      <c r="H19" s="20" t="str">
        <f t="shared" si="10"/>
        <v/>
      </c>
      <c r="I19" s="19" t="str">
        <f t="shared" si="6"/>
        <v/>
      </c>
      <c r="J19" s="42"/>
      <c r="K19" s="42"/>
    </row>
    <row r="20" spans="1:11" ht="15.6">
      <c r="A20" s="28" t="str">
        <v>Kohls - Mechanicsburg</v>
      </c>
      <c r="B20" s="29" t="str">
        <v>PA</v>
      </c>
      <c r="C20" s="24"/>
      <c r="D20" s="13"/>
      <c r="E20" s="13" t="str">
        <f t="shared" si="8"/>
        <v/>
      </c>
      <c r="F20" s="14" t="str">
        <f t="shared" si="9"/>
        <v/>
      </c>
      <c r="G20" s="15"/>
      <c r="H20" s="15" t="str">
        <f t="shared" si="10"/>
        <v/>
      </c>
      <c r="I20" s="16" t="str">
        <f t="shared" si="6"/>
        <v/>
      </c>
      <c r="J20" s="41"/>
      <c r="K20" s="41"/>
    </row>
    <row r="21" spans="1:11" ht="15.6">
      <c r="A21" s="30" t="str">
        <v>Kohls - Middletown</v>
      </c>
      <c r="B21" s="31" t="str">
        <v>NJ</v>
      </c>
      <c r="C21" s="11"/>
      <c r="D21" s="18"/>
      <c r="E21" s="18" t="str">
        <f t="shared" si="8"/>
        <v/>
      </c>
      <c r="F21" s="19" t="str">
        <f t="shared" si="9"/>
        <v/>
      </c>
      <c r="G21" s="20"/>
      <c r="H21" s="20" t="str">
        <f t="shared" si="10"/>
        <v/>
      </c>
      <c r="I21" s="19" t="str">
        <f t="shared" si="6"/>
        <v/>
      </c>
      <c r="J21" s="42"/>
      <c r="K21" s="43"/>
    </row>
    <row r="22" spans="1:11" ht="15.6">
      <c r="A22" s="28" t="str">
        <v>Kohls - North Amherst</v>
      </c>
      <c r="B22" s="29" t="str">
        <v>NY</v>
      </c>
      <c r="C22" s="24"/>
      <c r="D22" s="13"/>
      <c r="E22" s="13" t="str">
        <f t="shared" si="8"/>
        <v/>
      </c>
      <c r="F22" s="14" t="str">
        <f t="shared" si="9"/>
        <v/>
      </c>
      <c r="G22" s="15"/>
      <c r="H22" s="15" t="str">
        <f t="shared" si="10"/>
        <v/>
      </c>
      <c r="I22" s="16" t="str">
        <f t="shared" si="6"/>
        <v/>
      </c>
      <c r="J22" s="41"/>
      <c r="K22" s="41"/>
    </row>
    <row r="23" spans="1:11" ht="15.6">
      <c r="A23" s="30" t="str">
        <v>Kohls - Staten Island</v>
      </c>
      <c r="B23" s="31" t="str">
        <v>NY</v>
      </c>
      <c r="C23" s="11"/>
      <c r="D23" s="18"/>
      <c r="E23" s="18" t="str">
        <f t="shared" si="8"/>
        <v/>
      </c>
      <c r="F23" s="19" t="str">
        <f t="shared" si="9"/>
        <v/>
      </c>
      <c r="G23" s="20"/>
      <c r="H23" s="20" t="str">
        <f t="shared" si="10"/>
        <v/>
      </c>
      <c r="I23" s="19" t="str">
        <f t="shared" si="6"/>
        <v/>
      </c>
      <c r="J23" s="42"/>
      <c r="K23" s="43"/>
    </row>
    <row r="24" spans="1:11" ht="15.6">
      <c r="A24" s="28" t="str">
        <v>Kohls - Warminster</v>
      </c>
      <c r="B24" s="29" t="str">
        <v>PA</v>
      </c>
      <c r="C24" s="24"/>
      <c r="D24" s="13"/>
      <c r="E24" s="13" t="str">
        <f t="shared" si="8"/>
        <v/>
      </c>
      <c r="F24" s="14" t="str">
        <f t="shared" si="9"/>
        <v/>
      </c>
      <c r="G24" s="15"/>
      <c r="H24" s="15" t="str">
        <f t="shared" si="10"/>
        <v/>
      </c>
      <c r="I24" s="16" t="str">
        <f t="shared" si="6"/>
        <v/>
      </c>
      <c r="J24" s="41"/>
      <c r="K24" s="41"/>
    </row>
    <row r="25" spans="1:11" ht="15.6">
      <c r="A25" s="30" t="str">
        <v xml:space="preserve">Kohls - Waterbury </v>
      </c>
      <c r="B25" s="31" t="str">
        <v>CT</v>
      </c>
      <c r="C25" s="11"/>
      <c r="D25" s="18"/>
      <c r="E25" s="18" t="str">
        <f t="shared" si="8"/>
        <v/>
      </c>
      <c r="F25" s="19" t="str">
        <f t="shared" si="9"/>
        <v/>
      </c>
      <c r="G25" s="20"/>
      <c r="H25" s="20" t="str">
        <f t="shared" si="10"/>
        <v/>
      </c>
      <c r="I25" s="19" t="str">
        <f t="shared" si="6"/>
        <v/>
      </c>
      <c r="J25" s="42"/>
      <c r="K25" s="43"/>
    </row>
    <row r="26" spans="1:11" ht="15.6">
      <c r="A26" s="28" t="str">
        <v>Mojave Water Agency - Headquarters</v>
      </c>
      <c r="B26" s="29" t="str">
        <v>CA</v>
      </c>
      <c r="C26" s="24"/>
      <c r="D26" s="13"/>
      <c r="E26" s="13" t="str">
        <f t="shared" si="8"/>
        <v/>
      </c>
      <c r="F26" s="14" t="str">
        <f t="shared" si="9"/>
        <v/>
      </c>
      <c r="G26" s="15"/>
      <c r="H26" s="15" t="str">
        <f t="shared" si="10"/>
        <v/>
      </c>
      <c r="I26" s="16" t="str">
        <f t="shared" si="6"/>
        <v/>
      </c>
      <c r="J26" s="41"/>
      <c r="K26" s="41"/>
    </row>
    <row r="27" spans="1:11" ht="15.6">
      <c r="A27" s="30" t="str">
        <v>CSU - Bakersfield</v>
      </c>
      <c r="B27" s="31" t="str">
        <v>CA</v>
      </c>
      <c r="C27" s="11"/>
      <c r="D27" s="18"/>
      <c r="E27" s="18" t="str">
        <f t="shared" si="8"/>
        <v/>
      </c>
      <c r="F27" s="19" t="str">
        <f t="shared" si="9"/>
        <v/>
      </c>
      <c r="G27" s="20"/>
      <c r="H27" s="20" t="str">
        <f t="shared" si="10"/>
        <v/>
      </c>
      <c r="I27" s="19" t="str">
        <f t="shared" si="6"/>
        <v/>
      </c>
      <c r="J27" s="42"/>
      <c r="K27" s="43"/>
    </row>
    <row r="28" spans="1:11" ht="15.6">
      <c r="A28" s="28" t="str">
        <v>Greenfield USD - Fairfield ES</v>
      </c>
      <c r="B28" s="29" t="str">
        <v>CA</v>
      </c>
      <c r="C28" s="24"/>
      <c r="D28" s="13"/>
      <c r="E28" s="13" t="str">
        <f t="shared" si="8"/>
        <v/>
      </c>
      <c r="F28" s="14" t="str">
        <f t="shared" si="9"/>
        <v/>
      </c>
      <c r="G28" s="15"/>
      <c r="H28" s="15" t="str">
        <f t="shared" si="10"/>
        <v/>
      </c>
      <c r="I28" s="16" t="str">
        <f t="shared" si="6"/>
        <v/>
      </c>
      <c r="J28" s="41"/>
      <c r="K28" s="41"/>
    </row>
    <row r="29" spans="1:11" ht="15.6">
      <c r="A29" s="30" t="str">
        <v>Greenfield USD - Granite Point ES</v>
      </c>
      <c r="B29" s="31" t="str">
        <v>CA</v>
      </c>
      <c r="C29" s="11"/>
      <c r="D29" s="18"/>
      <c r="E29" s="18" t="str">
        <f t="shared" si="8"/>
        <v/>
      </c>
      <c r="F29" s="19" t="str">
        <f t="shared" si="9"/>
        <v/>
      </c>
      <c r="G29" s="20"/>
      <c r="H29" s="20" t="str">
        <f t="shared" si="10"/>
        <v/>
      </c>
      <c r="I29" s="19" t="str">
        <f t="shared" si="6"/>
        <v/>
      </c>
      <c r="J29" s="42"/>
      <c r="K29" s="42"/>
    </row>
    <row r="30" spans="1:11" ht="15.6">
      <c r="A30" s="28" t="str">
        <v>Greenfield USD - Greenfield MS</v>
      </c>
      <c r="B30" s="29" t="str">
        <v>CA</v>
      </c>
      <c r="C30" s="24"/>
      <c r="D30" s="13"/>
      <c r="E30" s="13" t="str">
        <f t="shared" si="8"/>
        <v/>
      </c>
      <c r="F30" s="14" t="str">
        <f t="shared" si="9"/>
        <v/>
      </c>
      <c r="G30" s="15"/>
      <c r="H30" s="15" t="str">
        <f t="shared" si="10"/>
        <v/>
      </c>
      <c r="I30" s="16" t="str">
        <f t="shared" si="6"/>
        <v/>
      </c>
      <c r="J30" s="41"/>
      <c r="K30" s="41"/>
    </row>
    <row r="31" spans="1:11" ht="15.6">
      <c r="A31" s="30" t="str">
        <v>Greenfield USD - Horizon ES</v>
      </c>
      <c r="B31" s="31" t="str">
        <v>CA</v>
      </c>
      <c r="C31" s="11"/>
      <c r="D31" s="18"/>
      <c r="E31" s="18" t="str">
        <f t="shared" si="8"/>
        <v/>
      </c>
      <c r="F31" s="19" t="str">
        <f t="shared" si="9"/>
        <v/>
      </c>
      <c r="G31" s="20"/>
      <c r="H31" s="20" t="str">
        <f t="shared" si="10"/>
        <v/>
      </c>
      <c r="I31" s="19" t="str">
        <f t="shared" si="6"/>
        <v/>
      </c>
      <c r="J31" s="42"/>
      <c r="K31" s="55"/>
    </row>
    <row r="32" spans="1:11" ht="15.6">
      <c r="A32" s="28" t="str">
        <v>Greenfield USD - McKee MS</v>
      </c>
      <c r="B32" s="29" t="str">
        <v>CA</v>
      </c>
      <c r="C32" s="24"/>
      <c r="D32" s="13"/>
      <c r="E32" s="13" t="str">
        <f t="shared" si="8"/>
        <v/>
      </c>
      <c r="F32" s="14" t="str">
        <f t="shared" si="9"/>
        <v/>
      </c>
      <c r="G32" s="15"/>
      <c r="H32" s="15" t="str">
        <f t="shared" si="10"/>
        <v/>
      </c>
      <c r="I32" s="16" t="str">
        <f t="shared" si="6"/>
        <v/>
      </c>
      <c r="J32" s="41"/>
      <c r="K32" s="41"/>
    </row>
    <row r="33" spans="1:11" ht="15.6">
      <c r="A33" s="30" t="str">
        <v>Greenfield USD - Plantation ES</v>
      </c>
      <c r="B33" s="31" t="str">
        <v>CA</v>
      </c>
      <c r="C33" s="11"/>
      <c r="D33" s="18"/>
      <c r="E33" s="18" t="str">
        <f t="shared" si="8"/>
        <v/>
      </c>
      <c r="F33" s="19" t="str">
        <f t="shared" si="9"/>
        <v/>
      </c>
      <c r="G33" s="20"/>
      <c r="H33" s="20" t="str">
        <f t="shared" si="10"/>
        <v/>
      </c>
      <c r="I33" s="19" t="str">
        <f t="shared" si="6"/>
        <v/>
      </c>
      <c r="J33" s="42"/>
      <c r="K33" s="43"/>
    </row>
    <row r="34" spans="1:11" ht="15.6">
      <c r="A34" s="28" t="str">
        <v>Greenfield USD - Planz ES</v>
      </c>
      <c r="B34" s="29" t="str">
        <v>CA</v>
      </c>
      <c r="C34" s="24"/>
      <c r="D34" s="13"/>
      <c r="E34" s="13" t="str">
        <f t="shared" si="8"/>
        <v/>
      </c>
      <c r="F34" s="14" t="str">
        <f t="shared" si="9"/>
        <v/>
      </c>
      <c r="G34" s="15"/>
      <c r="H34" s="15" t="str">
        <f t="shared" si="10"/>
        <v/>
      </c>
      <c r="I34" s="16" t="str">
        <f t="shared" si="6"/>
        <v/>
      </c>
      <c r="J34" s="41"/>
      <c r="K34" s="41"/>
    </row>
    <row r="35" spans="1:11" ht="15.6">
      <c r="A35" s="30" t="str">
        <v>Greenfield USD - Raffaello Palla ES</v>
      </c>
      <c r="B35" s="31" t="str">
        <v>CA</v>
      </c>
      <c r="C35" s="11"/>
      <c r="D35" s="18"/>
      <c r="E35" s="18" t="str">
        <f t="shared" si="8"/>
        <v/>
      </c>
      <c r="F35" s="19" t="str">
        <f t="shared" si="9"/>
        <v/>
      </c>
      <c r="G35" s="20"/>
      <c r="H35" s="20" t="str">
        <f t="shared" si="10"/>
        <v/>
      </c>
      <c r="I35" s="19" t="str">
        <f t="shared" si="6"/>
        <v/>
      </c>
      <c r="J35" s="42"/>
      <c r="K35" s="43"/>
    </row>
    <row r="36" spans="1:11" ht="15.6">
      <c r="A36" s="28" t="str">
        <v>Greenfield USD - Valle Verde ES</v>
      </c>
      <c r="B36" s="29" t="str">
        <v>CA</v>
      </c>
      <c r="C36" s="24"/>
      <c r="D36" s="13"/>
      <c r="E36" s="13" t="str">
        <f t="shared" si="8"/>
        <v/>
      </c>
      <c r="F36" s="14" t="str">
        <f t="shared" si="9"/>
        <v/>
      </c>
      <c r="G36" s="15"/>
      <c r="H36" s="15" t="str">
        <f t="shared" si="10"/>
        <v/>
      </c>
      <c r="I36" s="16" t="str">
        <f t="shared" si="6"/>
        <v/>
      </c>
      <c r="J36" s="41"/>
      <c r="K36" s="41"/>
    </row>
    <row r="37" spans="1:11" ht="15.6">
      <c r="A37" s="30" t="str">
        <v>Greenfield USD - W.A. Kendrick ES</v>
      </c>
      <c r="B37" s="31" t="str">
        <v>CA</v>
      </c>
      <c r="C37" s="11"/>
      <c r="D37" s="18"/>
      <c r="E37" s="18" t="str">
        <f t="shared" si="8"/>
        <v/>
      </c>
      <c r="F37" s="19" t="str">
        <f t="shared" si="9"/>
        <v/>
      </c>
      <c r="G37" s="20"/>
      <c r="H37" s="20" t="str">
        <f t="shared" si="10"/>
        <v/>
      </c>
      <c r="I37" s="19" t="str">
        <f t="shared" si="6"/>
        <v/>
      </c>
      <c r="J37" s="42"/>
      <c r="K37" s="43"/>
    </row>
    <row r="38" spans="1:11" ht="15.6">
      <c r="A38" s="28" t="str">
        <v>Muroc Joint USD - Boron HS</v>
      </c>
      <c r="B38" s="29" t="str">
        <v>CA</v>
      </c>
      <c r="C38" s="24"/>
      <c r="D38" s="13"/>
      <c r="E38" s="13" t="str">
        <f t="shared" si="8"/>
        <v/>
      </c>
      <c r="F38" s="14" t="str">
        <f t="shared" si="9"/>
        <v/>
      </c>
      <c r="G38" s="15"/>
      <c r="H38" s="15" t="str">
        <f t="shared" si="10"/>
        <v/>
      </c>
      <c r="I38" s="16" t="str">
        <f t="shared" si="6"/>
        <v/>
      </c>
      <c r="J38" s="41"/>
      <c r="K38" s="41"/>
    </row>
    <row r="39" spans="1:11" ht="15.6">
      <c r="A39" s="30" t="str">
        <v>Muroc Joint USD - W. Boron ES</v>
      </c>
      <c r="B39" s="31" t="str">
        <v>CA</v>
      </c>
      <c r="C39" s="11"/>
      <c r="D39" s="18"/>
      <c r="E39" s="18" t="str">
        <f t="shared" si="8"/>
        <v/>
      </c>
      <c r="F39" s="19" t="str">
        <f t="shared" si="9"/>
        <v/>
      </c>
      <c r="G39" s="20"/>
      <c r="H39" s="20" t="str">
        <f t="shared" si="10"/>
        <v/>
      </c>
      <c r="I39" s="19" t="str">
        <f t="shared" si="6"/>
        <v/>
      </c>
      <c r="J39" s="42"/>
      <c r="K39" s="43"/>
    </row>
    <row r="40" spans="1:11" ht="15.6">
      <c r="A40" s="28" t="str">
        <v>Colusa - WTP</v>
      </c>
      <c r="B40" s="29" t="str">
        <v>CA</v>
      </c>
      <c r="C40" s="24"/>
      <c r="D40" s="13"/>
      <c r="E40" s="13" t="str">
        <f t="shared" si="8"/>
        <v/>
      </c>
      <c r="F40" s="14" t="str">
        <f t="shared" si="9"/>
        <v/>
      </c>
      <c r="G40" s="15"/>
      <c r="H40" s="15" t="str">
        <f t="shared" si="10"/>
        <v/>
      </c>
      <c r="I40" s="16" t="str">
        <f t="shared" si="6"/>
        <v/>
      </c>
      <c r="J40" s="41"/>
      <c r="K40" s="41"/>
    </row>
    <row r="41" spans="1:11" ht="15.6">
      <c r="A41" s="30" t="str">
        <v>CDCR-North Kern State Prision</v>
      </c>
      <c r="B41" s="31" t="str">
        <v>CA</v>
      </c>
      <c r="C41" s="11"/>
      <c r="D41" s="18"/>
      <c r="E41" s="18" t="str">
        <f t="shared" si="8"/>
        <v/>
      </c>
      <c r="F41" s="19" t="str">
        <f t="shared" si="9"/>
        <v/>
      </c>
      <c r="G41" s="20"/>
      <c r="H41" s="20" t="str">
        <f t="shared" si="10"/>
        <v/>
      </c>
      <c r="I41" s="19" t="str">
        <f t="shared" si="6"/>
        <v/>
      </c>
      <c r="J41" s="42"/>
      <c r="K41" s="43"/>
    </row>
    <row r="42" spans="1:11" ht="15.6">
      <c r="A42" s="28" t="str">
        <v>Muroc Joint USD - District Office</v>
      </c>
      <c r="B42" s="29" t="str">
        <v>CA</v>
      </c>
      <c r="C42" s="24"/>
      <c r="D42" s="13"/>
      <c r="E42" s="13" t="str">
        <f t="shared" si="8"/>
        <v/>
      </c>
      <c r="F42" s="14" t="str">
        <f t="shared" si="9"/>
        <v/>
      </c>
      <c r="G42" s="15"/>
      <c r="H42" s="15" t="str">
        <f t="shared" si="10"/>
        <v/>
      </c>
      <c r="I42" s="16" t="str">
        <f t="shared" si="6"/>
        <v/>
      </c>
      <c r="J42" s="41"/>
      <c r="K42" s="41"/>
    </row>
    <row r="43" spans="1:11" ht="15.6">
      <c r="A43" s="30" t="str">
        <v>Whole Foods - Manhattan Beach</v>
      </c>
      <c r="B43" s="31" t="str">
        <v>CA</v>
      </c>
      <c r="C43" s="11"/>
      <c r="D43" s="18"/>
      <c r="E43" s="18" t="str">
        <f t="shared" si="8"/>
        <v/>
      </c>
      <c r="F43" s="19" t="str">
        <f t="shared" si="9"/>
        <v/>
      </c>
      <c r="G43" s="20"/>
      <c r="H43" s="20" t="str">
        <f t="shared" si="10"/>
        <v/>
      </c>
      <c r="I43" s="19" t="str">
        <f t="shared" si="6"/>
        <v/>
      </c>
      <c r="J43" s="42"/>
      <c r="K43" s="43"/>
    </row>
    <row r="44" spans="1:11" ht="15.6">
      <c r="A44" s="28" t="str">
        <v>Pioneer USD - Frontier ES</v>
      </c>
      <c r="B44" s="29" t="str">
        <v>CA</v>
      </c>
      <c r="C44" s="24"/>
      <c r="D44" s="13"/>
      <c r="E44" s="13" t="str">
        <f t="shared" si="8"/>
        <v/>
      </c>
      <c r="F44" s="14" t="str">
        <f t="shared" si="9"/>
        <v/>
      </c>
      <c r="G44" s="15"/>
      <c r="H44" s="15" t="str">
        <f t="shared" si="10"/>
        <v/>
      </c>
      <c r="I44" s="16" t="str">
        <f t="shared" si="6"/>
        <v/>
      </c>
      <c r="J44" s="41"/>
      <c r="K44" s="41"/>
    </row>
    <row r="45" spans="1:11" ht="15.6">
      <c r="A45" s="30" t="str">
        <v>Pioneer USD - Pioneer ES</v>
      </c>
      <c r="B45" s="31" t="str">
        <v>CA</v>
      </c>
      <c r="C45" s="11"/>
      <c r="D45" s="18"/>
      <c r="E45" s="18" t="str">
        <f t="shared" si="8"/>
        <v/>
      </c>
      <c r="F45" s="19" t="str">
        <f t="shared" si="9"/>
        <v/>
      </c>
      <c r="G45" s="20"/>
      <c r="H45" s="20" t="str">
        <f t="shared" si="10"/>
        <v/>
      </c>
      <c r="I45" s="19" t="str">
        <f t="shared" si="6"/>
        <v/>
      </c>
      <c r="J45" s="42"/>
      <c r="K45" s="43"/>
    </row>
    <row r="46" spans="1:11" ht="15.6">
      <c r="A46" s="28" t="str">
        <v>Pioneer USD - Pioneer MS</v>
      </c>
      <c r="B46" s="29" t="str">
        <v>CA</v>
      </c>
      <c r="C46" s="24"/>
      <c r="D46" s="13"/>
      <c r="E46" s="13" t="str">
        <f t="shared" si="8"/>
        <v/>
      </c>
      <c r="F46" s="14" t="str">
        <f t="shared" si="9"/>
        <v/>
      </c>
      <c r="G46" s="15"/>
      <c r="H46" s="15" t="str">
        <f t="shared" si="10"/>
        <v/>
      </c>
      <c r="I46" s="16" t="str">
        <f t="shared" si="6"/>
        <v/>
      </c>
      <c r="J46" s="41"/>
      <c r="K46" s="41"/>
    </row>
    <row r="47" spans="1:11" ht="15.6">
      <c r="A47" s="30" t="str">
        <v>Kingsburg Joint UHSD - Kingsburg HS</v>
      </c>
      <c r="B47" s="31" t="str">
        <v>CA</v>
      </c>
      <c r="C47" s="11"/>
      <c r="D47" s="18"/>
      <c r="E47" s="18" t="str">
        <f t="shared" si="8"/>
        <v/>
      </c>
      <c r="F47" s="19" t="str">
        <f t="shared" si="9"/>
        <v/>
      </c>
      <c r="G47" s="20"/>
      <c r="H47" s="20" t="str">
        <f t="shared" si="10"/>
        <v/>
      </c>
      <c r="I47" s="19" t="str">
        <f t="shared" si="6"/>
        <v/>
      </c>
      <c r="J47" s="42"/>
      <c r="K47" s="43"/>
    </row>
    <row r="48" spans="1:11" ht="15.6">
      <c r="A48" s="28" t="str">
        <v>CADRB</v>
      </c>
      <c r="B48" s="29" t="str">
        <v>CA</v>
      </c>
      <c r="C48" s="24"/>
      <c r="D48" s="13"/>
      <c r="E48" s="13" t="str">
        <f t="shared" si="8"/>
        <v/>
      </c>
      <c r="F48" s="14" t="str">
        <f t="shared" si="9"/>
        <v/>
      </c>
      <c r="G48" s="15"/>
      <c r="H48" s="15" t="str">
        <f t="shared" si="10"/>
        <v/>
      </c>
      <c r="I48" s="16" t="str">
        <f t="shared" si="6"/>
        <v/>
      </c>
      <c r="J48" s="41"/>
      <c r="K48" s="41"/>
    </row>
    <row r="49" spans="1:11" ht="15.6">
      <c r="A49" s="30" t="str">
        <v>CDCR-CA State Prison LA County</v>
      </c>
      <c r="B49" s="31" t="str">
        <v>CA</v>
      </c>
      <c r="C49" s="11"/>
      <c r="D49" s="18"/>
      <c r="E49" s="18" t="str">
        <f t="shared" si="8"/>
        <v/>
      </c>
      <c r="F49" s="19" t="str">
        <f t="shared" si="9"/>
        <v/>
      </c>
      <c r="G49" s="20"/>
      <c r="H49" s="20" t="str">
        <f t="shared" si="10"/>
        <v/>
      </c>
      <c r="I49" s="19" t="str">
        <f t="shared" si="6"/>
        <v/>
      </c>
      <c r="J49" s="42"/>
      <c r="K49" s="43"/>
    </row>
    <row r="50" spans="1:11" ht="15.6">
      <c r="A50" s="28" t="str">
        <v>Central USD Akers ES</v>
      </c>
      <c r="B50" s="29" t="str">
        <v>CA</v>
      </c>
      <c r="C50" s="24"/>
      <c r="D50" s="13"/>
      <c r="E50" s="13" t="str">
        <f t="shared" si="8"/>
        <v/>
      </c>
      <c r="F50" s="14" t="str">
        <f t="shared" si="9"/>
        <v/>
      </c>
      <c r="G50" s="15"/>
      <c r="H50" s="15" t="str">
        <f t="shared" si="10"/>
        <v/>
      </c>
      <c r="I50" s="16" t="str">
        <f t="shared" si="6"/>
        <v/>
      </c>
      <c r="J50" s="41"/>
      <c r="K50" s="41"/>
    </row>
    <row r="51" spans="1:11" ht="15.6">
      <c r="A51" s="30" t="str">
        <v>CUSD - District Office</v>
      </c>
      <c r="B51" s="31" t="str">
        <v>CA</v>
      </c>
      <c r="C51" s="11"/>
      <c r="D51" s="18"/>
      <c r="E51" s="18" t="str">
        <f t="shared" si="8"/>
        <v/>
      </c>
      <c r="F51" s="19" t="str">
        <f t="shared" si="9"/>
        <v/>
      </c>
      <c r="G51" s="20"/>
      <c r="H51" s="20" t="str">
        <f t="shared" si="10"/>
        <v/>
      </c>
      <c r="I51" s="19" t="str">
        <f t="shared" si="6"/>
        <v/>
      </c>
      <c r="J51" s="42"/>
      <c r="K51" s="43"/>
    </row>
    <row r="52" spans="1:11" ht="15.6">
      <c r="A52" s="28" t="str">
        <v>Parlier - WTP</v>
      </c>
      <c r="B52" s="29" t="str">
        <v>CA</v>
      </c>
      <c r="C52" s="24"/>
      <c r="D52" s="13"/>
      <c r="E52" s="13" t="str">
        <f t="shared" si="8"/>
        <v/>
      </c>
      <c r="F52" s="14" t="str">
        <f t="shared" si="9"/>
        <v/>
      </c>
      <c r="G52" s="15"/>
      <c r="H52" s="15" t="str">
        <f t="shared" si="10"/>
        <v/>
      </c>
      <c r="I52" s="16" t="str">
        <f t="shared" si="6"/>
        <v/>
      </c>
      <c r="J52" s="41"/>
      <c r="K52" s="41"/>
    </row>
    <row r="53" spans="1:11" ht="15.6">
      <c r="A53" s="30" t="str">
        <v>Snowline SD - Quail Valley MS</v>
      </c>
      <c r="B53" s="31" t="str">
        <v>CA</v>
      </c>
      <c r="C53" s="11"/>
      <c r="D53" s="18"/>
      <c r="E53" s="18" t="str">
        <f t="shared" si="8"/>
        <v/>
      </c>
      <c r="F53" s="19" t="str">
        <f t="shared" si="9"/>
        <v/>
      </c>
      <c r="G53" s="20"/>
      <c r="H53" s="20" t="str">
        <f t="shared" si="10"/>
        <v/>
      </c>
      <c r="I53" s="19" t="str">
        <f t="shared" si="6"/>
        <v/>
      </c>
      <c r="J53" s="42"/>
      <c r="K53" s="43"/>
    </row>
    <row r="54" spans="1:11" ht="15.6">
      <c r="A54" s="28" t="str">
        <v>Snowline SD - Serrano HS - Middle Lot</v>
      </c>
      <c r="B54" s="29" t="str">
        <v>CA</v>
      </c>
      <c r="C54" s="24"/>
      <c r="D54" s="13"/>
      <c r="E54" s="13" t="str">
        <f t="shared" si="8"/>
        <v/>
      </c>
      <c r="F54" s="14" t="str">
        <f t="shared" si="9"/>
        <v/>
      </c>
      <c r="G54" s="15"/>
      <c r="H54" s="15" t="str">
        <f t="shared" si="10"/>
        <v/>
      </c>
      <c r="I54" s="16" t="str">
        <f t="shared" si="6"/>
        <v/>
      </c>
      <c r="J54" s="41"/>
      <c r="K54" s="41"/>
    </row>
    <row r="55" spans="1:11" ht="15.6">
      <c r="A55" s="30" t="str">
        <v>Snowline SD - Pinon Hills ES</v>
      </c>
      <c r="B55" s="31" t="str">
        <v>CA</v>
      </c>
      <c r="C55" s="11"/>
      <c r="D55" s="18"/>
      <c r="E55" s="18" t="str">
        <f t="shared" si="8"/>
        <v/>
      </c>
      <c r="F55" s="19" t="str">
        <f t="shared" si="9"/>
        <v/>
      </c>
      <c r="G55" s="20"/>
      <c r="H55" s="20" t="str">
        <f t="shared" si="10"/>
        <v/>
      </c>
      <c r="I55" s="19" t="str">
        <f t="shared" si="6"/>
        <v/>
      </c>
      <c r="K55" s="43"/>
    </row>
    <row r="56" spans="1:11" ht="15.6">
      <c r="A56" s="28" t="str">
        <v>Ramona - Santa Maria WTP</v>
      </c>
      <c r="B56" s="29" t="str">
        <v>CA</v>
      </c>
      <c r="C56" s="24"/>
      <c r="D56" s="13"/>
      <c r="E56" s="13" t="str">
        <f t="shared" si="8"/>
        <v/>
      </c>
      <c r="F56" s="14" t="str">
        <f t="shared" si="9"/>
        <v/>
      </c>
      <c r="G56" s="15"/>
      <c r="H56" s="15" t="str">
        <f t="shared" si="10"/>
        <v/>
      </c>
      <c r="I56" s="16" t="str">
        <f t="shared" si="6"/>
        <v/>
      </c>
      <c r="J56" s="41"/>
      <c r="K56" s="41"/>
    </row>
    <row r="57" spans="1:11" ht="15.6">
      <c r="A57" s="30" t="str">
        <v>Kohls - Redding</v>
      </c>
      <c r="B57" s="31" t="str">
        <v>CA</v>
      </c>
      <c r="C57" s="11"/>
      <c r="D57" s="18"/>
      <c r="E57" s="18" t="str">
        <f t="shared" si="8"/>
        <v/>
      </c>
      <c r="F57" s="19" t="str">
        <f t="shared" si="9"/>
        <v/>
      </c>
      <c r="G57" s="20"/>
      <c r="H57" s="20" t="str">
        <f t="shared" si="10"/>
        <v/>
      </c>
      <c r="I57" s="19" t="str">
        <f t="shared" si="6"/>
        <v/>
      </c>
      <c r="J57" s="42"/>
      <c r="K57" s="43"/>
    </row>
    <row r="58" spans="1:11" ht="15.6">
      <c r="A58" s="28" t="str">
        <v>Kohls - Salinas</v>
      </c>
      <c r="B58" s="29" t="str">
        <v>CA</v>
      </c>
      <c r="C58" s="24"/>
      <c r="D58" s="13"/>
      <c r="E58" s="13" t="str">
        <f t="shared" si="8"/>
        <v/>
      </c>
      <c r="F58" s="14" t="str">
        <f t="shared" si="9"/>
        <v/>
      </c>
      <c r="G58" s="15"/>
      <c r="H58" s="15" t="str">
        <f t="shared" si="10"/>
        <v/>
      </c>
      <c r="I58" s="16" t="str">
        <f t="shared" si="6"/>
        <v/>
      </c>
      <c r="J58" s="41"/>
      <c r="K58" s="41"/>
    </row>
    <row r="59" spans="1:11" ht="15.6">
      <c r="A59" s="30" t="str">
        <v>Kohls - San Bernardino - Central</v>
      </c>
      <c r="B59" s="31" t="str">
        <v>CA</v>
      </c>
      <c r="C59" s="11"/>
      <c r="D59" s="18"/>
      <c r="E59" s="18" t="str">
        <f t="shared" si="8"/>
        <v/>
      </c>
      <c r="F59" s="19" t="str">
        <f t="shared" si="9"/>
        <v/>
      </c>
      <c r="G59" s="20"/>
      <c r="H59" s="20" t="str">
        <f t="shared" si="10"/>
        <v/>
      </c>
      <c r="I59" s="19" t="str">
        <f t="shared" si="6"/>
        <v/>
      </c>
      <c r="J59" s="42"/>
      <c r="K59" s="43"/>
    </row>
    <row r="60" spans="1:11" ht="15.6">
      <c r="A60" s="28" t="str">
        <v>Kohls - Sonora</v>
      </c>
      <c r="B60" s="29" t="str">
        <v>CA</v>
      </c>
      <c r="C60" s="24"/>
      <c r="D60" s="13"/>
      <c r="E60" s="13" t="str">
        <f t="shared" si="8"/>
        <v/>
      </c>
      <c r="F60" s="14" t="str">
        <f t="shared" si="9"/>
        <v/>
      </c>
      <c r="G60" s="15"/>
      <c r="H60" s="15" t="str">
        <f t="shared" si="10"/>
        <v/>
      </c>
      <c r="I60" s="16" t="str">
        <f t="shared" si="6"/>
        <v/>
      </c>
      <c r="J60" s="41"/>
      <c r="K60" s="41"/>
    </row>
    <row r="61" spans="1:11" ht="15.6">
      <c r="A61" s="30" t="str">
        <v>CUSD - Stratford ES</v>
      </c>
      <c r="B61" s="31" t="str">
        <v>CA</v>
      </c>
      <c r="C61" s="11"/>
      <c r="D61" s="18"/>
      <c r="E61" s="18" t="str">
        <f t="shared" si="8"/>
        <v/>
      </c>
      <c r="F61" s="19" t="str">
        <f t="shared" si="9"/>
        <v/>
      </c>
      <c r="G61" s="20"/>
      <c r="H61" s="20" t="str">
        <f t="shared" si="10"/>
        <v/>
      </c>
      <c r="I61" s="19" t="str">
        <f t="shared" si="6"/>
        <v/>
      </c>
      <c r="J61" s="42"/>
      <c r="K61" s="43"/>
    </row>
    <row r="62" spans="1:11" ht="15.6">
      <c r="A62" s="28" t="str">
        <v>Taft - City Hall</v>
      </c>
      <c r="B62" s="29" t="str">
        <v>CA</v>
      </c>
      <c r="C62" s="24"/>
      <c r="D62" s="13"/>
      <c r="E62" s="13" t="str">
        <f t="shared" si="8"/>
        <v/>
      </c>
      <c r="F62" s="14" t="str">
        <f t="shared" si="9"/>
        <v/>
      </c>
      <c r="G62" s="15"/>
      <c r="H62" s="15" t="str">
        <f t="shared" si="10"/>
        <v/>
      </c>
      <c r="I62" s="16" t="str">
        <f t="shared" si="6"/>
        <v/>
      </c>
      <c r="J62" s="41"/>
      <c r="K62" s="41"/>
    </row>
    <row r="63" spans="1:11" ht="15.6">
      <c r="A63" s="30" t="str">
        <v>Taft - Federal Prison</v>
      </c>
      <c r="B63" s="31" t="str">
        <v>CA</v>
      </c>
      <c r="C63" s="11"/>
      <c r="D63" s="18"/>
      <c r="E63" s="18" t="str">
        <f t="shared" si="8"/>
        <v/>
      </c>
      <c r="F63" s="19" t="str">
        <f t="shared" si="9"/>
        <v/>
      </c>
      <c r="G63" s="20"/>
      <c r="H63" s="20" t="str">
        <f t="shared" si="10"/>
        <v/>
      </c>
      <c r="I63" s="19" t="str">
        <f t="shared" si="6"/>
        <v/>
      </c>
      <c r="J63" s="42"/>
      <c r="K63" s="43"/>
    </row>
    <row r="64" spans="1:11" ht="15.6">
      <c r="A64" s="28" t="str">
        <v>Taft - Police Department</v>
      </c>
      <c r="B64" s="29" t="str">
        <v>CA</v>
      </c>
      <c r="C64" s="24"/>
      <c r="D64" s="13"/>
      <c r="E64" s="13" t="str">
        <f t="shared" si="8"/>
        <v/>
      </c>
      <c r="F64" s="14" t="str">
        <f t="shared" si="9"/>
        <v/>
      </c>
      <c r="G64" s="15"/>
      <c r="H64" s="15" t="str">
        <f t="shared" si="10"/>
        <v/>
      </c>
      <c r="I64" s="16" t="str">
        <f t="shared" si="6"/>
        <v/>
      </c>
      <c r="J64" s="41"/>
      <c r="K64" s="41"/>
    </row>
    <row r="65" spans="1:11" ht="15.6">
      <c r="A65" s="30" t="str">
        <v>Taft - WTP</v>
      </c>
      <c r="B65" s="31" t="str">
        <v>CA</v>
      </c>
      <c r="C65" s="11"/>
      <c r="D65" s="18"/>
      <c r="E65" s="18" t="str">
        <f t="shared" si="8"/>
        <v/>
      </c>
      <c r="F65" s="19" t="str">
        <f t="shared" si="9"/>
        <v/>
      </c>
      <c r="G65" s="20"/>
      <c r="H65" s="20" t="str">
        <f t="shared" si="10"/>
        <v/>
      </c>
      <c r="I65" s="19" t="str">
        <f t="shared" si="6"/>
        <v/>
      </c>
      <c r="J65" s="42"/>
      <c r="K65" s="43"/>
    </row>
    <row r="66" spans="1:11" ht="15.6">
      <c r="A66" s="28" t="str">
        <v>CDCR - CA Correctional Institution</v>
      </c>
      <c r="B66" s="29" t="str">
        <v>CA</v>
      </c>
      <c r="C66" s="24"/>
      <c r="D66" s="13"/>
      <c r="E66" s="13" t="str">
        <f t="shared" si="8"/>
        <v/>
      </c>
      <c r="F66" s="14" t="str">
        <f t="shared" si="9"/>
        <v/>
      </c>
      <c r="G66" s="15"/>
      <c r="H66" s="15" t="str">
        <f t="shared" si="10"/>
        <v/>
      </c>
      <c r="I66" s="16" t="str">
        <f t="shared" si="6"/>
        <v/>
      </c>
      <c r="J66" s="41"/>
      <c r="K66" s="41"/>
    </row>
    <row r="67" spans="1:11" ht="15.6">
      <c r="A67" s="30" t="str">
        <v>CDCR - CA Correctional Institution II</v>
      </c>
      <c r="B67" s="31" t="str">
        <v>CA</v>
      </c>
      <c r="C67" s="11"/>
      <c r="D67" s="18"/>
      <c r="E67" s="18" t="str">
        <f t="shared" si="8"/>
        <v/>
      </c>
      <c r="F67" s="19" t="str">
        <f t="shared" si="9"/>
        <v/>
      </c>
      <c r="G67" s="20"/>
      <c r="H67" s="20" t="str">
        <f t="shared" si="10"/>
        <v/>
      </c>
      <c r="I67" s="19" t="str">
        <f t="shared" si="6"/>
        <v/>
      </c>
      <c r="J67" s="42"/>
      <c r="K67" s="58"/>
    </row>
    <row r="68" spans="1:11" ht="15.6">
      <c r="A68" s="28" t="str">
        <v>Snowline SD - Vista Verde ES</v>
      </c>
      <c r="B68" s="29" t="str">
        <v>CA</v>
      </c>
      <c r="C68" s="24"/>
      <c r="D68" s="13"/>
      <c r="E68" s="13" t="str">
        <f t="shared" si="8"/>
        <v/>
      </c>
      <c r="F68" s="14" t="str">
        <f t="shared" si="9"/>
        <v/>
      </c>
      <c r="G68" s="15"/>
      <c r="H68" s="15" t="str">
        <f t="shared" si="10"/>
        <v/>
      </c>
      <c r="I68" s="16" t="str">
        <f t="shared" si="6"/>
        <v/>
      </c>
      <c r="J68" s="41"/>
      <c r="K68" s="41"/>
    </row>
    <row r="69" spans="1:11" ht="14.45">
      <c r="A69" s="21" t="str">
        <v>North Stonington</v>
      </c>
      <c r="B69" s="33" t="str">
        <v>CT</v>
      </c>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24" priority="3" stopIfTrue="1" operator="lessThanOrEqual">
      <formula>-0.1</formula>
    </cfRule>
    <cfRule type="expression" dxfId="23" priority="4">
      <formula>AND(ISNUMBER(F2), F2&gt;=0.1)</formula>
    </cfRule>
  </conditionalFormatting>
  <conditionalFormatting sqref="F4:F100 I4:I100">
    <cfRule type="cellIs" dxfId="22" priority="1" stopIfTrue="1" operator="lessThanOrEqual">
      <formula>-0.1</formula>
    </cfRule>
    <cfRule type="expression" dxfId="21" priority="2">
      <formula>AND(ISNUMBER(F4), F4&gt;=0.1)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42"/>
  <sheetViews>
    <sheetView zoomScale="90" zoomScaleNormal="90" workbookViewId="0">
      <pane xSplit="2" ySplit="3" topLeftCell="C58" activePane="bottomRight" state="frozen"/>
      <selection pane="bottomRight" activeCell="J66" sqref="J66"/>
      <selection pane="bottomLeft" activeCell="J66" sqref="J66"/>
      <selection pane="topRight" activeCell="J66" sqref="J66"/>
    </sheetView>
  </sheetViews>
  <sheetFormatPr defaultRowHeight="14.1"/>
  <cols>
    <col min="1" max="1" width="35.85546875" bestFit="1" customWidth="1"/>
    <col min="2" max="2" width="8.42578125" style="76"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20" t="str" cm="1">
        <f t="array" ref="A1">portfolio</f>
        <v>Silicon Ranch</v>
      </c>
      <c r="B1" s="120"/>
      <c r="C1" s="120"/>
      <c r="D1" s="121" t="s">
        <v>432</v>
      </c>
      <c r="E1" s="121"/>
      <c r="F1" s="121"/>
      <c r="G1" s="119" t="s">
        <v>433</v>
      </c>
      <c r="H1" s="119"/>
      <c r="I1" s="119"/>
      <c r="J1" s="4"/>
      <c r="K1" s="4"/>
    </row>
    <row r="2" spans="1:11" ht="19.5" customHeight="1">
      <c r="A2" s="122" t="s">
        <v>2</v>
      </c>
      <c r="B2" s="122"/>
      <c r="C2" s="5">
        <f>SUM(C4:C100)</f>
        <v>0</v>
      </c>
      <c r="D2" s="5">
        <f>SUM(D4:D100)</f>
        <v>0</v>
      </c>
      <c r="E2" s="5">
        <f>C2-D2</f>
        <v>0</v>
      </c>
      <c r="F2" s="6">
        <f>IFERROR(E2/D2, 0)</f>
        <v>0</v>
      </c>
      <c r="G2" s="5">
        <f>SUM(G4:G100)</f>
        <v>0</v>
      </c>
      <c r="H2" s="7">
        <f>C2-G2</f>
        <v>0</v>
      </c>
      <c r="I2" s="6">
        <f>IFERROR(H2/G2, 0)</f>
        <v>0</v>
      </c>
      <c r="J2" s="26"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71" t="s">
        <v>4</v>
      </c>
      <c r="C3" s="23" t="s">
        <v>5</v>
      </c>
      <c r="D3" s="35" t="s">
        <v>6</v>
      </c>
      <c r="E3" s="35" t="s">
        <v>7</v>
      </c>
      <c r="F3" s="36" t="s">
        <v>8</v>
      </c>
      <c r="G3" s="37" t="s">
        <v>9</v>
      </c>
      <c r="H3" s="38" t="s">
        <v>7</v>
      </c>
      <c r="I3" s="39" t="s">
        <v>8</v>
      </c>
      <c r="J3" s="25" t="s">
        <v>20</v>
      </c>
      <c r="K3" s="25" t="s">
        <v>21</v>
      </c>
    </row>
    <row r="4" spans="1:11" ht="15.6">
      <c r="A4" s="32" t="str" cm="1">
        <f t="array" ref="A4:A69">Sites[Site]</f>
        <v>Iron Mountain - Windsor</v>
      </c>
      <c r="B4" s="72" t="str" cm="1">
        <f t="array" ref="B4:B69">Sites[State]</f>
        <v>CT</v>
      </c>
      <c r="C4" s="24"/>
      <c r="D4" s="13"/>
      <c r="E4" s="13" t="str">
        <f>IF(AND(ISNUMBER(C4),ISNUMBER(D4)), C4-D4, "")</f>
        <v/>
      </c>
      <c r="F4" s="14" t="str">
        <f>IFERROR(E4/D4, "")</f>
        <v/>
      </c>
      <c r="G4" s="15"/>
      <c r="H4" s="15" t="str">
        <f>IF(AND(ISNUMBER(C4),ISNUMBER(G4)), C4-G4, "")</f>
        <v/>
      </c>
      <c r="I4" s="16" t="str">
        <f>IFERROR(H4/G4, "")</f>
        <v/>
      </c>
      <c r="J4" s="41"/>
      <c r="K4" s="41"/>
    </row>
    <row r="5" spans="1:11" ht="15.6">
      <c r="A5" s="30" t="str">
        <v>Kohls - Auburn</v>
      </c>
      <c r="B5" s="73" t="str">
        <v>NY</v>
      </c>
      <c r="C5" s="11"/>
      <c r="D5" s="18"/>
      <c r="E5" s="18" t="str">
        <f t="shared" ref="E5:E17" si="0">IF(AND(ISNUMBER(C5),ISNUMBER(D5)), C5-D5, "")</f>
        <v/>
      </c>
      <c r="F5" s="19" t="str">
        <f>IFERROR(E5/D5, "")</f>
        <v/>
      </c>
      <c r="G5" s="20"/>
      <c r="H5" s="20" t="str">
        <f t="shared" ref="H5:H17" si="1">IF(AND(ISNUMBER(C5),ISNUMBER(G5)), C5-G5, "")</f>
        <v/>
      </c>
      <c r="I5" s="19" t="str">
        <f t="shared" ref="I5:I68" si="2">IFERROR(H5/G5, "")</f>
        <v/>
      </c>
      <c r="J5" s="42"/>
      <c r="K5" s="42"/>
    </row>
    <row r="6" spans="1:11" ht="15.6">
      <c r="A6" s="28" t="str">
        <v>Kohls - Bensalem</v>
      </c>
      <c r="B6" s="72" t="str">
        <v>PA</v>
      </c>
      <c r="C6" s="24"/>
      <c r="D6" s="13"/>
      <c r="E6" s="13" t="str">
        <f t="shared" si="0"/>
        <v/>
      </c>
      <c r="F6" s="14" t="str">
        <f t="shared" ref="F6:F16" si="3">IFERROR(E6/D6, "")</f>
        <v/>
      </c>
      <c r="G6" s="15"/>
      <c r="H6" s="15" t="str">
        <f t="shared" si="1"/>
        <v/>
      </c>
      <c r="I6" s="16" t="str">
        <f t="shared" si="2"/>
        <v/>
      </c>
      <c r="J6" s="41"/>
      <c r="K6" s="41"/>
    </row>
    <row r="7" spans="1:11" ht="15.6">
      <c r="A7" s="30" t="str">
        <v>Kohls - Brick</v>
      </c>
      <c r="B7" s="73" t="str">
        <v>NJ</v>
      </c>
      <c r="C7" s="11"/>
      <c r="D7" s="18"/>
      <c r="E7" s="18" t="str">
        <f t="shared" si="0"/>
        <v/>
      </c>
      <c r="F7" s="19" t="str">
        <f t="shared" si="3"/>
        <v/>
      </c>
      <c r="G7" s="20"/>
      <c r="H7" s="20" t="str">
        <f t="shared" si="1"/>
        <v/>
      </c>
      <c r="I7" s="19" t="str">
        <f t="shared" si="2"/>
        <v/>
      </c>
      <c r="J7" s="42"/>
      <c r="K7" s="43"/>
    </row>
    <row r="8" spans="1:11" ht="15.6">
      <c r="A8" s="28" t="str">
        <v>Kohls - Buffalo</v>
      </c>
      <c r="B8" s="72" t="str">
        <v>NY</v>
      </c>
      <c r="C8" s="24"/>
      <c r="D8" s="13"/>
      <c r="E8" s="13" t="str">
        <f t="shared" si="0"/>
        <v/>
      </c>
      <c r="F8" s="14" t="str">
        <f t="shared" si="3"/>
        <v/>
      </c>
      <c r="G8" s="15"/>
      <c r="H8" s="15" t="str">
        <f t="shared" si="1"/>
        <v/>
      </c>
      <c r="I8" s="16" t="str">
        <f t="shared" si="2"/>
        <v/>
      </c>
      <c r="J8" s="41"/>
      <c r="K8" s="41"/>
    </row>
    <row r="9" spans="1:11" ht="15.6">
      <c r="A9" s="30" t="str">
        <v>Kohls - Canton</v>
      </c>
      <c r="B9" s="73" t="str">
        <v>CT</v>
      </c>
      <c r="C9" s="11"/>
      <c r="D9" s="18"/>
      <c r="E9" s="18" t="str">
        <f t="shared" si="0"/>
        <v/>
      </c>
      <c r="F9" s="19" t="str">
        <f t="shared" si="3"/>
        <v/>
      </c>
      <c r="G9" s="20"/>
      <c r="H9" s="20" t="str">
        <f t="shared" si="1"/>
        <v/>
      </c>
      <c r="I9" s="19" t="str">
        <f t="shared" si="2"/>
        <v/>
      </c>
      <c r="J9" s="42"/>
      <c r="K9" s="43"/>
    </row>
    <row r="10" spans="1:11" ht="15.6">
      <c r="A10" s="28" t="str">
        <v>Kohls - East Amherst</v>
      </c>
      <c r="B10" s="72" t="str">
        <v>NY</v>
      </c>
      <c r="C10" s="24"/>
      <c r="D10" s="13"/>
      <c r="E10" s="13" t="str">
        <f t="shared" si="0"/>
        <v/>
      </c>
      <c r="F10" s="14" t="str">
        <f t="shared" si="3"/>
        <v/>
      </c>
      <c r="G10" s="15"/>
      <c r="H10" s="15" t="str">
        <f t="shared" si="1"/>
        <v/>
      </c>
      <c r="I10" s="16" t="str">
        <f t="shared" si="2"/>
        <v/>
      </c>
      <c r="J10" s="41"/>
      <c r="K10" s="41"/>
    </row>
    <row r="11" spans="1:11" ht="15.6">
      <c r="A11" s="30" t="str">
        <v>Kohls - East Brunswick</v>
      </c>
      <c r="B11" s="73" t="str">
        <v>NJ</v>
      </c>
      <c r="C11" s="11"/>
      <c r="D11" s="18"/>
      <c r="E11" s="18" t="str">
        <f t="shared" si="0"/>
        <v/>
      </c>
      <c r="F11" s="19" t="str">
        <f t="shared" si="3"/>
        <v/>
      </c>
      <c r="G11" s="20"/>
      <c r="H11" s="20" t="str">
        <f t="shared" si="1"/>
        <v/>
      </c>
      <c r="I11" s="19" t="str">
        <f t="shared" si="2"/>
        <v/>
      </c>
      <c r="J11" s="42"/>
      <c r="K11" s="43"/>
    </row>
    <row r="12" spans="1:11" ht="15.6">
      <c r="A12" s="28" t="str">
        <v>Kohls - Edgewood</v>
      </c>
      <c r="B12" s="72" t="str">
        <v>MD</v>
      </c>
      <c r="C12" s="24"/>
      <c r="D12" s="13"/>
      <c r="E12" s="13" t="str">
        <f t="shared" si="0"/>
        <v/>
      </c>
      <c r="F12" s="14" t="str">
        <f t="shared" si="3"/>
        <v/>
      </c>
      <c r="G12" s="15"/>
      <c r="H12" s="15" t="str">
        <f t="shared" si="1"/>
        <v/>
      </c>
      <c r="I12" s="16" t="str">
        <f t="shared" si="2"/>
        <v/>
      </c>
      <c r="J12" s="41"/>
      <c r="K12" s="41"/>
    </row>
    <row r="13" spans="1:11" ht="15.6">
      <c r="A13" s="30" t="str">
        <v>Kohls - Granite Run</v>
      </c>
      <c r="B13" s="73" t="str">
        <v>PA</v>
      </c>
      <c r="C13" s="11"/>
      <c r="D13" s="18"/>
      <c r="E13" s="18" t="str">
        <f t="shared" si="0"/>
        <v/>
      </c>
      <c r="F13" s="19" t="str">
        <f t="shared" si="3"/>
        <v/>
      </c>
      <c r="G13" s="20"/>
      <c r="H13" s="20" t="str">
        <f t="shared" si="1"/>
        <v/>
      </c>
      <c r="I13" s="19" t="str">
        <f t="shared" si="2"/>
        <v/>
      </c>
      <c r="J13" s="42"/>
      <c r="K13" s="43"/>
    </row>
    <row r="14" spans="1:11" ht="15.6">
      <c r="A14" s="28" t="str">
        <v>Kohls - Greece</v>
      </c>
      <c r="B14" s="72" t="str">
        <v>NY</v>
      </c>
      <c r="C14" s="24"/>
      <c r="D14" s="13"/>
      <c r="E14" s="13" t="str">
        <f t="shared" si="0"/>
        <v/>
      </c>
      <c r="F14" s="14" t="str">
        <f t="shared" si="3"/>
        <v/>
      </c>
      <c r="G14" s="15"/>
      <c r="H14" s="15" t="str">
        <f t="shared" si="1"/>
        <v/>
      </c>
      <c r="I14" s="16" t="str">
        <f t="shared" si="2"/>
        <v/>
      </c>
      <c r="J14" s="41"/>
      <c r="K14" s="41"/>
    </row>
    <row r="15" spans="1:11" ht="15.6">
      <c r="A15" s="30" t="str">
        <v>Kohls - Hanover</v>
      </c>
      <c r="B15" s="73" t="str">
        <v>PA</v>
      </c>
      <c r="C15" s="11"/>
      <c r="D15" s="18"/>
      <c r="E15" s="18" t="str">
        <f t="shared" si="0"/>
        <v/>
      </c>
      <c r="F15" s="19" t="str">
        <f t="shared" si="3"/>
        <v/>
      </c>
      <c r="G15" s="20"/>
      <c r="H15" s="20" t="str">
        <f t="shared" si="1"/>
        <v/>
      </c>
      <c r="I15" s="19" t="str">
        <f t="shared" si="2"/>
        <v/>
      </c>
      <c r="J15" s="42"/>
      <c r="K15" s="43"/>
    </row>
    <row r="16" spans="1:11" ht="15.6">
      <c r="A16" s="28" t="str">
        <v>Kohls - Horsehead</v>
      </c>
      <c r="B16" s="72" t="str">
        <v>NY</v>
      </c>
      <c r="C16" s="24"/>
      <c r="D16" s="13"/>
      <c r="E16" s="13" t="str">
        <f t="shared" si="0"/>
        <v/>
      </c>
      <c r="F16" s="14" t="str">
        <f t="shared" si="3"/>
        <v/>
      </c>
      <c r="G16" s="15"/>
      <c r="H16" s="15" t="str">
        <f t="shared" si="1"/>
        <v/>
      </c>
      <c r="I16" s="16" t="str">
        <f t="shared" si="2"/>
        <v/>
      </c>
      <c r="J16" s="41"/>
      <c r="K16" s="41"/>
    </row>
    <row r="17" spans="1:11" ht="15.6">
      <c r="A17" s="30" t="str">
        <v>Kohls - Hudson</v>
      </c>
      <c r="B17" s="73" t="str">
        <v>NY</v>
      </c>
      <c r="C17" s="11"/>
      <c r="D17" s="18"/>
      <c r="E17" s="18" t="str">
        <f t="shared" si="0"/>
        <v/>
      </c>
      <c r="F17" s="63" t="str">
        <f>IFERROR(E17/D17, "")</f>
        <v/>
      </c>
      <c r="G17" s="20"/>
      <c r="H17" s="20" t="str">
        <f t="shared" si="1"/>
        <v/>
      </c>
      <c r="I17" s="19" t="str">
        <f t="shared" si="2"/>
        <v/>
      </c>
      <c r="J17" s="42"/>
      <c r="K17" s="43"/>
    </row>
    <row r="18" spans="1:11" ht="12.75" customHeight="1">
      <c r="A18" s="28" t="str">
        <v>Kohls - Ithaca</v>
      </c>
      <c r="B18" s="72" t="str">
        <v>NY</v>
      </c>
      <c r="C18" s="24"/>
      <c r="D18" s="13"/>
      <c r="E18" s="13" t="str">
        <f>IF(AND(ISNUMBER(C18),ISNUMBER(D18)), C18-D18, "")</f>
        <v/>
      </c>
      <c r="F18" s="14" t="str">
        <f>IFERROR(E18/D18, "")</f>
        <v/>
      </c>
      <c r="G18" s="15"/>
      <c r="H18" s="64" t="str">
        <f>IF(AND(ISNUMBER(C18),ISNUMBER(G18)), C18-G18, "")</f>
        <v/>
      </c>
      <c r="I18" s="16" t="str">
        <f t="shared" si="2"/>
        <v/>
      </c>
      <c r="J18" s="41"/>
      <c r="K18" s="41"/>
    </row>
    <row r="19" spans="1:11" ht="12.75" customHeight="1">
      <c r="A19" s="30" t="str">
        <v>Kohls - Kingston</v>
      </c>
      <c r="B19" s="73" t="str">
        <v>NY</v>
      </c>
      <c r="C19" s="11"/>
      <c r="D19" s="18"/>
      <c r="E19" s="18" t="str">
        <f t="shared" ref="E19:E20" si="4">IF(AND(ISNUMBER(C19),ISNUMBER(D19)), C19-D19, "")</f>
        <v/>
      </c>
      <c r="F19" s="63"/>
      <c r="G19" s="63"/>
      <c r="H19" s="20" t="str">
        <f t="shared" ref="H19:H20" si="5">IF(AND(ISNUMBER(C19),ISNUMBER(G19)), C19-G19, "")</f>
        <v/>
      </c>
      <c r="I19" s="19" t="str">
        <f t="shared" si="2"/>
        <v/>
      </c>
      <c r="J19" s="42"/>
      <c r="K19" s="43"/>
    </row>
    <row r="20" spans="1:11" ht="12.75" customHeight="1">
      <c r="A20" s="28" t="str">
        <v>Kohls - Mechanicsburg</v>
      </c>
      <c r="B20" s="72" t="str">
        <v>PA</v>
      </c>
      <c r="C20" s="24"/>
      <c r="D20" s="13"/>
      <c r="E20" s="13" t="str">
        <f t="shared" si="4"/>
        <v/>
      </c>
      <c r="F20" s="14"/>
      <c r="G20" s="15"/>
      <c r="H20" s="64" t="str">
        <f t="shared" si="5"/>
        <v/>
      </c>
      <c r="I20" s="16" t="str">
        <f t="shared" si="2"/>
        <v/>
      </c>
      <c r="J20" s="41"/>
      <c r="K20" s="41"/>
    </row>
    <row r="21" spans="1:11" ht="15.6">
      <c r="A21" s="30" t="str">
        <v>Kohls - Middletown</v>
      </c>
      <c r="B21" s="73" t="str">
        <v>NJ</v>
      </c>
      <c r="C21" s="67"/>
      <c r="D21" s="18"/>
      <c r="E21" s="18" t="str">
        <f t="shared" ref="E21:E68" si="6">IF(AND(ISNUMBER(C21),ISNUMBER(D21)), C21-D21, "")</f>
        <v/>
      </c>
      <c r="F21" s="63" t="str">
        <f t="shared" ref="F21:F68" si="7">IFERROR(E21/D21, "")</f>
        <v/>
      </c>
      <c r="G21" s="20"/>
      <c r="H21" s="63" t="str">
        <f t="shared" ref="H21:H27" si="8">IF(AND(ISNUMBER(C21),ISNUMBER(G21)), C21-G21, "")</f>
        <v/>
      </c>
      <c r="I21" s="19" t="str">
        <f t="shared" si="2"/>
        <v/>
      </c>
      <c r="J21" s="42"/>
      <c r="K21" s="43"/>
    </row>
    <row r="22" spans="1:11" ht="15.6">
      <c r="A22" s="28" t="str">
        <v>Kohls - North Amherst</v>
      </c>
      <c r="B22" s="72" t="str">
        <v>NY</v>
      </c>
      <c r="C22" s="24"/>
      <c r="D22" s="13"/>
      <c r="E22" s="13" t="str">
        <f t="shared" si="6"/>
        <v/>
      </c>
      <c r="F22" s="14" t="str">
        <f t="shared" si="7"/>
        <v/>
      </c>
      <c r="G22" s="15"/>
      <c r="H22" s="64" t="str">
        <f t="shared" si="8"/>
        <v/>
      </c>
      <c r="I22" s="16" t="str">
        <f t="shared" si="2"/>
        <v/>
      </c>
      <c r="J22" s="41"/>
      <c r="K22" s="41"/>
    </row>
    <row r="23" spans="1:11" ht="15.6">
      <c r="A23" s="30" t="str">
        <v>Kohls - Staten Island</v>
      </c>
      <c r="B23" s="73" t="str">
        <v>NY</v>
      </c>
      <c r="C23" s="11"/>
      <c r="D23" s="18"/>
      <c r="E23" s="18" t="str">
        <f t="shared" si="6"/>
        <v/>
      </c>
      <c r="F23" s="63" t="str">
        <f t="shared" si="7"/>
        <v/>
      </c>
      <c r="G23" s="20"/>
      <c r="H23" s="20" t="str">
        <f t="shared" si="8"/>
        <v/>
      </c>
      <c r="I23" s="19" t="str">
        <f t="shared" si="2"/>
        <v/>
      </c>
      <c r="J23" s="42"/>
      <c r="K23" s="43"/>
    </row>
    <row r="24" spans="1:11" ht="15.6">
      <c r="A24" s="28" t="str">
        <v>Kohls - Warminster</v>
      </c>
      <c r="B24" s="72" t="str">
        <v>PA</v>
      </c>
      <c r="C24" s="24"/>
      <c r="D24" s="13"/>
      <c r="E24" s="13" t="str">
        <f t="shared" si="6"/>
        <v/>
      </c>
      <c r="F24" s="14" t="str">
        <f t="shared" si="7"/>
        <v/>
      </c>
      <c r="G24" s="15"/>
      <c r="H24" s="64" t="str">
        <f t="shared" si="8"/>
        <v/>
      </c>
      <c r="I24" s="16" t="str">
        <f t="shared" si="2"/>
        <v/>
      </c>
      <c r="J24" s="41"/>
      <c r="K24" s="41"/>
    </row>
    <row r="25" spans="1:11" ht="15.6">
      <c r="A25" s="30" t="str">
        <v xml:space="preserve">Kohls - Waterbury </v>
      </c>
      <c r="B25" s="73" t="str">
        <v>CT</v>
      </c>
      <c r="C25" s="11"/>
      <c r="D25" s="18"/>
      <c r="E25" s="18" t="str">
        <f t="shared" si="6"/>
        <v/>
      </c>
      <c r="F25" s="63" t="str">
        <f t="shared" si="7"/>
        <v/>
      </c>
      <c r="H25" s="20" t="str">
        <f t="shared" si="8"/>
        <v/>
      </c>
      <c r="I25" s="19" t="str">
        <f t="shared" si="2"/>
        <v/>
      </c>
      <c r="J25" s="42"/>
      <c r="K25" s="43"/>
    </row>
    <row r="26" spans="1:11" ht="15.6">
      <c r="A26" s="28" t="str">
        <v>Mojave Water Agency - Headquarters</v>
      </c>
      <c r="B26" s="72" t="str">
        <v>CA</v>
      </c>
      <c r="C26" s="24"/>
      <c r="D26" s="13"/>
      <c r="E26" s="13" t="str">
        <f t="shared" si="6"/>
        <v/>
      </c>
      <c r="F26" s="14" t="str">
        <f t="shared" si="7"/>
        <v/>
      </c>
      <c r="G26" s="15"/>
      <c r="H26" s="64" t="str">
        <f t="shared" si="8"/>
        <v/>
      </c>
      <c r="I26" s="16" t="str">
        <f t="shared" si="2"/>
        <v/>
      </c>
      <c r="J26" s="41"/>
      <c r="K26" s="41"/>
    </row>
    <row r="27" spans="1:11" ht="15.6">
      <c r="A27" s="30" t="str">
        <v>CSU - Bakersfield</v>
      </c>
      <c r="B27" s="73" t="str">
        <v>CA</v>
      </c>
      <c r="C27" s="11"/>
      <c r="D27" s="18"/>
      <c r="E27" s="18" t="str">
        <f t="shared" si="6"/>
        <v/>
      </c>
      <c r="F27" s="63" t="str">
        <f t="shared" si="7"/>
        <v/>
      </c>
      <c r="G27" s="20"/>
      <c r="H27" s="20" t="str">
        <f t="shared" si="8"/>
        <v/>
      </c>
      <c r="I27" s="19" t="str">
        <f t="shared" si="2"/>
        <v/>
      </c>
      <c r="J27" s="42"/>
      <c r="K27" s="43"/>
    </row>
    <row r="28" spans="1:11" ht="15.6">
      <c r="A28" s="28" t="str">
        <v>Greenfield USD - Fairfield ES</v>
      </c>
      <c r="B28" s="72" t="str">
        <v>CA</v>
      </c>
      <c r="C28" s="24"/>
      <c r="D28" s="13"/>
      <c r="E28" s="13" t="str">
        <f t="shared" si="6"/>
        <v/>
      </c>
      <c r="F28" s="14" t="str">
        <f t="shared" si="7"/>
        <v/>
      </c>
      <c r="G28" s="15"/>
      <c r="H28" s="15" t="str">
        <f t="shared" ref="H28:H29" si="9">IF(AND(ISNUMBER(C28),ISNUMBER(G28)), C28-G28, "")</f>
        <v/>
      </c>
      <c r="I28" s="16" t="str">
        <f t="shared" si="2"/>
        <v/>
      </c>
      <c r="J28" s="41"/>
      <c r="K28" s="41"/>
    </row>
    <row r="29" spans="1:11" ht="15.6">
      <c r="A29" s="30" t="str">
        <v>Greenfield USD - Granite Point ES</v>
      </c>
      <c r="B29" s="73" t="str">
        <v>CA</v>
      </c>
      <c r="C29" s="11"/>
      <c r="D29" s="18"/>
      <c r="E29" s="18" t="str">
        <f t="shared" si="6"/>
        <v/>
      </c>
      <c r="F29" s="63" t="str">
        <f t="shared" si="7"/>
        <v/>
      </c>
      <c r="G29" s="20"/>
      <c r="H29" s="20" t="str">
        <f t="shared" si="9"/>
        <v/>
      </c>
      <c r="I29" s="19" t="str">
        <f t="shared" si="2"/>
        <v/>
      </c>
      <c r="J29" s="42"/>
      <c r="K29" s="43"/>
    </row>
    <row r="30" spans="1:11" ht="15.6">
      <c r="A30" s="28" t="str">
        <v>Greenfield USD - Greenfield MS</v>
      </c>
      <c r="B30" s="72" t="str">
        <v>CA</v>
      </c>
      <c r="C30" s="24"/>
      <c r="D30" s="13"/>
      <c r="E30" s="13" t="str">
        <f t="shared" si="6"/>
        <v/>
      </c>
      <c r="F30" s="14" t="str">
        <f t="shared" si="7"/>
        <v/>
      </c>
      <c r="G30" s="15"/>
      <c r="H30" s="64" t="str">
        <f t="shared" ref="H30:H56" si="10">IF(AND(ISNUMBER(C30),ISNUMBER(G30)), C30-G30, "")</f>
        <v/>
      </c>
      <c r="I30" s="16" t="str">
        <f t="shared" si="2"/>
        <v/>
      </c>
      <c r="J30" s="41"/>
      <c r="K30" s="41"/>
    </row>
    <row r="31" spans="1:11" ht="15.6">
      <c r="A31" s="30" t="str">
        <v>Greenfield USD - Horizon ES</v>
      </c>
      <c r="B31" s="73" t="str">
        <v>CA</v>
      </c>
      <c r="C31" s="11"/>
      <c r="D31" s="18"/>
      <c r="E31" s="18" t="str">
        <f t="shared" si="6"/>
        <v/>
      </c>
      <c r="F31" s="63" t="str">
        <f t="shared" si="7"/>
        <v/>
      </c>
      <c r="G31" s="20"/>
      <c r="H31" s="20" t="str">
        <f t="shared" si="10"/>
        <v/>
      </c>
      <c r="I31" s="19" t="str">
        <f t="shared" si="2"/>
        <v/>
      </c>
      <c r="J31" s="54"/>
      <c r="K31" s="61"/>
    </row>
    <row r="32" spans="1:11" ht="15.6">
      <c r="A32" s="28" t="str">
        <v>Greenfield USD - McKee MS</v>
      </c>
      <c r="B32" s="72" t="str">
        <v>CA</v>
      </c>
      <c r="C32" s="24"/>
      <c r="D32" s="13"/>
      <c r="E32" s="13" t="str">
        <f t="shared" si="6"/>
        <v/>
      </c>
      <c r="F32" s="14" t="str">
        <f t="shared" si="7"/>
        <v/>
      </c>
      <c r="G32" s="15"/>
      <c r="H32" s="64" t="str">
        <f t="shared" si="10"/>
        <v/>
      </c>
      <c r="I32" s="16" t="str">
        <f t="shared" si="2"/>
        <v/>
      </c>
      <c r="J32" s="41"/>
      <c r="K32" s="41"/>
    </row>
    <row r="33" spans="1:11" ht="15.6">
      <c r="A33" s="30" t="str">
        <v>Greenfield USD - Plantation ES</v>
      </c>
      <c r="B33" s="73" t="str">
        <v>CA</v>
      </c>
      <c r="C33" s="11"/>
      <c r="D33" s="18"/>
      <c r="E33" s="18" t="str">
        <f t="shared" si="6"/>
        <v/>
      </c>
      <c r="F33" s="63" t="str">
        <f t="shared" si="7"/>
        <v/>
      </c>
      <c r="G33" s="63"/>
      <c r="H33" s="20" t="str">
        <f t="shared" si="10"/>
        <v/>
      </c>
      <c r="I33" s="19" t="str">
        <f t="shared" si="2"/>
        <v/>
      </c>
      <c r="J33" s="42"/>
      <c r="K33" s="58"/>
    </row>
    <row r="34" spans="1:11" ht="15.6">
      <c r="A34" s="28" t="str">
        <v>Greenfield USD - Planz ES</v>
      </c>
      <c r="B34" s="72" t="str">
        <v>CA</v>
      </c>
      <c r="C34" s="24"/>
      <c r="D34" s="13"/>
      <c r="E34" s="13" t="str">
        <f t="shared" si="6"/>
        <v/>
      </c>
      <c r="F34" s="14" t="str">
        <f t="shared" si="7"/>
        <v/>
      </c>
      <c r="G34" s="15"/>
      <c r="H34" s="64" t="str">
        <f t="shared" si="10"/>
        <v/>
      </c>
      <c r="I34" s="16" t="str">
        <f t="shared" si="2"/>
        <v/>
      </c>
      <c r="J34" s="41"/>
      <c r="K34" s="41"/>
    </row>
    <row r="35" spans="1:11" ht="14.45">
      <c r="A35" s="63" t="str">
        <v>Greenfield USD - Raffaello Palla ES</v>
      </c>
      <c r="B35" s="74" t="str">
        <v>CA</v>
      </c>
      <c r="C35" s="63"/>
      <c r="D35" s="63"/>
      <c r="E35" s="63" t="str">
        <f t="shared" si="6"/>
        <v/>
      </c>
      <c r="F35" s="63" t="str">
        <f t="shared" si="7"/>
        <v/>
      </c>
      <c r="G35" s="63"/>
      <c r="H35" s="63" t="str">
        <f t="shared" si="10"/>
        <v/>
      </c>
      <c r="I35" s="19" t="str">
        <f t="shared" si="2"/>
        <v/>
      </c>
      <c r="J35" s="63"/>
      <c r="K35" s="63"/>
    </row>
    <row r="36" spans="1:11" ht="15.6">
      <c r="A36" s="28" t="str">
        <v>Greenfield USD - Valle Verde ES</v>
      </c>
      <c r="B36" s="72" t="str">
        <v>CA</v>
      </c>
      <c r="C36" s="24"/>
      <c r="D36" s="13"/>
      <c r="E36" s="13" t="str">
        <f t="shared" si="6"/>
        <v/>
      </c>
      <c r="F36" s="14" t="str">
        <f t="shared" si="7"/>
        <v/>
      </c>
      <c r="G36" s="15"/>
      <c r="H36" s="64" t="str">
        <f t="shared" si="10"/>
        <v/>
      </c>
      <c r="I36" s="16" t="str">
        <f t="shared" si="2"/>
        <v/>
      </c>
      <c r="J36" s="41"/>
      <c r="K36" s="41"/>
    </row>
    <row r="37" spans="1:11" ht="14.45">
      <c r="A37" s="63" t="str">
        <v>Greenfield USD - W.A. Kendrick ES</v>
      </c>
      <c r="B37" s="74" t="str">
        <v>CA</v>
      </c>
      <c r="C37" s="63"/>
      <c r="D37" s="63"/>
      <c r="E37" s="63" t="str">
        <f t="shared" si="6"/>
        <v/>
      </c>
      <c r="F37" s="63" t="str">
        <f t="shared" si="7"/>
        <v/>
      </c>
      <c r="G37" s="20"/>
      <c r="H37" s="63" t="str">
        <f t="shared" si="10"/>
        <v/>
      </c>
      <c r="I37" s="19" t="str">
        <f t="shared" si="2"/>
        <v/>
      </c>
      <c r="J37" s="63"/>
      <c r="K37" s="63"/>
    </row>
    <row r="38" spans="1:11" ht="15.6">
      <c r="A38" s="28" t="str">
        <v>Muroc Joint USD - Boron HS</v>
      </c>
      <c r="B38" s="72" t="str">
        <v>CA</v>
      </c>
      <c r="C38" s="24"/>
      <c r="D38" s="13"/>
      <c r="E38" s="13" t="str">
        <f t="shared" si="6"/>
        <v/>
      </c>
      <c r="F38" s="14" t="str">
        <f t="shared" si="7"/>
        <v/>
      </c>
      <c r="G38" s="15"/>
      <c r="H38" s="64" t="str">
        <f t="shared" si="10"/>
        <v/>
      </c>
      <c r="I38" s="16" t="str">
        <f t="shared" si="2"/>
        <v/>
      </c>
      <c r="J38" s="66"/>
      <c r="K38" s="41"/>
    </row>
    <row r="39" spans="1:11" ht="15.6">
      <c r="A39" s="30" t="str">
        <v>Muroc Joint USD - W. Boron ES</v>
      </c>
      <c r="B39" s="73" t="str">
        <v>CA</v>
      </c>
      <c r="C39" s="11"/>
      <c r="D39" s="18"/>
      <c r="E39" s="18" t="str">
        <f t="shared" si="6"/>
        <v/>
      </c>
      <c r="F39" s="63" t="str">
        <f t="shared" si="7"/>
        <v/>
      </c>
      <c r="G39" s="77"/>
      <c r="H39" s="20" t="str">
        <f t="shared" si="10"/>
        <v/>
      </c>
      <c r="I39" s="19" t="str">
        <f t="shared" si="2"/>
        <v/>
      </c>
      <c r="J39" s="42"/>
      <c r="K39" s="43"/>
    </row>
    <row r="40" spans="1:11" ht="15.6">
      <c r="A40" s="28" t="str">
        <v>Colusa - WTP</v>
      </c>
      <c r="B40" s="72" t="str">
        <v>CA</v>
      </c>
      <c r="C40" s="24"/>
      <c r="D40" s="13"/>
      <c r="E40" s="13" t="str">
        <f t="shared" si="6"/>
        <v/>
      </c>
      <c r="F40" s="14" t="str">
        <f t="shared" si="7"/>
        <v/>
      </c>
      <c r="G40" s="15"/>
      <c r="H40" s="64" t="str">
        <f t="shared" si="10"/>
        <v/>
      </c>
      <c r="I40" s="16" t="str">
        <f t="shared" si="2"/>
        <v/>
      </c>
      <c r="J40" s="41"/>
      <c r="K40" s="41"/>
    </row>
    <row r="41" spans="1:11" ht="15.6">
      <c r="A41" s="30" t="str">
        <v>CDCR-North Kern State Prision</v>
      </c>
      <c r="B41" s="73" t="str">
        <v>CA</v>
      </c>
      <c r="C41" s="11"/>
      <c r="D41" s="18"/>
      <c r="E41" s="18" t="str">
        <f t="shared" si="6"/>
        <v/>
      </c>
      <c r="F41" s="63" t="str">
        <f t="shared" si="7"/>
        <v/>
      </c>
      <c r="G41" s="20"/>
      <c r="H41" s="20" t="str">
        <f t="shared" si="10"/>
        <v/>
      </c>
      <c r="I41" s="19" t="str">
        <f t="shared" si="2"/>
        <v/>
      </c>
      <c r="J41" s="42"/>
      <c r="K41" s="43"/>
    </row>
    <row r="42" spans="1:11" ht="15.6">
      <c r="A42" s="28" t="str">
        <v>Muroc Joint USD - District Office</v>
      </c>
      <c r="B42" s="72" t="str">
        <v>CA</v>
      </c>
      <c r="C42" s="24"/>
      <c r="D42" s="13"/>
      <c r="E42" s="13" t="str">
        <f t="shared" si="6"/>
        <v/>
      </c>
      <c r="F42" s="14" t="str">
        <f t="shared" si="7"/>
        <v/>
      </c>
      <c r="G42" s="15"/>
      <c r="H42" s="64" t="str">
        <f t="shared" si="10"/>
        <v/>
      </c>
      <c r="I42" s="16" t="str">
        <f t="shared" si="2"/>
        <v/>
      </c>
      <c r="J42" s="41"/>
      <c r="K42" s="41"/>
    </row>
    <row r="43" spans="1:11" ht="15.6">
      <c r="A43" s="30" t="str">
        <v>Whole Foods - Manhattan Beach</v>
      </c>
      <c r="B43" s="73" t="str">
        <v>CA</v>
      </c>
      <c r="C43" s="11"/>
      <c r="D43" s="18"/>
      <c r="E43" s="18" t="str">
        <f t="shared" si="6"/>
        <v/>
      </c>
      <c r="F43" s="63" t="str">
        <f t="shared" si="7"/>
        <v/>
      </c>
      <c r="G43" s="20"/>
      <c r="H43" s="20" t="str">
        <f t="shared" si="10"/>
        <v/>
      </c>
      <c r="I43" s="19" t="str">
        <f t="shared" si="2"/>
        <v/>
      </c>
      <c r="J43" s="42"/>
      <c r="K43" s="42"/>
    </row>
    <row r="44" spans="1:11" ht="15.6">
      <c r="A44" s="28" t="str">
        <v>Pioneer USD - Frontier ES</v>
      </c>
      <c r="B44" s="72" t="str">
        <v>CA</v>
      </c>
      <c r="C44" s="24"/>
      <c r="D44" s="13"/>
      <c r="E44" s="13" t="str">
        <f t="shared" si="6"/>
        <v/>
      </c>
      <c r="F44" s="14" t="str">
        <f t="shared" si="7"/>
        <v/>
      </c>
      <c r="G44" s="15"/>
      <c r="H44" s="64" t="str">
        <f t="shared" si="10"/>
        <v/>
      </c>
      <c r="I44" s="16" t="str">
        <f t="shared" si="2"/>
        <v/>
      </c>
      <c r="J44" s="41"/>
      <c r="K44" s="41"/>
    </row>
    <row r="45" spans="1:11" ht="15.6">
      <c r="A45" s="30" t="str">
        <v>Pioneer USD - Pioneer ES</v>
      </c>
      <c r="B45" s="73" t="str">
        <v>CA</v>
      </c>
      <c r="C45" s="11"/>
      <c r="D45" s="18"/>
      <c r="E45" s="18" t="str">
        <f t="shared" si="6"/>
        <v/>
      </c>
      <c r="F45" s="63" t="str">
        <f t="shared" si="7"/>
        <v/>
      </c>
      <c r="G45" s="20"/>
      <c r="H45" s="20" t="str">
        <f t="shared" si="10"/>
        <v/>
      </c>
      <c r="I45" s="19" t="str">
        <f t="shared" si="2"/>
        <v/>
      </c>
      <c r="J45" s="42"/>
      <c r="K45" s="42"/>
    </row>
    <row r="46" spans="1:11" ht="15.6">
      <c r="A46" s="28" t="str">
        <v>Pioneer USD - Pioneer MS</v>
      </c>
      <c r="B46" s="72" t="str">
        <v>CA</v>
      </c>
      <c r="C46" s="24"/>
      <c r="D46" s="13"/>
      <c r="E46" s="13" t="str">
        <f t="shared" si="6"/>
        <v/>
      </c>
      <c r="F46" s="14" t="str">
        <f t="shared" si="7"/>
        <v/>
      </c>
      <c r="G46" s="15"/>
      <c r="H46" s="64" t="str">
        <f t="shared" si="10"/>
        <v/>
      </c>
      <c r="I46" s="16" t="str">
        <f t="shared" si="2"/>
        <v/>
      </c>
      <c r="J46" s="41"/>
      <c r="K46" s="41"/>
    </row>
    <row r="47" spans="1:11" ht="15.6">
      <c r="A47" s="30" t="str">
        <v>Kingsburg Joint UHSD - Kingsburg HS</v>
      </c>
      <c r="B47" s="73" t="str">
        <v>CA</v>
      </c>
      <c r="C47" s="11"/>
      <c r="D47" s="18"/>
      <c r="E47" s="18" t="str">
        <f t="shared" si="6"/>
        <v/>
      </c>
      <c r="F47" s="63" t="str">
        <f t="shared" si="7"/>
        <v/>
      </c>
      <c r="G47" s="20"/>
      <c r="H47" s="20" t="str">
        <f t="shared" si="10"/>
        <v/>
      </c>
      <c r="I47" s="19" t="str">
        <f t="shared" si="2"/>
        <v/>
      </c>
      <c r="J47" s="42"/>
      <c r="K47" s="61"/>
    </row>
    <row r="48" spans="1:11" ht="15.6">
      <c r="A48" s="28" t="str">
        <v>CADRB</v>
      </c>
      <c r="B48" s="72" t="str">
        <v>CA</v>
      </c>
      <c r="C48" s="24"/>
      <c r="D48" s="13"/>
      <c r="E48" s="13" t="str">
        <f t="shared" si="6"/>
        <v/>
      </c>
      <c r="F48" s="14" t="str">
        <f t="shared" si="7"/>
        <v/>
      </c>
      <c r="G48" s="15"/>
      <c r="H48" s="64" t="str">
        <f t="shared" si="10"/>
        <v/>
      </c>
      <c r="I48" s="16" t="str">
        <f t="shared" si="2"/>
        <v/>
      </c>
      <c r="J48" s="41"/>
      <c r="K48" s="41"/>
    </row>
    <row r="49" spans="1:11" ht="15.6">
      <c r="A49" s="30" t="str">
        <v>CDCR-CA State Prison LA County</v>
      </c>
      <c r="B49" s="73" t="str">
        <v>CA</v>
      </c>
      <c r="C49" s="11"/>
      <c r="D49" s="18"/>
      <c r="E49" s="18" t="str">
        <f t="shared" si="6"/>
        <v/>
      </c>
      <c r="F49" s="63" t="str">
        <f t="shared" si="7"/>
        <v/>
      </c>
      <c r="G49" s="20"/>
      <c r="H49" s="20" t="str">
        <f t="shared" si="10"/>
        <v/>
      </c>
      <c r="I49" s="19" t="str">
        <f t="shared" si="2"/>
        <v/>
      </c>
      <c r="J49" s="42"/>
      <c r="K49" s="43"/>
    </row>
    <row r="50" spans="1:11" ht="15.6">
      <c r="A50" s="28" t="str">
        <v>Central USD Akers ES</v>
      </c>
      <c r="B50" s="72" t="str">
        <v>CA</v>
      </c>
      <c r="C50" s="24"/>
      <c r="D50" s="13"/>
      <c r="E50" s="13" t="str">
        <f t="shared" si="6"/>
        <v/>
      </c>
      <c r="F50" s="14" t="str">
        <f t="shared" si="7"/>
        <v/>
      </c>
      <c r="G50" s="15"/>
      <c r="H50" s="64" t="str">
        <f t="shared" si="10"/>
        <v/>
      </c>
      <c r="I50" s="16" t="str">
        <f t="shared" si="2"/>
        <v/>
      </c>
      <c r="J50" s="41"/>
      <c r="K50" s="41"/>
    </row>
    <row r="51" spans="1:11" ht="15.6">
      <c r="A51" s="30" t="str">
        <v>CUSD - District Office</v>
      </c>
      <c r="B51" s="73" t="str">
        <v>CA</v>
      </c>
      <c r="C51" s="11"/>
      <c r="D51" s="18"/>
      <c r="E51" s="18" t="str">
        <f t="shared" si="6"/>
        <v/>
      </c>
      <c r="F51" s="63" t="str">
        <f t="shared" si="7"/>
        <v/>
      </c>
      <c r="G51" s="20"/>
      <c r="H51" s="20" t="str">
        <f t="shared" si="10"/>
        <v/>
      </c>
      <c r="I51" s="19" t="str">
        <f t="shared" si="2"/>
        <v/>
      </c>
      <c r="J51" s="42"/>
      <c r="K51" s="43"/>
    </row>
    <row r="52" spans="1:11" ht="15.6">
      <c r="A52" s="28" t="str">
        <v>Parlier - WTP</v>
      </c>
      <c r="B52" s="72" t="str">
        <v>CA</v>
      </c>
      <c r="C52" s="24"/>
      <c r="D52" s="13"/>
      <c r="E52" s="13" t="str">
        <f t="shared" si="6"/>
        <v/>
      </c>
      <c r="F52" s="14" t="str">
        <f t="shared" si="7"/>
        <v/>
      </c>
      <c r="G52" s="15"/>
      <c r="H52" s="64" t="str">
        <f t="shared" si="10"/>
        <v/>
      </c>
      <c r="I52" s="16" t="str">
        <f t="shared" si="2"/>
        <v/>
      </c>
      <c r="J52" s="41"/>
      <c r="K52" s="41"/>
    </row>
    <row r="53" spans="1:11" ht="15.6">
      <c r="A53" s="30" t="str">
        <v>Snowline SD - Quail Valley MS</v>
      </c>
      <c r="B53" s="73" t="str">
        <v>CA</v>
      </c>
      <c r="C53" s="11"/>
      <c r="D53" s="18"/>
      <c r="E53" s="18" t="str">
        <f t="shared" si="6"/>
        <v/>
      </c>
      <c r="F53" s="63" t="str">
        <f t="shared" si="7"/>
        <v/>
      </c>
      <c r="G53" s="20"/>
      <c r="H53" s="20" t="str">
        <f t="shared" si="10"/>
        <v/>
      </c>
      <c r="I53" s="19" t="str">
        <f t="shared" si="2"/>
        <v/>
      </c>
      <c r="J53" s="42"/>
      <c r="K53" s="43"/>
    </row>
    <row r="54" spans="1:11" ht="14.45">
      <c r="A54" s="29" t="str">
        <v>Snowline SD - Serrano HS - Middle Lot</v>
      </c>
      <c r="B54" s="72" t="str">
        <v>CA</v>
      </c>
      <c r="C54" s="65"/>
      <c r="D54" s="13"/>
      <c r="E54" s="13" t="str">
        <f t="shared" si="6"/>
        <v/>
      </c>
      <c r="F54" s="13" t="str">
        <f t="shared" si="7"/>
        <v/>
      </c>
      <c r="G54" s="64"/>
      <c r="H54" s="64" t="str">
        <f t="shared" si="10"/>
        <v/>
      </c>
      <c r="I54" s="16" t="str">
        <f t="shared" si="2"/>
        <v/>
      </c>
      <c r="J54" s="66"/>
      <c r="K54" s="66"/>
    </row>
    <row r="55" spans="1:11" ht="15.6">
      <c r="A55" s="30" t="str">
        <v>Snowline SD - Pinon Hills ES</v>
      </c>
      <c r="B55" s="73" t="str">
        <v>CA</v>
      </c>
      <c r="C55" s="11"/>
      <c r="D55" s="18"/>
      <c r="E55" s="18" t="str">
        <f t="shared" si="6"/>
        <v/>
      </c>
      <c r="F55" s="63" t="str">
        <f t="shared" si="7"/>
        <v/>
      </c>
      <c r="G55" s="20"/>
      <c r="H55" s="20" t="str">
        <f t="shared" si="10"/>
        <v/>
      </c>
      <c r="I55" s="19" t="str">
        <f t="shared" si="2"/>
        <v/>
      </c>
      <c r="J55" s="42"/>
      <c r="K55" s="43"/>
    </row>
    <row r="56" spans="1:11" ht="15.6">
      <c r="A56" s="28" t="str">
        <v>Ramona - Santa Maria WTP</v>
      </c>
      <c r="B56" s="72" t="str">
        <v>CA</v>
      </c>
      <c r="C56" s="24"/>
      <c r="D56" s="13"/>
      <c r="E56" s="13" t="str">
        <f t="shared" si="6"/>
        <v/>
      </c>
      <c r="F56" s="14" t="str">
        <f t="shared" si="7"/>
        <v/>
      </c>
      <c r="G56" s="15"/>
      <c r="H56" s="64" t="str">
        <f t="shared" si="10"/>
        <v/>
      </c>
      <c r="I56" s="16" t="str">
        <f t="shared" si="2"/>
        <v/>
      </c>
      <c r="J56" s="41"/>
      <c r="K56" s="41"/>
    </row>
    <row r="57" spans="1:11" ht="15.6">
      <c r="A57" s="30" t="str">
        <v>Kohls - Redding</v>
      </c>
      <c r="B57" s="73" t="str">
        <v>CA</v>
      </c>
      <c r="C57" s="11"/>
      <c r="D57" s="18"/>
      <c r="E57" s="18" t="str">
        <f t="shared" si="6"/>
        <v/>
      </c>
      <c r="F57" s="63" t="str">
        <f t="shared" si="7"/>
        <v/>
      </c>
      <c r="G57" s="20"/>
      <c r="H57" s="20" t="str">
        <f t="shared" ref="H57:H58" si="11">IF(AND(ISNUMBER(C57),ISNUMBER(G57)), C57-G57, "")</f>
        <v/>
      </c>
      <c r="I57" s="19" t="str">
        <f t="shared" si="2"/>
        <v/>
      </c>
      <c r="J57" s="42"/>
      <c r="K57" s="42"/>
    </row>
    <row r="58" spans="1:11" ht="15.6">
      <c r="A58" s="28" t="str">
        <v>Kohls - Salinas</v>
      </c>
      <c r="B58" s="72" t="str">
        <v>CA</v>
      </c>
      <c r="C58" s="24"/>
      <c r="D58" s="13"/>
      <c r="E58" s="13" t="str">
        <f t="shared" si="6"/>
        <v/>
      </c>
      <c r="F58" s="14" t="str">
        <f t="shared" si="7"/>
        <v/>
      </c>
      <c r="G58" s="15"/>
      <c r="H58" s="64" t="str">
        <f t="shared" si="11"/>
        <v/>
      </c>
      <c r="I58" s="16" t="str">
        <f t="shared" si="2"/>
        <v/>
      </c>
      <c r="J58" s="41"/>
      <c r="K58" s="41"/>
    </row>
    <row r="59" spans="1:11" ht="15.6">
      <c r="A59" s="30" t="str">
        <v>Kohls - San Bernardino - Central</v>
      </c>
      <c r="B59" s="73" t="str">
        <v>CA</v>
      </c>
      <c r="C59" s="11"/>
      <c r="D59" s="18"/>
      <c r="E59" s="18" t="str">
        <f t="shared" si="6"/>
        <v/>
      </c>
      <c r="F59" s="63" t="str">
        <f t="shared" si="7"/>
        <v/>
      </c>
      <c r="G59" s="20"/>
      <c r="H59" s="20" t="str">
        <f t="shared" ref="H59:H68" si="12">IF(AND(ISNUMBER(C59),ISNUMBER(G59)), C59-G59, "")</f>
        <v/>
      </c>
      <c r="I59" s="19" t="str">
        <f t="shared" si="2"/>
        <v/>
      </c>
      <c r="J59" s="42"/>
      <c r="K59" s="43"/>
    </row>
    <row r="60" spans="1:11" ht="15.6">
      <c r="A60" s="28" t="str">
        <v>Kohls - Sonora</v>
      </c>
      <c r="B60" s="72" t="str">
        <v>CA</v>
      </c>
      <c r="C60" s="24"/>
      <c r="D60" s="13"/>
      <c r="E60" s="13" t="str">
        <f t="shared" si="6"/>
        <v/>
      </c>
      <c r="F60" s="14" t="str">
        <f t="shared" si="7"/>
        <v/>
      </c>
      <c r="G60" s="15"/>
      <c r="H60" s="64" t="str">
        <f t="shared" si="12"/>
        <v/>
      </c>
      <c r="I60" s="16" t="str">
        <f t="shared" si="2"/>
        <v/>
      </c>
      <c r="J60" s="41"/>
      <c r="K60" s="41"/>
    </row>
    <row r="61" spans="1:11" ht="15.6">
      <c r="A61" s="30" t="str">
        <v>CUSD - Stratford ES</v>
      </c>
      <c r="B61" s="73" t="str">
        <v>CA</v>
      </c>
      <c r="C61" s="11"/>
      <c r="D61" s="18"/>
      <c r="E61" s="18" t="str">
        <f t="shared" si="6"/>
        <v/>
      </c>
      <c r="F61" s="63" t="str">
        <f t="shared" si="7"/>
        <v/>
      </c>
      <c r="G61" s="20"/>
      <c r="H61" s="20" t="str">
        <f t="shared" si="12"/>
        <v/>
      </c>
      <c r="I61" s="19" t="str">
        <f t="shared" si="2"/>
        <v/>
      </c>
      <c r="J61" s="42"/>
      <c r="K61" s="43"/>
    </row>
    <row r="62" spans="1:11" ht="15.6">
      <c r="A62" s="28" t="str">
        <v>Taft - City Hall</v>
      </c>
      <c r="B62" s="72" t="str">
        <v>CA</v>
      </c>
      <c r="C62" s="24"/>
      <c r="D62" s="13"/>
      <c r="E62" s="13" t="str">
        <f t="shared" si="6"/>
        <v/>
      </c>
      <c r="F62" s="14" t="str">
        <f t="shared" si="7"/>
        <v/>
      </c>
      <c r="G62" s="15"/>
      <c r="H62" s="64" t="str">
        <f t="shared" si="12"/>
        <v/>
      </c>
      <c r="I62" s="16" t="str">
        <f t="shared" si="2"/>
        <v/>
      </c>
      <c r="J62" s="41"/>
      <c r="K62" s="41"/>
    </row>
    <row r="63" spans="1:11" ht="15.6">
      <c r="A63" s="30" t="str">
        <v>Taft - Federal Prison</v>
      </c>
      <c r="B63" s="73" t="str">
        <v>CA</v>
      </c>
      <c r="C63" s="11"/>
      <c r="D63" s="18"/>
      <c r="E63" s="18" t="str">
        <f t="shared" si="6"/>
        <v/>
      </c>
      <c r="F63" s="63" t="str">
        <f t="shared" si="7"/>
        <v/>
      </c>
      <c r="G63" s="63"/>
      <c r="H63" s="20" t="str">
        <f t="shared" si="12"/>
        <v/>
      </c>
      <c r="I63" s="19" t="str">
        <f t="shared" si="2"/>
        <v/>
      </c>
      <c r="J63" s="42"/>
      <c r="K63" s="43"/>
    </row>
    <row r="64" spans="1:11" ht="15.6">
      <c r="A64" s="28" t="str">
        <v>Taft - Police Department</v>
      </c>
      <c r="B64" s="72" t="str">
        <v>CA</v>
      </c>
      <c r="C64" s="24"/>
      <c r="D64" s="13"/>
      <c r="E64" s="13" t="str">
        <f t="shared" si="6"/>
        <v/>
      </c>
      <c r="F64" s="14" t="str">
        <f t="shared" si="7"/>
        <v/>
      </c>
      <c r="G64" s="15"/>
      <c r="H64" s="64" t="str">
        <f t="shared" si="12"/>
        <v/>
      </c>
      <c r="I64" s="16" t="str">
        <f t="shared" si="2"/>
        <v/>
      </c>
      <c r="J64" s="41"/>
      <c r="K64" s="41"/>
    </row>
    <row r="65" spans="1:11" ht="14.45">
      <c r="A65" s="68" t="str">
        <v>Taft - WTP</v>
      </c>
      <c r="B65" s="74" t="str">
        <v>CA</v>
      </c>
      <c r="C65" s="63"/>
      <c r="D65" s="63"/>
      <c r="E65" s="63" t="str">
        <f t="shared" si="6"/>
        <v/>
      </c>
      <c r="F65" s="63" t="str">
        <f t="shared" si="7"/>
        <v/>
      </c>
      <c r="G65" s="63"/>
      <c r="H65" s="63" t="str">
        <f t="shared" si="12"/>
        <v/>
      </c>
      <c r="I65" s="19" t="str">
        <f t="shared" si="2"/>
        <v/>
      </c>
      <c r="J65" s="63"/>
      <c r="K65" s="63"/>
    </row>
    <row r="66" spans="1:11" ht="15.6">
      <c r="A66" s="28" t="str">
        <v>CDCR - CA Correctional Institution</v>
      </c>
      <c r="B66" s="72" t="str">
        <v>CA</v>
      </c>
      <c r="C66" s="24"/>
      <c r="D66" s="13"/>
      <c r="E66" s="13" t="str">
        <f t="shared" si="6"/>
        <v/>
      </c>
      <c r="F66" s="14" t="str">
        <f t="shared" si="7"/>
        <v/>
      </c>
      <c r="G66" s="15"/>
      <c r="H66" s="64" t="str">
        <f t="shared" si="12"/>
        <v/>
      </c>
      <c r="I66" s="16" t="str">
        <f t="shared" si="2"/>
        <v/>
      </c>
      <c r="J66" s="41"/>
      <c r="K66" s="41"/>
    </row>
    <row r="67" spans="1:11" ht="14.45">
      <c r="A67" s="63" t="str">
        <v>CDCR - CA Correctional Institution II</v>
      </c>
      <c r="B67" s="74" t="str">
        <v>CA</v>
      </c>
      <c r="C67" s="63"/>
      <c r="D67" s="63"/>
      <c r="E67" s="63" t="str">
        <f t="shared" si="6"/>
        <v/>
      </c>
      <c r="F67" s="63" t="str">
        <f t="shared" si="7"/>
        <v/>
      </c>
      <c r="G67" s="63"/>
      <c r="H67" s="63" t="str">
        <f t="shared" si="12"/>
        <v/>
      </c>
      <c r="I67" s="19" t="str">
        <f t="shared" si="2"/>
        <v/>
      </c>
      <c r="J67" s="69"/>
      <c r="K67" s="70"/>
    </row>
    <row r="68" spans="1:11" ht="15.6">
      <c r="A68" s="28" t="str">
        <v>Snowline SD - Vista Verde ES</v>
      </c>
      <c r="B68" s="72" t="str">
        <v>CA</v>
      </c>
      <c r="C68" s="24"/>
      <c r="D68" s="13"/>
      <c r="E68" s="13" t="str">
        <f t="shared" si="6"/>
        <v/>
      </c>
      <c r="F68" s="62" t="str">
        <f t="shared" si="7"/>
        <v/>
      </c>
      <c r="G68" s="15"/>
      <c r="H68" s="64" t="str">
        <f t="shared" si="12"/>
        <v/>
      </c>
      <c r="I68" s="16" t="str">
        <f t="shared" si="2"/>
        <v/>
      </c>
      <c r="J68" s="41"/>
      <c r="K68" s="41"/>
    </row>
    <row r="69" spans="1:11" ht="14.45">
      <c r="A69" s="21" t="str">
        <v>North Stonington</v>
      </c>
      <c r="B69" s="75" t="str">
        <v>CT</v>
      </c>
      <c r="C69" s="21"/>
      <c r="D69" s="21"/>
      <c r="E69" s="21"/>
      <c r="F69" s="22"/>
      <c r="G69" s="21"/>
      <c r="H69" s="21"/>
      <c r="I69" s="22"/>
      <c r="J69" s="21"/>
      <c r="K69" s="21"/>
    </row>
    <row r="70" spans="1:11" ht="14.45">
      <c r="A70" s="21"/>
      <c r="B70" s="75"/>
      <c r="C70" s="21"/>
      <c r="D70" s="21"/>
      <c r="E70" s="21"/>
      <c r="F70" s="22"/>
      <c r="G70" s="21"/>
      <c r="H70" s="21"/>
      <c r="I70" s="22"/>
      <c r="J70" s="21"/>
      <c r="K70" s="21"/>
    </row>
    <row r="71" spans="1:11" ht="14.45">
      <c r="A71" s="21"/>
      <c r="B71" s="75"/>
      <c r="C71" s="21"/>
      <c r="D71" s="21"/>
      <c r="E71" s="21"/>
      <c r="F71" s="22"/>
      <c r="G71" s="21"/>
      <c r="H71" s="21"/>
      <c r="I71" s="22"/>
      <c r="J71" s="21"/>
      <c r="K71" s="21"/>
    </row>
    <row r="72" spans="1:11" ht="14.45">
      <c r="A72" s="21"/>
      <c r="B72" s="75"/>
      <c r="C72" s="21"/>
      <c r="D72" s="21"/>
      <c r="E72" s="21"/>
      <c r="F72" s="22"/>
      <c r="G72" s="21"/>
      <c r="H72" s="21"/>
      <c r="I72" s="22"/>
      <c r="J72" s="21"/>
      <c r="K72" s="21"/>
    </row>
    <row r="73" spans="1:11" ht="14.45">
      <c r="A73" s="21"/>
      <c r="B73" s="75"/>
      <c r="C73" s="21"/>
      <c r="D73" s="21"/>
      <c r="E73" s="21"/>
      <c r="F73" s="22"/>
      <c r="G73" s="21"/>
      <c r="H73" s="21"/>
      <c r="I73" s="22"/>
      <c r="J73" s="21"/>
      <c r="K73" s="21"/>
    </row>
    <row r="74" spans="1:11" ht="14.45">
      <c r="A74" s="21"/>
      <c r="B74" s="75"/>
      <c r="C74" s="21"/>
      <c r="D74" s="21"/>
      <c r="E74" s="21"/>
      <c r="F74" s="22"/>
      <c r="G74" s="21"/>
      <c r="H74" s="21"/>
      <c r="I74" s="22"/>
      <c r="J74" s="21"/>
      <c r="K74" s="21"/>
    </row>
    <row r="75" spans="1:11" ht="14.45">
      <c r="A75" s="21"/>
      <c r="B75" s="75"/>
      <c r="C75" s="21"/>
      <c r="D75" s="21"/>
      <c r="E75" s="21"/>
      <c r="F75" s="22"/>
      <c r="G75" s="21"/>
      <c r="H75" s="21"/>
      <c r="I75" s="22"/>
      <c r="J75" s="21"/>
      <c r="K75" s="21"/>
    </row>
    <row r="76" spans="1:11" ht="14.45">
      <c r="A76" s="21"/>
      <c r="B76" s="75"/>
      <c r="C76" s="21"/>
      <c r="D76" s="21"/>
      <c r="E76" s="21"/>
      <c r="F76" s="22"/>
      <c r="G76" s="21"/>
      <c r="H76" s="21"/>
      <c r="I76" s="22"/>
      <c r="J76" s="21"/>
      <c r="K76" s="21"/>
    </row>
    <row r="77" spans="1:11" ht="14.45">
      <c r="A77" s="21"/>
      <c r="B77" s="75"/>
      <c r="C77" s="21"/>
      <c r="D77" s="21"/>
      <c r="E77" s="21"/>
      <c r="F77" s="22"/>
      <c r="G77" s="21"/>
      <c r="H77" s="21"/>
      <c r="I77" s="22"/>
      <c r="J77" s="21"/>
      <c r="K77" s="21"/>
    </row>
    <row r="78" spans="1:11" ht="14.45">
      <c r="A78" s="21"/>
      <c r="B78" s="75"/>
      <c r="C78" s="21"/>
      <c r="D78" s="21"/>
      <c r="E78" s="21"/>
      <c r="F78" s="22"/>
      <c r="G78" s="21"/>
      <c r="H78" s="21"/>
      <c r="I78" s="22"/>
      <c r="J78" s="21"/>
      <c r="K78" s="21"/>
    </row>
    <row r="79" spans="1:11" ht="14.45">
      <c r="A79" s="21"/>
      <c r="B79" s="75"/>
      <c r="C79" s="21"/>
      <c r="D79" s="21"/>
      <c r="E79" s="21"/>
      <c r="F79" s="22"/>
      <c r="G79" s="21"/>
      <c r="H79" s="21"/>
      <c r="I79" s="22"/>
      <c r="J79" s="21"/>
      <c r="K79" s="21"/>
    </row>
    <row r="80" spans="1:11" ht="14.45">
      <c r="A80" s="21"/>
      <c r="B80" s="75"/>
      <c r="C80" s="21"/>
      <c r="D80" s="21"/>
      <c r="E80" s="21"/>
      <c r="F80" s="22"/>
      <c r="G80" s="21"/>
      <c r="H80" s="21"/>
      <c r="I80" s="22"/>
      <c r="J80" s="21"/>
      <c r="K80" s="21"/>
    </row>
    <row r="81" spans="1:11" ht="14.45">
      <c r="A81" s="21"/>
      <c r="B81" s="75"/>
      <c r="C81" s="21"/>
      <c r="D81" s="21"/>
      <c r="E81" s="21"/>
      <c r="F81" s="22"/>
      <c r="G81" s="21"/>
      <c r="H81" s="21"/>
      <c r="I81" s="22"/>
      <c r="J81" s="21"/>
      <c r="K81" s="21"/>
    </row>
    <row r="82" spans="1:11" ht="14.45">
      <c r="A82" s="21"/>
      <c r="B82" s="75"/>
      <c r="C82" s="21"/>
      <c r="D82" s="21"/>
      <c r="E82" s="21"/>
      <c r="F82" s="22"/>
      <c r="G82" s="21"/>
      <c r="H82" s="21"/>
      <c r="I82" s="22"/>
      <c r="J82" s="21"/>
      <c r="K82" s="21"/>
    </row>
    <row r="83" spans="1:11" ht="14.45">
      <c r="A83" s="21"/>
      <c r="B83" s="75"/>
      <c r="C83" s="21"/>
      <c r="D83" s="21"/>
      <c r="E83" s="21"/>
      <c r="F83" s="22"/>
      <c r="G83" s="21"/>
      <c r="H83" s="21"/>
      <c r="I83" s="22"/>
      <c r="J83" s="21"/>
      <c r="K83" s="21"/>
    </row>
    <row r="84" spans="1:11" ht="14.45">
      <c r="A84" s="21"/>
      <c r="B84" s="75"/>
      <c r="C84" s="21"/>
      <c r="D84" s="21"/>
      <c r="E84" s="21"/>
      <c r="F84" s="22"/>
      <c r="G84" s="21"/>
      <c r="H84" s="21"/>
      <c r="I84" s="22"/>
      <c r="J84" s="21"/>
      <c r="K84" s="21"/>
    </row>
    <row r="85" spans="1:11" ht="14.45">
      <c r="A85" s="21"/>
      <c r="B85" s="75"/>
      <c r="C85" s="21"/>
      <c r="D85" s="21"/>
      <c r="E85" s="21"/>
      <c r="F85" s="22"/>
      <c r="G85" s="21"/>
      <c r="H85" s="21"/>
      <c r="I85" s="22"/>
      <c r="J85" s="21"/>
      <c r="K85" s="21"/>
    </row>
    <row r="86" spans="1:11" ht="14.45">
      <c r="A86" s="21"/>
      <c r="B86" s="75"/>
      <c r="C86" s="21"/>
      <c r="D86" s="21"/>
      <c r="E86" s="21"/>
      <c r="F86" s="22"/>
      <c r="G86" s="21"/>
      <c r="H86" s="21"/>
      <c r="I86" s="22"/>
      <c r="J86" s="21"/>
      <c r="K86" s="21"/>
    </row>
    <row r="87" spans="1:11" ht="14.45">
      <c r="A87" s="21"/>
      <c r="B87" s="75"/>
      <c r="C87" s="21"/>
      <c r="D87" s="21"/>
      <c r="E87" s="21"/>
      <c r="F87" s="22"/>
      <c r="G87" s="21"/>
      <c r="H87" s="21"/>
      <c r="I87" s="22"/>
      <c r="J87" s="21"/>
      <c r="K87" s="21"/>
    </row>
    <row r="88" spans="1:11" ht="14.45">
      <c r="A88" s="21"/>
      <c r="B88" s="75"/>
      <c r="C88" s="21"/>
      <c r="D88" s="21"/>
      <c r="E88" s="21"/>
      <c r="F88" s="22"/>
      <c r="G88" s="21"/>
      <c r="H88" s="21"/>
      <c r="I88" s="22"/>
      <c r="J88" s="21"/>
      <c r="K88" s="21"/>
    </row>
    <row r="89" spans="1:11" ht="14.45">
      <c r="A89" s="21"/>
      <c r="B89" s="75"/>
      <c r="C89" s="21"/>
      <c r="D89" s="21"/>
      <c r="E89" s="21"/>
      <c r="F89" s="22"/>
      <c r="G89" s="21"/>
      <c r="H89" s="21"/>
      <c r="I89" s="22"/>
      <c r="J89" s="21"/>
      <c r="K89" s="21"/>
    </row>
    <row r="90" spans="1:11" ht="14.45">
      <c r="A90" s="21"/>
      <c r="B90" s="75"/>
      <c r="C90" s="21"/>
      <c r="D90" s="21"/>
      <c r="E90" s="21"/>
      <c r="F90" s="22"/>
      <c r="G90" s="21"/>
      <c r="H90" s="21"/>
      <c r="I90" s="22"/>
      <c r="J90" s="21"/>
      <c r="K90" s="21"/>
    </row>
    <row r="91" spans="1:11" ht="14.45">
      <c r="A91" s="21"/>
      <c r="B91" s="75"/>
      <c r="C91" s="21"/>
      <c r="D91" s="21"/>
      <c r="E91" s="21"/>
      <c r="F91" s="22"/>
      <c r="G91" s="21"/>
      <c r="H91" s="21"/>
      <c r="I91" s="22"/>
      <c r="J91" s="21"/>
      <c r="K91" s="21"/>
    </row>
    <row r="92" spans="1:11" ht="14.45">
      <c r="A92" s="21"/>
      <c r="B92" s="75"/>
      <c r="C92" s="21"/>
      <c r="D92" s="21"/>
      <c r="E92" s="21"/>
      <c r="F92" s="22"/>
      <c r="G92" s="21"/>
      <c r="H92" s="21"/>
      <c r="I92" s="22"/>
      <c r="J92" s="21"/>
      <c r="K92" s="21"/>
    </row>
    <row r="93" spans="1:11" ht="14.45">
      <c r="A93" s="21"/>
      <c r="B93" s="75"/>
      <c r="C93" s="21"/>
      <c r="D93" s="21"/>
      <c r="E93" s="21"/>
      <c r="F93" s="22"/>
      <c r="G93" s="21"/>
      <c r="H93" s="21"/>
      <c r="I93" s="22"/>
      <c r="J93" s="21"/>
      <c r="K93" s="21"/>
    </row>
    <row r="94" spans="1:11" ht="14.45">
      <c r="A94" s="21"/>
      <c r="B94" s="75"/>
      <c r="C94" s="21"/>
      <c r="D94" s="21"/>
      <c r="E94" s="21"/>
      <c r="F94" s="22"/>
      <c r="G94" s="21"/>
      <c r="H94" s="21"/>
      <c r="I94" s="22"/>
      <c r="J94" s="21"/>
      <c r="K94" s="21"/>
    </row>
    <row r="95" spans="1:11" ht="14.45">
      <c r="A95" s="21"/>
      <c r="B95" s="75"/>
      <c r="C95" s="21"/>
      <c r="D95" s="21"/>
      <c r="E95" s="21"/>
      <c r="F95" s="22"/>
      <c r="G95" s="21"/>
      <c r="H95" s="21"/>
      <c r="I95" s="22"/>
      <c r="J95" s="21"/>
      <c r="K95" s="21"/>
    </row>
    <row r="96" spans="1:11" ht="14.45">
      <c r="A96" s="21"/>
      <c r="B96" s="75"/>
      <c r="C96" s="21"/>
      <c r="D96" s="21"/>
      <c r="E96" s="21"/>
      <c r="F96" s="22"/>
      <c r="G96" s="21"/>
      <c r="H96" s="21"/>
      <c r="I96" s="22"/>
      <c r="J96" s="21"/>
      <c r="K96" s="21"/>
    </row>
    <row r="97" spans="1:11" ht="14.45">
      <c r="A97" s="21"/>
      <c r="B97" s="75"/>
      <c r="C97" s="21"/>
      <c r="D97" s="21"/>
      <c r="E97" s="21"/>
      <c r="F97" s="22"/>
      <c r="G97" s="21"/>
      <c r="H97" s="21"/>
      <c r="I97" s="22"/>
      <c r="J97" s="21"/>
      <c r="K97" s="21"/>
    </row>
    <row r="98" spans="1:11" ht="14.45">
      <c r="A98" s="21"/>
      <c r="B98" s="75"/>
      <c r="C98" s="21"/>
      <c r="D98" s="21"/>
      <c r="E98" s="21"/>
      <c r="F98" s="22"/>
      <c r="G98" s="21"/>
      <c r="H98" s="21"/>
      <c r="I98" s="22"/>
      <c r="J98" s="21"/>
      <c r="K98" s="21"/>
    </row>
    <row r="99" spans="1:11" ht="14.45">
      <c r="A99" s="21"/>
      <c r="B99" s="75"/>
      <c r="C99" s="21"/>
      <c r="D99" s="21"/>
      <c r="E99" s="21"/>
      <c r="F99" s="22"/>
      <c r="G99" s="21"/>
      <c r="H99" s="21"/>
      <c r="I99" s="22"/>
      <c r="J99" s="21"/>
      <c r="K99" s="21"/>
    </row>
    <row r="100" spans="1:11" ht="14.45">
      <c r="A100" s="21"/>
      <c r="B100" s="75"/>
      <c r="C100" s="21"/>
      <c r="D100" s="21"/>
      <c r="E100" s="21"/>
      <c r="F100" s="22"/>
      <c r="G100" s="21"/>
      <c r="H100" s="21"/>
      <c r="I100" s="22"/>
      <c r="J100" s="21"/>
      <c r="K100" s="21"/>
    </row>
    <row r="101" spans="1:11" ht="14.45">
      <c r="A101" s="21"/>
      <c r="B101" s="75"/>
      <c r="C101" s="21"/>
      <c r="D101" s="21"/>
      <c r="E101" s="21"/>
      <c r="F101" s="22"/>
      <c r="G101" s="21"/>
      <c r="H101" s="21"/>
      <c r="I101" s="22"/>
      <c r="J101" s="21"/>
      <c r="K101" s="21"/>
    </row>
    <row r="102" spans="1:11" ht="14.45">
      <c r="A102" s="21"/>
      <c r="B102" s="75"/>
      <c r="C102" s="21"/>
      <c r="D102" s="21"/>
      <c r="E102" s="21"/>
      <c r="F102" s="22"/>
      <c r="G102" s="21"/>
      <c r="H102" s="21"/>
      <c r="I102" s="22"/>
      <c r="J102" s="21"/>
      <c r="K102" s="21"/>
    </row>
    <row r="103" spans="1:11" ht="14.45">
      <c r="A103" s="21"/>
      <c r="B103" s="75"/>
      <c r="C103" s="21"/>
      <c r="D103" s="21"/>
      <c r="E103" s="21"/>
      <c r="F103" s="22"/>
      <c r="G103" s="21"/>
      <c r="H103" s="21"/>
      <c r="I103" s="22"/>
      <c r="J103" s="21"/>
      <c r="K103" s="21"/>
    </row>
    <row r="104" spans="1:11" ht="14.45">
      <c r="A104" s="21"/>
      <c r="B104" s="75"/>
      <c r="C104" s="21"/>
      <c r="D104" s="21"/>
      <c r="E104" s="21"/>
      <c r="F104" s="22"/>
      <c r="G104" s="21"/>
      <c r="H104" s="21"/>
      <c r="I104" s="22"/>
      <c r="J104" s="21"/>
      <c r="K104" s="21"/>
    </row>
    <row r="105" spans="1:11" ht="14.45">
      <c r="A105" s="21"/>
      <c r="B105" s="75"/>
      <c r="C105" s="21"/>
      <c r="D105" s="21"/>
      <c r="E105" s="21"/>
      <c r="F105" s="22"/>
      <c r="G105" s="21"/>
      <c r="H105" s="21"/>
      <c r="I105" s="22"/>
      <c r="J105" s="21"/>
      <c r="K105" s="21"/>
    </row>
    <row r="106" spans="1:11" ht="14.45">
      <c r="A106" s="21"/>
      <c r="B106" s="75"/>
      <c r="C106" s="21"/>
      <c r="D106" s="21"/>
      <c r="E106" s="21"/>
      <c r="F106" s="22"/>
      <c r="G106" s="21"/>
      <c r="H106" s="21"/>
      <c r="I106" s="22"/>
      <c r="J106" s="21"/>
      <c r="K106" s="21"/>
    </row>
    <row r="107" spans="1:11" ht="14.45">
      <c r="A107" s="21"/>
      <c r="B107" s="75"/>
      <c r="C107" s="21"/>
      <c r="D107" s="21"/>
      <c r="E107" s="21"/>
      <c r="F107" s="22"/>
      <c r="G107" s="21"/>
      <c r="H107" s="21"/>
      <c r="I107" s="22"/>
      <c r="J107" s="21"/>
      <c r="K107" s="21"/>
    </row>
    <row r="108" spans="1:11" ht="14.45">
      <c r="A108" s="21"/>
      <c r="B108" s="75"/>
      <c r="C108" s="21"/>
      <c r="D108" s="21"/>
      <c r="E108" s="21"/>
      <c r="F108" s="22"/>
      <c r="G108" s="21"/>
      <c r="H108" s="21"/>
      <c r="I108" s="22"/>
      <c r="J108" s="21"/>
      <c r="K108" s="21"/>
    </row>
    <row r="109" spans="1:11" ht="14.45">
      <c r="A109" s="21"/>
      <c r="B109" s="75"/>
      <c r="C109" s="21"/>
      <c r="D109" s="21"/>
      <c r="E109" s="21"/>
      <c r="F109" s="22"/>
      <c r="G109" s="21"/>
      <c r="H109" s="21"/>
      <c r="I109" s="22"/>
      <c r="J109" s="21"/>
      <c r="K109" s="21"/>
    </row>
    <row r="110" spans="1:11" ht="14.45">
      <c r="A110" s="21"/>
      <c r="B110" s="75"/>
      <c r="C110" s="21"/>
      <c r="D110" s="21"/>
      <c r="E110" s="21"/>
      <c r="F110" s="22"/>
      <c r="G110" s="21"/>
      <c r="H110" s="21"/>
      <c r="I110" s="22"/>
      <c r="J110" s="21"/>
      <c r="K110" s="21"/>
    </row>
    <row r="111" spans="1:11" ht="14.45">
      <c r="A111" s="21"/>
      <c r="B111" s="75"/>
      <c r="C111" s="21"/>
      <c r="D111" s="21"/>
      <c r="E111" s="21"/>
      <c r="F111" s="22"/>
      <c r="G111" s="21"/>
      <c r="H111" s="21"/>
      <c r="I111" s="22"/>
      <c r="J111" s="21"/>
      <c r="K111" s="21"/>
    </row>
    <row r="112" spans="1:11" ht="14.45">
      <c r="A112" s="21"/>
      <c r="B112" s="75"/>
      <c r="C112" s="21"/>
      <c r="D112" s="21"/>
      <c r="E112" s="21"/>
      <c r="F112" s="22"/>
      <c r="G112" s="21"/>
      <c r="H112" s="21"/>
      <c r="I112" s="22"/>
      <c r="J112" s="21"/>
      <c r="K112" s="21"/>
    </row>
    <row r="113" spans="1:11" ht="14.45">
      <c r="A113" s="21"/>
      <c r="B113" s="75"/>
      <c r="C113" s="21"/>
      <c r="D113" s="21"/>
      <c r="E113" s="21"/>
      <c r="F113" s="22"/>
      <c r="G113" s="21"/>
      <c r="H113" s="21"/>
      <c r="I113" s="22"/>
      <c r="J113" s="21"/>
      <c r="K113" s="21"/>
    </row>
    <row r="114" spans="1:11" ht="14.45">
      <c r="A114" s="21"/>
      <c r="B114" s="75"/>
      <c r="C114" s="21"/>
      <c r="D114" s="21"/>
      <c r="E114" s="21"/>
      <c r="F114" s="22"/>
      <c r="G114" s="21"/>
      <c r="H114" s="21"/>
      <c r="I114" s="22"/>
      <c r="J114" s="21"/>
      <c r="K114" s="21"/>
    </row>
    <row r="115" spans="1:11" ht="14.45">
      <c r="A115" s="21"/>
      <c r="B115" s="75"/>
      <c r="C115" s="21"/>
      <c r="D115" s="21"/>
      <c r="E115" s="21"/>
      <c r="F115" s="22"/>
      <c r="G115" s="21"/>
      <c r="H115" s="21"/>
      <c r="I115" s="22"/>
      <c r="J115" s="21"/>
      <c r="K115" s="21"/>
    </row>
    <row r="116" spans="1:11" ht="14.45">
      <c r="A116" s="21"/>
      <c r="B116" s="75"/>
      <c r="C116" s="21"/>
      <c r="D116" s="21"/>
      <c r="E116" s="21"/>
      <c r="F116" s="22"/>
      <c r="G116" s="21"/>
      <c r="H116" s="21"/>
      <c r="I116" s="22"/>
      <c r="J116" s="21"/>
      <c r="K116" s="21"/>
    </row>
    <row r="117" spans="1:11" ht="14.45">
      <c r="A117" s="21"/>
      <c r="B117" s="75"/>
      <c r="C117" s="21"/>
      <c r="D117" s="21"/>
      <c r="E117" s="21"/>
      <c r="F117" s="22"/>
      <c r="G117" s="21"/>
      <c r="H117" s="21"/>
      <c r="I117" s="22"/>
      <c r="J117" s="21"/>
      <c r="K117" s="21"/>
    </row>
    <row r="118" spans="1:11" ht="14.45">
      <c r="A118" s="21"/>
      <c r="B118" s="75"/>
      <c r="C118" s="21"/>
      <c r="D118" s="21"/>
      <c r="E118" s="21"/>
      <c r="F118" s="22"/>
      <c r="G118" s="21"/>
      <c r="H118" s="21"/>
      <c r="I118" s="22"/>
      <c r="J118" s="21"/>
      <c r="K118" s="21"/>
    </row>
    <row r="119" spans="1:11" ht="14.45">
      <c r="A119" s="21"/>
      <c r="B119" s="75"/>
      <c r="C119" s="21"/>
      <c r="D119" s="21"/>
      <c r="E119" s="21"/>
      <c r="F119" s="22"/>
      <c r="G119" s="21"/>
      <c r="H119" s="21"/>
      <c r="I119" s="22"/>
      <c r="J119" s="21"/>
      <c r="K119" s="21"/>
    </row>
    <row r="120" spans="1:11" ht="14.45">
      <c r="A120" s="21"/>
      <c r="B120" s="75"/>
      <c r="C120" s="21"/>
      <c r="D120" s="21"/>
      <c r="E120" s="21"/>
      <c r="F120" s="22"/>
      <c r="G120" s="21"/>
      <c r="H120" s="21"/>
      <c r="I120" s="22"/>
      <c r="J120" s="21"/>
      <c r="K120" s="21"/>
    </row>
    <row r="121" spans="1:11" ht="14.45">
      <c r="A121" s="21"/>
      <c r="B121" s="75"/>
      <c r="C121" s="21"/>
      <c r="D121" s="21"/>
      <c r="E121" s="21"/>
      <c r="F121" s="22"/>
      <c r="G121" s="21"/>
      <c r="H121" s="21"/>
      <c r="I121" s="22"/>
      <c r="J121" s="21"/>
      <c r="K121" s="21"/>
    </row>
    <row r="122" spans="1:11" ht="14.45">
      <c r="A122" s="21"/>
      <c r="B122" s="75"/>
      <c r="C122" s="21"/>
      <c r="D122" s="21"/>
      <c r="E122" s="21"/>
      <c r="F122" s="22"/>
      <c r="G122" s="21"/>
      <c r="H122" s="21"/>
      <c r="I122" s="22"/>
      <c r="J122" s="21"/>
      <c r="K122" s="21"/>
    </row>
    <row r="123" spans="1:11" ht="14.45">
      <c r="A123" s="21"/>
      <c r="B123" s="75"/>
      <c r="C123" s="21"/>
      <c r="D123" s="21"/>
      <c r="E123" s="21"/>
      <c r="F123" s="22"/>
      <c r="G123" s="21"/>
      <c r="H123" s="21"/>
      <c r="I123" s="22"/>
      <c r="J123" s="21"/>
      <c r="K123" s="21"/>
    </row>
    <row r="124" spans="1:11" ht="14.45">
      <c r="A124" s="21"/>
      <c r="B124" s="75"/>
      <c r="C124" s="21"/>
      <c r="D124" s="21"/>
      <c r="E124" s="21"/>
      <c r="F124" s="22"/>
      <c r="G124" s="21"/>
      <c r="H124" s="21"/>
      <c r="I124" s="22"/>
      <c r="J124" s="21"/>
      <c r="K124" s="21"/>
    </row>
    <row r="125" spans="1:11" ht="14.45">
      <c r="A125" s="21"/>
      <c r="B125" s="75"/>
      <c r="C125" s="21"/>
      <c r="D125" s="21"/>
      <c r="E125" s="21"/>
      <c r="F125" s="22"/>
      <c r="G125" s="21"/>
      <c r="H125" s="21"/>
      <c r="I125" s="22"/>
      <c r="J125" s="21"/>
      <c r="K125" s="21"/>
    </row>
    <row r="126" spans="1:11" ht="14.45">
      <c r="A126" s="21"/>
      <c r="B126" s="75"/>
      <c r="C126" s="21"/>
      <c r="D126" s="21"/>
      <c r="E126" s="21"/>
      <c r="F126" s="22"/>
      <c r="G126" s="21"/>
      <c r="H126" s="21"/>
      <c r="I126" s="22"/>
      <c r="J126" s="21"/>
      <c r="K126" s="21"/>
    </row>
    <row r="127" spans="1:11" ht="14.45">
      <c r="A127" s="21"/>
      <c r="B127" s="75"/>
      <c r="C127" s="21"/>
      <c r="D127" s="21"/>
      <c r="E127" s="21"/>
      <c r="F127" s="22"/>
      <c r="G127" s="21"/>
      <c r="H127" s="21"/>
      <c r="I127" s="22"/>
      <c r="J127" s="21"/>
      <c r="K127" s="21"/>
    </row>
    <row r="128" spans="1:11" ht="14.45">
      <c r="A128" s="21"/>
      <c r="B128" s="75"/>
      <c r="C128" s="21"/>
      <c r="D128" s="21"/>
      <c r="E128" s="21"/>
      <c r="F128" s="22"/>
      <c r="G128" s="21"/>
      <c r="H128" s="21"/>
      <c r="I128" s="22"/>
      <c r="J128" s="21"/>
      <c r="K128" s="21"/>
    </row>
    <row r="129" spans="1:11" ht="14.45">
      <c r="A129" s="21"/>
      <c r="B129" s="75"/>
      <c r="C129" s="21"/>
      <c r="D129" s="21"/>
      <c r="E129" s="21"/>
      <c r="F129" s="22"/>
      <c r="G129" s="21"/>
      <c r="H129" s="21"/>
      <c r="I129" s="22"/>
      <c r="J129" s="21"/>
      <c r="K129" s="21"/>
    </row>
    <row r="130" spans="1:11" ht="14.45">
      <c r="A130" s="21"/>
      <c r="B130" s="75"/>
      <c r="C130" s="21"/>
      <c r="D130" s="21"/>
      <c r="E130" s="21"/>
      <c r="F130" s="22"/>
      <c r="G130" s="21"/>
      <c r="H130" s="21"/>
      <c r="I130" s="22"/>
      <c r="J130" s="21"/>
      <c r="K130" s="21"/>
    </row>
    <row r="131" spans="1:11" ht="14.45">
      <c r="A131" s="21"/>
      <c r="B131" s="75"/>
      <c r="C131" s="21"/>
      <c r="D131" s="21"/>
      <c r="E131" s="21"/>
      <c r="F131" s="22"/>
      <c r="G131" s="21"/>
      <c r="H131" s="21"/>
      <c r="I131" s="22"/>
      <c r="J131" s="21"/>
      <c r="K131" s="21"/>
    </row>
    <row r="132" spans="1:11" ht="14.45">
      <c r="A132" s="21"/>
      <c r="B132" s="75"/>
      <c r="C132" s="21"/>
      <c r="D132" s="21"/>
      <c r="E132" s="21"/>
      <c r="F132" s="22"/>
      <c r="G132" s="21"/>
      <c r="H132" s="21"/>
      <c r="I132" s="22"/>
      <c r="J132" s="21"/>
      <c r="K132" s="21"/>
    </row>
    <row r="133" spans="1:11" ht="14.45">
      <c r="A133" s="21"/>
      <c r="B133" s="75"/>
      <c r="C133" s="21"/>
      <c r="D133" s="21"/>
      <c r="E133" s="21"/>
      <c r="F133" s="22"/>
      <c r="G133" s="21"/>
      <c r="H133" s="21"/>
      <c r="I133" s="22"/>
      <c r="J133" s="21"/>
      <c r="K133" s="21"/>
    </row>
    <row r="134" spans="1:11" ht="14.45">
      <c r="A134" s="21"/>
      <c r="B134" s="75"/>
      <c r="C134" s="21"/>
      <c r="D134" s="21"/>
      <c r="E134" s="21"/>
      <c r="F134" s="22"/>
      <c r="G134" s="21"/>
      <c r="H134" s="21"/>
      <c r="I134" s="22"/>
      <c r="J134" s="21"/>
      <c r="K134" s="21"/>
    </row>
    <row r="135" spans="1:11" ht="14.45">
      <c r="A135" s="21"/>
      <c r="B135" s="75"/>
      <c r="C135" s="21"/>
      <c r="D135" s="21"/>
      <c r="E135" s="21"/>
      <c r="F135" s="22"/>
      <c r="G135" s="21"/>
      <c r="H135" s="21"/>
      <c r="I135" s="22"/>
      <c r="J135" s="21"/>
      <c r="K135" s="21"/>
    </row>
    <row r="136" spans="1:11" ht="14.45">
      <c r="A136" s="21"/>
      <c r="B136" s="75"/>
      <c r="C136" s="21"/>
      <c r="D136" s="21"/>
      <c r="E136" s="21"/>
      <c r="F136" s="22"/>
      <c r="G136" s="21"/>
      <c r="H136" s="21"/>
      <c r="I136" s="22"/>
      <c r="J136" s="21"/>
      <c r="K136" s="21"/>
    </row>
    <row r="137" spans="1:11" ht="14.45">
      <c r="A137" s="21"/>
      <c r="B137" s="75"/>
      <c r="C137" s="21"/>
      <c r="D137" s="21"/>
      <c r="E137" s="21"/>
      <c r="F137" s="22"/>
      <c r="G137" s="21"/>
      <c r="H137" s="21"/>
      <c r="I137" s="22"/>
      <c r="J137" s="21"/>
      <c r="K137" s="21"/>
    </row>
    <row r="138" spans="1:11" ht="14.45">
      <c r="A138" s="21"/>
      <c r="B138" s="75"/>
      <c r="C138" s="21"/>
      <c r="D138" s="21"/>
      <c r="E138" s="21"/>
      <c r="F138" s="22"/>
      <c r="G138" s="21"/>
      <c r="H138" s="21"/>
      <c r="I138" s="22"/>
      <c r="J138" s="21"/>
      <c r="K138" s="21"/>
    </row>
    <row r="139" spans="1:11" ht="14.45">
      <c r="A139" s="21"/>
      <c r="B139" s="75"/>
      <c r="C139" s="21"/>
      <c r="D139" s="21"/>
      <c r="E139" s="21"/>
      <c r="F139" s="22"/>
      <c r="G139" s="21"/>
      <c r="H139" s="21"/>
      <c r="I139" s="22"/>
      <c r="J139" s="21"/>
      <c r="K139" s="21"/>
    </row>
    <row r="140" spans="1:11" ht="14.45">
      <c r="A140" s="21"/>
      <c r="B140" s="75"/>
      <c r="C140" s="21"/>
      <c r="D140" s="21"/>
      <c r="E140" s="21"/>
      <c r="F140" s="22"/>
      <c r="G140" s="21"/>
      <c r="H140" s="21"/>
      <c r="I140" s="22"/>
      <c r="J140" s="21"/>
      <c r="K140" s="21"/>
    </row>
    <row r="141" spans="1:11" ht="14.45">
      <c r="A141" s="21"/>
      <c r="B141" s="75"/>
      <c r="C141" s="21"/>
      <c r="D141" s="21"/>
      <c r="E141" s="21"/>
      <c r="F141" s="22"/>
      <c r="G141" s="21"/>
      <c r="H141" s="21"/>
      <c r="I141" s="22"/>
      <c r="J141" s="21"/>
      <c r="K141" s="21"/>
    </row>
    <row r="142" spans="1:11" ht="14.45">
      <c r="A142" s="21"/>
      <c r="B142" s="75"/>
      <c r="C142" s="21"/>
      <c r="D142" s="21"/>
      <c r="E142" s="21"/>
      <c r="F142" s="22"/>
      <c r="G142" s="21"/>
      <c r="H142" s="21"/>
      <c r="I142" s="22"/>
      <c r="J142" s="21"/>
      <c r="K142" s="21"/>
    </row>
    <row r="143" spans="1:11" ht="14.45">
      <c r="A143" s="21"/>
      <c r="B143" s="75"/>
      <c r="C143" s="21"/>
      <c r="D143" s="21"/>
      <c r="E143" s="21"/>
      <c r="F143" s="22"/>
      <c r="G143" s="21"/>
      <c r="H143" s="21"/>
      <c r="I143" s="22"/>
      <c r="J143" s="21"/>
      <c r="K143" s="21"/>
    </row>
    <row r="144" spans="1:11" ht="14.45">
      <c r="A144" s="21"/>
      <c r="B144" s="75"/>
      <c r="C144" s="21"/>
      <c r="D144" s="21"/>
      <c r="E144" s="21"/>
      <c r="F144" s="22"/>
      <c r="G144" s="21"/>
      <c r="H144" s="21"/>
      <c r="I144" s="22"/>
      <c r="J144" s="21"/>
      <c r="K144" s="21"/>
    </row>
    <row r="145" spans="1:11" ht="14.45">
      <c r="A145" s="21"/>
      <c r="B145" s="75"/>
      <c r="C145" s="21"/>
      <c r="D145" s="21"/>
      <c r="E145" s="21"/>
      <c r="F145" s="22"/>
      <c r="G145" s="21"/>
      <c r="H145" s="21"/>
      <c r="I145" s="22"/>
      <c r="J145" s="21"/>
      <c r="K145" s="21"/>
    </row>
    <row r="146" spans="1:11" ht="14.45">
      <c r="A146" s="21"/>
      <c r="B146" s="75"/>
      <c r="C146" s="21"/>
      <c r="D146" s="21"/>
      <c r="E146" s="21"/>
      <c r="F146" s="22"/>
      <c r="G146" s="21"/>
      <c r="H146" s="21"/>
      <c r="I146" s="22"/>
      <c r="J146" s="21"/>
      <c r="K146" s="21"/>
    </row>
    <row r="147" spans="1:11" ht="14.45">
      <c r="A147" s="21"/>
      <c r="B147" s="75"/>
      <c r="C147" s="21"/>
      <c r="D147" s="21"/>
      <c r="E147" s="21"/>
      <c r="F147" s="22"/>
      <c r="G147" s="21"/>
      <c r="H147" s="21"/>
      <c r="I147" s="22"/>
      <c r="J147" s="21"/>
      <c r="K147" s="21"/>
    </row>
    <row r="148" spans="1:11" ht="14.45">
      <c r="A148" s="21"/>
      <c r="B148" s="75"/>
      <c r="C148" s="21"/>
      <c r="D148" s="21"/>
      <c r="E148" s="21"/>
      <c r="F148" s="22"/>
      <c r="G148" s="21"/>
      <c r="H148" s="21"/>
      <c r="I148" s="22"/>
      <c r="J148" s="21"/>
      <c r="K148" s="21"/>
    </row>
    <row r="149" spans="1:11" ht="14.45">
      <c r="A149" s="21"/>
      <c r="B149" s="75"/>
      <c r="C149" s="21"/>
      <c r="D149" s="21"/>
      <c r="E149" s="21"/>
      <c r="F149" s="22"/>
      <c r="G149" s="21"/>
      <c r="H149" s="21"/>
      <c r="I149" s="22"/>
      <c r="J149" s="21"/>
      <c r="K149" s="21"/>
    </row>
    <row r="150" spans="1:11" ht="14.45">
      <c r="A150" s="21"/>
      <c r="B150" s="75"/>
      <c r="C150" s="21"/>
      <c r="D150" s="21"/>
      <c r="E150" s="21"/>
      <c r="F150" s="22"/>
      <c r="G150" s="21"/>
      <c r="H150" s="21"/>
      <c r="I150" s="22"/>
      <c r="J150" s="21"/>
      <c r="K150" s="21"/>
    </row>
    <row r="151" spans="1:11" ht="14.45">
      <c r="A151" s="21"/>
      <c r="B151" s="75"/>
      <c r="C151" s="21"/>
      <c r="D151" s="21"/>
      <c r="E151" s="21"/>
      <c r="F151" s="22"/>
      <c r="G151" s="21"/>
      <c r="H151" s="21"/>
      <c r="I151" s="22"/>
      <c r="J151" s="21"/>
      <c r="K151" s="21"/>
    </row>
    <row r="152" spans="1:11" ht="14.45">
      <c r="A152" s="21"/>
      <c r="B152" s="75"/>
      <c r="C152" s="21"/>
      <c r="D152" s="21"/>
      <c r="E152" s="21"/>
      <c r="F152" s="22"/>
      <c r="G152" s="21"/>
      <c r="H152" s="21"/>
      <c r="I152" s="22"/>
      <c r="J152" s="21"/>
      <c r="K152" s="21"/>
    </row>
    <row r="153" spans="1:11" ht="14.45">
      <c r="A153" s="21"/>
      <c r="B153" s="75"/>
      <c r="C153" s="21"/>
      <c r="D153" s="21"/>
      <c r="E153" s="21"/>
      <c r="F153" s="22"/>
      <c r="G153" s="21"/>
      <c r="H153" s="21"/>
      <c r="I153" s="22"/>
      <c r="J153" s="21"/>
      <c r="K153" s="21"/>
    </row>
    <row r="154" spans="1:11" ht="14.45">
      <c r="A154" s="21"/>
      <c r="B154" s="75"/>
      <c r="C154" s="21"/>
      <c r="D154" s="21"/>
      <c r="E154" s="21"/>
      <c r="F154" s="22"/>
      <c r="G154" s="21"/>
      <c r="H154" s="21"/>
      <c r="I154" s="22"/>
      <c r="J154" s="21"/>
      <c r="K154" s="21"/>
    </row>
    <row r="155" spans="1:11" ht="14.45">
      <c r="A155" s="21"/>
      <c r="B155" s="75"/>
      <c r="C155" s="21"/>
      <c r="D155" s="21"/>
      <c r="E155" s="21"/>
      <c r="F155" s="22"/>
      <c r="G155" s="21"/>
      <c r="H155" s="21"/>
      <c r="I155" s="22"/>
      <c r="J155" s="21"/>
      <c r="K155" s="21"/>
    </row>
    <row r="156" spans="1:11" ht="14.45">
      <c r="A156" s="21"/>
      <c r="B156" s="75"/>
      <c r="C156" s="21"/>
      <c r="D156" s="21"/>
      <c r="E156" s="21"/>
      <c r="F156" s="22"/>
      <c r="G156" s="21"/>
      <c r="H156" s="21"/>
      <c r="I156" s="22"/>
      <c r="J156" s="21"/>
      <c r="K156" s="21"/>
    </row>
    <row r="157" spans="1:11" ht="14.45">
      <c r="A157" s="21"/>
      <c r="B157" s="75"/>
      <c r="C157" s="21"/>
      <c r="D157" s="21"/>
      <c r="E157" s="21"/>
      <c r="F157" s="22"/>
      <c r="G157" s="21"/>
      <c r="H157" s="21"/>
      <c r="I157" s="22"/>
      <c r="J157" s="21"/>
      <c r="K157" s="21"/>
    </row>
    <row r="158" spans="1:11" ht="14.45">
      <c r="A158" s="21"/>
      <c r="B158" s="75"/>
      <c r="C158" s="21"/>
      <c r="D158" s="21"/>
      <c r="E158" s="21"/>
      <c r="F158" s="22"/>
      <c r="G158" s="21"/>
      <c r="H158" s="21"/>
      <c r="I158" s="22"/>
      <c r="J158" s="21"/>
      <c r="K158" s="21"/>
    </row>
    <row r="159" spans="1:11" ht="14.45">
      <c r="A159" s="21"/>
      <c r="B159" s="75"/>
      <c r="C159" s="21"/>
      <c r="D159" s="21"/>
      <c r="E159" s="21"/>
      <c r="F159" s="22"/>
      <c r="G159" s="21"/>
      <c r="H159" s="21"/>
      <c r="I159" s="22"/>
      <c r="J159" s="21"/>
      <c r="K159" s="21"/>
    </row>
    <row r="160" spans="1:11" ht="14.45">
      <c r="A160" s="21"/>
      <c r="B160" s="75"/>
      <c r="C160" s="21"/>
      <c r="D160" s="21"/>
      <c r="E160" s="21"/>
      <c r="F160" s="22"/>
      <c r="G160" s="21"/>
      <c r="H160" s="21"/>
      <c r="I160" s="22"/>
      <c r="J160" s="21"/>
      <c r="K160" s="21"/>
    </row>
    <row r="161" spans="1:11" ht="14.45">
      <c r="A161" s="21"/>
      <c r="B161" s="75"/>
      <c r="C161" s="21"/>
      <c r="D161" s="21"/>
      <c r="E161" s="21"/>
      <c r="F161" s="22"/>
      <c r="G161" s="21"/>
      <c r="H161" s="21"/>
      <c r="I161" s="22"/>
      <c r="J161" s="21"/>
      <c r="K161" s="21"/>
    </row>
    <row r="162" spans="1:11" ht="14.45">
      <c r="A162" s="21"/>
      <c r="B162" s="75"/>
      <c r="C162" s="21"/>
      <c r="D162" s="21"/>
      <c r="E162" s="21"/>
      <c r="F162" s="22"/>
      <c r="G162" s="21"/>
      <c r="H162" s="21"/>
      <c r="I162" s="22"/>
      <c r="J162" s="21"/>
      <c r="K162" s="21"/>
    </row>
    <row r="163" spans="1:11" ht="14.45">
      <c r="A163" s="21"/>
      <c r="B163" s="75"/>
      <c r="C163" s="21"/>
      <c r="D163" s="21"/>
      <c r="E163" s="21"/>
      <c r="F163" s="22"/>
      <c r="G163" s="21"/>
      <c r="H163" s="21"/>
      <c r="I163" s="22"/>
      <c r="J163" s="21"/>
      <c r="K163" s="21"/>
    </row>
    <row r="164" spans="1:11" ht="14.45">
      <c r="A164" s="21"/>
      <c r="B164" s="75"/>
      <c r="C164" s="21"/>
      <c r="D164" s="21"/>
      <c r="E164" s="21"/>
      <c r="F164" s="22"/>
      <c r="G164" s="21"/>
      <c r="H164" s="21"/>
      <c r="I164" s="22"/>
      <c r="J164" s="21"/>
      <c r="K164" s="21"/>
    </row>
    <row r="165" spans="1:11" ht="14.45">
      <c r="A165" s="21"/>
      <c r="B165" s="75"/>
      <c r="C165" s="21"/>
      <c r="D165" s="21"/>
      <c r="E165" s="21"/>
      <c r="F165" s="22"/>
      <c r="G165" s="21"/>
      <c r="H165" s="21"/>
      <c r="I165" s="22"/>
      <c r="J165" s="21"/>
      <c r="K165" s="21"/>
    </row>
    <row r="166" spans="1:11" ht="14.45">
      <c r="A166" s="21"/>
      <c r="B166" s="75"/>
      <c r="C166" s="21"/>
      <c r="D166" s="21"/>
      <c r="E166" s="21"/>
      <c r="F166" s="22"/>
      <c r="G166" s="21"/>
      <c r="H166" s="21"/>
      <c r="I166" s="22"/>
      <c r="J166" s="21"/>
      <c r="K166" s="21"/>
    </row>
    <row r="167" spans="1:11" ht="14.45">
      <c r="A167" s="21"/>
      <c r="B167" s="75"/>
      <c r="C167" s="21"/>
      <c r="D167" s="21"/>
      <c r="E167" s="21"/>
      <c r="F167" s="22"/>
      <c r="G167" s="21"/>
      <c r="H167" s="21"/>
      <c r="I167" s="22"/>
      <c r="J167" s="21"/>
      <c r="K167" s="21"/>
    </row>
    <row r="168" spans="1:11" ht="14.45">
      <c r="A168" s="21"/>
      <c r="B168" s="75"/>
      <c r="C168" s="21"/>
      <c r="D168" s="21"/>
      <c r="E168" s="21"/>
      <c r="F168" s="22"/>
      <c r="G168" s="21"/>
      <c r="H168" s="21"/>
      <c r="I168" s="22"/>
      <c r="J168" s="21"/>
      <c r="K168" s="21"/>
    </row>
    <row r="169" spans="1:11" ht="14.45">
      <c r="A169" s="21"/>
      <c r="B169" s="75"/>
      <c r="C169" s="21"/>
      <c r="D169" s="21"/>
      <c r="E169" s="21"/>
      <c r="F169" s="22"/>
      <c r="G169" s="21"/>
      <c r="H169" s="21"/>
      <c r="I169" s="22"/>
      <c r="J169" s="21"/>
      <c r="K169" s="21"/>
    </row>
    <row r="170" spans="1:11" ht="14.45">
      <c r="A170" s="21"/>
      <c r="B170" s="75"/>
      <c r="C170" s="21"/>
      <c r="D170" s="21"/>
      <c r="E170" s="21"/>
      <c r="F170" s="22"/>
      <c r="G170" s="21"/>
      <c r="H170" s="21"/>
      <c r="I170" s="22"/>
      <c r="J170" s="21"/>
      <c r="K170" s="21"/>
    </row>
    <row r="171" spans="1:11" ht="14.45">
      <c r="A171" s="21"/>
      <c r="B171" s="75"/>
      <c r="C171" s="21"/>
      <c r="D171" s="21"/>
      <c r="E171" s="21"/>
      <c r="F171" s="22"/>
      <c r="G171" s="21"/>
      <c r="H171" s="21"/>
      <c r="I171" s="22"/>
      <c r="J171" s="21"/>
      <c r="K171" s="21"/>
    </row>
    <row r="172" spans="1:11" ht="14.45">
      <c r="A172" s="21"/>
      <c r="B172" s="75"/>
      <c r="C172" s="21"/>
      <c r="D172" s="21"/>
      <c r="E172" s="21"/>
      <c r="F172" s="22"/>
      <c r="G172" s="21"/>
      <c r="H172" s="21"/>
      <c r="I172" s="22"/>
      <c r="J172" s="21"/>
      <c r="K172" s="21"/>
    </row>
    <row r="173" spans="1:11" ht="14.45">
      <c r="A173" s="21"/>
      <c r="B173" s="75"/>
      <c r="C173" s="21"/>
      <c r="D173" s="21"/>
      <c r="E173" s="21"/>
      <c r="F173" s="22"/>
      <c r="G173" s="21"/>
      <c r="H173" s="21"/>
      <c r="I173" s="22"/>
      <c r="J173" s="21"/>
      <c r="K173" s="21"/>
    </row>
    <row r="174" spans="1:11" ht="14.45">
      <c r="A174" s="21"/>
      <c r="B174" s="75"/>
      <c r="C174" s="21"/>
      <c r="D174" s="21"/>
      <c r="E174" s="21"/>
      <c r="F174" s="22"/>
      <c r="G174" s="21"/>
      <c r="H174" s="21"/>
      <c r="I174" s="22"/>
      <c r="J174" s="21"/>
      <c r="K174" s="21"/>
    </row>
    <row r="175" spans="1:11" ht="14.45">
      <c r="A175" s="21"/>
      <c r="B175" s="75"/>
      <c r="C175" s="21"/>
      <c r="D175" s="21"/>
      <c r="E175" s="21"/>
      <c r="F175" s="22"/>
      <c r="G175" s="21"/>
      <c r="H175" s="21"/>
      <c r="I175" s="22"/>
      <c r="J175" s="21"/>
      <c r="K175" s="21"/>
    </row>
    <row r="176" spans="1:11" ht="14.45">
      <c r="A176" s="21"/>
      <c r="B176" s="75"/>
      <c r="C176" s="21"/>
      <c r="D176" s="21"/>
      <c r="E176" s="21"/>
      <c r="F176" s="22"/>
      <c r="G176" s="21"/>
      <c r="H176" s="21"/>
      <c r="I176" s="22"/>
      <c r="J176" s="21"/>
      <c r="K176" s="21"/>
    </row>
    <row r="177" spans="1:11" ht="14.45">
      <c r="A177" s="21"/>
      <c r="B177" s="75"/>
      <c r="C177" s="21"/>
      <c r="D177" s="21"/>
      <c r="E177" s="21"/>
      <c r="F177" s="22"/>
      <c r="G177" s="21"/>
      <c r="H177" s="21"/>
      <c r="I177" s="22"/>
      <c r="J177" s="21"/>
      <c r="K177" s="21"/>
    </row>
    <row r="178" spans="1:11" ht="14.45">
      <c r="A178" s="21"/>
      <c r="B178" s="75"/>
      <c r="C178" s="21"/>
      <c r="D178" s="21"/>
      <c r="E178" s="21"/>
      <c r="F178" s="22"/>
      <c r="G178" s="21"/>
      <c r="H178" s="21"/>
      <c r="I178" s="22"/>
      <c r="J178" s="21"/>
      <c r="K178" s="21"/>
    </row>
    <row r="179" spans="1:11" ht="14.45">
      <c r="A179" s="21"/>
      <c r="B179" s="75"/>
      <c r="C179" s="21"/>
      <c r="D179" s="21"/>
      <c r="E179" s="21"/>
      <c r="F179" s="22"/>
      <c r="G179" s="21"/>
      <c r="H179" s="21"/>
      <c r="I179" s="22"/>
      <c r="J179" s="21"/>
      <c r="K179" s="21"/>
    </row>
    <row r="180" spans="1:11" ht="14.45">
      <c r="A180" s="21"/>
      <c r="B180" s="75"/>
      <c r="C180" s="21"/>
      <c r="D180" s="21"/>
      <c r="E180" s="21"/>
      <c r="F180" s="22"/>
      <c r="G180" s="21"/>
      <c r="H180" s="21"/>
      <c r="I180" s="22"/>
      <c r="J180" s="21"/>
      <c r="K180" s="21"/>
    </row>
    <row r="181" spans="1:11" ht="14.45">
      <c r="A181" s="21"/>
      <c r="B181" s="75"/>
      <c r="C181" s="21"/>
      <c r="D181" s="21"/>
      <c r="E181" s="21"/>
      <c r="F181" s="22"/>
      <c r="G181" s="21"/>
      <c r="H181" s="21"/>
      <c r="I181" s="22"/>
      <c r="J181" s="21"/>
      <c r="K181" s="21"/>
    </row>
    <row r="182" spans="1:11" ht="14.45">
      <c r="A182" s="21"/>
      <c r="B182" s="75"/>
      <c r="C182" s="21"/>
      <c r="D182" s="21"/>
      <c r="E182" s="21"/>
      <c r="F182" s="22"/>
      <c r="G182" s="21"/>
      <c r="H182" s="21"/>
      <c r="I182" s="22"/>
      <c r="J182" s="21"/>
      <c r="K182" s="21"/>
    </row>
    <row r="183" spans="1:11" ht="14.45">
      <c r="A183" s="21"/>
      <c r="B183" s="75"/>
      <c r="C183" s="21"/>
      <c r="D183" s="21"/>
      <c r="E183" s="21"/>
      <c r="F183" s="22"/>
      <c r="G183" s="21"/>
      <c r="H183" s="21"/>
      <c r="I183" s="22"/>
      <c r="J183" s="21"/>
      <c r="K183" s="21"/>
    </row>
    <row r="184" spans="1:11" ht="14.45">
      <c r="A184" s="21"/>
      <c r="B184" s="75"/>
      <c r="C184" s="21"/>
      <c r="D184" s="21"/>
      <c r="E184" s="21"/>
      <c r="F184" s="22"/>
      <c r="G184" s="21"/>
      <c r="H184" s="21"/>
      <c r="I184" s="22"/>
      <c r="J184" s="21"/>
      <c r="K184" s="21"/>
    </row>
    <row r="185" spans="1:11" ht="14.45">
      <c r="A185" s="21"/>
      <c r="B185" s="75"/>
      <c r="C185" s="21"/>
      <c r="D185" s="21"/>
      <c r="E185" s="21"/>
      <c r="F185" s="22"/>
      <c r="G185" s="21"/>
      <c r="H185" s="21"/>
      <c r="I185" s="22"/>
      <c r="J185" s="21"/>
      <c r="K185" s="21"/>
    </row>
    <row r="186" spans="1:11" ht="14.45">
      <c r="A186" s="21"/>
      <c r="B186" s="75"/>
      <c r="C186" s="21"/>
      <c r="D186" s="21"/>
      <c r="E186" s="21"/>
      <c r="F186" s="22"/>
      <c r="G186" s="21"/>
      <c r="H186" s="21"/>
      <c r="I186" s="22"/>
      <c r="J186" s="21"/>
      <c r="K186" s="21"/>
    </row>
    <row r="187" spans="1:11" ht="14.45">
      <c r="A187" s="21"/>
      <c r="B187" s="75"/>
      <c r="C187" s="21"/>
      <c r="D187" s="21"/>
      <c r="E187" s="21"/>
      <c r="F187" s="22"/>
      <c r="G187" s="21"/>
      <c r="H187" s="21"/>
      <c r="I187" s="22"/>
      <c r="J187" s="21"/>
      <c r="K187" s="21"/>
    </row>
    <row r="188" spans="1:11" ht="14.45">
      <c r="A188" s="21"/>
      <c r="B188" s="75"/>
      <c r="C188" s="21"/>
      <c r="D188" s="21"/>
      <c r="E188" s="21"/>
      <c r="F188" s="22"/>
      <c r="G188" s="21"/>
      <c r="H188" s="21"/>
      <c r="I188" s="22"/>
      <c r="J188" s="21"/>
      <c r="K188" s="21"/>
    </row>
    <row r="189" spans="1:11" ht="14.45">
      <c r="A189" s="21"/>
      <c r="B189" s="75"/>
      <c r="C189" s="21"/>
      <c r="D189" s="21"/>
      <c r="E189" s="21"/>
      <c r="F189" s="22"/>
      <c r="G189" s="21"/>
      <c r="H189" s="21"/>
      <c r="I189" s="22"/>
      <c r="J189" s="21"/>
      <c r="K189" s="21"/>
    </row>
    <row r="190" spans="1:11" ht="14.45">
      <c r="A190" s="21"/>
      <c r="B190" s="75"/>
      <c r="C190" s="21"/>
      <c r="D190" s="21"/>
      <c r="E190" s="21"/>
      <c r="F190" s="22"/>
      <c r="G190" s="21"/>
      <c r="H190" s="21"/>
      <c r="I190" s="22"/>
      <c r="J190" s="21"/>
      <c r="K190" s="21"/>
    </row>
    <row r="191" spans="1:11" ht="14.45">
      <c r="A191" s="21"/>
      <c r="B191" s="75"/>
      <c r="C191" s="21"/>
      <c r="D191" s="21"/>
      <c r="E191" s="21"/>
      <c r="F191" s="22"/>
      <c r="G191" s="21"/>
      <c r="H191" s="21"/>
      <c r="I191" s="22"/>
      <c r="J191" s="21"/>
      <c r="K191" s="21"/>
    </row>
    <row r="192" spans="1:11" ht="14.45">
      <c r="A192" s="21"/>
      <c r="B192" s="75"/>
      <c r="C192" s="21"/>
      <c r="D192" s="21"/>
      <c r="E192" s="21"/>
      <c r="F192" s="22"/>
      <c r="G192" s="21"/>
      <c r="H192" s="21"/>
      <c r="I192" s="22"/>
      <c r="J192" s="21"/>
      <c r="K192" s="21"/>
    </row>
    <row r="193" spans="1:11" ht="14.45">
      <c r="A193" s="21"/>
      <c r="B193" s="75"/>
      <c r="C193" s="21"/>
      <c r="D193" s="21"/>
      <c r="E193" s="21"/>
      <c r="F193" s="22"/>
      <c r="G193" s="21"/>
      <c r="H193" s="21"/>
      <c r="I193" s="22"/>
      <c r="J193" s="21"/>
      <c r="K193" s="21"/>
    </row>
    <row r="194" spans="1:11" ht="14.45">
      <c r="A194" s="21"/>
      <c r="B194" s="75"/>
      <c r="C194" s="21"/>
      <c r="D194" s="21"/>
      <c r="E194" s="21"/>
      <c r="F194" s="22"/>
      <c r="G194" s="21"/>
      <c r="H194" s="21"/>
      <c r="I194" s="22"/>
      <c r="J194" s="21"/>
      <c r="K194" s="21"/>
    </row>
    <row r="195" spans="1:11" ht="14.45">
      <c r="A195" s="21"/>
      <c r="B195" s="75"/>
      <c r="C195" s="21"/>
      <c r="D195" s="21"/>
      <c r="E195" s="21"/>
      <c r="F195" s="22"/>
      <c r="G195" s="21"/>
      <c r="H195" s="21"/>
      <c r="I195" s="22"/>
      <c r="J195" s="21"/>
      <c r="K195" s="21"/>
    </row>
    <row r="196" spans="1:11" ht="14.45">
      <c r="A196" s="21"/>
      <c r="B196" s="75"/>
      <c r="C196" s="21"/>
      <c r="D196" s="21"/>
      <c r="E196" s="21"/>
      <c r="F196" s="22"/>
      <c r="G196" s="21"/>
      <c r="H196" s="21"/>
      <c r="I196" s="22"/>
      <c r="J196" s="21"/>
      <c r="K196" s="21"/>
    </row>
    <row r="197" spans="1:11" ht="14.45">
      <c r="A197" s="21"/>
      <c r="B197" s="75"/>
      <c r="C197" s="21"/>
      <c r="D197" s="21"/>
      <c r="E197" s="21"/>
      <c r="F197" s="22"/>
      <c r="G197" s="21"/>
      <c r="H197" s="21"/>
      <c r="I197" s="22"/>
      <c r="J197" s="21"/>
      <c r="K197" s="21"/>
    </row>
    <row r="198" spans="1:11" ht="14.45">
      <c r="A198" s="21"/>
      <c r="B198" s="75"/>
      <c r="C198" s="21"/>
      <c r="D198" s="21"/>
      <c r="E198" s="21"/>
      <c r="F198" s="22"/>
      <c r="G198" s="21"/>
      <c r="H198" s="21"/>
      <c r="I198" s="22"/>
      <c r="J198" s="21"/>
      <c r="K198" s="21"/>
    </row>
    <row r="199" spans="1:11" ht="14.45">
      <c r="A199" s="21"/>
      <c r="B199" s="75"/>
      <c r="C199" s="21"/>
      <c r="D199" s="21"/>
      <c r="E199" s="21"/>
      <c r="F199" s="22"/>
      <c r="G199" s="21"/>
      <c r="H199" s="21"/>
      <c r="I199" s="22"/>
      <c r="J199" s="21"/>
      <c r="K199" s="21"/>
    </row>
    <row r="200" spans="1:11" ht="14.45">
      <c r="A200" s="21"/>
      <c r="B200" s="75"/>
      <c r="C200" s="21"/>
      <c r="D200" s="21"/>
      <c r="E200" s="21"/>
      <c r="F200" s="22"/>
      <c r="G200" s="21"/>
      <c r="H200" s="21"/>
      <c r="I200" s="22"/>
      <c r="J200" s="21"/>
      <c r="K200" s="21"/>
    </row>
    <row r="201" spans="1:11" ht="14.45">
      <c r="A201" s="21"/>
      <c r="B201" s="75"/>
      <c r="C201" s="21"/>
      <c r="D201" s="21"/>
      <c r="E201" s="21"/>
      <c r="F201" s="22"/>
      <c r="G201" s="21"/>
      <c r="H201" s="21"/>
      <c r="I201" s="22"/>
      <c r="J201" s="21"/>
      <c r="K201" s="21"/>
    </row>
    <row r="202" spans="1:11" ht="14.45">
      <c r="A202" s="21"/>
      <c r="B202" s="75"/>
      <c r="C202" s="21"/>
      <c r="D202" s="21"/>
      <c r="E202" s="21"/>
      <c r="F202" s="22"/>
      <c r="G202" s="21"/>
      <c r="H202" s="21"/>
      <c r="I202" s="22"/>
      <c r="J202" s="21"/>
      <c r="K202" s="21"/>
    </row>
    <row r="203" spans="1:11" ht="14.45">
      <c r="A203" s="21"/>
      <c r="B203" s="75"/>
      <c r="C203" s="21"/>
      <c r="D203" s="21"/>
      <c r="E203" s="21"/>
      <c r="F203" s="22"/>
      <c r="G203" s="21"/>
      <c r="H203" s="21"/>
      <c r="I203" s="22"/>
      <c r="J203" s="21"/>
      <c r="K203" s="21"/>
    </row>
    <row r="204" spans="1:11" ht="14.45">
      <c r="A204" s="21"/>
      <c r="B204" s="75"/>
      <c r="C204" s="21"/>
      <c r="D204" s="21"/>
      <c r="E204" s="21"/>
      <c r="F204" s="22"/>
      <c r="G204" s="21"/>
      <c r="H204" s="21"/>
      <c r="I204" s="22"/>
      <c r="J204" s="21"/>
      <c r="K204" s="21"/>
    </row>
    <row r="205" spans="1:11" ht="14.45">
      <c r="A205" s="21"/>
      <c r="B205" s="75"/>
      <c r="C205" s="21"/>
      <c r="D205" s="21"/>
      <c r="E205" s="21"/>
      <c r="F205" s="22"/>
      <c r="G205" s="21"/>
      <c r="H205" s="21"/>
      <c r="I205" s="22"/>
      <c r="J205" s="21"/>
      <c r="K205" s="21"/>
    </row>
    <row r="206" spans="1:11" ht="14.45">
      <c r="A206" s="21"/>
      <c r="B206" s="75"/>
      <c r="C206" s="21"/>
      <c r="D206" s="21"/>
      <c r="E206" s="21"/>
      <c r="F206" s="22"/>
      <c r="G206" s="21"/>
      <c r="H206" s="21"/>
      <c r="I206" s="22"/>
      <c r="J206" s="21"/>
      <c r="K206" s="21"/>
    </row>
    <row r="207" spans="1:11" ht="14.45">
      <c r="A207" s="21"/>
      <c r="B207" s="75"/>
      <c r="C207" s="21"/>
      <c r="D207" s="21"/>
      <c r="E207" s="21"/>
      <c r="F207" s="22"/>
      <c r="G207" s="21"/>
      <c r="H207" s="21"/>
      <c r="I207" s="22"/>
      <c r="J207" s="21"/>
      <c r="K207" s="21"/>
    </row>
    <row r="208" spans="1:11" ht="14.45">
      <c r="A208" s="21"/>
      <c r="B208" s="75"/>
      <c r="C208" s="21"/>
      <c r="D208" s="21"/>
      <c r="E208" s="21"/>
      <c r="F208" s="22"/>
      <c r="G208" s="21"/>
      <c r="H208" s="21"/>
      <c r="I208" s="22"/>
      <c r="J208" s="21"/>
      <c r="K208" s="21"/>
    </row>
    <row r="209" spans="1:11" ht="14.45">
      <c r="A209" s="21"/>
      <c r="B209" s="75"/>
      <c r="C209" s="21"/>
      <c r="D209" s="21"/>
      <c r="E209" s="21"/>
      <c r="F209" s="22"/>
      <c r="G209" s="21"/>
      <c r="H209" s="21"/>
      <c r="I209" s="22"/>
      <c r="J209" s="21"/>
      <c r="K209" s="21"/>
    </row>
    <row r="210" spans="1:11" ht="14.45">
      <c r="A210" s="21"/>
      <c r="B210" s="75"/>
      <c r="C210" s="21"/>
      <c r="D210" s="21"/>
      <c r="E210" s="21"/>
      <c r="F210" s="22"/>
      <c r="G210" s="21"/>
      <c r="H210" s="21"/>
      <c r="I210" s="22"/>
      <c r="J210" s="21"/>
      <c r="K210" s="21"/>
    </row>
    <row r="211" spans="1:11" ht="14.45">
      <c r="A211" s="21"/>
      <c r="B211" s="75"/>
      <c r="C211" s="21"/>
      <c r="D211" s="21"/>
      <c r="E211" s="21"/>
      <c r="F211" s="22"/>
      <c r="G211" s="21"/>
      <c r="H211" s="21"/>
      <c r="I211" s="22"/>
      <c r="J211" s="21"/>
      <c r="K211" s="21"/>
    </row>
    <row r="212" spans="1:11" ht="14.45">
      <c r="A212" s="21"/>
      <c r="B212" s="75"/>
      <c r="C212" s="21"/>
      <c r="D212" s="21"/>
      <c r="E212" s="21"/>
      <c r="F212" s="22"/>
      <c r="G212" s="21"/>
      <c r="H212" s="21"/>
      <c r="I212" s="22"/>
      <c r="J212" s="21"/>
      <c r="K212" s="21"/>
    </row>
    <row r="213" spans="1:11" ht="14.45">
      <c r="A213" s="21"/>
      <c r="B213" s="75"/>
      <c r="C213" s="21"/>
      <c r="D213" s="21"/>
      <c r="E213" s="21"/>
      <c r="F213" s="22"/>
      <c r="G213" s="21"/>
      <c r="H213" s="21"/>
      <c r="I213" s="22"/>
      <c r="J213" s="21"/>
      <c r="K213" s="21"/>
    </row>
    <row r="214" spans="1:11" ht="14.45">
      <c r="A214" s="21"/>
      <c r="B214" s="75"/>
      <c r="C214" s="21"/>
      <c r="D214" s="21"/>
      <c r="E214" s="21"/>
      <c r="F214" s="22"/>
      <c r="G214" s="21"/>
      <c r="H214" s="21"/>
      <c r="I214" s="22"/>
      <c r="J214" s="21"/>
      <c r="K214" s="21"/>
    </row>
    <row r="215" spans="1:11" ht="14.45">
      <c r="A215" s="21"/>
      <c r="B215" s="75"/>
      <c r="C215" s="21"/>
      <c r="D215" s="21"/>
      <c r="E215" s="21"/>
      <c r="F215" s="22"/>
      <c r="G215" s="21"/>
      <c r="H215" s="21"/>
      <c r="I215" s="22"/>
      <c r="J215" s="21"/>
      <c r="K215" s="21"/>
    </row>
    <row r="216" spans="1:11" ht="14.45">
      <c r="A216" s="21"/>
      <c r="B216" s="75"/>
      <c r="C216" s="21"/>
      <c r="D216" s="21"/>
      <c r="E216" s="21"/>
      <c r="F216" s="22"/>
      <c r="G216" s="21"/>
      <c r="H216" s="21"/>
      <c r="I216" s="22"/>
      <c r="J216" s="21"/>
      <c r="K216" s="21"/>
    </row>
    <row r="217" spans="1:11" ht="14.45">
      <c r="A217" s="21"/>
      <c r="B217" s="75"/>
      <c r="C217" s="21"/>
      <c r="D217" s="21"/>
      <c r="E217" s="21"/>
      <c r="F217" s="22"/>
      <c r="G217" s="21"/>
      <c r="H217" s="21"/>
      <c r="I217" s="22"/>
      <c r="J217" s="21"/>
      <c r="K217" s="21"/>
    </row>
    <row r="218" spans="1:11" ht="14.45">
      <c r="A218" s="21"/>
      <c r="B218" s="75"/>
      <c r="C218" s="21"/>
      <c r="D218" s="21"/>
      <c r="E218" s="21"/>
      <c r="F218" s="22"/>
      <c r="G218" s="21"/>
      <c r="H218" s="21"/>
      <c r="I218" s="22"/>
      <c r="J218" s="21"/>
      <c r="K218" s="21"/>
    </row>
    <row r="219" spans="1:11" ht="14.45">
      <c r="A219" s="21"/>
      <c r="B219" s="75"/>
      <c r="C219" s="21"/>
      <c r="D219" s="21"/>
      <c r="E219" s="21"/>
      <c r="F219" s="22"/>
      <c r="G219" s="21"/>
      <c r="H219" s="21"/>
      <c r="I219" s="22"/>
      <c r="J219" s="21"/>
      <c r="K219" s="21"/>
    </row>
    <row r="220" spans="1:11" ht="14.45">
      <c r="A220" s="21"/>
      <c r="B220" s="75"/>
      <c r="C220" s="21"/>
      <c r="D220" s="21"/>
      <c r="E220" s="21"/>
      <c r="F220" s="22"/>
      <c r="G220" s="21"/>
      <c r="H220" s="21"/>
      <c r="I220" s="22"/>
      <c r="J220" s="21"/>
      <c r="K220" s="21"/>
    </row>
    <row r="221" spans="1:11" ht="14.45">
      <c r="A221" s="21"/>
      <c r="B221" s="75"/>
      <c r="C221" s="21"/>
      <c r="D221" s="21"/>
      <c r="E221" s="21"/>
      <c r="F221" s="22"/>
      <c r="G221" s="21"/>
      <c r="H221" s="21"/>
      <c r="I221" s="22"/>
      <c r="J221" s="21"/>
      <c r="K221" s="21"/>
    </row>
    <row r="222" spans="1:11" ht="14.45">
      <c r="A222" s="21"/>
      <c r="B222" s="75"/>
      <c r="C222" s="21"/>
      <c r="D222" s="21"/>
      <c r="E222" s="21"/>
      <c r="F222" s="22"/>
      <c r="G222" s="21"/>
      <c r="H222" s="21"/>
      <c r="I222" s="22"/>
      <c r="J222" s="21"/>
      <c r="K222" s="21"/>
    </row>
    <row r="223" spans="1:11" ht="14.45">
      <c r="A223" s="21"/>
      <c r="B223" s="75"/>
      <c r="C223" s="21"/>
      <c r="D223" s="21"/>
      <c r="E223" s="21"/>
      <c r="F223" s="22"/>
      <c r="G223" s="21"/>
      <c r="H223" s="21"/>
      <c r="I223" s="22"/>
      <c r="J223" s="21"/>
      <c r="K223" s="21"/>
    </row>
    <row r="224" spans="1:11" ht="14.45">
      <c r="A224" s="21"/>
      <c r="B224" s="75"/>
      <c r="C224" s="21"/>
      <c r="D224" s="21"/>
      <c r="E224" s="21"/>
      <c r="F224" s="22"/>
      <c r="G224" s="21"/>
      <c r="H224" s="21"/>
      <c r="I224" s="22"/>
      <c r="J224" s="21"/>
      <c r="K224" s="21"/>
    </row>
    <row r="225" spans="1:11" ht="14.45">
      <c r="A225" s="21"/>
      <c r="B225" s="75"/>
      <c r="C225" s="21"/>
      <c r="D225" s="21"/>
      <c r="E225" s="21"/>
      <c r="F225" s="22"/>
      <c r="G225" s="21"/>
      <c r="H225" s="21"/>
      <c r="I225" s="22"/>
      <c r="J225" s="21"/>
      <c r="K225" s="21"/>
    </row>
    <row r="226" spans="1:11" ht="14.45">
      <c r="A226" s="21"/>
      <c r="B226" s="75"/>
      <c r="C226" s="21"/>
      <c r="D226" s="21"/>
      <c r="E226" s="21"/>
      <c r="F226" s="22"/>
      <c r="G226" s="21"/>
      <c r="H226" s="21"/>
      <c r="I226" s="22"/>
      <c r="J226" s="21"/>
      <c r="K226" s="21"/>
    </row>
    <row r="227" spans="1:11" ht="14.45">
      <c r="A227" s="21"/>
      <c r="B227" s="75"/>
      <c r="C227" s="21"/>
      <c r="D227" s="21"/>
      <c r="E227" s="21"/>
      <c r="F227" s="22"/>
      <c r="G227" s="21"/>
      <c r="H227" s="21"/>
      <c r="I227" s="22"/>
      <c r="J227" s="21"/>
      <c r="K227" s="21"/>
    </row>
    <row r="228" spans="1:11" ht="14.45">
      <c r="A228" s="21"/>
      <c r="B228" s="75"/>
      <c r="C228" s="21"/>
      <c r="D228" s="21"/>
      <c r="E228" s="21"/>
      <c r="F228" s="22"/>
      <c r="G228" s="21"/>
      <c r="H228" s="21"/>
      <c r="I228" s="22"/>
      <c r="J228" s="21"/>
      <c r="K228" s="21"/>
    </row>
    <row r="229" spans="1:11" ht="14.45">
      <c r="A229" s="21"/>
      <c r="B229" s="75"/>
      <c r="C229" s="21"/>
      <c r="D229" s="21"/>
      <c r="E229" s="21"/>
      <c r="F229" s="22"/>
      <c r="G229" s="21"/>
      <c r="H229" s="21"/>
      <c r="I229" s="22"/>
      <c r="J229" s="21"/>
      <c r="K229" s="21"/>
    </row>
    <row r="230" spans="1:11" ht="14.45">
      <c r="A230" s="21"/>
      <c r="B230" s="75"/>
      <c r="C230" s="21"/>
      <c r="D230" s="21"/>
      <c r="E230" s="21"/>
      <c r="F230" s="22"/>
      <c r="G230" s="21"/>
      <c r="H230" s="21"/>
      <c r="I230" s="22"/>
      <c r="J230" s="21"/>
      <c r="K230" s="21"/>
    </row>
    <row r="231" spans="1:11" ht="14.45">
      <c r="A231" s="21"/>
      <c r="B231" s="75"/>
      <c r="C231" s="21"/>
      <c r="D231" s="21"/>
      <c r="E231" s="21"/>
      <c r="F231" s="22"/>
      <c r="G231" s="21"/>
      <c r="H231" s="21"/>
      <c r="I231" s="22"/>
      <c r="J231" s="21"/>
      <c r="K231" s="21"/>
    </row>
    <row r="232" spans="1:11" ht="14.45">
      <c r="A232" s="21"/>
      <c r="B232" s="75"/>
      <c r="C232" s="21"/>
      <c r="D232" s="21"/>
      <c r="E232" s="21"/>
      <c r="F232" s="22"/>
      <c r="G232" s="21"/>
      <c r="H232" s="21"/>
      <c r="I232" s="22"/>
      <c r="J232" s="21"/>
      <c r="K232" s="21"/>
    </row>
    <row r="233" spans="1:11" ht="14.45">
      <c r="A233" s="21"/>
      <c r="B233" s="75"/>
      <c r="C233" s="21"/>
      <c r="D233" s="21"/>
      <c r="E233" s="21"/>
      <c r="F233" s="22"/>
      <c r="G233" s="21"/>
      <c r="H233" s="21"/>
      <c r="I233" s="22"/>
      <c r="J233" s="21"/>
      <c r="K233" s="21"/>
    </row>
    <row r="234" spans="1:11" ht="14.45">
      <c r="A234" s="21"/>
      <c r="B234" s="75"/>
      <c r="C234" s="21"/>
      <c r="D234" s="21"/>
      <c r="E234" s="21"/>
      <c r="F234" s="22"/>
      <c r="G234" s="21"/>
      <c r="H234" s="21"/>
      <c r="I234" s="22"/>
      <c r="J234" s="21"/>
      <c r="K234" s="21"/>
    </row>
    <row r="235" spans="1:11" ht="14.45">
      <c r="A235" s="21"/>
      <c r="B235" s="75"/>
      <c r="C235" s="21"/>
      <c r="D235" s="21"/>
      <c r="E235" s="21"/>
      <c r="F235" s="22"/>
      <c r="G235" s="21"/>
      <c r="H235" s="21"/>
      <c r="I235" s="22"/>
      <c r="J235" s="21"/>
      <c r="K235" s="21"/>
    </row>
    <row r="236" spans="1:11" ht="14.45">
      <c r="A236" s="21"/>
      <c r="B236" s="75"/>
      <c r="C236" s="21"/>
      <c r="D236" s="21"/>
      <c r="E236" s="21"/>
      <c r="F236" s="22"/>
      <c r="G236" s="21"/>
      <c r="H236" s="21"/>
      <c r="I236" s="22"/>
      <c r="J236" s="21"/>
      <c r="K236" s="21"/>
    </row>
    <row r="237" spans="1:11" ht="14.45">
      <c r="A237" s="21"/>
      <c r="B237" s="75"/>
      <c r="C237" s="21"/>
      <c r="D237" s="21"/>
      <c r="E237" s="21"/>
      <c r="F237" s="22"/>
      <c r="G237" s="21"/>
      <c r="H237" s="21"/>
      <c r="I237" s="22"/>
      <c r="J237" s="21"/>
      <c r="K237" s="21"/>
    </row>
    <row r="238" spans="1:11" ht="14.45">
      <c r="A238" s="21"/>
      <c r="B238" s="75"/>
      <c r="C238" s="21"/>
      <c r="D238" s="21"/>
      <c r="E238" s="21"/>
      <c r="F238" s="22"/>
      <c r="G238" s="21"/>
      <c r="H238" s="21"/>
      <c r="I238" s="22"/>
      <c r="J238" s="21"/>
      <c r="K238" s="21"/>
    </row>
    <row r="239" spans="1:11" ht="14.45">
      <c r="A239" s="21"/>
      <c r="B239" s="75"/>
      <c r="C239" s="21"/>
      <c r="D239" s="21"/>
      <c r="E239" s="21"/>
      <c r="F239" s="22"/>
      <c r="G239" s="21"/>
      <c r="H239" s="21"/>
      <c r="I239" s="22"/>
      <c r="J239" s="21"/>
      <c r="K239" s="21"/>
    </row>
    <row r="240" spans="1:11" ht="14.45">
      <c r="A240" s="21"/>
      <c r="B240" s="75"/>
      <c r="C240" s="21"/>
      <c r="D240" s="21"/>
      <c r="E240" s="21"/>
      <c r="F240" s="22"/>
      <c r="G240" s="21"/>
      <c r="H240" s="21"/>
      <c r="I240" s="22"/>
      <c r="J240" s="21"/>
      <c r="K240" s="21"/>
    </row>
    <row r="241" spans="1:11" ht="14.45">
      <c r="A241" s="21"/>
      <c r="B241" s="75"/>
      <c r="C241" s="21"/>
      <c r="D241" s="21"/>
      <c r="E241" s="21"/>
      <c r="F241" s="22"/>
      <c r="G241" s="21"/>
      <c r="H241" s="21"/>
      <c r="I241" s="22"/>
      <c r="J241" s="21"/>
      <c r="K241" s="21"/>
    </row>
    <row r="242" spans="1:11" ht="14.45">
      <c r="A242" s="21"/>
      <c r="B242" s="75"/>
      <c r="C242" s="21"/>
      <c r="D242" s="21"/>
      <c r="E242" s="21"/>
      <c r="F242" s="22"/>
      <c r="G242" s="21"/>
      <c r="H242" s="21"/>
      <c r="I242" s="22"/>
      <c r="J242" s="21"/>
      <c r="K242" s="21"/>
    </row>
    <row r="243" spans="1:11" ht="14.45">
      <c r="A243" s="21"/>
      <c r="B243" s="75"/>
      <c r="C243" s="21"/>
      <c r="D243" s="21"/>
      <c r="E243" s="21"/>
      <c r="F243" s="22"/>
      <c r="G243" s="21"/>
      <c r="H243" s="21"/>
      <c r="I243" s="22"/>
      <c r="J243" s="21"/>
      <c r="K243" s="21"/>
    </row>
    <row r="244" spans="1:11" ht="14.45">
      <c r="A244" s="21"/>
      <c r="B244" s="75"/>
      <c r="C244" s="21"/>
      <c r="D244" s="21"/>
      <c r="E244" s="21"/>
      <c r="F244" s="22"/>
      <c r="G244" s="21"/>
      <c r="H244" s="21"/>
      <c r="I244" s="22"/>
      <c r="J244" s="21"/>
      <c r="K244" s="21"/>
    </row>
    <row r="245" spans="1:11" ht="14.45">
      <c r="A245" s="21"/>
      <c r="B245" s="75"/>
      <c r="C245" s="21"/>
      <c r="D245" s="21"/>
      <c r="E245" s="21"/>
      <c r="F245" s="22"/>
      <c r="G245" s="21"/>
      <c r="H245" s="21"/>
      <c r="I245" s="22"/>
      <c r="J245" s="21"/>
      <c r="K245" s="21"/>
    </row>
    <row r="246" spans="1:11" ht="14.45">
      <c r="A246" s="21"/>
      <c r="B246" s="75"/>
      <c r="C246" s="21"/>
      <c r="D246" s="21"/>
      <c r="E246" s="21"/>
      <c r="F246" s="22"/>
      <c r="G246" s="21"/>
      <c r="H246" s="21"/>
      <c r="I246" s="22"/>
      <c r="J246" s="21"/>
      <c r="K246" s="21"/>
    </row>
    <row r="247" spans="1:11" ht="14.45">
      <c r="A247" s="21"/>
      <c r="B247" s="75"/>
      <c r="C247" s="21"/>
      <c r="D247" s="21"/>
      <c r="E247" s="21"/>
      <c r="F247" s="22"/>
      <c r="G247" s="21"/>
      <c r="H247" s="21"/>
      <c r="I247" s="22"/>
      <c r="J247" s="21"/>
      <c r="K247" s="21"/>
    </row>
    <row r="248" spans="1:11" ht="14.45">
      <c r="A248" s="21"/>
      <c r="B248" s="75"/>
      <c r="C248" s="21"/>
      <c r="D248" s="21"/>
      <c r="E248" s="21"/>
      <c r="F248" s="22"/>
      <c r="G248" s="21"/>
      <c r="H248" s="21"/>
      <c r="I248" s="22"/>
      <c r="J248" s="21"/>
      <c r="K248" s="21"/>
    </row>
    <row r="249" spans="1:11" ht="14.45">
      <c r="A249" s="21"/>
      <c r="B249" s="75"/>
      <c r="C249" s="21"/>
      <c r="D249" s="21"/>
      <c r="E249" s="21"/>
      <c r="F249" s="22"/>
      <c r="G249" s="21"/>
      <c r="H249" s="21"/>
      <c r="I249" s="22"/>
      <c r="J249" s="21"/>
      <c r="K249" s="21"/>
    </row>
    <row r="250" spans="1:11" ht="14.45">
      <c r="A250" s="21"/>
      <c r="B250" s="75"/>
      <c r="C250" s="21"/>
      <c r="D250" s="21"/>
      <c r="E250" s="21"/>
      <c r="F250" s="22"/>
      <c r="G250" s="21"/>
      <c r="H250" s="21"/>
      <c r="I250" s="22"/>
      <c r="J250" s="21"/>
      <c r="K250" s="21"/>
    </row>
    <row r="251" spans="1:11" ht="14.45">
      <c r="A251" s="21"/>
      <c r="B251" s="75"/>
      <c r="C251" s="21"/>
      <c r="D251" s="21"/>
      <c r="E251" s="21"/>
      <c r="F251" s="22"/>
      <c r="G251" s="21"/>
      <c r="H251" s="21"/>
      <c r="I251" s="22"/>
      <c r="J251" s="21"/>
      <c r="K251" s="21"/>
    </row>
    <row r="252" spans="1:11" ht="14.45">
      <c r="A252" s="21"/>
      <c r="B252" s="75"/>
      <c r="C252" s="21"/>
      <c r="D252" s="21"/>
      <c r="E252" s="21"/>
      <c r="F252" s="22"/>
      <c r="G252" s="21"/>
      <c r="H252" s="21"/>
      <c r="I252" s="22"/>
      <c r="J252" s="21"/>
      <c r="K252" s="21"/>
    </row>
    <row r="253" spans="1:11" ht="14.45">
      <c r="A253" s="21"/>
      <c r="B253" s="75"/>
      <c r="C253" s="21"/>
      <c r="D253" s="21"/>
      <c r="E253" s="21"/>
      <c r="F253" s="22"/>
      <c r="G253" s="21"/>
      <c r="H253" s="21"/>
      <c r="I253" s="22"/>
      <c r="J253" s="21"/>
      <c r="K253" s="21"/>
    </row>
    <row r="254" spans="1:11" ht="14.45">
      <c r="A254" s="21"/>
      <c r="B254" s="75"/>
      <c r="C254" s="21"/>
      <c r="D254" s="21"/>
      <c r="E254" s="21"/>
      <c r="F254" s="22"/>
      <c r="G254" s="21"/>
      <c r="H254" s="21"/>
      <c r="I254" s="22"/>
      <c r="J254" s="21"/>
      <c r="K254" s="21"/>
    </row>
    <row r="255" spans="1:11" ht="14.45">
      <c r="A255" s="21"/>
      <c r="B255" s="75"/>
      <c r="C255" s="21"/>
      <c r="D255" s="21"/>
      <c r="E255" s="21"/>
      <c r="F255" s="22"/>
      <c r="G255" s="21"/>
      <c r="H255" s="21"/>
      <c r="I255" s="22"/>
      <c r="J255" s="21"/>
      <c r="K255" s="21"/>
    </row>
    <row r="256" spans="1:11" ht="14.45">
      <c r="A256" s="21"/>
      <c r="B256" s="75"/>
      <c r="C256" s="21"/>
      <c r="D256" s="21"/>
      <c r="E256" s="21"/>
      <c r="F256" s="22"/>
      <c r="G256" s="21"/>
      <c r="H256" s="21"/>
      <c r="I256" s="22"/>
      <c r="J256" s="21"/>
      <c r="K256" s="21"/>
    </row>
    <row r="257" spans="1:11" ht="14.45">
      <c r="A257" s="21"/>
      <c r="B257" s="75"/>
      <c r="C257" s="21"/>
      <c r="D257" s="21"/>
      <c r="E257" s="21"/>
      <c r="F257" s="22"/>
      <c r="G257" s="21"/>
      <c r="H257" s="21"/>
      <c r="I257" s="22"/>
      <c r="J257" s="21"/>
      <c r="K257" s="21"/>
    </row>
    <row r="258" spans="1:11" ht="14.45">
      <c r="A258" s="21"/>
      <c r="B258" s="75"/>
      <c r="C258" s="21"/>
      <c r="D258" s="21"/>
      <c r="E258" s="21"/>
      <c r="F258" s="22"/>
      <c r="G258" s="21"/>
      <c r="H258" s="21"/>
      <c r="I258" s="22"/>
      <c r="J258" s="21"/>
      <c r="K258" s="21"/>
    </row>
    <row r="259" spans="1:11" ht="14.45">
      <c r="A259" s="21"/>
      <c r="B259" s="75"/>
      <c r="C259" s="21"/>
      <c r="D259" s="21"/>
      <c r="E259" s="21"/>
      <c r="F259" s="22"/>
      <c r="G259" s="21"/>
      <c r="H259" s="21"/>
      <c r="I259" s="22"/>
      <c r="J259" s="21"/>
      <c r="K259" s="21"/>
    </row>
    <row r="260" spans="1:11" ht="14.45">
      <c r="A260" s="21"/>
      <c r="B260" s="75"/>
      <c r="C260" s="21"/>
      <c r="D260" s="21"/>
      <c r="E260" s="21"/>
      <c r="F260" s="22"/>
      <c r="G260" s="21"/>
      <c r="H260" s="21"/>
      <c r="I260" s="22"/>
      <c r="J260" s="21"/>
      <c r="K260" s="21"/>
    </row>
    <row r="261" spans="1:11" ht="14.45">
      <c r="A261" s="21"/>
      <c r="B261" s="75"/>
      <c r="C261" s="21"/>
      <c r="D261" s="21"/>
      <c r="E261" s="21"/>
      <c r="F261" s="22"/>
      <c r="G261" s="21"/>
      <c r="H261" s="21"/>
      <c r="I261" s="22"/>
      <c r="J261" s="21"/>
      <c r="K261" s="21"/>
    </row>
    <row r="262" spans="1:11" ht="14.45">
      <c r="A262" s="21"/>
      <c r="B262" s="75"/>
      <c r="C262" s="21"/>
      <c r="D262" s="21"/>
      <c r="E262" s="21"/>
      <c r="F262" s="22"/>
      <c r="G262" s="21"/>
      <c r="H262" s="21"/>
      <c r="I262" s="22"/>
      <c r="J262" s="21"/>
      <c r="K262" s="21"/>
    </row>
    <row r="263" spans="1:11" ht="14.45">
      <c r="A263" s="21"/>
      <c r="B263" s="75"/>
      <c r="C263" s="21"/>
      <c r="D263" s="21"/>
      <c r="E263" s="21"/>
      <c r="F263" s="22"/>
      <c r="G263" s="21"/>
      <c r="H263" s="21"/>
      <c r="I263" s="22"/>
      <c r="J263" s="21"/>
      <c r="K263" s="21"/>
    </row>
    <row r="264" spans="1:11" ht="14.45">
      <c r="A264" s="21"/>
      <c r="B264" s="75"/>
      <c r="C264" s="21"/>
      <c r="D264" s="21"/>
      <c r="E264" s="21"/>
      <c r="F264" s="22"/>
      <c r="G264" s="21"/>
      <c r="H264" s="21"/>
      <c r="I264" s="22"/>
      <c r="J264" s="21"/>
      <c r="K264" s="21"/>
    </row>
    <row r="265" spans="1:11" ht="14.45">
      <c r="A265" s="21"/>
      <c r="B265" s="75"/>
      <c r="C265" s="21"/>
      <c r="D265" s="21"/>
      <c r="E265" s="21"/>
      <c r="F265" s="22"/>
      <c r="G265" s="21"/>
      <c r="H265" s="21"/>
      <c r="I265" s="22"/>
      <c r="J265" s="21"/>
      <c r="K265" s="21"/>
    </row>
    <row r="266" spans="1:11" ht="14.45">
      <c r="A266" s="21"/>
      <c r="B266" s="75"/>
      <c r="C266" s="21"/>
      <c r="D266" s="21"/>
      <c r="E266" s="21"/>
      <c r="F266" s="22"/>
      <c r="G266" s="21"/>
      <c r="H266" s="21"/>
      <c r="I266" s="22"/>
      <c r="J266" s="21"/>
      <c r="K266" s="21"/>
    </row>
    <row r="267" spans="1:11" ht="14.45">
      <c r="A267" s="21"/>
      <c r="B267" s="75"/>
      <c r="C267" s="21"/>
      <c r="D267" s="21"/>
      <c r="E267" s="21"/>
      <c r="F267" s="22"/>
      <c r="G267" s="21"/>
      <c r="H267" s="21"/>
      <c r="I267" s="22"/>
      <c r="J267" s="21"/>
      <c r="K267" s="21"/>
    </row>
    <row r="268" spans="1:11" ht="14.45">
      <c r="A268" s="21"/>
      <c r="B268" s="75"/>
      <c r="C268" s="21"/>
      <c r="D268" s="21"/>
      <c r="E268" s="21"/>
      <c r="F268" s="22"/>
      <c r="G268" s="21"/>
      <c r="H268" s="21"/>
      <c r="I268" s="22"/>
      <c r="J268" s="21"/>
      <c r="K268" s="21"/>
    </row>
    <row r="269" spans="1:11" ht="14.45">
      <c r="A269" s="21"/>
      <c r="B269" s="75"/>
      <c r="C269" s="21"/>
      <c r="D269" s="21"/>
      <c r="E269" s="21"/>
      <c r="F269" s="22"/>
      <c r="G269" s="21"/>
      <c r="H269" s="21"/>
      <c r="I269" s="22"/>
      <c r="J269" s="21"/>
      <c r="K269" s="21"/>
    </row>
    <row r="270" spans="1:11" ht="14.45">
      <c r="A270" s="21"/>
      <c r="B270" s="75"/>
      <c r="C270" s="21"/>
      <c r="D270" s="21"/>
      <c r="E270" s="21"/>
      <c r="F270" s="22"/>
      <c r="G270" s="21"/>
      <c r="H270" s="21"/>
      <c r="I270" s="22"/>
      <c r="J270" s="21"/>
      <c r="K270" s="21"/>
    </row>
    <row r="271" spans="1:11" ht="14.45">
      <c r="A271" s="21"/>
      <c r="B271" s="75"/>
      <c r="C271" s="21"/>
      <c r="D271" s="21"/>
      <c r="E271" s="21"/>
      <c r="F271" s="22"/>
      <c r="G271" s="21"/>
      <c r="H271" s="21"/>
      <c r="I271" s="22"/>
      <c r="J271" s="21"/>
      <c r="K271" s="21"/>
    </row>
    <row r="272" spans="1:11" ht="14.45">
      <c r="A272" s="21"/>
      <c r="B272" s="75"/>
      <c r="C272" s="21"/>
      <c r="D272" s="21"/>
      <c r="E272" s="21"/>
      <c r="F272" s="22"/>
      <c r="G272" s="21"/>
      <c r="H272" s="21"/>
      <c r="I272" s="22"/>
      <c r="J272" s="21"/>
      <c r="K272" s="21"/>
    </row>
    <row r="273" spans="1:11" ht="14.45">
      <c r="A273" s="21"/>
      <c r="B273" s="75"/>
      <c r="C273" s="21"/>
      <c r="D273" s="21"/>
      <c r="E273" s="21"/>
      <c r="F273" s="22"/>
      <c r="G273" s="21"/>
      <c r="H273" s="21"/>
      <c r="I273" s="22"/>
      <c r="J273" s="21"/>
      <c r="K273" s="21"/>
    </row>
    <row r="274" spans="1:11" ht="14.45">
      <c r="A274" s="21"/>
      <c r="B274" s="75"/>
      <c r="C274" s="21"/>
      <c r="D274" s="21"/>
      <c r="E274" s="21"/>
      <c r="F274" s="22"/>
      <c r="G274" s="21"/>
      <c r="H274" s="21"/>
      <c r="I274" s="22"/>
      <c r="J274" s="21"/>
      <c r="K274" s="21"/>
    </row>
    <row r="275" spans="1:11" ht="14.45">
      <c r="A275" s="21"/>
      <c r="B275" s="75"/>
      <c r="C275" s="21"/>
      <c r="D275" s="21"/>
      <c r="E275" s="21"/>
      <c r="F275" s="22"/>
      <c r="G275" s="21"/>
      <c r="H275" s="21"/>
      <c r="I275" s="22"/>
      <c r="J275" s="21"/>
      <c r="K275" s="21"/>
    </row>
    <row r="276" spans="1:11" ht="14.45">
      <c r="A276" s="21"/>
      <c r="B276" s="75"/>
      <c r="C276" s="21"/>
      <c r="D276" s="21"/>
      <c r="E276" s="21"/>
      <c r="F276" s="22"/>
      <c r="G276" s="21"/>
      <c r="H276" s="21"/>
      <c r="I276" s="22"/>
      <c r="J276" s="21"/>
      <c r="K276" s="21"/>
    </row>
    <row r="277" spans="1:11" ht="14.45">
      <c r="A277" s="21"/>
      <c r="B277" s="75"/>
      <c r="C277" s="21"/>
      <c r="D277" s="21"/>
      <c r="E277" s="21"/>
      <c r="F277" s="22"/>
      <c r="G277" s="21"/>
      <c r="H277" s="21"/>
      <c r="I277" s="22"/>
      <c r="J277" s="21"/>
      <c r="K277" s="21"/>
    </row>
    <row r="278" spans="1:11" ht="14.45">
      <c r="A278" s="21"/>
      <c r="B278" s="75"/>
      <c r="C278" s="21"/>
      <c r="D278" s="21"/>
      <c r="E278" s="21"/>
      <c r="F278" s="22"/>
      <c r="G278" s="21"/>
      <c r="H278" s="21"/>
      <c r="I278" s="22"/>
      <c r="J278" s="21"/>
      <c r="K278" s="21"/>
    </row>
    <row r="279" spans="1:11" ht="14.45">
      <c r="A279" s="21"/>
      <c r="B279" s="75"/>
      <c r="C279" s="21"/>
      <c r="D279" s="21"/>
      <c r="E279" s="21"/>
      <c r="F279" s="22"/>
      <c r="G279" s="21"/>
      <c r="H279" s="21"/>
      <c r="I279" s="22"/>
      <c r="J279" s="21"/>
      <c r="K279" s="21"/>
    </row>
    <row r="280" spans="1:11" ht="14.45">
      <c r="A280" s="21"/>
      <c r="B280" s="75"/>
      <c r="C280" s="21"/>
      <c r="D280" s="21"/>
      <c r="E280" s="21"/>
      <c r="F280" s="22"/>
      <c r="G280" s="21"/>
      <c r="H280" s="21"/>
      <c r="I280" s="22"/>
      <c r="J280" s="21"/>
      <c r="K280" s="21"/>
    </row>
    <row r="281" spans="1:11" ht="14.45">
      <c r="A281" s="21"/>
      <c r="B281" s="75"/>
      <c r="C281" s="21"/>
      <c r="D281" s="21"/>
      <c r="E281" s="21"/>
      <c r="F281" s="22"/>
      <c r="G281" s="21"/>
      <c r="H281" s="21"/>
      <c r="I281" s="22"/>
      <c r="J281" s="21"/>
      <c r="K281" s="21"/>
    </row>
    <row r="282" spans="1:11" ht="14.45">
      <c r="A282" s="21"/>
      <c r="B282" s="75"/>
      <c r="C282" s="21"/>
      <c r="D282" s="21"/>
      <c r="E282" s="21"/>
      <c r="F282" s="22"/>
      <c r="G282" s="21"/>
      <c r="H282" s="21"/>
      <c r="I282" s="22"/>
      <c r="J282" s="21"/>
      <c r="K282" s="21"/>
    </row>
    <row r="283" spans="1:11" ht="14.45">
      <c r="A283" s="21"/>
      <c r="B283" s="75"/>
      <c r="C283" s="21"/>
      <c r="D283" s="21"/>
      <c r="E283" s="21"/>
      <c r="F283" s="22"/>
      <c r="G283" s="21"/>
      <c r="H283" s="21"/>
      <c r="I283" s="22"/>
      <c r="J283" s="21"/>
      <c r="K283" s="21"/>
    </row>
    <row r="284" spans="1:11" ht="14.45">
      <c r="A284" s="21"/>
      <c r="B284" s="75"/>
      <c r="C284" s="21"/>
      <c r="D284" s="21"/>
      <c r="E284" s="21"/>
      <c r="F284" s="22"/>
      <c r="G284" s="21"/>
      <c r="H284" s="21"/>
      <c r="I284" s="22"/>
      <c r="J284" s="21"/>
      <c r="K284" s="21"/>
    </row>
    <row r="285" spans="1:11" ht="14.45">
      <c r="A285" s="21"/>
      <c r="B285" s="75"/>
      <c r="C285" s="21"/>
      <c r="D285" s="21"/>
      <c r="E285" s="21"/>
      <c r="F285" s="22"/>
      <c r="G285" s="21"/>
      <c r="H285" s="21"/>
      <c r="I285" s="22"/>
      <c r="J285" s="21"/>
      <c r="K285" s="21"/>
    </row>
    <row r="286" spans="1:11" ht="14.45">
      <c r="A286" s="21"/>
      <c r="B286" s="75"/>
      <c r="C286" s="21"/>
      <c r="D286" s="21"/>
      <c r="E286" s="21"/>
      <c r="F286" s="22"/>
      <c r="G286" s="21"/>
      <c r="H286" s="21"/>
      <c r="I286" s="22"/>
      <c r="J286" s="21"/>
      <c r="K286" s="21"/>
    </row>
    <row r="287" spans="1:11" ht="14.45">
      <c r="A287" s="21"/>
      <c r="B287" s="75"/>
      <c r="C287" s="21"/>
      <c r="D287" s="21"/>
      <c r="E287" s="21"/>
      <c r="F287" s="22"/>
      <c r="G287" s="21"/>
      <c r="H287" s="21"/>
      <c r="I287" s="22"/>
      <c r="J287" s="21"/>
      <c r="K287" s="21"/>
    </row>
    <row r="288" spans="1:11" ht="14.45">
      <c r="A288" s="21"/>
      <c r="B288" s="75"/>
      <c r="C288" s="21"/>
      <c r="D288" s="21"/>
      <c r="E288" s="21"/>
      <c r="F288" s="22"/>
      <c r="G288" s="21"/>
      <c r="H288" s="21"/>
      <c r="I288" s="22"/>
      <c r="J288" s="21"/>
      <c r="K288" s="21"/>
    </row>
    <row r="289" spans="1:11" ht="14.45">
      <c r="A289" s="21"/>
      <c r="B289" s="75"/>
      <c r="C289" s="21"/>
      <c r="D289" s="21"/>
      <c r="E289" s="21"/>
      <c r="F289" s="22"/>
      <c r="G289" s="21"/>
      <c r="H289" s="21"/>
      <c r="I289" s="22"/>
      <c r="J289" s="21"/>
      <c r="K289" s="21"/>
    </row>
    <row r="290" spans="1:11" ht="14.45">
      <c r="A290" s="21"/>
      <c r="B290" s="75"/>
      <c r="C290" s="21"/>
      <c r="D290" s="21"/>
      <c r="E290" s="21"/>
      <c r="F290" s="22"/>
      <c r="G290" s="21"/>
      <c r="H290" s="21"/>
      <c r="I290" s="22"/>
      <c r="J290" s="21"/>
      <c r="K290" s="21"/>
    </row>
    <row r="291" spans="1:11" ht="14.45">
      <c r="A291" s="21"/>
      <c r="B291" s="75"/>
      <c r="C291" s="21"/>
      <c r="D291" s="21"/>
      <c r="E291" s="21"/>
      <c r="F291" s="22"/>
      <c r="G291" s="21"/>
      <c r="H291" s="21"/>
      <c r="I291" s="22"/>
      <c r="J291" s="21"/>
      <c r="K291" s="21"/>
    </row>
    <row r="292" spans="1:11" ht="14.45">
      <c r="A292" s="21"/>
      <c r="B292" s="75"/>
      <c r="C292" s="21"/>
      <c r="D292" s="21"/>
      <c r="E292" s="21"/>
      <c r="F292" s="22"/>
      <c r="G292" s="21"/>
      <c r="H292" s="21"/>
      <c r="I292" s="22"/>
      <c r="J292" s="21"/>
      <c r="K292" s="21"/>
    </row>
    <row r="293" spans="1:11" ht="14.45">
      <c r="A293" s="21"/>
      <c r="B293" s="75"/>
      <c r="C293" s="21"/>
      <c r="D293" s="21"/>
      <c r="E293" s="21"/>
      <c r="F293" s="22"/>
      <c r="G293" s="21"/>
      <c r="H293" s="21"/>
      <c r="I293" s="22"/>
      <c r="J293" s="21"/>
      <c r="K293" s="21"/>
    </row>
    <row r="294" spans="1:11" ht="14.45">
      <c r="A294" s="21"/>
      <c r="B294" s="75"/>
      <c r="C294" s="21"/>
      <c r="D294" s="21"/>
      <c r="E294" s="21"/>
      <c r="F294" s="22"/>
      <c r="G294" s="21"/>
      <c r="H294" s="21"/>
      <c r="I294" s="22"/>
      <c r="J294" s="21"/>
      <c r="K294" s="21"/>
    </row>
    <row r="295" spans="1:11" ht="14.45">
      <c r="A295" s="21"/>
      <c r="B295" s="75"/>
      <c r="C295" s="21"/>
      <c r="D295" s="21"/>
      <c r="E295" s="21"/>
      <c r="F295" s="22"/>
      <c r="G295" s="21"/>
      <c r="H295" s="21"/>
      <c r="I295" s="22"/>
      <c r="J295" s="21"/>
      <c r="K295" s="21"/>
    </row>
    <row r="296" spans="1:11" ht="14.45">
      <c r="A296" s="21"/>
      <c r="B296" s="75"/>
      <c r="C296" s="21"/>
      <c r="D296" s="21"/>
      <c r="E296" s="21"/>
      <c r="F296" s="22"/>
      <c r="G296" s="21"/>
      <c r="H296" s="21"/>
      <c r="I296" s="22"/>
      <c r="J296" s="21"/>
      <c r="K296" s="21"/>
    </row>
    <row r="297" spans="1:11" ht="14.45">
      <c r="A297" s="21"/>
      <c r="B297" s="75"/>
      <c r="C297" s="21"/>
      <c r="D297" s="21"/>
      <c r="E297" s="21"/>
      <c r="F297" s="22"/>
      <c r="G297" s="21"/>
      <c r="H297" s="21"/>
      <c r="I297" s="22"/>
      <c r="J297" s="21"/>
      <c r="K297" s="21"/>
    </row>
    <row r="298" spans="1:11" ht="14.45">
      <c r="A298" s="21"/>
      <c r="B298" s="75"/>
      <c r="C298" s="21"/>
      <c r="D298" s="21"/>
      <c r="E298" s="21"/>
      <c r="F298" s="22"/>
      <c r="G298" s="21"/>
      <c r="H298" s="21"/>
      <c r="I298" s="22"/>
      <c r="J298" s="21"/>
      <c r="K298" s="21"/>
    </row>
    <row r="299" spans="1:11" ht="14.45">
      <c r="A299" s="21"/>
      <c r="B299" s="75"/>
      <c r="C299" s="21"/>
      <c r="D299" s="21"/>
      <c r="E299" s="21"/>
      <c r="F299" s="22"/>
      <c r="G299" s="21"/>
      <c r="H299" s="21"/>
      <c r="I299" s="22"/>
      <c r="J299" s="21"/>
      <c r="K299" s="21"/>
    </row>
    <row r="300" spans="1:11" ht="14.45">
      <c r="A300" s="21"/>
      <c r="B300" s="75"/>
      <c r="C300" s="21"/>
      <c r="D300" s="21"/>
      <c r="E300" s="21"/>
      <c r="F300" s="22"/>
      <c r="G300" s="21"/>
      <c r="H300" s="21"/>
      <c r="I300" s="22"/>
      <c r="J300" s="21"/>
      <c r="K300" s="21"/>
    </row>
    <row r="301" spans="1:11" ht="14.45">
      <c r="A301" s="21"/>
      <c r="B301" s="75"/>
      <c r="C301" s="21"/>
      <c r="D301" s="21"/>
      <c r="E301" s="21"/>
      <c r="F301" s="22"/>
      <c r="G301" s="21"/>
      <c r="H301" s="21"/>
      <c r="I301" s="22"/>
      <c r="J301" s="21"/>
      <c r="K301" s="21"/>
    </row>
    <row r="302" spans="1:11" ht="14.45">
      <c r="A302" s="21"/>
      <c r="B302" s="75"/>
      <c r="C302" s="21"/>
      <c r="D302" s="21"/>
      <c r="E302" s="21"/>
      <c r="F302" s="22"/>
      <c r="G302" s="21"/>
      <c r="H302" s="21"/>
      <c r="I302" s="22"/>
      <c r="J302" s="21"/>
      <c r="K302" s="21"/>
    </row>
    <row r="303" spans="1:11" ht="14.45">
      <c r="A303" s="21"/>
      <c r="B303" s="75"/>
      <c r="C303" s="21"/>
      <c r="D303" s="21"/>
      <c r="E303" s="21"/>
      <c r="F303" s="22"/>
      <c r="G303" s="21"/>
      <c r="H303" s="21"/>
      <c r="I303" s="22"/>
      <c r="J303" s="21"/>
      <c r="K303" s="21"/>
    </row>
    <row r="304" spans="1:11" ht="14.45">
      <c r="A304" s="21"/>
      <c r="B304" s="75"/>
      <c r="C304" s="21"/>
      <c r="D304" s="21"/>
      <c r="E304" s="21"/>
      <c r="F304" s="22"/>
      <c r="G304" s="21"/>
      <c r="H304" s="21"/>
      <c r="I304" s="22"/>
      <c r="J304" s="21"/>
      <c r="K304" s="21"/>
    </row>
    <row r="305" spans="1:11" ht="14.45">
      <c r="A305" s="21"/>
      <c r="B305" s="75"/>
      <c r="C305" s="21"/>
      <c r="D305" s="21"/>
      <c r="E305" s="21"/>
      <c r="F305" s="22"/>
      <c r="G305" s="21"/>
      <c r="H305" s="21"/>
      <c r="I305" s="22"/>
      <c r="J305" s="21"/>
      <c r="K305" s="21"/>
    </row>
    <row r="306" spans="1:11" ht="14.45">
      <c r="A306" s="21"/>
      <c r="B306" s="75"/>
      <c r="C306" s="21"/>
      <c r="D306" s="21"/>
      <c r="E306" s="21"/>
      <c r="F306" s="22"/>
      <c r="G306" s="21"/>
      <c r="H306" s="21"/>
      <c r="I306" s="22"/>
      <c r="J306" s="21"/>
      <c r="K306" s="21"/>
    </row>
    <row r="307" spans="1:11" ht="14.45">
      <c r="A307" s="21"/>
      <c r="B307" s="75"/>
      <c r="C307" s="21"/>
      <c r="D307" s="21"/>
      <c r="E307" s="21"/>
      <c r="F307" s="22"/>
      <c r="G307" s="21"/>
      <c r="H307" s="21"/>
      <c r="I307" s="22"/>
      <c r="J307" s="21"/>
      <c r="K307" s="21"/>
    </row>
    <row r="308" spans="1:11" ht="14.45">
      <c r="A308" s="21"/>
      <c r="B308" s="75"/>
      <c r="C308" s="21"/>
      <c r="D308" s="21"/>
      <c r="E308" s="21"/>
      <c r="F308" s="22"/>
      <c r="G308" s="21"/>
      <c r="H308" s="21"/>
      <c r="I308" s="22"/>
      <c r="J308" s="21"/>
      <c r="K308" s="21"/>
    </row>
    <row r="309" spans="1:11" ht="14.45">
      <c r="A309" s="21"/>
      <c r="B309" s="75"/>
      <c r="C309" s="21"/>
      <c r="D309" s="21"/>
      <c r="E309" s="21"/>
      <c r="F309" s="22"/>
      <c r="G309" s="21"/>
      <c r="H309" s="21"/>
      <c r="I309" s="22"/>
      <c r="J309" s="21"/>
      <c r="K309" s="21"/>
    </row>
    <row r="310" spans="1:11" ht="14.45">
      <c r="A310" s="21"/>
      <c r="B310" s="75"/>
      <c r="C310" s="21"/>
      <c r="D310" s="21"/>
      <c r="E310" s="21"/>
      <c r="F310" s="22"/>
      <c r="G310" s="21"/>
      <c r="H310" s="21"/>
      <c r="I310" s="22"/>
      <c r="J310" s="21"/>
      <c r="K310" s="21"/>
    </row>
    <row r="311" spans="1:11" ht="14.45">
      <c r="A311" s="21"/>
      <c r="B311" s="75"/>
      <c r="C311" s="21"/>
      <c r="D311" s="21"/>
      <c r="E311" s="21"/>
      <c r="F311" s="22"/>
      <c r="G311" s="21"/>
      <c r="H311" s="21"/>
      <c r="I311" s="22"/>
      <c r="J311" s="21"/>
      <c r="K311" s="21"/>
    </row>
    <row r="312" spans="1:11" ht="14.45">
      <c r="A312" s="21"/>
      <c r="B312" s="75"/>
      <c r="C312" s="21"/>
      <c r="D312" s="21"/>
      <c r="E312" s="21"/>
      <c r="F312" s="22"/>
      <c r="G312" s="21"/>
      <c r="H312" s="21"/>
      <c r="I312" s="22"/>
      <c r="J312" s="21"/>
      <c r="K312" s="21"/>
    </row>
    <row r="313" spans="1:11" ht="14.45">
      <c r="A313" s="21"/>
      <c r="B313" s="75"/>
      <c r="C313" s="21"/>
      <c r="D313" s="21"/>
      <c r="E313" s="21"/>
      <c r="F313" s="22"/>
      <c r="G313" s="21"/>
      <c r="H313" s="21"/>
      <c r="I313" s="22"/>
      <c r="J313" s="21"/>
      <c r="K313" s="21"/>
    </row>
    <row r="314" spans="1:11" ht="14.45">
      <c r="A314" s="21"/>
      <c r="B314" s="75"/>
      <c r="C314" s="21"/>
      <c r="D314" s="21"/>
      <c r="E314" s="21"/>
      <c r="F314" s="22"/>
      <c r="G314" s="21"/>
      <c r="H314" s="21"/>
      <c r="I314" s="22"/>
      <c r="J314" s="21"/>
      <c r="K314" s="21"/>
    </row>
    <row r="315" spans="1:11" ht="14.45">
      <c r="A315" s="21"/>
      <c r="B315" s="75"/>
      <c r="C315" s="21"/>
      <c r="D315" s="21"/>
      <c r="E315" s="21"/>
      <c r="F315" s="22"/>
      <c r="G315" s="21"/>
      <c r="H315" s="21"/>
      <c r="I315" s="22"/>
      <c r="J315" s="21"/>
      <c r="K315" s="21"/>
    </row>
    <row r="316" spans="1:11" ht="14.45">
      <c r="A316" s="21"/>
      <c r="B316" s="75"/>
      <c r="C316" s="21"/>
      <c r="D316" s="21"/>
      <c r="E316" s="21"/>
      <c r="F316" s="22"/>
      <c r="G316" s="21"/>
      <c r="H316" s="21"/>
      <c r="I316" s="22"/>
      <c r="J316" s="21"/>
      <c r="K316" s="21"/>
    </row>
    <row r="317" spans="1:11" ht="14.45">
      <c r="A317" s="21"/>
      <c r="B317" s="75"/>
      <c r="C317" s="21"/>
      <c r="D317" s="21"/>
      <c r="E317" s="21"/>
      <c r="F317" s="22"/>
      <c r="G317" s="21"/>
      <c r="H317" s="21"/>
      <c r="I317" s="22"/>
      <c r="J317" s="21"/>
      <c r="K317" s="21"/>
    </row>
    <row r="318" spans="1:11" ht="14.45">
      <c r="A318" s="21"/>
      <c r="B318" s="75"/>
      <c r="C318" s="21"/>
      <c r="D318" s="21"/>
      <c r="E318" s="21"/>
      <c r="F318" s="22"/>
      <c r="G318" s="21"/>
      <c r="H318" s="21"/>
      <c r="I318" s="22"/>
      <c r="J318" s="21"/>
      <c r="K318" s="21"/>
    </row>
    <row r="319" spans="1:11" ht="14.45">
      <c r="A319" s="21"/>
      <c r="B319" s="75"/>
      <c r="C319" s="21"/>
      <c r="D319" s="21"/>
      <c r="E319" s="21"/>
      <c r="F319" s="22"/>
      <c r="G319" s="21"/>
      <c r="H319" s="21"/>
      <c r="I319" s="22"/>
      <c r="J319" s="21"/>
      <c r="K319" s="21"/>
    </row>
    <row r="320" spans="1:11" ht="14.45">
      <c r="A320" s="21"/>
      <c r="B320" s="75"/>
      <c r="C320" s="21"/>
      <c r="D320" s="21"/>
      <c r="E320" s="21"/>
      <c r="F320" s="22"/>
      <c r="G320" s="21"/>
      <c r="H320" s="21"/>
      <c r="I320" s="22"/>
      <c r="J320" s="21"/>
      <c r="K320" s="21"/>
    </row>
    <row r="321" spans="1:11" ht="14.45">
      <c r="A321" s="21"/>
      <c r="B321" s="75"/>
      <c r="C321" s="21"/>
      <c r="D321" s="21"/>
      <c r="E321" s="21"/>
      <c r="F321" s="22"/>
      <c r="G321" s="21"/>
      <c r="H321" s="21"/>
      <c r="I321" s="22"/>
      <c r="J321" s="21"/>
      <c r="K321" s="21"/>
    </row>
    <row r="322" spans="1:11" ht="14.45">
      <c r="A322" s="21"/>
      <c r="B322" s="75"/>
      <c r="C322" s="21"/>
      <c r="D322" s="21"/>
      <c r="E322" s="21"/>
      <c r="F322" s="22"/>
      <c r="G322" s="21"/>
      <c r="H322" s="21"/>
      <c r="I322" s="22"/>
      <c r="J322" s="21"/>
      <c r="K322" s="21"/>
    </row>
    <row r="323" spans="1:11" ht="14.45">
      <c r="A323" s="21"/>
      <c r="B323" s="75"/>
      <c r="C323" s="21"/>
      <c r="D323" s="21"/>
      <c r="E323" s="21"/>
      <c r="F323" s="22"/>
      <c r="G323" s="21"/>
      <c r="H323" s="21"/>
      <c r="I323" s="22"/>
      <c r="J323" s="21"/>
      <c r="K323" s="21"/>
    </row>
    <row r="324" spans="1:11" ht="14.45">
      <c r="A324" s="21"/>
      <c r="B324" s="75"/>
      <c r="C324" s="21"/>
      <c r="D324" s="21"/>
      <c r="E324" s="21"/>
      <c r="F324" s="22"/>
      <c r="G324" s="21"/>
      <c r="H324" s="21"/>
      <c r="I324" s="22"/>
      <c r="J324" s="21"/>
      <c r="K324" s="21"/>
    </row>
    <row r="325" spans="1:11" ht="14.45">
      <c r="A325" s="21"/>
      <c r="B325" s="75"/>
      <c r="C325" s="21"/>
      <c r="D325" s="21"/>
      <c r="E325" s="21"/>
      <c r="F325" s="22"/>
      <c r="G325" s="21"/>
      <c r="H325" s="21"/>
      <c r="I325" s="22"/>
      <c r="J325" s="21"/>
      <c r="K325" s="21"/>
    </row>
    <row r="326" spans="1:11" ht="14.45">
      <c r="A326" s="21"/>
      <c r="B326" s="75"/>
      <c r="C326" s="21"/>
      <c r="D326" s="21"/>
      <c r="E326" s="21"/>
      <c r="F326" s="22"/>
      <c r="G326" s="21"/>
      <c r="H326" s="21"/>
      <c r="I326" s="22"/>
      <c r="J326" s="21"/>
      <c r="K326" s="21"/>
    </row>
    <row r="327" spans="1:11" ht="14.45">
      <c r="A327" s="21"/>
      <c r="B327" s="75"/>
      <c r="C327" s="21"/>
      <c r="D327" s="21"/>
      <c r="E327" s="21"/>
      <c r="F327" s="22"/>
      <c r="G327" s="21"/>
      <c r="H327" s="21"/>
      <c r="I327" s="22"/>
      <c r="J327" s="21"/>
      <c r="K327" s="21"/>
    </row>
    <row r="328" spans="1:11" ht="14.45">
      <c r="A328" s="21"/>
      <c r="B328" s="75"/>
      <c r="C328" s="21"/>
      <c r="D328" s="21"/>
      <c r="E328" s="21"/>
      <c r="F328" s="22"/>
      <c r="G328" s="21"/>
      <c r="H328" s="21"/>
      <c r="I328" s="22"/>
      <c r="J328" s="21"/>
      <c r="K328" s="21"/>
    </row>
    <row r="329" spans="1:11" ht="14.45">
      <c r="A329" s="21"/>
      <c r="B329" s="75"/>
      <c r="C329" s="21"/>
      <c r="D329" s="21"/>
      <c r="E329" s="21"/>
      <c r="F329" s="22"/>
      <c r="G329" s="21"/>
      <c r="H329" s="21"/>
      <c r="I329" s="22"/>
      <c r="J329" s="21"/>
      <c r="K329" s="21"/>
    </row>
    <row r="330" spans="1:11" ht="14.45">
      <c r="A330" s="21"/>
      <c r="B330" s="75"/>
      <c r="C330" s="21"/>
      <c r="D330" s="21"/>
      <c r="E330" s="21"/>
      <c r="F330" s="22"/>
      <c r="G330" s="21"/>
      <c r="H330" s="21"/>
      <c r="I330" s="22"/>
      <c r="J330" s="21"/>
      <c r="K330" s="21"/>
    </row>
    <row r="331" spans="1:11" ht="14.45">
      <c r="A331" s="21"/>
      <c r="B331" s="75"/>
      <c r="C331" s="21"/>
      <c r="D331" s="21"/>
      <c r="E331" s="21"/>
      <c r="F331" s="22"/>
      <c r="G331" s="21"/>
      <c r="H331" s="21"/>
      <c r="I331" s="22"/>
      <c r="J331" s="21"/>
      <c r="K331" s="21"/>
    </row>
    <row r="332" spans="1:11" ht="14.45">
      <c r="A332" s="21"/>
      <c r="B332" s="75"/>
      <c r="C332" s="21"/>
      <c r="D332" s="21"/>
      <c r="E332" s="21"/>
      <c r="F332" s="22"/>
      <c r="G332" s="21"/>
      <c r="H332" s="21"/>
      <c r="I332" s="22"/>
      <c r="J332" s="21"/>
      <c r="K332" s="21"/>
    </row>
    <row r="333" spans="1:11" ht="14.45">
      <c r="A333" s="21"/>
      <c r="B333" s="75"/>
      <c r="C333" s="21"/>
      <c r="D333" s="21"/>
      <c r="E333" s="21"/>
      <c r="F333" s="22"/>
      <c r="G333" s="21"/>
      <c r="H333" s="21"/>
      <c r="I333" s="22"/>
      <c r="J333" s="21"/>
      <c r="K333" s="21"/>
    </row>
    <row r="334" spans="1:11" ht="14.45">
      <c r="A334" s="21"/>
      <c r="B334" s="75"/>
      <c r="C334" s="21"/>
      <c r="D334" s="21"/>
      <c r="E334" s="21"/>
      <c r="F334" s="22"/>
      <c r="G334" s="21"/>
      <c r="H334" s="21"/>
      <c r="I334" s="22"/>
      <c r="J334" s="21"/>
      <c r="K334" s="21"/>
    </row>
    <row r="335" spans="1:11" ht="14.45">
      <c r="A335" s="21"/>
      <c r="B335" s="75"/>
      <c r="C335" s="21"/>
      <c r="D335" s="21"/>
      <c r="E335" s="21"/>
      <c r="F335" s="22"/>
      <c r="G335" s="21"/>
      <c r="H335" s="21"/>
      <c r="I335" s="22"/>
      <c r="J335" s="21"/>
      <c r="K335" s="21"/>
    </row>
    <row r="336" spans="1:11" ht="14.45">
      <c r="A336" s="21"/>
      <c r="B336" s="75"/>
      <c r="C336" s="21"/>
      <c r="D336" s="21"/>
      <c r="E336" s="21"/>
      <c r="F336" s="22"/>
      <c r="G336" s="21"/>
      <c r="H336" s="21"/>
      <c r="I336" s="22"/>
      <c r="J336" s="21"/>
      <c r="K336" s="21"/>
    </row>
    <row r="337" spans="1:11" ht="14.45">
      <c r="A337" s="21"/>
      <c r="B337" s="75"/>
      <c r="C337" s="21"/>
      <c r="D337" s="21"/>
      <c r="E337" s="21"/>
      <c r="F337" s="22"/>
      <c r="G337" s="21"/>
      <c r="H337" s="21"/>
      <c r="I337" s="22"/>
      <c r="J337" s="21"/>
      <c r="K337" s="21"/>
    </row>
    <row r="338" spans="1:11" ht="14.45">
      <c r="A338" s="21"/>
      <c r="B338" s="75"/>
      <c r="C338" s="21"/>
      <c r="D338" s="21"/>
      <c r="E338" s="21"/>
      <c r="F338" s="22"/>
      <c r="G338" s="21"/>
      <c r="H338" s="21"/>
      <c r="I338" s="22"/>
      <c r="J338" s="21"/>
      <c r="K338" s="21"/>
    </row>
    <row r="339" spans="1:11" ht="14.45">
      <c r="A339" s="21"/>
      <c r="B339" s="75"/>
      <c r="C339" s="21"/>
      <c r="D339" s="21"/>
      <c r="E339" s="21"/>
      <c r="F339" s="22"/>
      <c r="G339" s="21"/>
      <c r="H339" s="21"/>
      <c r="I339" s="22"/>
      <c r="J339" s="21"/>
      <c r="K339" s="21"/>
    </row>
    <row r="340" spans="1:11" ht="14.45">
      <c r="A340" s="21"/>
      <c r="B340" s="75"/>
      <c r="C340" s="21"/>
      <c r="D340" s="21"/>
      <c r="E340" s="21"/>
      <c r="F340" s="22"/>
      <c r="G340" s="21"/>
      <c r="H340" s="21"/>
      <c r="I340" s="22"/>
      <c r="J340" s="21"/>
      <c r="K340" s="21"/>
    </row>
    <row r="341" spans="1:11" ht="14.45">
      <c r="A341" s="21"/>
      <c r="B341" s="75"/>
      <c r="C341" s="21"/>
      <c r="D341" s="21"/>
      <c r="E341" s="21"/>
      <c r="F341" s="22"/>
      <c r="G341" s="21"/>
      <c r="H341" s="21"/>
      <c r="I341" s="22"/>
      <c r="J341" s="21"/>
      <c r="K341" s="21"/>
    </row>
    <row r="342" spans="1:11">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20" priority="5" stopIfTrue="1" operator="lessThanOrEqual">
      <formula>-0.1</formula>
    </cfRule>
    <cfRule type="expression" dxfId="19" priority="6">
      <formula>AND(ISNUMBER(F2), F2&gt;=0.1)</formula>
    </cfRule>
  </conditionalFormatting>
  <conditionalFormatting sqref="F4:F16 F18 F20 F22 F24 F26 F28 F30 F32 F34 F36 F38 F40 F42 F44 F46 F48 F50 F52 F56 F58 F60 F62 F64 F66 F68:F100">
    <cfRule type="cellIs" dxfId="18" priority="3" stopIfTrue="1" operator="lessThanOrEqual">
      <formula>-0.1</formula>
    </cfRule>
    <cfRule type="expression" dxfId="17" priority="4">
      <formula>AND(ISNUMBER(F4), F4&gt;=0.1)</formula>
    </cfRule>
  </conditionalFormatting>
  <conditionalFormatting sqref="I4:I100">
    <cfRule type="cellIs" dxfId="16" priority="1" stopIfTrue="1" operator="lessThanOrEqual">
      <formula>-0.1</formula>
    </cfRule>
    <cfRule type="expression" dxfId="15" priority="2">
      <formula>AND(ISNUMBER(I4), I4&gt;=0.1)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42"/>
  <sheetViews>
    <sheetView zoomScale="70" zoomScaleNormal="70" workbookViewId="0">
      <pane xSplit="2" ySplit="3" topLeftCell="C53" activePane="bottomRight" state="frozen"/>
      <selection pane="bottomRight" activeCell="J38" sqref="A35:J38"/>
      <selection pane="bottomLeft" activeCell="J66" sqref="J66"/>
      <selection pane="topRight" activeCell="J66" sqref="J66"/>
    </sheetView>
  </sheetViews>
  <sheetFormatPr defaultRowHeight="14.1"/>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20" t="str" cm="1">
        <f t="array" ref="A1">portfolio</f>
        <v>Silicon Ranch</v>
      </c>
      <c r="B1" s="120"/>
      <c r="C1" s="120"/>
      <c r="D1" s="121" t="s">
        <v>434</v>
      </c>
      <c r="E1" s="121"/>
      <c r="F1" s="121"/>
      <c r="G1" s="119" t="s">
        <v>435</v>
      </c>
      <c r="H1" s="119"/>
      <c r="I1" s="119"/>
      <c r="J1" s="4"/>
      <c r="K1" s="4"/>
    </row>
    <row r="2" spans="1:11" ht="19.5" customHeight="1">
      <c r="A2" s="122" t="s">
        <v>2</v>
      </c>
      <c r="B2" s="122"/>
      <c r="C2" s="5">
        <f>SUM(C4:C100)</f>
        <v>0</v>
      </c>
      <c r="D2" s="5">
        <f>SUM(D4:D100)</f>
        <v>0</v>
      </c>
      <c r="E2" s="5">
        <f>C2-D2</f>
        <v>0</v>
      </c>
      <c r="F2" s="6">
        <f>IFERROR(E2/D2, 0)</f>
        <v>0</v>
      </c>
      <c r="G2" s="5">
        <f>SUM(G4:G100)</f>
        <v>0</v>
      </c>
      <c r="H2" s="7">
        <f>C2-G2</f>
        <v>0</v>
      </c>
      <c r="I2" s="6">
        <f>IFERROR(H2/G2, 0)</f>
        <v>0</v>
      </c>
      <c r="J2" s="26"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6">
      <c r="A4" s="32" t="str" cm="1">
        <f t="array" ref="A4:A69">Sites[Site]</f>
        <v>Iron Mountain - Windsor</v>
      </c>
      <c r="B4" s="29" t="str" cm="1">
        <f t="array" ref="B4:B69">Sites[State]</f>
        <v>CT</v>
      </c>
      <c r="C4" s="24"/>
      <c r="D4" s="13"/>
      <c r="E4" s="13" t="str">
        <f>IF(AND(ISNUMBER(C4),ISNUMBER(D4)), C4-D4, "")</f>
        <v/>
      </c>
      <c r="F4" s="14" t="str">
        <f>IFERROR(E4/D4, "")</f>
        <v/>
      </c>
      <c r="G4" s="15"/>
      <c r="H4" s="15" t="str">
        <f>IF(AND(ISNUMBER(C4),ISNUMBER(G4)), C4-G4, "")</f>
        <v/>
      </c>
      <c r="I4" s="16" t="str">
        <f>IFERROR(H4/G4, "")</f>
        <v/>
      </c>
      <c r="J4" s="41"/>
      <c r="K4" s="41"/>
    </row>
    <row r="5" spans="1:11" ht="15.6">
      <c r="A5" s="30" t="str">
        <v>Kohls - Auburn</v>
      </c>
      <c r="B5" s="31" t="str">
        <v>NY</v>
      </c>
      <c r="C5" s="11"/>
      <c r="D5" s="18"/>
      <c r="E5" s="18" t="str">
        <f t="shared" ref="E5:E68" si="0">IF(AND(ISNUMBER(C5),ISNUMBER(D5)), C5-D5, "")</f>
        <v/>
      </c>
      <c r="F5" s="19" t="str">
        <f>IFERROR(E5/D5, "")</f>
        <v/>
      </c>
      <c r="G5" s="20"/>
      <c r="H5" s="20" t="str">
        <f t="shared" ref="H5:H68" si="1">IF(AND(ISNUMBER(C5),ISNUMBER(G5)), C5-G5, "")</f>
        <v/>
      </c>
      <c r="I5" s="19" t="str">
        <f t="shared" ref="I5:I68" si="2">IFERROR(H5/G5, "")</f>
        <v/>
      </c>
      <c r="J5" s="42"/>
      <c r="K5" s="42"/>
    </row>
    <row r="6" spans="1:11" ht="15.6">
      <c r="A6" s="28" t="str">
        <v>Kohls - Bensalem</v>
      </c>
      <c r="B6" s="29" t="str">
        <v>PA</v>
      </c>
      <c r="C6" s="24"/>
      <c r="D6" s="13"/>
      <c r="E6" s="13" t="str">
        <f t="shared" si="0"/>
        <v/>
      </c>
      <c r="F6" s="14" t="str">
        <f t="shared" ref="F6:F17" si="3">IFERROR(E6/D6, "")</f>
        <v/>
      </c>
      <c r="G6" s="15"/>
      <c r="H6" s="15" t="str">
        <f t="shared" si="1"/>
        <v/>
      </c>
      <c r="I6" s="16" t="str">
        <f t="shared" si="2"/>
        <v/>
      </c>
      <c r="J6" s="41"/>
      <c r="K6" s="41"/>
    </row>
    <row r="7" spans="1:11" ht="15.6">
      <c r="A7" s="30" t="str">
        <v>Kohls - Brick</v>
      </c>
      <c r="B7" s="31" t="str">
        <v>NJ</v>
      </c>
      <c r="C7" s="11"/>
      <c r="D7" s="18"/>
      <c r="E7" s="18" t="str">
        <f t="shared" si="0"/>
        <v/>
      </c>
      <c r="F7" s="19" t="str">
        <f t="shared" si="3"/>
        <v/>
      </c>
      <c r="G7" s="20"/>
      <c r="H7" s="20" t="str">
        <f t="shared" si="1"/>
        <v/>
      </c>
      <c r="I7" s="19" t="str">
        <f t="shared" si="2"/>
        <v/>
      </c>
      <c r="J7" s="54"/>
      <c r="K7" s="54"/>
    </row>
    <row r="8" spans="1:11" ht="15.6">
      <c r="A8" s="28" t="str">
        <v>Kohls - Buffalo</v>
      </c>
      <c r="B8" s="29" t="str">
        <v>NY</v>
      </c>
      <c r="C8" s="24"/>
      <c r="D8" s="13"/>
      <c r="E8" s="13" t="str">
        <f t="shared" si="0"/>
        <v/>
      </c>
      <c r="F8" s="14" t="str">
        <f t="shared" si="3"/>
        <v/>
      </c>
      <c r="G8" s="15"/>
      <c r="H8" s="15" t="str">
        <f t="shared" si="1"/>
        <v/>
      </c>
      <c r="I8" s="16" t="str">
        <f t="shared" si="2"/>
        <v/>
      </c>
      <c r="J8" s="41"/>
      <c r="K8" s="41"/>
    </row>
    <row r="9" spans="1:11" ht="15.6">
      <c r="A9" s="30" t="str">
        <v>Kohls - Canton</v>
      </c>
      <c r="B9" s="31" t="str">
        <v>CT</v>
      </c>
      <c r="C9" s="11"/>
      <c r="D9" s="18"/>
      <c r="E9" s="18" t="str">
        <f t="shared" si="0"/>
        <v/>
      </c>
      <c r="F9" s="19" t="str">
        <f t="shared" si="3"/>
        <v/>
      </c>
      <c r="G9" s="20"/>
      <c r="H9" s="20" t="str">
        <f t="shared" si="1"/>
        <v/>
      </c>
      <c r="I9" s="19" t="str">
        <f t="shared" si="2"/>
        <v/>
      </c>
      <c r="J9" s="42"/>
      <c r="K9" s="43"/>
    </row>
    <row r="10" spans="1:11" ht="15.6">
      <c r="A10" s="28" t="str">
        <v>Kohls - East Amherst</v>
      </c>
      <c r="B10" s="29" t="str">
        <v>NY</v>
      </c>
      <c r="C10" s="24"/>
      <c r="D10" s="13"/>
      <c r="E10" s="13" t="str">
        <f t="shared" si="0"/>
        <v/>
      </c>
      <c r="F10" s="14" t="str">
        <f t="shared" si="3"/>
        <v/>
      </c>
      <c r="G10" s="15"/>
      <c r="H10" s="15" t="str">
        <f t="shared" si="1"/>
        <v/>
      </c>
      <c r="I10" s="16" t="str">
        <f t="shared" si="2"/>
        <v/>
      </c>
      <c r="J10" s="41"/>
      <c r="K10" s="41"/>
    </row>
    <row r="11" spans="1:11" ht="15.6">
      <c r="A11" s="30" t="str">
        <v>Kohls - East Brunswick</v>
      </c>
      <c r="B11" s="31" t="str">
        <v>NJ</v>
      </c>
      <c r="C11" s="11"/>
      <c r="D11" s="18"/>
      <c r="E11" s="18" t="str">
        <f t="shared" si="0"/>
        <v/>
      </c>
      <c r="F11" s="19" t="str">
        <f t="shared" si="3"/>
        <v/>
      </c>
      <c r="G11" s="20"/>
      <c r="H11" s="20" t="str">
        <f t="shared" si="1"/>
        <v/>
      </c>
      <c r="I11" s="19" t="str">
        <f t="shared" si="2"/>
        <v/>
      </c>
      <c r="J11" s="42"/>
      <c r="K11" s="43"/>
    </row>
    <row r="12" spans="1:11" ht="15.6">
      <c r="A12" s="28" t="str">
        <v>Kohls - Edgewood</v>
      </c>
      <c r="B12" s="29" t="str">
        <v>MD</v>
      </c>
      <c r="C12" s="24"/>
      <c r="D12" s="13"/>
      <c r="E12" s="13" t="str">
        <f t="shared" si="0"/>
        <v/>
      </c>
      <c r="F12" s="14" t="str">
        <f t="shared" si="3"/>
        <v/>
      </c>
      <c r="G12" s="15"/>
      <c r="H12" s="15" t="str">
        <f t="shared" si="1"/>
        <v/>
      </c>
      <c r="I12" s="16" t="str">
        <f t="shared" si="2"/>
        <v/>
      </c>
      <c r="J12" s="41"/>
      <c r="K12" s="41"/>
    </row>
    <row r="13" spans="1:11" ht="15.6">
      <c r="A13" s="30" t="str">
        <v>Kohls - Granite Run</v>
      </c>
      <c r="B13" s="31" t="str">
        <v>PA</v>
      </c>
      <c r="C13" s="11"/>
      <c r="D13" s="18"/>
      <c r="E13" s="18" t="str">
        <f t="shared" si="0"/>
        <v/>
      </c>
      <c r="F13" s="19" t="str">
        <f t="shared" si="3"/>
        <v/>
      </c>
      <c r="G13" s="20"/>
      <c r="H13" s="20" t="str">
        <f t="shared" si="1"/>
        <v/>
      </c>
      <c r="I13" s="19" t="str">
        <f t="shared" si="2"/>
        <v/>
      </c>
      <c r="J13" s="42"/>
      <c r="K13" s="43"/>
    </row>
    <row r="14" spans="1:11" ht="55.5" customHeight="1">
      <c r="A14" s="28" t="str">
        <v>Kohls - Greece</v>
      </c>
      <c r="B14" s="29" t="str">
        <v>NY</v>
      </c>
      <c r="C14" s="24"/>
      <c r="D14" s="13"/>
      <c r="E14" s="13" t="str">
        <f t="shared" si="0"/>
        <v/>
      </c>
      <c r="F14" s="14" t="str">
        <f t="shared" si="3"/>
        <v/>
      </c>
      <c r="G14" s="15"/>
      <c r="H14" s="15" t="str">
        <f t="shared" si="1"/>
        <v/>
      </c>
      <c r="I14" s="16" t="str">
        <f t="shared" si="2"/>
        <v/>
      </c>
      <c r="J14" s="41"/>
      <c r="K14" s="41"/>
    </row>
    <row r="15" spans="1:11" ht="15.6">
      <c r="A15" s="30" t="str">
        <v>Kohls - Hanover</v>
      </c>
      <c r="B15" s="31" t="str">
        <v>PA</v>
      </c>
      <c r="C15" s="11"/>
      <c r="D15" s="18"/>
      <c r="E15" s="18" t="str">
        <f t="shared" si="0"/>
        <v/>
      </c>
      <c r="F15" s="19" t="str">
        <f t="shared" si="3"/>
        <v/>
      </c>
      <c r="G15" s="20"/>
      <c r="H15" s="20" t="str">
        <f t="shared" si="1"/>
        <v/>
      </c>
      <c r="I15" s="19" t="str">
        <f t="shared" si="2"/>
        <v/>
      </c>
      <c r="J15" s="54"/>
      <c r="K15" s="54"/>
    </row>
    <row r="16" spans="1:11" ht="15.6">
      <c r="A16" s="28" t="str">
        <v>Kohls - Horsehead</v>
      </c>
      <c r="B16" s="29" t="str">
        <v>NY</v>
      </c>
      <c r="C16" s="24"/>
      <c r="D16" s="13"/>
      <c r="E16" s="13" t="str">
        <f t="shared" si="0"/>
        <v/>
      </c>
      <c r="F16" s="14" t="str">
        <f t="shared" si="3"/>
        <v/>
      </c>
      <c r="G16" s="15"/>
      <c r="H16" s="15" t="str">
        <f t="shared" si="1"/>
        <v/>
      </c>
      <c r="I16" s="16" t="str">
        <f t="shared" si="2"/>
        <v/>
      </c>
      <c r="J16" s="41"/>
      <c r="K16" s="41"/>
    </row>
    <row r="17" spans="1:11" ht="15.6">
      <c r="A17" s="30" t="str">
        <v>Kohls - Hudson</v>
      </c>
      <c r="B17" s="31" t="str">
        <v>NY</v>
      </c>
      <c r="C17" s="11"/>
      <c r="D17" s="18"/>
      <c r="E17" s="18" t="str">
        <f t="shared" si="0"/>
        <v/>
      </c>
      <c r="F17" s="19" t="str">
        <f t="shared" si="3"/>
        <v/>
      </c>
      <c r="G17" s="20"/>
      <c r="H17" s="20" t="str">
        <f t="shared" si="1"/>
        <v/>
      </c>
      <c r="I17" s="19" t="str">
        <f t="shared" si="2"/>
        <v/>
      </c>
      <c r="J17" s="42"/>
      <c r="K17" s="43"/>
    </row>
    <row r="18" spans="1:11" ht="12.75" customHeight="1">
      <c r="A18" s="32" t="str">
        <v>Kohls - Ithaca</v>
      </c>
      <c r="B18" s="29" t="str">
        <v>NY</v>
      </c>
      <c r="C18" s="24"/>
      <c r="D18" s="13"/>
      <c r="E18" s="13" t="str">
        <f t="shared" si="0"/>
        <v/>
      </c>
      <c r="F18" s="14"/>
      <c r="G18" s="15"/>
      <c r="H18" s="15" t="str">
        <f t="shared" si="1"/>
        <v/>
      </c>
      <c r="I18" s="16" t="str">
        <f t="shared" si="2"/>
        <v/>
      </c>
      <c r="J18" s="41"/>
      <c r="K18" s="41"/>
    </row>
    <row r="19" spans="1:11" ht="15.6">
      <c r="A19" s="30" t="str">
        <v>Kohls - Kingston</v>
      </c>
      <c r="B19" s="31" t="str">
        <v>NY</v>
      </c>
      <c r="C19" s="11"/>
      <c r="D19" s="18"/>
      <c r="E19" s="18" t="str">
        <f t="shared" si="0"/>
        <v/>
      </c>
      <c r="F19" s="19"/>
      <c r="G19" s="20"/>
      <c r="H19" s="20" t="str">
        <f t="shared" si="1"/>
        <v/>
      </c>
      <c r="I19" s="19" t="str">
        <f t="shared" si="2"/>
        <v/>
      </c>
      <c r="J19" s="42"/>
      <c r="K19" s="42"/>
    </row>
    <row r="20" spans="1:11" ht="15.6">
      <c r="A20" s="28" t="str">
        <v>Kohls - Mechanicsburg</v>
      </c>
      <c r="B20" s="29" t="str">
        <v>PA</v>
      </c>
      <c r="C20" s="24"/>
      <c r="D20" s="13"/>
      <c r="E20" s="13" t="str">
        <f t="shared" si="0"/>
        <v/>
      </c>
      <c r="F20" s="14"/>
      <c r="G20" s="15"/>
      <c r="H20" s="15" t="str">
        <f t="shared" si="1"/>
        <v/>
      </c>
      <c r="I20" s="16" t="str">
        <f t="shared" si="2"/>
        <v/>
      </c>
      <c r="J20" s="41"/>
      <c r="K20" s="41"/>
    </row>
    <row r="21" spans="1:11" ht="15.6">
      <c r="A21" s="30" t="str">
        <v>Kohls - Middletown</v>
      </c>
      <c r="B21" s="31" t="str">
        <v>NJ</v>
      </c>
      <c r="C21" s="11"/>
      <c r="D21" s="18"/>
      <c r="E21" s="18" t="str">
        <f t="shared" si="0"/>
        <v/>
      </c>
      <c r="F21" s="19"/>
      <c r="G21" s="20"/>
      <c r="H21" s="20" t="str">
        <f t="shared" si="1"/>
        <v/>
      </c>
      <c r="I21" s="19" t="str">
        <f t="shared" si="2"/>
        <v/>
      </c>
      <c r="J21" s="42"/>
      <c r="K21" s="43"/>
    </row>
    <row r="22" spans="1:11" ht="15.6">
      <c r="A22" s="28" t="str">
        <v>Kohls - North Amherst</v>
      </c>
      <c r="B22" s="29" t="str">
        <v>NY</v>
      </c>
      <c r="C22" s="24"/>
      <c r="D22" s="13"/>
      <c r="E22" s="13" t="str">
        <f t="shared" si="0"/>
        <v/>
      </c>
      <c r="F22" s="14"/>
      <c r="G22" s="15"/>
      <c r="H22" s="15" t="str">
        <f t="shared" si="1"/>
        <v/>
      </c>
      <c r="I22" s="16" t="str">
        <f t="shared" si="2"/>
        <v/>
      </c>
      <c r="J22" s="41"/>
      <c r="K22" s="41"/>
    </row>
    <row r="23" spans="1:11" ht="15.6">
      <c r="A23" s="30" t="str">
        <v>Kohls - Staten Island</v>
      </c>
      <c r="B23" s="31" t="str">
        <v>NY</v>
      </c>
      <c r="C23" s="11"/>
      <c r="D23" s="18"/>
      <c r="E23" s="18" t="str">
        <f t="shared" si="0"/>
        <v/>
      </c>
      <c r="F23" s="19"/>
      <c r="G23" s="20"/>
      <c r="H23" s="20" t="str">
        <f t="shared" si="1"/>
        <v/>
      </c>
      <c r="I23" s="19" t="str">
        <f t="shared" si="2"/>
        <v/>
      </c>
      <c r="J23" s="42"/>
      <c r="K23" s="42"/>
    </row>
    <row r="24" spans="1:11" ht="15.6">
      <c r="A24" s="28" t="str">
        <v>Kohls - Warminster</v>
      </c>
      <c r="B24" s="29" t="str">
        <v>PA</v>
      </c>
      <c r="C24" s="24"/>
      <c r="D24" s="13"/>
      <c r="E24" s="13" t="str">
        <f t="shared" si="0"/>
        <v/>
      </c>
      <c r="F24" s="14"/>
      <c r="G24" s="15"/>
      <c r="H24" s="15" t="str">
        <f t="shared" si="1"/>
        <v/>
      </c>
      <c r="I24" s="16" t="str">
        <f t="shared" si="2"/>
        <v/>
      </c>
      <c r="J24" s="41"/>
      <c r="K24" s="41"/>
    </row>
    <row r="25" spans="1:11" ht="15.6">
      <c r="A25" s="30" t="str">
        <v xml:space="preserve">Kohls - Waterbury </v>
      </c>
      <c r="B25" s="31" t="str">
        <v>CT</v>
      </c>
      <c r="C25" s="11"/>
      <c r="D25" s="18"/>
      <c r="E25" s="18" t="str">
        <f t="shared" si="0"/>
        <v/>
      </c>
      <c r="F25" s="19"/>
      <c r="G25" s="20"/>
      <c r="H25" s="20" t="str">
        <f t="shared" si="1"/>
        <v/>
      </c>
      <c r="I25" s="19" t="str">
        <f t="shared" si="2"/>
        <v/>
      </c>
      <c r="J25" s="42"/>
      <c r="K25" s="43"/>
    </row>
    <row r="26" spans="1:11" ht="15.6">
      <c r="A26" s="28" t="str">
        <v>Mojave Water Agency - Headquarters</v>
      </c>
      <c r="B26" s="29" t="str">
        <v>CA</v>
      </c>
      <c r="C26" s="24"/>
      <c r="D26" s="13"/>
      <c r="E26" s="13" t="str">
        <f t="shared" si="0"/>
        <v/>
      </c>
      <c r="F26" s="14"/>
      <c r="G26" s="15"/>
      <c r="H26" s="15" t="str">
        <f t="shared" si="1"/>
        <v/>
      </c>
      <c r="I26" s="16" t="str">
        <f t="shared" si="2"/>
        <v/>
      </c>
      <c r="J26" s="41"/>
      <c r="K26" s="41"/>
    </row>
    <row r="27" spans="1:11" ht="15.6">
      <c r="A27" s="30" t="str">
        <v>CSU - Bakersfield</v>
      </c>
      <c r="B27" s="31" t="str">
        <v>CA</v>
      </c>
      <c r="C27" s="11"/>
      <c r="D27" s="18"/>
      <c r="E27" s="18" t="str">
        <f t="shared" si="0"/>
        <v/>
      </c>
      <c r="F27" s="19"/>
      <c r="G27" s="20"/>
      <c r="H27" s="20" t="str">
        <f t="shared" si="1"/>
        <v/>
      </c>
      <c r="I27" s="19" t="str">
        <f t="shared" si="2"/>
        <v/>
      </c>
      <c r="J27" s="42"/>
      <c r="K27" s="43"/>
    </row>
    <row r="28" spans="1:11" ht="15.6">
      <c r="A28" s="28" t="str">
        <v>Greenfield USD - Fairfield ES</v>
      </c>
      <c r="B28" s="29" t="str">
        <v>CA</v>
      </c>
      <c r="C28" s="24"/>
      <c r="D28" s="13"/>
      <c r="E28" s="13" t="str">
        <f t="shared" si="0"/>
        <v/>
      </c>
      <c r="F28" s="14"/>
      <c r="G28" s="15"/>
      <c r="H28" s="15" t="str">
        <f t="shared" si="1"/>
        <v/>
      </c>
      <c r="I28" s="16" t="str">
        <f t="shared" si="2"/>
        <v/>
      </c>
      <c r="J28" s="41"/>
      <c r="K28" s="41"/>
    </row>
    <row r="29" spans="1:11" ht="15.6">
      <c r="A29" s="30" t="str">
        <v>Greenfield USD - Granite Point ES</v>
      </c>
      <c r="B29" s="31" t="str">
        <v>CA</v>
      </c>
      <c r="C29" s="11"/>
      <c r="D29" s="18"/>
      <c r="E29" s="18" t="str">
        <f t="shared" si="0"/>
        <v/>
      </c>
      <c r="F29" s="19"/>
      <c r="G29" s="20"/>
      <c r="H29" s="20" t="str">
        <f t="shared" si="1"/>
        <v/>
      </c>
      <c r="I29" s="19" t="str">
        <f t="shared" si="2"/>
        <v/>
      </c>
      <c r="J29" s="42"/>
      <c r="K29" s="43"/>
    </row>
    <row r="30" spans="1:11" ht="15.6">
      <c r="A30" s="28" t="str">
        <v>Greenfield USD - Greenfield MS</v>
      </c>
      <c r="B30" s="29" t="str">
        <v>CA</v>
      </c>
      <c r="C30" s="24"/>
      <c r="D30" s="13"/>
      <c r="E30" s="13" t="str">
        <f t="shared" si="0"/>
        <v/>
      </c>
      <c r="F30" s="14"/>
      <c r="G30" s="15"/>
      <c r="H30" s="15" t="str">
        <f t="shared" si="1"/>
        <v/>
      </c>
      <c r="I30" s="16" t="str">
        <f t="shared" si="2"/>
        <v/>
      </c>
      <c r="J30" s="41"/>
      <c r="K30" s="41"/>
    </row>
    <row r="31" spans="1:11" ht="15.6">
      <c r="A31" s="30" t="str">
        <v>Greenfield USD - Horizon ES</v>
      </c>
      <c r="B31" s="31" t="str">
        <v>CA</v>
      </c>
      <c r="C31" s="11"/>
      <c r="D31" s="18"/>
      <c r="E31" s="18" t="str">
        <f t="shared" si="0"/>
        <v/>
      </c>
      <c r="F31" s="19"/>
      <c r="G31" s="20"/>
      <c r="H31" s="20" t="str">
        <f t="shared" si="1"/>
        <v/>
      </c>
      <c r="I31" s="19" t="str">
        <f t="shared" si="2"/>
        <v/>
      </c>
      <c r="J31" s="54"/>
      <c r="K31" s="54"/>
    </row>
    <row r="32" spans="1:11" ht="15.6">
      <c r="A32" s="28" t="str">
        <v>Greenfield USD - McKee MS</v>
      </c>
      <c r="B32" s="29" t="str">
        <v>CA</v>
      </c>
      <c r="C32" s="24"/>
      <c r="D32" s="13"/>
      <c r="E32" s="13" t="str">
        <f t="shared" si="0"/>
        <v/>
      </c>
      <c r="F32" s="14"/>
      <c r="G32" s="15"/>
      <c r="H32" s="15" t="str">
        <f t="shared" si="1"/>
        <v/>
      </c>
      <c r="I32" s="16" t="str">
        <f t="shared" si="2"/>
        <v/>
      </c>
      <c r="J32" s="41"/>
      <c r="K32" s="41"/>
    </row>
    <row r="33" spans="1:11" ht="15.6">
      <c r="A33" s="30" t="str">
        <v>Greenfield USD - Plantation ES</v>
      </c>
      <c r="B33" s="31" t="str">
        <v>CA</v>
      </c>
      <c r="C33" s="11"/>
      <c r="D33" s="18"/>
      <c r="E33" s="18" t="str">
        <f t="shared" si="0"/>
        <v/>
      </c>
      <c r="F33" s="19"/>
      <c r="G33" s="20"/>
      <c r="H33" s="20" t="str">
        <f t="shared" si="1"/>
        <v/>
      </c>
      <c r="I33" s="19" t="str">
        <f t="shared" si="2"/>
        <v/>
      </c>
      <c r="J33" s="42"/>
      <c r="K33" s="43"/>
    </row>
    <row r="34" spans="1:11" ht="15.6">
      <c r="A34" s="28" t="str">
        <v>Greenfield USD - Planz ES</v>
      </c>
      <c r="B34" s="29" t="str">
        <v>CA</v>
      </c>
      <c r="C34" s="24"/>
      <c r="D34" s="13"/>
      <c r="E34" s="13" t="str">
        <f t="shared" si="0"/>
        <v/>
      </c>
      <c r="F34" s="14"/>
      <c r="G34" s="15"/>
      <c r="H34" s="15" t="str">
        <f t="shared" si="1"/>
        <v/>
      </c>
      <c r="I34" s="16" t="str">
        <f t="shared" si="2"/>
        <v/>
      </c>
      <c r="J34" s="41"/>
      <c r="K34" s="41"/>
    </row>
    <row r="35" spans="1:11" ht="15.6">
      <c r="A35" s="30" t="str">
        <v>Greenfield USD - Raffaello Palla ES</v>
      </c>
      <c r="B35" s="31" t="str">
        <v>CA</v>
      </c>
      <c r="C35" s="11"/>
      <c r="D35" s="18"/>
      <c r="E35" s="18" t="str">
        <f t="shared" si="0"/>
        <v/>
      </c>
      <c r="F35" s="19"/>
      <c r="G35" s="20"/>
      <c r="H35" s="20" t="str">
        <f t="shared" si="1"/>
        <v/>
      </c>
      <c r="I35" s="19" t="str">
        <f t="shared" si="2"/>
        <v/>
      </c>
      <c r="J35" s="42"/>
      <c r="K35" s="54"/>
    </row>
    <row r="36" spans="1:11" ht="15.6">
      <c r="A36" s="28" t="str">
        <v>Greenfield USD - Valle Verde ES</v>
      </c>
      <c r="B36" s="29" t="str">
        <v>CA</v>
      </c>
      <c r="C36" s="24"/>
      <c r="D36" s="13"/>
      <c r="E36" s="13" t="str">
        <f t="shared" si="0"/>
        <v/>
      </c>
      <c r="F36" s="14"/>
      <c r="G36" s="15"/>
      <c r="H36" s="15" t="str">
        <f t="shared" si="1"/>
        <v/>
      </c>
      <c r="I36" s="16" t="str">
        <f t="shared" si="2"/>
        <v/>
      </c>
      <c r="J36" s="41"/>
      <c r="K36" s="41"/>
    </row>
    <row r="37" spans="1:11" ht="15.6">
      <c r="A37" s="30" t="str">
        <v>Greenfield USD - W.A. Kendrick ES</v>
      </c>
      <c r="B37" s="31" t="str">
        <v>CA</v>
      </c>
      <c r="C37" s="11"/>
      <c r="D37" s="18"/>
      <c r="E37" s="18" t="str">
        <f t="shared" si="0"/>
        <v/>
      </c>
      <c r="F37" s="19"/>
      <c r="G37" s="20"/>
      <c r="H37" s="20" t="str">
        <f t="shared" si="1"/>
        <v/>
      </c>
      <c r="I37" s="19" t="str">
        <f t="shared" si="2"/>
        <v/>
      </c>
      <c r="J37" s="42"/>
      <c r="K37" s="78"/>
    </row>
    <row r="38" spans="1:11" ht="15.6">
      <c r="A38" s="28" t="str">
        <v>Muroc Joint USD - Boron HS</v>
      </c>
      <c r="B38" s="29" t="str">
        <v>CA</v>
      </c>
      <c r="C38" s="24"/>
      <c r="D38" s="13"/>
      <c r="E38" s="13" t="str">
        <f t="shared" si="0"/>
        <v/>
      </c>
      <c r="F38" s="14"/>
      <c r="G38" s="15"/>
      <c r="H38" s="15" t="str">
        <f t="shared" si="1"/>
        <v/>
      </c>
      <c r="I38" s="16" t="str">
        <f t="shared" si="2"/>
        <v/>
      </c>
      <c r="J38" s="41"/>
      <c r="K38" s="41"/>
    </row>
    <row r="39" spans="1:11" ht="15.6">
      <c r="A39" s="30" t="str">
        <v>Muroc Joint USD - W. Boron ES</v>
      </c>
      <c r="B39" s="31" t="str">
        <v>CA</v>
      </c>
      <c r="C39" s="11"/>
      <c r="D39" s="18"/>
      <c r="E39" s="18" t="str">
        <f t="shared" si="0"/>
        <v/>
      </c>
      <c r="F39" s="19"/>
      <c r="G39" s="20"/>
      <c r="H39" s="20" t="str">
        <f t="shared" si="1"/>
        <v/>
      </c>
      <c r="I39" s="19" t="str">
        <f t="shared" si="2"/>
        <v/>
      </c>
      <c r="J39" s="42"/>
      <c r="K39" s="43"/>
    </row>
    <row r="40" spans="1:11" ht="15.6">
      <c r="A40" s="28" t="str">
        <v>Colusa - WTP</v>
      </c>
      <c r="B40" s="29" t="str">
        <v>CA</v>
      </c>
      <c r="C40" s="24"/>
      <c r="D40" s="13"/>
      <c r="E40" s="13" t="str">
        <f t="shared" si="0"/>
        <v/>
      </c>
      <c r="F40" s="14"/>
      <c r="G40" s="15"/>
      <c r="H40" s="15" t="str">
        <f t="shared" si="1"/>
        <v/>
      </c>
      <c r="I40" s="16" t="str">
        <f t="shared" si="2"/>
        <v/>
      </c>
      <c r="J40" s="41"/>
      <c r="K40" s="41"/>
    </row>
    <row r="41" spans="1:11" ht="15.6">
      <c r="A41" s="30" t="str">
        <v>CDCR-North Kern State Prision</v>
      </c>
      <c r="B41" s="31" t="str">
        <v>CA</v>
      </c>
      <c r="C41" s="11"/>
      <c r="D41" s="18"/>
      <c r="E41" s="18" t="str">
        <f t="shared" si="0"/>
        <v/>
      </c>
      <c r="F41" s="19"/>
      <c r="G41" s="20"/>
      <c r="H41" s="20" t="str">
        <f t="shared" si="1"/>
        <v/>
      </c>
      <c r="I41" s="19" t="str">
        <f t="shared" si="2"/>
        <v/>
      </c>
      <c r="J41" s="42"/>
      <c r="K41" s="117"/>
    </row>
    <row r="42" spans="1:11" ht="15.6">
      <c r="A42" s="28" t="str">
        <v>Muroc Joint USD - District Office</v>
      </c>
      <c r="B42" s="29" t="str">
        <v>CA</v>
      </c>
      <c r="C42" s="24"/>
      <c r="D42" s="13"/>
      <c r="E42" s="13" t="str">
        <f t="shared" si="0"/>
        <v/>
      </c>
      <c r="F42" s="14"/>
      <c r="G42" s="15"/>
      <c r="H42" s="15" t="str">
        <f t="shared" si="1"/>
        <v/>
      </c>
      <c r="I42" s="16" t="str">
        <f t="shared" si="2"/>
        <v/>
      </c>
      <c r="J42" s="41"/>
      <c r="K42" s="41"/>
    </row>
    <row r="43" spans="1:11" ht="15.6">
      <c r="A43" s="30" t="str">
        <v>Whole Foods - Manhattan Beach</v>
      </c>
      <c r="B43" s="31" t="str">
        <v>CA</v>
      </c>
      <c r="C43" s="11"/>
      <c r="D43" s="18"/>
      <c r="E43" s="18" t="str">
        <f t="shared" si="0"/>
        <v/>
      </c>
      <c r="F43" s="19"/>
      <c r="G43" s="20"/>
      <c r="H43" s="20" t="str">
        <f t="shared" si="1"/>
        <v/>
      </c>
      <c r="I43" s="19" t="str">
        <f t="shared" si="2"/>
        <v/>
      </c>
      <c r="J43" s="54"/>
      <c r="K43" s="54"/>
    </row>
    <row r="44" spans="1:11" ht="15.6">
      <c r="A44" s="28" t="str">
        <v>Pioneer USD - Frontier ES</v>
      </c>
      <c r="B44" s="29" t="str">
        <v>CA</v>
      </c>
      <c r="C44" s="24"/>
      <c r="D44" s="13"/>
      <c r="E44" s="13" t="str">
        <f t="shared" si="0"/>
        <v/>
      </c>
      <c r="F44" s="14"/>
      <c r="G44" s="15"/>
      <c r="H44" s="15" t="str">
        <f t="shared" si="1"/>
        <v/>
      </c>
      <c r="I44" s="16" t="str">
        <f t="shared" si="2"/>
        <v/>
      </c>
      <c r="J44" s="41"/>
      <c r="K44" s="41"/>
    </row>
    <row r="45" spans="1:11" ht="15.6">
      <c r="A45" s="30" t="str">
        <v>Pioneer USD - Pioneer ES</v>
      </c>
      <c r="B45" s="31" t="str">
        <v>CA</v>
      </c>
      <c r="C45" s="11"/>
      <c r="D45" s="18"/>
      <c r="E45" s="18" t="str">
        <f t="shared" si="0"/>
        <v/>
      </c>
      <c r="F45" s="19"/>
      <c r="G45" s="20"/>
      <c r="H45" s="20" t="str">
        <f t="shared" si="1"/>
        <v/>
      </c>
      <c r="I45" s="19" t="str">
        <f t="shared" si="2"/>
        <v/>
      </c>
      <c r="J45" s="42"/>
      <c r="K45" s="42"/>
    </row>
    <row r="46" spans="1:11" ht="15.6">
      <c r="A46" s="28" t="str">
        <v>Pioneer USD - Pioneer MS</v>
      </c>
      <c r="B46" s="29" t="str">
        <v>CA</v>
      </c>
      <c r="C46" s="24"/>
      <c r="D46" s="13"/>
      <c r="E46" s="13" t="str">
        <f t="shared" si="0"/>
        <v/>
      </c>
      <c r="F46" s="14"/>
      <c r="G46" s="15"/>
      <c r="H46" s="15" t="str">
        <f t="shared" si="1"/>
        <v/>
      </c>
      <c r="I46" s="16" t="str">
        <f t="shared" si="2"/>
        <v/>
      </c>
      <c r="J46" s="41"/>
      <c r="K46" s="41"/>
    </row>
    <row r="47" spans="1:11" ht="15.6">
      <c r="A47" s="30" t="str">
        <v>Kingsburg Joint UHSD - Kingsburg HS</v>
      </c>
      <c r="B47" s="31" t="str">
        <v>CA</v>
      </c>
      <c r="C47" s="11"/>
      <c r="D47" s="18"/>
      <c r="E47" s="18" t="str">
        <f t="shared" si="0"/>
        <v/>
      </c>
      <c r="F47" s="19"/>
      <c r="G47" s="20"/>
      <c r="H47" s="20" t="str">
        <f t="shared" si="1"/>
        <v/>
      </c>
      <c r="I47" s="19" t="str">
        <f t="shared" si="2"/>
        <v/>
      </c>
      <c r="J47" s="42"/>
      <c r="K47" s="54"/>
    </row>
    <row r="48" spans="1:11" ht="15.6">
      <c r="A48" s="28" t="str">
        <v>CADRB</v>
      </c>
      <c r="B48" s="29" t="str">
        <v>CA</v>
      </c>
      <c r="C48" s="24"/>
      <c r="D48" s="13"/>
      <c r="E48" s="13" t="str">
        <f t="shared" si="0"/>
        <v/>
      </c>
      <c r="F48" s="14"/>
      <c r="G48" s="15"/>
      <c r="H48" s="15" t="str">
        <f t="shared" si="1"/>
        <v/>
      </c>
      <c r="I48" s="16" t="str">
        <f t="shared" si="2"/>
        <v/>
      </c>
      <c r="J48" s="41"/>
      <c r="K48" s="41"/>
    </row>
    <row r="49" spans="1:11" ht="15.6">
      <c r="A49" s="30" t="str">
        <v>CDCR-CA State Prison LA County</v>
      </c>
      <c r="B49" s="31" t="str">
        <v>CA</v>
      </c>
      <c r="C49" s="11"/>
      <c r="D49" s="18"/>
      <c r="E49" s="18" t="str">
        <f t="shared" si="0"/>
        <v/>
      </c>
      <c r="F49" s="19"/>
      <c r="G49" s="20"/>
      <c r="H49" s="20" t="str">
        <f t="shared" si="1"/>
        <v/>
      </c>
      <c r="I49" s="19" t="str">
        <f t="shared" si="2"/>
        <v/>
      </c>
      <c r="J49" s="42"/>
      <c r="K49" s="43"/>
    </row>
    <row r="50" spans="1:11" ht="15.6">
      <c r="A50" s="28" t="str">
        <v>Central USD Akers ES</v>
      </c>
      <c r="B50" s="29" t="str">
        <v>CA</v>
      </c>
      <c r="C50" s="24"/>
      <c r="D50" s="13"/>
      <c r="E50" s="13" t="str">
        <f t="shared" si="0"/>
        <v/>
      </c>
      <c r="F50" s="14"/>
      <c r="G50" s="15"/>
      <c r="H50" s="15" t="str">
        <f t="shared" si="1"/>
        <v/>
      </c>
      <c r="I50" s="16" t="str">
        <f t="shared" si="2"/>
        <v/>
      </c>
      <c r="J50" s="41"/>
      <c r="K50" s="41"/>
    </row>
    <row r="51" spans="1:11" ht="15.6">
      <c r="A51" s="30" t="str">
        <v>CUSD - District Office</v>
      </c>
      <c r="B51" s="31" t="str">
        <v>CA</v>
      </c>
      <c r="C51" s="11"/>
      <c r="D51" s="18"/>
      <c r="E51" s="18" t="str">
        <f t="shared" si="0"/>
        <v/>
      </c>
      <c r="F51" s="19"/>
      <c r="G51" s="20"/>
      <c r="H51" s="20" t="str">
        <f t="shared" si="1"/>
        <v/>
      </c>
      <c r="I51" s="19" t="str">
        <f t="shared" si="2"/>
        <v/>
      </c>
      <c r="J51" s="42"/>
      <c r="K51" s="43"/>
    </row>
    <row r="52" spans="1:11" ht="15.6">
      <c r="A52" s="28" t="str">
        <v>Parlier - WTP</v>
      </c>
      <c r="B52" s="29" t="str">
        <v>CA</v>
      </c>
      <c r="C52" s="24"/>
      <c r="D52" s="13"/>
      <c r="E52" s="13" t="str">
        <f t="shared" si="0"/>
        <v/>
      </c>
      <c r="F52" s="14"/>
      <c r="G52" s="15"/>
      <c r="H52" s="15" t="str">
        <f t="shared" si="1"/>
        <v/>
      </c>
      <c r="I52" s="16" t="str">
        <f t="shared" si="2"/>
        <v/>
      </c>
      <c r="J52" s="41"/>
      <c r="K52" s="41"/>
    </row>
    <row r="53" spans="1:11" ht="15.6">
      <c r="A53" s="30" t="str">
        <v>Snowline SD - Quail Valley MS</v>
      </c>
      <c r="B53" s="31" t="str">
        <v>CA</v>
      </c>
      <c r="C53" s="11"/>
      <c r="D53" s="18"/>
      <c r="E53" s="18" t="str">
        <f t="shared" si="0"/>
        <v/>
      </c>
      <c r="F53" s="19"/>
      <c r="G53" s="20"/>
      <c r="H53" s="20" t="str">
        <f t="shared" si="1"/>
        <v/>
      </c>
      <c r="I53" s="19" t="str">
        <f t="shared" si="2"/>
        <v/>
      </c>
      <c r="J53" s="42"/>
      <c r="K53" s="43"/>
    </row>
    <row r="54" spans="1:11" ht="15.6">
      <c r="A54" s="28" t="str">
        <v>Snowline SD - Serrano HS - Middle Lot</v>
      </c>
      <c r="B54" s="29" t="str">
        <v>CA</v>
      </c>
      <c r="C54" s="24"/>
      <c r="D54" s="13"/>
      <c r="E54" s="13" t="str">
        <f t="shared" si="0"/>
        <v/>
      </c>
      <c r="F54" s="14"/>
      <c r="G54" s="15"/>
      <c r="H54" s="15" t="str">
        <f t="shared" si="1"/>
        <v/>
      </c>
      <c r="I54" s="16" t="str">
        <f t="shared" si="2"/>
        <v/>
      </c>
      <c r="J54" s="41"/>
      <c r="K54" s="41"/>
    </row>
    <row r="55" spans="1:11" ht="15.6">
      <c r="A55" s="30" t="str">
        <v>Snowline SD - Pinon Hills ES</v>
      </c>
      <c r="B55" s="31" t="str">
        <v>CA</v>
      </c>
      <c r="C55" s="11"/>
      <c r="D55" s="18"/>
      <c r="E55" s="18" t="str">
        <f t="shared" si="0"/>
        <v/>
      </c>
      <c r="F55" s="19"/>
      <c r="G55" s="20"/>
      <c r="H55" s="20" t="str">
        <f t="shared" si="1"/>
        <v/>
      </c>
      <c r="I55" s="19" t="str">
        <f t="shared" si="2"/>
        <v/>
      </c>
      <c r="J55" s="42"/>
      <c r="K55" s="43"/>
    </row>
    <row r="56" spans="1:11" ht="15.6">
      <c r="A56" s="28" t="str">
        <v>Ramona - Santa Maria WTP</v>
      </c>
      <c r="B56" s="29" t="str">
        <v>CA</v>
      </c>
      <c r="C56" s="24"/>
      <c r="D56" s="13"/>
      <c r="E56" s="13" t="str">
        <f t="shared" si="0"/>
        <v/>
      </c>
      <c r="F56" s="14"/>
      <c r="G56" s="15"/>
      <c r="H56" s="15" t="str">
        <f t="shared" si="1"/>
        <v/>
      </c>
      <c r="I56" s="16" t="str">
        <f t="shared" si="2"/>
        <v/>
      </c>
      <c r="J56" s="41"/>
      <c r="K56" s="41"/>
    </row>
    <row r="57" spans="1:11" ht="15.6">
      <c r="A57" s="30" t="str">
        <v>Kohls - Redding</v>
      </c>
      <c r="B57" s="31" t="str">
        <v>CA</v>
      </c>
      <c r="C57" s="11"/>
      <c r="D57" s="18"/>
      <c r="E57" s="18" t="str">
        <f t="shared" si="0"/>
        <v/>
      </c>
      <c r="F57" s="19"/>
      <c r="G57" s="20"/>
      <c r="H57" s="20" t="str">
        <f t="shared" si="1"/>
        <v/>
      </c>
      <c r="I57" s="19" t="str">
        <f t="shared" si="2"/>
        <v/>
      </c>
      <c r="J57" s="42"/>
      <c r="K57" s="54"/>
    </row>
    <row r="58" spans="1:11" ht="15.6">
      <c r="A58" s="28" t="str">
        <v>Kohls - Salinas</v>
      </c>
      <c r="B58" s="29" t="str">
        <v>CA</v>
      </c>
      <c r="C58" s="24"/>
      <c r="D58" s="13"/>
      <c r="E58" s="13" t="str">
        <f t="shared" si="0"/>
        <v/>
      </c>
      <c r="F58" s="14"/>
      <c r="G58" s="15"/>
      <c r="H58" s="15" t="str">
        <f t="shared" si="1"/>
        <v/>
      </c>
      <c r="I58" s="16" t="str">
        <f t="shared" si="2"/>
        <v/>
      </c>
      <c r="J58" s="41"/>
      <c r="K58" s="41"/>
    </row>
    <row r="59" spans="1:11" ht="15.6">
      <c r="A59" s="30" t="str">
        <v>Kohls - San Bernardino - Central</v>
      </c>
      <c r="B59" s="31" t="str">
        <v>CA</v>
      </c>
      <c r="C59" s="11"/>
      <c r="D59" s="18"/>
      <c r="E59" s="18" t="str">
        <f t="shared" si="0"/>
        <v/>
      </c>
      <c r="F59" s="19"/>
      <c r="G59" s="20"/>
      <c r="H59" s="20" t="str">
        <f t="shared" si="1"/>
        <v/>
      </c>
      <c r="I59" s="19" t="str">
        <f t="shared" si="2"/>
        <v/>
      </c>
      <c r="J59" s="42"/>
      <c r="K59" s="43"/>
    </row>
    <row r="60" spans="1:11" ht="15.6">
      <c r="A60" s="28" t="str">
        <v>Kohls - Sonora</v>
      </c>
      <c r="B60" s="29" t="str">
        <v>CA</v>
      </c>
      <c r="C60" s="24"/>
      <c r="D60" s="13"/>
      <c r="E60" s="13" t="str">
        <f t="shared" si="0"/>
        <v/>
      </c>
      <c r="F60" s="14"/>
      <c r="G60" s="15"/>
      <c r="H60" s="15" t="str">
        <f t="shared" si="1"/>
        <v/>
      </c>
      <c r="I60" s="16" t="str">
        <f t="shared" si="2"/>
        <v/>
      </c>
      <c r="J60" s="41"/>
      <c r="K60" s="41"/>
    </row>
    <row r="61" spans="1:11" ht="15.6">
      <c r="A61" s="30" t="str">
        <v>CUSD - Stratford ES</v>
      </c>
      <c r="B61" s="31" t="str">
        <v>CA</v>
      </c>
      <c r="C61" s="11"/>
      <c r="D61" s="18"/>
      <c r="E61" s="18" t="str">
        <f t="shared" si="0"/>
        <v/>
      </c>
      <c r="F61" s="19"/>
      <c r="G61" s="20"/>
      <c r="H61" s="20" t="str">
        <f t="shared" si="1"/>
        <v/>
      </c>
      <c r="I61" s="19" t="str">
        <f t="shared" si="2"/>
        <v/>
      </c>
      <c r="J61" s="42"/>
      <c r="K61" s="43"/>
    </row>
    <row r="62" spans="1:11" ht="15.6">
      <c r="A62" s="28" t="str">
        <v>Taft - City Hall</v>
      </c>
      <c r="B62" s="29" t="str">
        <v>CA</v>
      </c>
      <c r="C62" s="24"/>
      <c r="D62" s="13"/>
      <c r="E62" s="13" t="str">
        <f t="shared" si="0"/>
        <v/>
      </c>
      <c r="F62" s="14"/>
      <c r="G62" s="15"/>
      <c r="H62" s="15" t="str">
        <f t="shared" si="1"/>
        <v/>
      </c>
      <c r="I62" s="16" t="str">
        <f t="shared" si="2"/>
        <v/>
      </c>
      <c r="J62" s="41"/>
      <c r="K62" s="41"/>
    </row>
    <row r="63" spans="1:11" ht="29.25" customHeight="1">
      <c r="A63" s="30" t="str">
        <v>Taft - Federal Prison</v>
      </c>
      <c r="B63" s="31" t="str">
        <v>CA</v>
      </c>
      <c r="C63" s="11"/>
      <c r="D63" s="18"/>
      <c r="E63" s="18" t="str">
        <f t="shared" si="0"/>
        <v/>
      </c>
      <c r="F63" s="19"/>
      <c r="G63" s="20"/>
      <c r="H63" s="20" t="str">
        <f t="shared" si="1"/>
        <v/>
      </c>
      <c r="I63" s="19" t="str">
        <f t="shared" si="2"/>
        <v/>
      </c>
      <c r="J63" s="42"/>
      <c r="K63" s="43"/>
    </row>
    <row r="64" spans="1:11" ht="15.6">
      <c r="A64" s="28" t="str">
        <v>Taft - Police Department</v>
      </c>
      <c r="B64" s="29" t="str">
        <v>CA</v>
      </c>
      <c r="C64" s="24"/>
      <c r="D64" s="13"/>
      <c r="E64" s="13" t="str">
        <f t="shared" si="0"/>
        <v/>
      </c>
      <c r="F64" s="14"/>
      <c r="G64" s="15"/>
      <c r="H64" s="15" t="str">
        <f t="shared" si="1"/>
        <v/>
      </c>
      <c r="I64" s="16" t="str">
        <f t="shared" si="2"/>
        <v/>
      </c>
      <c r="J64" s="41"/>
      <c r="K64" s="41"/>
    </row>
    <row r="65" spans="1:11" ht="15.6">
      <c r="A65" s="30" t="str">
        <v>Taft - WTP</v>
      </c>
      <c r="B65" s="31" t="str">
        <v>CA</v>
      </c>
      <c r="C65" s="11"/>
      <c r="D65" s="18"/>
      <c r="E65" s="18" t="str">
        <f t="shared" si="0"/>
        <v/>
      </c>
      <c r="F65" s="19"/>
      <c r="G65" s="20"/>
      <c r="H65" s="20" t="str">
        <f t="shared" si="1"/>
        <v/>
      </c>
      <c r="I65" s="19" t="str">
        <f t="shared" si="2"/>
        <v/>
      </c>
      <c r="J65" s="79"/>
      <c r="K65" s="54"/>
    </row>
    <row r="66" spans="1:11" ht="15.6">
      <c r="A66" s="28" t="str">
        <v>CDCR - CA Correctional Institution</v>
      </c>
      <c r="B66" s="29" t="str">
        <v>CA</v>
      </c>
      <c r="C66" s="24"/>
      <c r="D66" s="13"/>
      <c r="E66" s="13" t="str">
        <f t="shared" si="0"/>
        <v/>
      </c>
      <c r="F66" s="14"/>
      <c r="G66" s="15"/>
      <c r="H66" s="15" t="str">
        <f t="shared" si="1"/>
        <v/>
      </c>
      <c r="I66" s="16" t="str">
        <f t="shared" si="2"/>
        <v/>
      </c>
      <c r="J66" s="41"/>
      <c r="K66" s="41"/>
    </row>
    <row r="67" spans="1:11" ht="96" customHeight="1">
      <c r="A67" s="30" t="str">
        <v>CDCR - CA Correctional Institution II</v>
      </c>
      <c r="B67" s="31" t="str">
        <v>CA</v>
      </c>
      <c r="C67" s="11"/>
      <c r="D67" s="18"/>
      <c r="E67" s="18" t="str">
        <f t="shared" si="0"/>
        <v/>
      </c>
      <c r="F67" s="19"/>
      <c r="G67" s="20"/>
      <c r="H67" s="20" t="str">
        <f t="shared" si="1"/>
        <v/>
      </c>
      <c r="I67" s="19" t="str">
        <f t="shared" si="2"/>
        <v/>
      </c>
      <c r="J67" s="42"/>
      <c r="K67" s="61"/>
    </row>
    <row r="68" spans="1:11" ht="15.6">
      <c r="A68" s="28" t="str">
        <v>Snowline SD - Vista Verde ES</v>
      </c>
      <c r="B68" s="29" t="str">
        <v>CA</v>
      </c>
      <c r="C68" s="24"/>
      <c r="D68" s="13"/>
      <c r="E68" s="13" t="str">
        <f t="shared" si="0"/>
        <v/>
      </c>
      <c r="F68" s="14"/>
      <c r="G68" s="15"/>
      <c r="H68" s="15" t="str">
        <f t="shared" si="1"/>
        <v/>
      </c>
      <c r="I68" s="16" t="str">
        <f t="shared" si="2"/>
        <v/>
      </c>
      <c r="J68" s="41"/>
      <c r="K68" s="41"/>
    </row>
    <row r="69" spans="1:11" ht="14.45">
      <c r="A69" s="21" t="str">
        <v>North Stonington</v>
      </c>
      <c r="B69" s="33" t="str">
        <v>CT</v>
      </c>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14" priority="3" stopIfTrue="1" operator="lessThanOrEqual">
      <formula>-0.1</formula>
    </cfRule>
    <cfRule type="expression" dxfId="13" priority="4">
      <formula>AND(ISNUMBER(F2), F2&gt;=0.1)</formula>
    </cfRule>
  </conditionalFormatting>
  <conditionalFormatting sqref="F4:F100 I4:I100">
    <cfRule type="cellIs" dxfId="12" priority="1" stopIfTrue="1" operator="lessThanOrEqual">
      <formula>-0.1</formula>
    </cfRule>
    <cfRule type="expression" dxfId="11" priority="2">
      <formula>AND(ISNUMBER(F4), F4&gt;=0.1)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42"/>
  <sheetViews>
    <sheetView zoomScale="60" zoomScaleNormal="60" workbookViewId="0">
      <pane xSplit="2" ySplit="3" topLeftCell="C18" activePane="bottomRight" state="frozen"/>
      <selection pane="bottomRight" activeCell="J35" sqref="A32:J35"/>
      <selection pane="bottomLeft" activeCell="J66" sqref="J66"/>
      <selection pane="topRight" activeCell="J66" sqref="J66"/>
    </sheetView>
  </sheetViews>
  <sheetFormatPr defaultRowHeight="14.1"/>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20" t="str" cm="1">
        <f t="array" ref="A1">portfolio</f>
        <v>Silicon Ranch</v>
      </c>
      <c r="B1" s="120"/>
      <c r="C1" s="120"/>
      <c r="D1" s="121" t="s">
        <v>436</v>
      </c>
      <c r="E1" s="121"/>
      <c r="F1" s="121"/>
      <c r="G1" s="119" t="s">
        <v>437</v>
      </c>
      <c r="H1" s="119"/>
      <c r="I1" s="119"/>
      <c r="J1" s="4"/>
      <c r="K1" s="4"/>
    </row>
    <row r="2" spans="1:11" ht="19.5" customHeight="1">
      <c r="A2" s="122" t="s">
        <v>2</v>
      </c>
      <c r="B2" s="122"/>
      <c r="C2" s="5">
        <f>SUM(C4:C100)</f>
        <v>0</v>
      </c>
      <c r="D2" s="5">
        <f>SUM(D4:D100)</f>
        <v>0</v>
      </c>
      <c r="E2" s="5">
        <f>C2-D2</f>
        <v>0</v>
      </c>
      <c r="F2" s="6">
        <f>IFERROR(E2/D2, 0)</f>
        <v>0</v>
      </c>
      <c r="G2" s="5">
        <f>SUM(G4:G100)</f>
        <v>0</v>
      </c>
      <c r="H2" s="7">
        <f>C2-G2</f>
        <v>0</v>
      </c>
      <c r="I2" s="6">
        <f>IFERROR(H2/G2, 0)</f>
        <v>0</v>
      </c>
      <c r="J2" s="26"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6">
      <c r="A4" s="32" t="str" cm="1">
        <f t="array" ref="A4:A69">Sites[Site]</f>
        <v>Iron Mountain - Windsor</v>
      </c>
      <c r="B4" s="29" t="str" cm="1">
        <f t="array" ref="B4:B69">Sites[State]</f>
        <v>CT</v>
      </c>
      <c r="C4" s="24"/>
      <c r="D4" s="13"/>
      <c r="E4" s="13" t="str">
        <f>IF(AND(ISNUMBER(C4),ISNUMBER(D4)), C4-D4, "")</f>
        <v/>
      </c>
      <c r="F4" s="14" t="str">
        <f>IFERROR(E4/D4, "")</f>
        <v/>
      </c>
      <c r="G4" s="15"/>
      <c r="H4" s="15" t="str">
        <f>IF(AND(ISNUMBER(C4),ISNUMBER(G4)), C4-G4, "")</f>
        <v/>
      </c>
      <c r="I4" s="16" t="str">
        <f>IFERROR(H4/G4, "")</f>
        <v/>
      </c>
      <c r="J4" s="85"/>
      <c r="K4" s="85"/>
    </row>
    <row r="5" spans="1:11" ht="15.6">
      <c r="A5" s="30" t="str">
        <v>Kohls - Auburn</v>
      </c>
      <c r="B5" s="31" t="str">
        <v>NY</v>
      </c>
      <c r="C5" s="11"/>
      <c r="D5" s="18"/>
      <c r="E5" s="18" t="str">
        <f t="shared" ref="E5:E68" si="0">IF(AND(ISNUMBER(C5),ISNUMBER(D5)), C5-D5, "")</f>
        <v/>
      </c>
      <c r="F5" s="19" t="str">
        <f>IFERROR(E5/D5, "")</f>
        <v/>
      </c>
      <c r="G5" s="18"/>
      <c r="H5" s="20" t="str">
        <f t="shared" ref="H5:H68" si="1">IF(AND(ISNUMBER(C5),ISNUMBER(G5)), C5-G5, "")</f>
        <v/>
      </c>
      <c r="I5" s="19" t="str">
        <f t="shared" ref="I5:I68" si="2">IFERROR(H5/G5, "")</f>
        <v/>
      </c>
      <c r="J5" s="114"/>
      <c r="K5" s="114"/>
    </row>
    <row r="6" spans="1:11" ht="15.6">
      <c r="A6" s="28" t="str">
        <v>Kohls - Bensalem</v>
      </c>
      <c r="B6" s="29" t="str">
        <v>PA</v>
      </c>
      <c r="C6" s="24"/>
      <c r="D6" s="13"/>
      <c r="E6" s="13" t="str">
        <f t="shared" si="0"/>
        <v/>
      </c>
      <c r="F6" s="14" t="str">
        <f t="shared" ref="F6:F17" si="3">IFERROR(E6/D6, "")</f>
        <v/>
      </c>
      <c r="G6" s="15"/>
      <c r="H6" s="15" t="str">
        <f t="shared" si="1"/>
        <v/>
      </c>
      <c r="I6" s="16" t="str">
        <f t="shared" si="2"/>
        <v/>
      </c>
      <c r="J6" s="85"/>
      <c r="K6" s="85"/>
    </row>
    <row r="7" spans="1:11" ht="15.6">
      <c r="A7" s="30" t="str">
        <v>Kohls - Brick</v>
      </c>
      <c r="B7" s="31" t="str">
        <v>NJ</v>
      </c>
      <c r="C7" s="11"/>
      <c r="D7" s="18"/>
      <c r="E7" s="18" t="str">
        <f t="shared" si="0"/>
        <v/>
      </c>
      <c r="F7" s="19" t="str">
        <f t="shared" si="3"/>
        <v/>
      </c>
      <c r="G7" s="20"/>
      <c r="H7" s="20" t="str">
        <f t="shared" si="1"/>
        <v/>
      </c>
      <c r="I7" s="19" t="str">
        <f t="shared" si="2"/>
        <v/>
      </c>
      <c r="J7" s="114"/>
      <c r="K7" s="80"/>
    </row>
    <row r="8" spans="1:11" ht="15.6">
      <c r="A8" s="28" t="str">
        <v>Kohls - Buffalo</v>
      </c>
      <c r="B8" s="29" t="str">
        <v>NY</v>
      </c>
      <c r="C8" s="24"/>
      <c r="D8" s="13"/>
      <c r="E8" s="13" t="str">
        <f t="shared" si="0"/>
        <v/>
      </c>
      <c r="F8" s="14" t="str">
        <f t="shared" si="3"/>
        <v/>
      </c>
      <c r="G8" s="15"/>
      <c r="H8" s="15" t="str">
        <f t="shared" si="1"/>
        <v/>
      </c>
      <c r="I8" s="16" t="str">
        <f t="shared" si="2"/>
        <v/>
      </c>
      <c r="J8" s="85"/>
      <c r="K8" s="85"/>
    </row>
    <row r="9" spans="1:11" ht="15.6">
      <c r="A9" s="30" t="str">
        <v>Kohls - Canton</v>
      </c>
      <c r="B9" s="31" t="str">
        <v>CT</v>
      </c>
      <c r="C9" s="11"/>
      <c r="D9" s="18"/>
      <c r="E9" s="18" t="str">
        <f t="shared" si="0"/>
        <v/>
      </c>
      <c r="F9" s="19" t="str">
        <f t="shared" si="3"/>
        <v/>
      </c>
      <c r="G9" s="20"/>
      <c r="H9" s="20" t="str">
        <f t="shared" si="1"/>
        <v/>
      </c>
      <c r="I9" s="19" t="str">
        <f t="shared" si="2"/>
        <v/>
      </c>
      <c r="J9" s="114"/>
      <c r="K9" s="80"/>
    </row>
    <row r="10" spans="1:11" ht="15.6">
      <c r="A10" s="28" t="str">
        <v>Kohls - East Amherst</v>
      </c>
      <c r="B10" s="29" t="str">
        <v>NY</v>
      </c>
      <c r="C10" s="24"/>
      <c r="D10" s="13"/>
      <c r="E10" s="13" t="str">
        <f t="shared" si="0"/>
        <v/>
      </c>
      <c r="F10" s="14" t="str">
        <f t="shared" si="3"/>
        <v/>
      </c>
      <c r="G10" s="15"/>
      <c r="H10" s="15" t="str">
        <f t="shared" si="1"/>
        <v/>
      </c>
      <c r="I10" s="16" t="str">
        <f t="shared" si="2"/>
        <v/>
      </c>
      <c r="J10" s="85"/>
      <c r="K10" s="85"/>
    </row>
    <row r="11" spans="1:11" ht="15.6">
      <c r="A11" s="30" t="str">
        <v>Kohls - East Brunswick</v>
      </c>
      <c r="B11" s="31" t="str">
        <v>NJ</v>
      </c>
      <c r="C11" s="11"/>
      <c r="D11" s="18"/>
      <c r="E11" s="18" t="str">
        <f t="shared" si="0"/>
        <v/>
      </c>
      <c r="F11" s="19" t="str">
        <f t="shared" si="3"/>
        <v/>
      </c>
      <c r="G11" s="20"/>
      <c r="H11" s="20" t="str">
        <f t="shared" si="1"/>
        <v/>
      </c>
      <c r="I11" s="19" t="str">
        <f t="shared" si="2"/>
        <v/>
      </c>
      <c r="J11" s="114"/>
      <c r="K11" s="80"/>
    </row>
    <row r="12" spans="1:11" ht="15.6">
      <c r="A12" s="28" t="str">
        <v>Kohls - Edgewood</v>
      </c>
      <c r="B12" s="29" t="str">
        <v>MD</v>
      </c>
      <c r="C12" s="24"/>
      <c r="D12" s="13"/>
      <c r="E12" s="13" t="str">
        <f t="shared" si="0"/>
        <v/>
      </c>
      <c r="F12" s="14" t="str">
        <f t="shared" si="3"/>
        <v/>
      </c>
      <c r="G12" s="15"/>
      <c r="H12" s="15" t="str">
        <f t="shared" si="1"/>
        <v/>
      </c>
      <c r="I12" s="16" t="str">
        <f t="shared" si="2"/>
        <v/>
      </c>
      <c r="J12" s="85"/>
      <c r="K12" s="85"/>
    </row>
    <row r="13" spans="1:11" ht="15.6">
      <c r="A13" s="30" t="str">
        <v>Kohls - Granite Run</v>
      </c>
      <c r="B13" s="31" t="str">
        <v>PA</v>
      </c>
      <c r="C13" s="11"/>
      <c r="D13" s="18"/>
      <c r="E13" s="18" t="str">
        <f t="shared" si="0"/>
        <v/>
      </c>
      <c r="F13" s="19" t="str">
        <f t="shared" si="3"/>
        <v/>
      </c>
      <c r="G13" s="20"/>
      <c r="H13" s="20" t="str">
        <f t="shared" si="1"/>
        <v/>
      </c>
      <c r="I13" s="19" t="str">
        <f t="shared" si="2"/>
        <v/>
      </c>
      <c r="J13" s="114"/>
      <c r="K13" s="80"/>
    </row>
    <row r="14" spans="1:11" ht="39" customHeight="1">
      <c r="A14" s="28" t="str">
        <v>Kohls - Greece</v>
      </c>
      <c r="B14" s="29" t="str">
        <v>NY</v>
      </c>
      <c r="C14" s="24"/>
      <c r="D14" s="13"/>
      <c r="E14" s="13" t="str">
        <f t="shared" si="0"/>
        <v/>
      </c>
      <c r="F14" s="14" t="str">
        <f t="shared" si="3"/>
        <v/>
      </c>
      <c r="G14" s="15"/>
      <c r="H14" s="15" t="str">
        <f t="shared" si="1"/>
        <v/>
      </c>
      <c r="I14" s="16" t="str">
        <f t="shared" si="2"/>
        <v/>
      </c>
      <c r="J14" s="85"/>
      <c r="K14" s="85"/>
    </row>
    <row r="15" spans="1:11" ht="31.5" customHeight="1">
      <c r="A15" s="30" t="str">
        <v>Kohls - Hanover</v>
      </c>
      <c r="B15" s="31" t="str">
        <v>PA</v>
      </c>
      <c r="C15" s="11"/>
      <c r="D15" s="18"/>
      <c r="E15" s="18" t="str">
        <f t="shared" si="0"/>
        <v/>
      </c>
      <c r="F15" s="19" t="str">
        <f t="shared" si="3"/>
        <v/>
      </c>
      <c r="G15" s="20"/>
      <c r="H15" s="20" t="str">
        <f t="shared" si="1"/>
        <v/>
      </c>
      <c r="I15" s="19" t="str">
        <f t="shared" si="2"/>
        <v/>
      </c>
      <c r="J15" s="114"/>
      <c r="K15" s="114"/>
    </row>
    <row r="16" spans="1:11" ht="15.6">
      <c r="A16" s="28" t="str">
        <v>Kohls - Horsehead</v>
      </c>
      <c r="B16" s="29" t="str">
        <v>NY</v>
      </c>
      <c r="C16" s="24"/>
      <c r="D16" s="13"/>
      <c r="E16" s="13" t="str">
        <f t="shared" si="0"/>
        <v/>
      </c>
      <c r="F16" s="14" t="str">
        <f t="shared" si="3"/>
        <v/>
      </c>
      <c r="G16" s="15"/>
      <c r="H16" s="15" t="str">
        <f t="shared" si="1"/>
        <v/>
      </c>
      <c r="I16" s="16" t="str">
        <f t="shared" si="2"/>
        <v/>
      </c>
      <c r="J16" s="85"/>
      <c r="K16" s="85"/>
    </row>
    <row r="17" spans="1:11" ht="15.6">
      <c r="A17" s="30" t="str">
        <v>Kohls - Hudson</v>
      </c>
      <c r="B17" s="31" t="str">
        <v>NY</v>
      </c>
      <c r="C17" s="11"/>
      <c r="D17" s="18"/>
      <c r="E17" s="18" t="str">
        <f t="shared" si="0"/>
        <v/>
      </c>
      <c r="F17" s="19" t="str">
        <f t="shared" si="3"/>
        <v/>
      </c>
      <c r="G17" s="20"/>
      <c r="H17" s="20" t="str">
        <f t="shared" si="1"/>
        <v/>
      </c>
      <c r="I17" s="19" t="str">
        <f t="shared" si="2"/>
        <v/>
      </c>
      <c r="J17" s="114"/>
      <c r="K17" s="80"/>
    </row>
    <row r="18" spans="1:11" ht="12.75" customHeight="1">
      <c r="A18" s="32" t="str">
        <v>Kohls - Ithaca</v>
      </c>
      <c r="B18" s="29" t="str">
        <v>NY</v>
      </c>
      <c r="C18" s="24"/>
      <c r="D18" s="13"/>
      <c r="E18" s="13" t="str">
        <f t="shared" si="0"/>
        <v/>
      </c>
      <c r="F18" s="14"/>
      <c r="G18" s="15"/>
      <c r="H18" s="15" t="str">
        <f t="shared" si="1"/>
        <v/>
      </c>
      <c r="I18" s="16" t="str">
        <f t="shared" si="2"/>
        <v/>
      </c>
      <c r="J18" s="85"/>
      <c r="K18" s="85"/>
    </row>
    <row r="19" spans="1:11" ht="15.6">
      <c r="A19" s="30" t="str">
        <v>Kohls - Kingston</v>
      </c>
      <c r="B19" s="31" t="str">
        <v>NY</v>
      </c>
      <c r="C19" s="11"/>
      <c r="D19" s="18"/>
      <c r="E19" s="18" t="str">
        <f t="shared" si="0"/>
        <v/>
      </c>
      <c r="F19" s="19"/>
      <c r="G19" s="20"/>
      <c r="H19" s="20" t="str">
        <f t="shared" si="1"/>
        <v/>
      </c>
      <c r="I19" s="19" t="str">
        <f t="shared" si="2"/>
        <v/>
      </c>
      <c r="J19" s="114"/>
      <c r="K19" s="114"/>
    </row>
    <row r="20" spans="1:11" ht="15.6">
      <c r="A20" s="28" t="str">
        <v>Kohls - Mechanicsburg</v>
      </c>
      <c r="B20" s="29" t="str">
        <v>PA</v>
      </c>
      <c r="C20" s="24"/>
      <c r="D20" s="13"/>
      <c r="E20" s="13" t="str">
        <f t="shared" si="0"/>
        <v/>
      </c>
      <c r="F20" s="14"/>
      <c r="G20" s="15"/>
      <c r="H20" s="15" t="str">
        <f t="shared" si="1"/>
        <v/>
      </c>
      <c r="I20" s="16" t="str">
        <f t="shared" si="2"/>
        <v/>
      </c>
      <c r="J20" s="85"/>
      <c r="K20" s="85"/>
    </row>
    <row r="21" spans="1:11" ht="15.6">
      <c r="A21" s="30" t="str">
        <v>Kohls - Middletown</v>
      </c>
      <c r="B21" s="31" t="str">
        <v>NJ</v>
      </c>
      <c r="C21" s="11"/>
      <c r="D21" s="18"/>
      <c r="E21" s="18" t="str">
        <f t="shared" si="0"/>
        <v/>
      </c>
      <c r="F21" s="19"/>
      <c r="G21" s="20"/>
      <c r="H21" s="20" t="str">
        <f t="shared" si="1"/>
        <v/>
      </c>
      <c r="I21" s="19" t="str">
        <f t="shared" si="2"/>
        <v/>
      </c>
      <c r="J21" s="114"/>
      <c r="K21" s="80"/>
    </row>
    <row r="22" spans="1:11" ht="34.5" customHeight="1">
      <c r="A22" s="28" t="str">
        <v>Kohls - North Amherst</v>
      </c>
      <c r="B22" s="29" t="str">
        <v>NY</v>
      </c>
      <c r="C22" s="24"/>
      <c r="D22" s="13"/>
      <c r="E22" s="13" t="str">
        <f t="shared" si="0"/>
        <v/>
      </c>
      <c r="F22" s="14"/>
      <c r="G22" s="15"/>
      <c r="H22" s="15" t="str">
        <f t="shared" si="1"/>
        <v/>
      </c>
      <c r="I22" s="16" t="str">
        <f t="shared" si="2"/>
        <v/>
      </c>
      <c r="J22" s="85"/>
      <c r="K22" s="85"/>
    </row>
    <row r="23" spans="1:11" ht="15.6">
      <c r="A23" s="30" t="str">
        <v>Kohls - Staten Island</v>
      </c>
      <c r="B23" s="31" t="str">
        <v>NY</v>
      </c>
      <c r="C23" s="11"/>
      <c r="D23" s="18"/>
      <c r="E23" s="18" t="str">
        <f t="shared" si="0"/>
        <v/>
      </c>
      <c r="F23" s="19"/>
      <c r="G23" s="20"/>
      <c r="H23" s="20" t="str">
        <f t="shared" si="1"/>
        <v/>
      </c>
      <c r="I23" s="19" t="str">
        <f t="shared" si="2"/>
        <v/>
      </c>
      <c r="J23" s="114"/>
      <c r="K23" s="114"/>
    </row>
    <row r="24" spans="1:11" ht="15.6">
      <c r="A24" s="28" t="str">
        <v>Kohls - Warminster</v>
      </c>
      <c r="B24" s="29" t="str">
        <v>PA</v>
      </c>
      <c r="C24" s="24"/>
      <c r="D24" s="13"/>
      <c r="E24" s="13" t="str">
        <f t="shared" si="0"/>
        <v/>
      </c>
      <c r="F24" s="14"/>
      <c r="G24" s="15"/>
      <c r="H24" s="15" t="str">
        <f t="shared" si="1"/>
        <v/>
      </c>
      <c r="I24" s="16" t="str">
        <f t="shared" si="2"/>
        <v/>
      </c>
      <c r="J24" s="85"/>
      <c r="K24" s="85"/>
    </row>
    <row r="25" spans="1:11" ht="15.6">
      <c r="A25" s="30" t="str">
        <v xml:space="preserve">Kohls - Waterbury </v>
      </c>
      <c r="B25" s="31" t="str">
        <v>CT</v>
      </c>
      <c r="C25" s="11"/>
      <c r="D25" s="18"/>
      <c r="E25" s="18" t="str">
        <f t="shared" si="0"/>
        <v/>
      </c>
      <c r="F25" s="19"/>
      <c r="G25" s="20"/>
      <c r="H25" s="20" t="str">
        <f t="shared" si="1"/>
        <v/>
      </c>
      <c r="I25" s="19" t="str">
        <f t="shared" si="2"/>
        <v/>
      </c>
      <c r="J25" s="114"/>
      <c r="K25" s="80"/>
    </row>
    <row r="26" spans="1:11" ht="15.6">
      <c r="A26" s="28" t="str">
        <v>Mojave Water Agency - Headquarters</v>
      </c>
      <c r="B26" s="29" t="str">
        <v>CA</v>
      </c>
      <c r="C26" s="24"/>
      <c r="D26" s="13"/>
      <c r="E26" s="13" t="str">
        <f t="shared" si="0"/>
        <v/>
      </c>
      <c r="F26" s="14"/>
      <c r="G26" s="15"/>
      <c r="H26" s="15" t="str">
        <f t="shared" si="1"/>
        <v/>
      </c>
      <c r="I26" s="16" t="str">
        <f t="shared" si="2"/>
        <v/>
      </c>
      <c r="J26" s="85"/>
      <c r="K26" s="85"/>
    </row>
    <row r="27" spans="1:11" ht="15.6">
      <c r="A27" s="30" t="str">
        <v>CSU - Bakersfield</v>
      </c>
      <c r="B27" s="31" t="str">
        <v>CA</v>
      </c>
      <c r="C27" s="11"/>
      <c r="D27" s="18"/>
      <c r="E27" s="18" t="str">
        <f t="shared" si="0"/>
        <v/>
      </c>
      <c r="F27" s="19"/>
      <c r="G27" s="20"/>
      <c r="H27" s="20" t="str">
        <f t="shared" si="1"/>
        <v/>
      </c>
      <c r="I27" s="19" t="str">
        <f t="shared" si="2"/>
        <v/>
      </c>
      <c r="J27" s="114"/>
      <c r="K27" s="81"/>
    </row>
    <row r="28" spans="1:11" ht="15.6">
      <c r="A28" s="28" t="str">
        <v>Greenfield USD - Fairfield ES</v>
      </c>
      <c r="B28" s="29" t="str">
        <v>CA</v>
      </c>
      <c r="C28" s="24"/>
      <c r="D28" s="13"/>
      <c r="E28" s="13" t="str">
        <f t="shared" si="0"/>
        <v/>
      </c>
      <c r="F28" s="14"/>
      <c r="G28" s="15"/>
      <c r="H28" s="15" t="str">
        <f t="shared" si="1"/>
        <v/>
      </c>
      <c r="I28" s="16" t="str">
        <f t="shared" si="2"/>
        <v/>
      </c>
      <c r="J28" s="85"/>
      <c r="K28" s="85"/>
    </row>
    <row r="29" spans="1:11" ht="15.6">
      <c r="A29" s="30" t="str">
        <v>Greenfield USD - Granite Point ES</v>
      </c>
      <c r="B29" s="31" t="str">
        <v>CA</v>
      </c>
      <c r="C29" s="11"/>
      <c r="D29" s="18"/>
      <c r="E29" s="18" t="str">
        <f t="shared" si="0"/>
        <v/>
      </c>
      <c r="F29" s="19"/>
      <c r="G29" s="20"/>
      <c r="H29" s="20" t="str">
        <f t="shared" si="1"/>
        <v/>
      </c>
      <c r="I29" s="19" t="str">
        <f t="shared" si="2"/>
        <v/>
      </c>
      <c r="J29" s="82"/>
      <c r="K29" s="80"/>
    </row>
    <row r="30" spans="1:11" ht="15.6">
      <c r="A30" s="28" t="str">
        <v>Greenfield USD - Greenfield MS</v>
      </c>
      <c r="B30" s="29" t="str">
        <v>CA</v>
      </c>
      <c r="C30" s="24"/>
      <c r="D30" s="13"/>
      <c r="E30" s="13" t="str">
        <f t="shared" si="0"/>
        <v/>
      </c>
      <c r="F30" s="14"/>
      <c r="G30" s="15"/>
      <c r="H30" s="15" t="str">
        <f t="shared" si="1"/>
        <v/>
      </c>
      <c r="I30" s="16" t="str">
        <f t="shared" si="2"/>
        <v/>
      </c>
      <c r="J30" s="85"/>
      <c r="K30" s="85"/>
    </row>
    <row r="31" spans="1:11" ht="15.6">
      <c r="A31" s="30" t="str">
        <v>Greenfield USD - Horizon ES</v>
      </c>
      <c r="B31" s="31" t="str">
        <v>CA</v>
      </c>
      <c r="C31" s="11"/>
      <c r="D31" s="18"/>
      <c r="E31" s="18" t="str">
        <f t="shared" si="0"/>
        <v/>
      </c>
      <c r="F31" s="19"/>
      <c r="G31" s="20"/>
      <c r="H31" s="20" t="str">
        <f t="shared" si="1"/>
        <v/>
      </c>
      <c r="I31" s="19" t="str">
        <f t="shared" si="2"/>
        <v/>
      </c>
      <c r="J31" s="114"/>
      <c r="K31" s="114"/>
    </row>
    <row r="32" spans="1:11" ht="15.6">
      <c r="A32" s="28" t="str">
        <v>Greenfield USD - McKee MS</v>
      </c>
      <c r="B32" s="29" t="str">
        <v>CA</v>
      </c>
      <c r="C32" s="24"/>
      <c r="D32" s="13"/>
      <c r="E32" s="13" t="str">
        <f t="shared" si="0"/>
        <v/>
      </c>
      <c r="F32" s="14"/>
      <c r="G32" s="15"/>
      <c r="H32" s="15" t="str">
        <f t="shared" si="1"/>
        <v/>
      </c>
      <c r="I32" s="16" t="str">
        <f t="shared" si="2"/>
        <v/>
      </c>
      <c r="J32" s="85"/>
      <c r="K32" s="85"/>
    </row>
    <row r="33" spans="1:11" ht="15.6">
      <c r="A33" s="30" t="str">
        <v>Greenfield USD - Plantation ES</v>
      </c>
      <c r="B33" s="31" t="str">
        <v>CA</v>
      </c>
      <c r="C33" s="11"/>
      <c r="D33" s="18"/>
      <c r="E33" s="18" t="str">
        <f t="shared" si="0"/>
        <v/>
      </c>
      <c r="F33" s="19"/>
      <c r="G33" s="20"/>
      <c r="H33" s="20" t="str">
        <f t="shared" si="1"/>
        <v/>
      </c>
      <c r="I33" s="19" t="str">
        <f t="shared" si="2"/>
        <v/>
      </c>
      <c r="J33" s="114"/>
      <c r="K33" s="114"/>
    </row>
    <row r="34" spans="1:11" ht="15.6">
      <c r="A34" s="28" t="str">
        <v>Greenfield USD - Planz ES</v>
      </c>
      <c r="B34" s="29" t="str">
        <v>CA</v>
      </c>
      <c r="C34" s="24"/>
      <c r="D34" s="13"/>
      <c r="E34" s="13" t="str">
        <f t="shared" si="0"/>
        <v/>
      </c>
      <c r="F34" s="14"/>
      <c r="G34" s="15"/>
      <c r="H34" s="15" t="str">
        <f t="shared" si="1"/>
        <v/>
      </c>
      <c r="I34" s="16" t="str">
        <f t="shared" si="2"/>
        <v/>
      </c>
      <c r="J34" s="85"/>
      <c r="K34" s="85"/>
    </row>
    <row r="35" spans="1:11" ht="15.6">
      <c r="A35" s="30" t="str">
        <v>Greenfield USD - Raffaello Palla ES</v>
      </c>
      <c r="B35" s="31" t="str">
        <v>CA</v>
      </c>
      <c r="C35" s="11"/>
      <c r="D35" s="18"/>
      <c r="E35" s="18" t="str">
        <f t="shared" si="0"/>
        <v/>
      </c>
      <c r="F35" s="19"/>
      <c r="G35" s="20"/>
      <c r="H35" s="20" t="str">
        <f t="shared" si="1"/>
        <v/>
      </c>
      <c r="I35" s="19" t="str">
        <f t="shared" si="2"/>
        <v/>
      </c>
      <c r="J35" s="114"/>
      <c r="K35" s="80"/>
    </row>
    <row r="36" spans="1:11" ht="15.6">
      <c r="A36" s="28" t="str">
        <v>Greenfield USD - Valle Verde ES</v>
      </c>
      <c r="B36" s="29" t="str">
        <v>CA</v>
      </c>
      <c r="C36" s="24"/>
      <c r="D36" s="13"/>
      <c r="E36" s="13" t="str">
        <f t="shared" si="0"/>
        <v/>
      </c>
      <c r="F36" s="14"/>
      <c r="G36" s="15"/>
      <c r="H36" s="15" t="str">
        <f t="shared" si="1"/>
        <v/>
      </c>
      <c r="I36" s="16" t="str">
        <f t="shared" si="2"/>
        <v/>
      </c>
      <c r="J36" s="85"/>
      <c r="K36" s="85"/>
    </row>
    <row r="37" spans="1:11" ht="15.6">
      <c r="A37" s="30" t="str">
        <v>Greenfield USD - W.A. Kendrick ES</v>
      </c>
      <c r="B37" s="31" t="str">
        <v>CA</v>
      </c>
      <c r="C37" s="11"/>
      <c r="D37" s="18"/>
      <c r="E37" s="18" t="str">
        <f t="shared" si="0"/>
        <v/>
      </c>
      <c r="F37" s="19"/>
      <c r="G37" s="20"/>
      <c r="H37" s="20" t="str">
        <f t="shared" si="1"/>
        <v/>
      </c>
      <c r="I37" s="19" t="str">
        <f t="shared" si="2"/>
        <v/>
      </c>
      <c r="J37" s="114"/>
      <c r="K37" s="80"/>
    </row>
    <row r="38" spans="1:11" ht="51" customHeight="1">
      <c r="A38" s="28" t="str">
        <v>Muroc Joint USD - Boron HS</v>
      </c>
      <c r="B38" s="29" t="str">
        <v>CA</v>
      </c>
      <c r="C38" s="24"/>
      <c r="D38" s="13"/>
      <c r="E38" s="13" t="str">
        <f t="shared" si="0"/>
        <v/>
      </c>
      <c r="F38" s="14"/>
      <c r="G38" s="15"/>
      <c r="H38" s="15" t="str">
        <f t="shared" si="1"/>
        <v/>
      </c>
      <c r="I38" s="16" t="str">
        <f t="shared" si="2"/>
        <v/>
      </c>
      <c r="J38" s="85"/>
      <c r="K38" s="85"/>
    </row>
    <row r="39" spans="1:11" ht="15.6">
      <c r="A39" s="30" t="str">
        <v>Muroc Joint USD - W. Boron ES</v>
      </c>
      <c r="B39" s="31" t="str">
        <v>CA</v>
      </c>
      <c r="C39" s="11"/>
      <c r="D39" s="18"/>
      <c r="E39" s="18" t="str">
        <f t="shared" si="0"/>
        <v/>
      </c>
      <c r="F39" s="19"/>
      <c r="G39" s="20"/>
      <c r="H39" s="20" t="str">
        <f t="shared" si="1"/>
        <v/>
      </c>
      <c r="I39" s="19" t="str">
        <f t="shared" si="2"/>
        <v/>
      </c>
      <c r="J39" s="114"/>
      <c r="K39" s="80"/>
    </row>
    <row r="40" spans="1:11" ht="15.6">
      <c r="A40" s="28" t="str">
        <v>Colusa - WTP</v>
      </c>
      <c r="B40" s="29" t="str">
        <v>CA</v>
      </c>
      <c r="C40" s="24"/>
      <c r="D40" s="13"/>
      <c r="E40" s="13" t="str">
        <f t="shared" si="0"/>
        <v/>
      </c>
      <c r="F40" s="14"/>
      <c r="G40" s="15"/>
      <c r="H40" s="15" t="str">
        <f t="shared" si="1"/>
        <v/>
      </c>
      <c r="I40" s="16" t="str">
        <f t="shared" si="2"/>
        <v/>
      </c>
      <c r="J40" s="118"/>
      <c r="K40" s="85"/>
    </row>
    <row r="41" spans="1:11" ht="15.6">
      <c r="A41" s="30" t="str">
        <v>CDCR-North Kern State Prision</v>
      </c>
      <c r="B41" s="31" t="str">
        <v>CA</v>
      </c>
      <c r="C41" s="11"/>
      <c r="D41" s="18"/>
      <c r="E41" s="18" t="str">
        <f t="shared" si="0"/>
        <v/>
      </c>
      <c r="F41" s="19"/>
      <c r="G41" s="20"/>
      <c r="H41" s="20" t="str">
        <f t="shared" si="1"/>
        <v/>
      </c>
      <c r="I41" s="19" t="str">
        <f t="shared" si="2"/>
        <v/>
      </c>
      <c r="J41" s="114"/>
      <c r="K41" s="83"/>
    </row>
    <row r="42" spans="1:11" ht="15.6">
      <c r="A42" s="28" t="str">
        <v>Muroc Joint USD - District Office</v>
      </c>
      <c r="B42" s="29" t="str">
        <v>CA</v>
      </c>
      <c r="C42" s="24"/>
      <c r="D42" s="13"/>
      <c r="E42" s="13" t="str">
        <f t="shared" si="0"/>
        <v/>
      </c>
      <c r="F42" s="14"/>
      <c r="G42" s="15"/>
      <c r="H42" s="15" t="str">
        <f t="shared" si="1"/>
        <v/>
      </c>
      <c r="I42" s="16" t="str">
        <f t="shared" si="2"/>
        <v/>
      </c>
      <c r="J42" s="85"/>
      <c r="K42" s="85"/>
    </row>
    <row r="43" spans="1:11" ht="15.6">
      <c r="A43" s="30" t="str">
        <v>Whole Foods - Manhattan Beach</v>
      </c>
      <c r="B43" s="31" t="str">
        <v>CA</v>
      </c>
      <c r="C43" s="11"/>
      <c r="D43" s="18"/>
      <c r="E43" s="18" t="str">
        <f t="shared" si="0"/>
        <v/>
      </c>
      <c r="F43" s="19"/>
      <c r="H43" s="20" t="str">
        <f t="shared" si="1"/>
        <v/>
      </c>
      <c r="I43" s="19" t="str">
        <f t="shared" si="2"/>
        <v/>
      </c>
      <c r="J43" s="114"/>
      <c r="K43" s="114"/>
    </row>
    <row r="44" spans="1:11" ht="15.6">
      <c r="A44" s="28" t="str">
        <v>Pioneer USD - Frontier ES</v>
      </c>
      <c r="B44" s="29" t="str">
        <v>CA</v>
      </c>
      <c r="C44" s="24"/>
      <c r="D44" s="13"/>
      <c r="E44" s="13" t="str">
        <f t="shared" si="0"/>
        <v/>
      </c>
      <c r="F44" s="14"/>
      <c r="G44" s="15"/>
      <c r="H44" s="15" t="str">
        <f t="shared" si="1"/>
        <v/>
      </c>
      <c r="I44" s="16" t="str">
        <f t="shared" si="2"/>
        <v/>
      </c>
      <c r="J44" s="85"/>
      <c r="K44" s="85"/>
    </row>
    <row r="45" spans="1:11" ht="51.75" customHeight="1">
      <c r="A45" s="30" t="str">
        <v>Pioneer USD - Pioneer ES</v>
      </c>
      <c r="B45" s="31" t="str">
        <v>CA</v>
      </c>
      <c r="C45" s="11"/>
      <c r="D45" s="18"/>
      <c r="E45" s="18" t="str">
        <f t="shared" si="0"/>
        <v/>
      </c>
      <c r="F45" s="19"/>
      <c r="G45" s="20"/>
      <c r="H45" s="20" t="str">
        <f t="shared" si="1"/>
        <v/>
      </c>
      <c r="I45" s="19" t="str">
        <f t="shared" si="2"/>
        <v/>
      </c>
      <c r="J45" s="114"/>
      <c r="K45" s="114"/>
    </row>
    <row r="46" spans="1:11" ht="15.6">
      <c r="A46" s="28" t="str">
        <v>Pioneer USD - Pioneer MS</v>
      </c>
      <c r="B46" s="29" t="str">
        <v>CA</v>
      </c>
      <c r="C46" s="24"/>
      <c r="D46" s="13"/>
      <c r="E46" s="13" t="str">
        <f t="shared" si="0"/>
        <v/>
      </c>
      <c r="F46" s="14"/>
      <c r="G46" s="15"/>
      <c r="H46" s="15" t="str">
        <f t="shared" si="1"/>
        <v/>
      </c>
      <c r="I46" s="16" t="str">
        <f t="shared" si="2"/>
        <v/>
      </c>
      <c r="J46" s="85"/>
      <c r="K46" s="85"/>
    </row>
    <row r="47" spans="1:11" ht="15.6">
      <c r="A47" s="30" t="str">
        <v>Kingsburg Joint UHSD - Kingsburg HS</v>
      </c>
      <c r="B47" s="31" t="str">
        <v>CA</v>
      </c>
      <c r="C47" s="11"/>
      <c r="D47" s="18"/>
      <c r="E47" s="18" t="str">
        <f t="shared" si="0"/>
        <v/>
      </c>
      <c r="F47" s="19"/>
      <c r="G47" s="20"/>
      <c r="H47" s="20" t="str">
        <f t="shared" si="1"/>
        <v/>
      </c>
      <c r="I47" s="19" t="str">
        <f t="shared" si="2"/>
        <v/>
      </c>
      <c r="J47" s="114"/>
      <c r="K47" s="114"/>
    </row>
    <row r="48" spans="1:11" ht="15.6">
      <c r="A48" s="28" t="str">
        <v>CADRB</v>
      </c>
      <c r="B48" s="29" t="str">
        <v>CA</v>
      </c>
      <c r="C48" s="24"/>
      <c r="D48" s="13"/>
      <c r="E48" s="13" t="str">
        <f t="shared" si="0"/>
        <v/>
      </c>
      <c r="F48" s="14"/>
      <c r="G48" s="15"/>
      <c r="H48" s="15" t="str">
        <f t="shared" si="1"/>
        <v/>
      </c>
      <c r="I48" s="16" t="str">
        <f t="shared" si="2"/>
        <v/>
      </c>
      <c r="J48" s="85"/>
      <c r="K48" s="85"/>
    </row>
    <row r="49" spans="1:11" ht="15.6">
      <c r="A49" s="30" t="str">
        <v>CDCR-CA State Prison LA County</v>
      </c>
      <c r="B49" s="31" t="str">
        <v>CA</v>
      </c>
      <c r="C49" s="11"/>
      <c r="D49" s="18"/>
      <c r="E49" s="18" t="str">
        <f t="shared" si="0"/>
        <v/>
      </c>
      <c r="F49" s="19"/>
      <c r="G49" s="20"/>
      <c r="H49" s="20" t="str">
        <f t="shared" si="1"/>
        <v/>
      </c>
      <c r="I49" s="19" t="str">
        <f t="shared" si="2"/>
        <v/>
      </c>
      <c r="J49" s="114"/>
      <c r="K49" s="80"/>
    </row>
    <row r="50" spans="1:11" ht="15.6">
      <c r="A50" s="28" t="str">
        <v>Central USD Akers ES</v>
      </c>
      <c r="B50" s="29" t="str">
        <v>CA</v>
      </c>
      <c r="C50" s="24"/>
      <c r="D50" s="13"/>
      <c r="E50" s="13" t="str">
        <f t="shared" si="0"/>
        <v/>
      </c>
      <c r="F50" s="14"/>
      <c r="G50" s="15"/>
      <c r="H50" s="15" t="str">
        <f t="shared" si="1"/>
        <v/>
      </c>
      <c r="I50" s="16" t="str">
        <f t="shared" si="2"/>
        <v/>
      </c>
      <c r="J50" s="85"/>
      <c r="K50" s="85"/>
    </row>
    <row r="51" spans="1:11" ht="15.6">
      <c r="A51" s="30" t="str">
        <v>CUSD - District Office</v>
      </c>
      <c r="B51" s="31" t="str">
        <v>CA</v>
      </c>
      <c r="C51" s="11"/>
      <c r="D51" s="18"/>
      <c r="E51" s="18" t="str">
        <f t="shared" si="0"/>
        <v/>
      </c>
      <c r="F51" s="19"/>
      <c r="G51" s="20"/>
      <c r="H51" s="20" t="str">
        <f t="shared" si="1"/>
        <v/>
      </c>
      <c r="I51" s="19" t="str">
        <f t="shared" si="2"/>
        <v/>
      </c>
      <c r="J51" s="114"/>
      <c r="K51" s="114"/>
    </row>
    <row r="52" spans="1:11" ht="15.6">
      <c r="A52" s="28" t="str">
        <v>Parlier - WTP</v>
      </c>
      <c r="B52" s="29" t="str">
        <v>CA</v>
      </c>
      <c r="C52" s="24"/>
      <c r="D52" s="13"/>
      <c r="E52" s="13" t="str">
        <f t="shared" si="0"/>
        <v/>
      </c>
      <c r="F52" s="14"/>
      <c r="G52" s="15"/>
      <c r="H52" s="15" t="str">
        <f t="shared" si="1"/>
        <v/>
      </c>
      <c r="I52" s="16" t="str">
        <f t="shared" si="2"/>
        <v/>
      </c>
      <c r="J52" s="85"/>
      <c r="K52" s="85"/>
    </row>
    <row r="53" spans="1:11" ht="15.6">
      <c r="A53" s="30" t="str">
        <v>Snowline SD - Quail Valley MS</v>
      </c>
      <c r="B53" s="31" t="str">
        <v>CA</v>
      </c>
      <c r="C53" s="11"/>
      <c r="D53" s="18"/>
      <c r="E53" s="18" t="str">
        <f t="shared" si="0"/>
        <v/>
      </c>
      <c r="F53" s="19"/>
      <c r="G53" s="20"/>
      <c r="H53" s="20" t="str">
        <f t="shared" si="1"/>
        <v/>
      </c>
      <c r="I53" s="19" t="str">
        <f t="shared" si="2"/>
        <v/>
      </c>
      <c r="J53" s="114"/>
      <c r="K53" s="84"/>
    </row>
    <row r="54" spans="1:11" ht="15.6">
      <c r="A54" s="28" t="str">
        <v>Snowline SD - Serrano HS - Middle Lot</v>
      </c>
      <c r="B54" s="29" t="str">
        <v>CA</v>
      </c>
      <c r="C54" s="24"/>
      <c r="D54" s="13"/>
      <c r="E54" s="13" t="str">
        <f t="shared" si="0"/>
        <v/>
      </c>
      <c r="F54" s="14"/>
      <c r="G54" s="15"/>
      <c r="H54" s="15" t="str">
        <f t="shared" si="1"/>
        <v/>
      </c>
      <c r="I54" s="16" t="str">
        <f t="shared" si="2"/>
        <v/>
      </c>
      <c r="J54" s="85"/>
      <c r="K54" s="85"/>
    </row>
    <row r="55" spans="1:11" ht="15.6">
      <c r="A55" s="30" t="str">
        <v>Snowline SD - Pinon Hills ES</v>
      </c>
      <c r="B55" s="31" t="str">
        <v>CA</v>
      </c>
      <c r="C55" s="11"/>
      <c r="D55" s="18"/>
      <c r="E55" s="18" t="str">
        <f t="shared" si="0"/>
        <v/>
      </c>
      <c r="F55" s="19"/>
      <c r="G55" s="20"/>
      <c r="H55" s="20" t="str">
        <f t="shared" si="1"/>
        <v/>
      </c>
      <c r="I55" s="19" t="str">
        <f t="shared" si="2"/>
        <v/>
      </c>
      <c r="J55" s="114"/>
      <c r="K55" s="114"/>
    </row>
    <row r="56" spans="1:11" ht="15.6">
      <c r="A56" s="28" t="str">
        <v>Ramona - Santa Maria WTP</v>
      </c>
      <c r="B56" s="29" t="str">
        <v>CA</v>
      </c>
      <c r="C56" s="24"/>
      <c r="D56" s="13"/>
      <c r="E56" s="13" t="str">
        <f t="shared" si="0"/>
        <v/>
      </c>
      <c r="F56" s="14"/>
      <c r="G56" s="15"/>
      <c r="H56" s="15" t="str">
        <f t="shared" si="1"/>
        <v/>
      </c>
      <c r="I56" s="16" t="str">
        <f t="shared" si="2"/>
        <v/>
      </c>
      <c r="J56" s="118"/>
      <c r="K56" s="85"/>
    </row>
    <row r="57" spans="1:11" ht="15.6">
      <c r="A57" s="30" t="str">
        <v>Kohls - Redding</v>
      </c>
      <c r="B57" s="31" t="str">
        <v>CA</v>
      </c>
      <c r="C57" s="11"/>
      <c r="D57" s="18"/>
      <c r="E57" s="18" t="str">
        <f t="shared" si="0"/>
        <v/>
      </c>
      <c r="F57" s="19"/>
      <c r="G57" s="20"/>
      <c r="H57" s="20" t="str">
        <f t="shared" si="1"/>
        <v/>
      </c>
      <c r="I57" s="19" t="str">
        <f t="shared" si="2"/>
        <v/>
      </c>
      <c r="J57" s="114"/>
      <c r="K57" s="114"/>
    </row>
    <row r="58" spans="1:11" ht="15.6">
      <c r="A58" s="28" t="str">
        <v>Kohls - Salinas</v>
      </c>
      <c r="B58" s="29" t="str">
        <v>CA</v>
      </c>
      <c r="C58" s="24"/>
      <c r="D58" s="13"/>
      <c r="E58" s="13" t="str">
        <f t="shared" si="0"/>
        <v/>
      </c>
      <c r="F58" s="14"/>
      <c r="G58" s="15"/>
      <c r="H58" s="15" t="str">
        <f t="shared" si="1"/>
        <v/>
      </c>
      <c r="I58" s="16" t="str">
        <f t="shared" si="2"/>
        <v/>
      </c>
      <c r="J58" s="85"/>
      <c r="K58" s="85"/>
    </row>
    <row r="59" spans="1:11" ht="15.6">
      <c r="A59" s="30" t="str">
        <v>Kohls - San Bernardino - Central</v>
      </c>
      <c r="B59" s="31" t="str">
        <v>CA</v>
      </c>
      <c r="C59" s="11"/>
      <c r="D59" s="18"/>
      <c r="E59" s="18" t="str">
        <f t="shared" si="0"/>
        <v/>
      </c>
      <c r="F59" s="19"/>
      <c r="G59" s="20"/>
      <c r="H59" s="20" t="str">
        <f t="shared" si="1"/>
        <v/>
      </c>
      <c r="I59" s="19" t="str">
        <f t="shared" si="2"/>
        <v/>
      </c>
      <c r="J59" s="114"/>
      <c r="K59" s="80"/>
    </row>
    <row r="60" spans="1:11" ht="15.6">
      <c r="A60" s="28" t="str">
        <v>Kohls - Sonora</v>
      </c>
      <c r="B60" s="29" t="str">
        <v>CA</v>
      </c>
      <c r="C60" s="24"/>
      <c r="D60" s="13"/>
      <c r="E60" s="13" t="str">
        <f t="shared" si="0"/>
        <v/>
      </c>
      <c r="F60" s="14"/>
      <c r="G60" s="15"/>
      <c r="H60" s="15" t="str">
        <f t="shared" si="1"/>
        <v/>
      </c>
      <c r="I60" s="16" t="str">
        <f t="shared" si="2"/>
        <v/>
      </c>
      <c r="J60" s="85"/>
      <c r="K60" s="85"/>
    </row>
    <row r="61" spans="1:11" ht="15.6">
      <c r="A61" s="30" t="str">
        <v>CUSD - Stratford ES</v>
      </c>
      <c r="B61" s="31" t="str">
        <v>CA</v>
      </c>
      <c r="C61" s="11"/>
      <c r="D61" s="18"/>
      <c r="E61" s="18" t="str">
        <f t="shared" si="0"/>
        <v/>
      </c>
      <c r="F61" s="19"/>
      <c r="G61" s="20"/>
      <c r="H61" s="20" t="str">
        <f t="shared" si="1"/>
        <v/>
      </c>
      <c r="I61" s="19" t="str">
        <f t="shared" si="2"/>
        <v/>
      </c>
      <c r="J61" s="114"/>
      <c r="K61" s="80"/>
    </row>
    <row r="62" spans="1:11" ht="15.6">
      <c r="A62" s="28" t="str">
        <v>Taft - City Hall</v>
      </c>
      <c r="B62" s="29" t="str">
        <v>CA</v>
      </c>
      <c r="C62" s="24"/>
      <c r="D62" s="13"/>
      <c r="E62" s="13" t="str">
        <f t="shared" si="0"/>
        <v/>
      </c>
      <c r="F62" s="14"/>
      <c r="G62" s="15"/>
      <c r="H62" s="15" t="str">
        <f t="shared" si="1"/>
        <v/>
      </c>
      <c r="I62" s="16" t="str">
        <f t="shared" si="2"/>
        <v/>
      </c>
      <c r="J62" s="85"/>
      <c r="K62" s="85"/>
    </row>
    <row r="63" spans="1:11" ht="15.6">
      <c r="A63" s="30" t="str">
        <v>Taft - Federal Prison</v>
      </c>
      <c r="B63" s="31" t="str">
        <v>CA</v>
      </c>
      <c r="C63" s="11"/>
      <c r="D63" s="18"/>
      <c r="E63" s="18" t="str">
        <f t="shared" si="0"/>
        <v/>
      </c>
      <c r="F63" s="19"/>
      <c r="G63" s="20"/>
      <c r="H63" s="20" t="str">
        <f t="shared" si="1"/>
        <v/>
      </c>
      <c r="I63" s="19" t="str">
        <f t="shared" si="2"/>
        <v/>
      </c>
      <c r="J63" s="114"/>
      <c r="K63" s="80"/>
    </row>
    <row r="64" spans="1:11" ht="15.6">
      <c r="A64" s="28" t="str">
        <v>Taft - Police Department</v>
      </c>
      <c r="B64" s="29" t="str">
        <v>CA</v>
      </c>
      <c r="C64" s="24"/>
      <c r="D64" s="13"/>
      <c r="E64" s="13" t="str">
        <f t="shared" si="0"/>
        <v/>
      </c>
      <c r="F64" s="14"/>
      <c r="G64" s="15"/>
      <c r="H64" s="15" t="str">
        <f t="shared" si="1"/>
        <v/>
      </c>
      <c r="I64" s="16" t="str">
        <f t="shared" si="2"/>
        <v/>
      </c>
      <c r="J64" s="85"/>
      <c r="K64" s="85"/>
    </row>
    <row r="65" spans="1:11" ht="15.6">
      <c r="A65" s="30" t="str">
        <v>Taft - WTP</v>
      </c>
      <c r="B65" s="31" t="str">
        <v>CA</v>
      </c>
      <c r="C65" s="11"/>
      <c r="D65" s="18"/>
      <c r="E65" s="18" t="str">
        <f t="shared" si="0"/>
        <v/>
      </c>
      <c r="F65" s="19"/>
      <c r="G65" s="20"/>
      <c r="H65" s="20" t="str">
        <f t="shared" si="1"/>
        <v/>
      </c>
      <c r="I65" s="19" t="str">
        <f t="shared" si="2"/>
        <v/>
      </c>
      <c r="J65" s="114"/>
      <c r="K65" s="83"/>
    </row>
    <row r="66" spans="1:11" ht="15.6">
      <c r="A66" s="28" t="str">
        <v>CDCR - CA Correctional Institution</v>
      </c>
      <c r="B66" s="29" t="str">
        <v>CA</v>
      </c>
      <c r="C66" s="24"/>
      <c r="D66" s="13"/>
      <c r="E66" s="13" t="str">
        <f t="shared" si="0"/>
        <v/>
      </c>
      <c r="F66" s="14"/>
      <c r="G66" s="15"/>
      <c r="H66" s="15" t="str">
        <f t="shared" si="1"/>
        <v/>
      </c>
      <c r="I66" s="16" t="str">
        <f t="shared" si="2"/>
        <v/>
      </c>
      <c r="J66" s="85"/>
      <c r="K66" s="85"/>
    </row>
    <row r="67" spans="1:11" ht="15.6">
      <c r="A67" s="30" t="str">
        <v>CDCR - CA Correctional Institution II</v>
      </c>
      <c r="B67" s="31" t="str">
        <v>CA</v>
      </c>
      <c r="C67" s="11"/>
      <c r="D67" s="18"/>
      <c r="E67" s="18" t="str">
        <f t="shared" si="0"/>
        <v/>
      </c>
      <c r="F67" s="19"/>
      <c r="G67" s="20"/>
      <c r="H67" s="20" t="str">
        <f t="shared" si="1"/>
        <v/>
      </c>
      <c r="I67" s="19" t="str">
        <f t="shared" si="2"/>
        <v/>
      </c>
      <c r="J67" s="114"/>
      <c r="K67" s="83"/>
    </row>
    <row r="68" spans="1:11" ht="15.6">
      <c r="A68" s="28" t="str">
        <v>Snowline SD - Vista Verde ES</v>
      </c>
      <c r="B68" s="29" t="str">
        <v>CA</v>
      </c>
      <c r="C68" s="24"/>
      <c r="D68" s="13"/>
      <c r="E68" s="13" t="str">
        <f t="shared" si="0"/>
        <v/>
      </c>
      <c r="F68" s="14"/>
      <c r="G68" s="15"/>
      <c r="H68" s="15" t="str">
        <f t="shared" si="1"/>
        <v/>
      </c>
      <c r="I68" s="16" t="str">
        <f t="shared" si="2"/>
        <v/>
      </c>
      <c r="J68" s="85"/>
      <c r="K68" s="85"/>
    </row>
    <row r="69" spans="1:11" ht="14.45">
      <c r="A69" s="21" t="str">
        <v>North Stonington</v>
      </c>
      <c r="B69" s="33" t="str">
        <v>CT</v>
      </c>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10" priority="3" stopIfTrue="1" operator="lessThanOrEqual">
      <formula>-0.1</formula>
    </cfRule>
    <cfRule type="expression" dxfId="9" priority="4">
      <formula>AND(ISNUMBER(F2), F2&gt;=0.1)</formula>
    </cfRule>
  </conditionalFormatting>
  <conditionalFormatting sqref="F4:F100 I4:I100">
    <cfRule type="cellIs" dxfId="8" priority="1" stopIfTrue="1" operator="lessThanOrEqual">
      <formula>-0.1</formula>
    </cfRule>
    <cfRule type="expression" dxfId="7" priority="2">
      <formula>AND(ISNUMBER(F4), F4&gt;=0.1)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42"/>
  <sheetViews>
    <sheetView zoomScale="70" zoomScaleNormal="70" workbookViewId="0">
      <pane xSplit="2" ySplit="3" topLeftCell="C4" activePane="bottomRight" state="frozen"/>
      <selection pane="bottomRight" activeCell="J14" sqref="J14"/>
      <selection pane="bottomLeft" activeCell="J66" sqref="J66"/>
      <selection pane="topRight" activeCell="J66" sqref="J66"/>
    </sheetView>
  </sheetViews>
  <sheetFormatPr defaultRowHeight="14.1"/>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6.7109375" style="1" customWidth="1"/>
    <col min="10" max="10" width="71.5703125" customWidth="1"/>
    <col min="11" max="11" width="21.28515625" customWidth="1"/>
  </cols>
  <sheetData>
    <row r="1" spans="1:11" ht="19.5" customHeight="1">
      <c r="A1" s="120" t="str" cm="1">
        <f t="array" ref="A1">portfolio</f>
        <v>Silicon Ranch</v>
      </c>
      <c r="B1" s="120"/>
      <c r="C1" s="120"/>
      <c r="D1" s="121" t="s">
        <v>438</v>
      </c>
      <c r="E1" s="121"/>
      <c r="F1" s="121"/>
      <c r="G1" s="119" t="s">
        <v>439</v>
      </c>
      <c r="H1" s="119"/>
      <c r="I1" s="119"/>
      <c r="J1" s="4"/>
      <c r="K1" s="4"/>
    </row>
    <row r="2" spans="1:11" ht="19.5" customHeight="1">
      <c r="A2" s="122" t="s">
        <v>2</v>
      </c>
      <c r="B2" s="122"/>
      <c r="C2" s="5">
        <f>SUM(C4:C100)</f>
        <v>0</v>
      </c>
      <c r="D2" s="5">
        <f>SUM(D4:D100)</f>
        <v>0</v>
      </c>
      <c r="E2" s="5">
        <f>C2-D2</f>
        <v>0</v>
      </c>
      <c r="F2" s="6">
        <f>IFERROR(E2/D2, 0)</f>
        <v>0</v>
      </c>
      <c r="G2" s="5">
        <f>SUM(G4:G100)</f>
        <v>0</v>
      </c>
      <c r="H2" s="7">
        <f>C2-G2</f>
        <v>0</v>
      </c>
      <c r="I2" s="6">
        <f>IFERROR(H2/G2, 0)</f>
        <v>0</v>
      </c>
      <c r="J2" s="26"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6">
      <c r="A4" s="32" t="str" cm="1">
        <f t="array" ref="A4:A69">Sites[Site]</f>
        <v>Iron Mountain - Windsor</v>
      </c>
      <c r="B4" s="29" t="str" cm="1">
        <f t="array" ref="B4:B69">Sites[State]</f>
        <v>CT</v>
      </c>
      <c r="C4" s="24"/>
      <c r="D4" s="13"/>
      <c r="E4" s="13" t="str">
        <f>IF(AND(ISNUMBER(C4),ISNUMBER(D4)), C4-D4, "")</f>
        <v/>
      </c>
      <c r="F4" s="14" t="str">
        <f>IFERROR(E4/D4, "")</f>
        <v/>
      </c>
      <c r="G4" s="15"/>
      <c r="H4" s="15" t="str">
        <f>IF(AND(ISNUMBER(C4),ISNUMBER(G4)), C4-G4, "")</f>
        <v/>
      </c>
      <c r="I4" s="16" t="str">
        <f>IFERROR(H4/G4, "")</f>
        <v/>
      </c>
      <c r="J4" s="41"/>
      <c r="K4" s="41"/>
    </row>
    <row r="5" spans="1:11" ht="15.6">
      <c r="A5" s="30" t="str">
        <v>Kohls - Auburn</v>
      </c>
      <c r="B5" s="31" t="str">
        <v>NY</v>
      </c>
      <c r="C5" s="11"/>
      <c r="D5" s="18"/>
      <c r="E5" s="18" t="str">
        <f t="shared" ref="E5:E68" si="0">IF(AND(ISNUMBER(C5),ISNUMBER(D5)), C5-D5, "")</f>
        <v/>
      </c>
      <c r="F5" s="19" t="str">
        <f>IFERROR(E5/D5, "")</f>
        <v/>
      </c>
      <c r="G5" s="20"/>
      <c r="H5" s="20" t="str">
        <f t="shared" ref="H5:H68" si="1">IF(AND(ISNUMBER(C5),ISNUMBER(G5)), C5-G5, "")</f>
        <v/>
      </c>
      <c r="I5" s="19" t="str">
        <f t="shared" ref="I5:I68" si="2">IFERROR(H5/G5, "")</f>
        <v/>
      </c>
      <c r="J5" s="42"/>
      <c r="K5" s="42"/>
    </row>
    <row r="6" spans="1:11" ht="15.6">
      <c r="A6" s="28" t="str">
        <v>Kohls - Bensalem</v>
      </c>
      <c r="B6" s="29" t="str">
        <v>PA</v>
      </c>
      <c r="C6" s="24"/>
      <c r="D6" s="13"/>
      <c r="E6" s="13" t="str">
        <f t="shared" si="0"/>
        <v/>
      </c>
      <c r="F6" s="14" t="str">
        <f t="shared" ref="F6:F17" si="3">IFERROR(E6/D6, "")</f>
        <v/>
      </c>
      <c r="G6" s="15"/>
      <c r="H6" s="15" t="str">
        <f t="shared" si="1"/>
        <v/>
      </c>
      <c r="I6" s="16" t="str">
        <f t="shared" si="2"/>
        <v/>
      </c>
      <c r="J6" s="41"/>
      <c r="K6" s="41"/>
    </row>
    <row r="7" spans="1:11" ht="15.6">
      <c r="A7" s="30" t="str">
        <v>Kohls - Brick</v>
      </c>
      <c r="B7" s="31" t="str">
        <v>NJ</v>
      </c>
      <c r="C7" s="11"/>
      <c r="D7" s="18"/>
      <c r="E7" s="18" t="str">
        <f t="shared" si="0"/>
        <v/>
      </c>
      <c r="F7" s="19" t="str">
        <f t="shared" si="3"/>
        <v/>
      </c>
      <c r="G7" s="20"/>
      <c r="H7" s="20" t="str">
        <f t="shared" si="1"/>
        <v/>
      </c>
      <c r="I7" s="19" t="str">
        <f t="shared" si="2"/>
        <v/>
      </c>
      <c r="J7" s="55"/>
      <c r="K7" s="55"/>
    </row>
    <row r="8" spans="1:11" ht="15.6">
      <c r="A8" s="28" t="str">
        <v>Kohls - Buffalo</v>
      </c>
      <c r="B8" s="29" t="str">
        <v>NY</v>
      </c>
      <c r="C8" s="24"/>
      <c r="D8" s="13"/>
      <c r="E8" s="13" t="str">
        <f t="shared" si="0"/>
        <v/>
      </c>
      <c r="F8" s="14" t="str">
        <f t="shared" si="3"/>
        <v/>
      </c>
      <c r="G8" s="15"/>
      <c r="H8" s="15" t="str">
        <f t="shared" si="1"/>
        <v/>
      </c>
      <c r="I8" s="16" t="str">
        <f t="shared" si="2"/>
        <v/>
      </c>
      <c r="J8" s="57"/>
      <c r="K8" s="57"/>
    </row>
    <row r="9" spans="1:11" ht="15.6">
      <c r="A9" s="30" t="str">
        <v>Kohls - Canton</v>
      </c>
      <c r="B9" s="31" t="str">
        <v>CT</v>
      </c>
      <c r="C9" s="11"/>
      <c r="D9" s="18"/>
      <c r="E9" s="18" t="str">
        <f t="shared" si="0"/>
        <v/>
      </c>
      <c r="F9" s="19" t="str">
        <f t="shared" si="3"/>
        <v/>
      </c>
      <c r="G9" s="20"/>
      <c r="H9" s="20" t="str">
        <f t="shared" si="1"/>
        <v/>
      </c>
      <c r="I9" s="19" t="str">
        <f t="shared" si="2"/>
        <v/>
      </c>
      <c r="J9" s="42"/>
      <c r="K9" s="43"/>
    </row>
    <row r="10" spans="1:11" ht="15.6">
      <c r="A10" s="28" t="str">
        <v>Kohls - East Amherst</v>
      </c>
      <c r="B10" s="29" t="str">
        <v>NY</v>
      </c>
      <c r="C10" s="24"/>
      <c r="D10" s="13"/>
      <c r="E10" s="13" t="str">
        <f t="shared" si="0"/>
        <v/>
      </c>
      <c r="F10" s="14" t="str">
        <f t="shared" si="3"/>
        <v/>
      </c>
      <c r="G10" s="15"/>
      <c r="H10" s="15" t="str">
        <f t="shared" si="1"/>
        <v/>
      </c>
      <c r="I10" s="16" t="str">
        <f t="shared" si="2"/>
        <v/>
      </c>
      <c r="J10" s="41"/>
      <c r="K10" s="41"/>
    </row>
    <row r="11" spans="1:11" ht="15.6">
      <c r="A11" s="30" t="str">
        <v>Kohls - East Brunswick</v>
      </c>
      <c r="B11" s="31" t="str">
        <v>NJ</v>
      </c>
      <c r="C11" s="11"/>
      <c r="D11" s="18"/>
      <c r="E11" s="18" t="str">
        <f t="shared" si="0"/>
        <v/>
      </c>
      <c r="F11" s="19" t="str">
        <f t="shared" si="3"/>
        <v/>
      </c>
      <c r="G11" s="20"/>
      <c r="H11" s="20" t="str">
        <f t="shared" si="1"/>
        <v/>
      </c>
      <c r="I11" s="19" t="str">
        <f t="shared" si="2"/>
        <v/>
      </c>
      <c r="J11" s="42"/>
      <c r="K11" s="43"/>
    </row>
    <row r="12" spans="1:11" ht="15.6">
      <c r="A12" s="28" t="str">
        <v>Kohls - Edgewood</v>
      </c>
      <c r="B12" s="29" t="str">
        <v>MD</v>
      </c>
      <c r="C12" s="24"/>
      <c r="D12" s="13"/>
      <c r="E12" s="13" t="str">
        <f t="shared" si="0"/>
        <v/>
      </c>
      <c r="F12" s="14" t="str">
        <f t="shared" si="3"/>
        <v/>
      </c>
      <c r="G12" s="15"/>
      <c r="H12" s="15" t="str">
        <f t="shared" si="1"/>
        <v/>
      </c>
      <c r="I12" s="16" t="str">
        <f t="shared" si="2"/>
        <v/>
      </c>
      <c r="J12" s="41" t="s">
        <v>440</v>
      </c>
      <c r="K12" s="41"/>
    </row>
    <row r="13" spans="1:11" ht="15.6">
      <c r="A13" s="30" t="str">
        <v>Kohls - Granite Run</v>
      </c>
      <c r="B13" s="31" t="str">
        <v>PA</v>
      </c>
      <c r="C13" s="11"/>
      <c r="D13" s="18"/>
      <c r="E13" s="18" t="str">
        <f t="shared" si="0"/>
        <v/>
      </c>
      <c r="F13" s="19" t="str">
        <f t="shared" si="3"/>
        <v/>
      </c>
      <c r="G13" s="20"/>
      <c r="H13" s="20" t="str">
        <f t="shared" si="1"/>
        <v/>
      </c>
      <c r="I13" s="19" t="str">
        <f t="shared" si="2"/>
        <v/>
      </c>
      <c r="J13" s="42"/>
      <c r="K13" s="43"/>
    </row>
    <row r="14" spans="1:11" ht="15.6">
      <c r="A14" s="28" t="str">
        <v>Kohls - Greece</v>
      </c>
      <c r="B14" s="29" t="str">
        <v>NY</v>
      </c>
      <c r="C14" s="24"/>
      <c r="D14" s="13"/>
      <c r="E14" s="13" t="str">
        <f t="shared" si="0"/>
        <v/>
      </c>
      <c r="F14" s="14" t="str">
        <f t="shared" si="3"/>
        <v/>
      </c>
      <c r="G14" s="15"/>
      <c r="H14" s="15" t="str">
        <f t="shared" si="1"/>
        <v/>
      </c>
      <c r="I14" s="16" t="str">
        <f t="shared" si="2"/>
        <v/>
      </c>
      <c r="J14" s="41"/>
      <c r="K14" s="41"/>
    </row>
    <row r="15" spans="1:11" ht="15.6">
      <c r="A15" s="30" t="str">
        <v>Kohls - Hanover</v>
      </c>
      <c r="B15" s="31" t="str">
        <v>PA</v>
      </c>
      <c r="C15" s="11"/>
      <c r="D15" s="18"/>
      <c r="E15" s="18" t="str">
        <f t="shared" si="0"/>
        <v/>
      </c>
      <c r="F15" s="19" t="str">
        <f t="shared" si="3"/>
        <v/>
      </c>
      <c r="G15" s="20"/>
      <c r="H15" s="20" t="str">
        <f t="shared" si="1"/>
        <v/>
      </c>
      <c r="I15" s="19" t="str">
        <f t="shared" si="2"/>
        <v/>
      </c>
      <c r="J15" s="55"/>
      <c r="K15" s="88"/>
    </row>
    <row r="16" spans="1:11" ht="15.6">
      <c r="A16" s="28" t="str">
        <v>Kohls - Horsehead</v>
      </c>
      <c r="B16" s="29" t="str">
        <v>NY</v>
      </c>
      <c r="C16" s="24"/>
      <c r="D16" s="13"/>
      <c r="E16" s="13" t="str">
        <f t="shared" si="0"/>
        <v/>
      </c>
      <c r="F16" s="14" t="str">
        <f t="shared" si="3"/>
        <v/>
      </c>
      <c r="G16" s="15"/>
      <c r="H16" s="15" t="str">
        <f t="shared" si="1"/>
        <v/>
      </c>
      <c r="I16" s="16" t="str">
        <f t="shared" si="2"/>
        <v/>
      </c>
      <c r="J16" s="41"/>
      <c r="K16" s="41"/>
    </row>
    <row r="17" spans="1:11" ht="15.6">
      <c r="A17" s="30" t="str">
        <v>Kohls - Hudson</v>
      </c>
      <c r="B17" s="31" t="str">
        <v>NY</v>
      </c>
      <c r="C17" s="11"/>
      <c r="D17" s="18"/>
      <c r="E17" s="18" t="str">
        <f t="shared" si="0"/>
        <v/>
      </c>
      <c r="F17" s="19" t="str">
        <f t="shared" si="3"/>
        <v/>
      </c>
      <c r="G17" s="20"/>
      <c r="H17" s="20" t="str">
        <f t="shared" si="1"/>
        <v/>
      </c>
      <c r="I17" s="19" t="str">
        <f t="shared" si="2"/>
        <v/>
      </c>
      <c r="J17" s="42"/>
      <c r="K17" s="43"/>
    </row>
    <row r="18" spans="1:11" ht="12.75" customHeight="1">
      <c r="A18" s="32" t="str">
        <v>Kohls - Ithaca</v>
      </c>
      <c r="B18" s="29" t="str">
        <v>NY</v>
      </c>
      <c r="C18" s="24"/>
      <c r="D18" s="13"/>
      <c r="E18" s="13" t="str">
        <f t="shared" si="0"/>
        <v/>
      </c>
      <c r="F18" s="14"/>
      <c r="G18" s="15"/>
      <c r="H18" s="15" t="str">
        <f t="shared" si="1"/>
        <v/>
      </c>
      <c r="I18" s="16" t="str">
        <f t="shared" si="2"/>
        <v/>
      </c>
      <c r="J18" s="41"/>
      <c r="K18" s="41"/>
    </row>
    <row r="19" spans="1:11" ht="15.6">
      <c r="A19" s="30" t="str">
        <v>Kohls - Kingston</v>
      </c>
      <c r="B19" s="31" t="str">
        <v>NY</v>
      </c>
      <c r="C19" s="11"/>
      <c r="D19" s="18"/>
      <c r="E19" s="18" t="str">
        <f t="shared" si="0"/>
        <v/>
      </c>
      <c r="F19" s="19"/>
      <c r="G19" s="20"/>
      <c r="H19" s="20" t="str">
        <f t="shared" si="1"/>
        <v/>
      </c>
      <c r="I19" s="19" t="str">
        <f t="shared" si="2"/>
        <v/>
      </c>
      <c r="J19" s="42"/>
      <c r="K19" s="42"/>
    </row>
    <row r="20" spans="1:11" ht="15.6">
      <c r="A20" s="28" t="str">
        <v>Kohls - Mechanicsburg</v>
      </c>
      <c r="B20" s="29" t="str">
        <v>PA</v>
      </c>
      <c r="C20" s="24"/>
      <c r="D20" s="13"/>
      <c r="E20" s="13" t="str">
        <f t="shared" si="0"/>
        <v/>
      </c>
      <c r="F20" s="14"/>
      <c r="G20" s="15"/>
      <c r="H20" s="15" t="str">
        <f t="shared" si="1"/>
        <v/>
      </c>
      <c r="I20" s="16" t="str">
        <f t="shared" si="2"/>
        <v/>
      </c>
      <c r="J20" s="41"/>
      <c r="K20" s="41"/>
    </row>
    <row r="21" spans="1:11" ht="15.6">
      <c r="A21" s="30" t="str">
        <v>Kohls - Middletown</v>
      </c>
      <c r="B21" s="31" t="str">
        <v>NJ</v>
      </c>
      <c r="C21" s="11"/>
      <c r="D21" s="18"/>
      <c r="E21" s="18" t="str">
        <f t="shared" si="0"/>
        <v/>
      </c>
      <c r="F21" s="19"/>
      <c r="G21" s="20"/>
      <c r="H21" s="20" t="str">
        <f t="shared" si="1"/>
        <v/>
      </c>
      <c r="I21" s="19" t="str">
        <f t="shared" si="2"/>
        <v/>
      </c>
      <c r="J21" s="55"/>
      <c r="K21" s="55"/>
    </row>
    <row r="22" spans="1:11" ht="15.6">
      <c r="A22" s="28" t="str">
        <v>Kohls - North Amherst</v>
      </c>
      <c r="B22" s="29" t="str">
        <v>NY</v>
      </c>
      <c r="C22" s="24"/>
      <c r="D22" s="13"/>
      <c r="E22" s="13" t="str">
        <f t="shared" si="0"/>
        <v/>
      </c>
      <c r="F22" s="14"/>
      <c r="G22" s="15"/>
      <c r="H22" s="15" t="str">
        <f t="shared" si="1"/>
        <v/>
      </c>
      <c r="I22" s="16" t="str">
        <f t="shared" si="2"/>
        <v/>
      </c>
      <c r="J22" s="41"/>
      <c r="K22" s="85"/>
    </row>
    <row r="23" spans="1:11" ht="15.6">
      <c r="A23" s="30" t="str">
        <v>Kohls - Staten Island</v>
      </c>
      <c r="B23" s="31" t="str">
        <v>NY</v>
      </c>
      <c r="C23" s="11"/>
      <c r="D23" s="18"/>
      <c r="E23" s="18" t="str">
        <f t="shared" si="0"/>
        <v/>
      </c>
      <c r="F23" s="19"/>
      <c r="G23" s="20"/>
      <c r="H23" s="20" t="str">
        <f t="shared" si="1"/>
        <v/>
      </c>
      <c r="I23" s="19" t="str">
        <f t="shared" si="2"/>
        <v/>
      </c>
      <c r="J23" s="42"/>
      <c r="K23" s="114"/>
    </row>
    <row r="24" spans="1:11" ht="15.6">
      <c r="A24" s="28" t="str">
        <v>Kohls - Warminster</v>
      </c>
      <c r="B24" s="29" t="str">
        <v>PA</v>
      </c>
      <c r="C24" s="24"/>
      <c r="D24" s="13"/>
      <c r="E24" s="13" t="str">
        <f t="shared" si="0"/>
        <v/>
      </c>
      <c r="F24" s="14"/>
      <c r="G24" s="15"/>
      <c r="H24" s="15" t="str">
        <f t="shared" si="1"/>
        <v/>
      </c>
      <c r="I24" s="16" t="str">
        <f t="shared" si="2"/>
        <v/>
      </c>
      <c r="J24" s="41"/>
      <c r="K24" s="41"/>
    </row>
    <row r="25" spans="1:11" ht="15.6">
      <c r="A25" s="30" t="str">
        <v xml:space="preserve">Kohls - Waterbury </v>
      </c>
      <c r="B25" s="31" t="str">
        <v>CT</v>
      </c>
      <c r="C25" s="11"/>
      <c r="D25" s="18"/>
      <c r="E25" s="18" t="str">
        <f t="shared" si="0"/>
        <v/>
      </c>
      <c r="F25" s="19"/>
      <c r="G25" s="20"/>
      <c r="H25" s="20" t="str">
        <f t="shared" si="1"/>
        <v/>
      </c>
      <c r="I25" s="19" t="str">
        <f t="shared" si="2"/>
        <v/>
      </c>
      <c r="J25" s="42"/>
      <c r="K25" s="43"/>
    </row>
    <row r="26" spans="1:11" ht="15.6">
      <c r="A26" s="28" t="str">
        <v>Mojave Water Agency - Headquarters</v>
      </c>
      <c r="B26" s="29" t="str">
        <v>CA</v>
      </c>
      <c r="C26" s="24"/>
      <c r="D26" s="13"/>
      <c r="E26" s="13" t="str">
        <f t="shared" si="0"/>
        <v/>
      </c>
      <c r="F26" s="14"/>
      <c r="G26" s="15"/>
      <c r="H26" s="15" t="str">
        <f t="shared" si="1"/>
        <v/>
      </c>
      <c r="I26" s="16" t="str">
        <f t="shared" si="2"/>
        <v/>
      </c>
      <c r="J26" s="41"/>
      <c r="K26" s="41"/>
    </row>
    <row r="27" spans="1:11" ht="15.6">
      <c r="A27" s="30" t="str">
        <v>CSU - Bakersfield</v>
      </c>
      <c r="B27" s="31" t="str">
        <v>CA</v>
      </c>
      <c r="C27" s="11"/>
      <c r="D27" s="18"/>
      <c r="E27" s="18" t="str">
        <f t="shared" si="0"/>
        <v/>
      </c>
      <c r="F27" s="19"/>
      <c r="G27" s="20"/>
      <c r="H27" s="20" t="str">
        <f t="shared" si="1"/>
        <v/>
      </c>
      <c r="I27" s="19" t="str">
        <f t="shared" si="2"/>
        <v/>
      </c>
      <c r="J27" s="42"/>
      <c r="K27" s="43"/>
    </row>
    <row r="28" spans="1:11" ht="15.6">
      <c r="A28" s="28" t="str">
        <v>Greenfield USD - Fairfield ES</v>
      </c>
      <c r="B28" s="29" t="str">
        <v>CA</v>
      </c>
      <c r="C28" s="24"/>
      <c r="D28" s="13"/>
      <c r="E28" s="13" t="str">
        <f t="shared" si="0"/>
        <v/>
      </c>
      <c r="F28" s="14"/>
      <c r="G28" s="15"/>
      <c r="H28" s="15" t="str">
        <f t="shared" si="1"/>
        <v/>
      </c>
      <c r="I28" s="16" t="str">
        <f t="shared" si="2"/>
        <v/>
      </c>
      <c r="J28" s="41"/>
      <c r="K28" s="41"/>
    </row>
    <row r="29" spans="1:11" ht="15.6">
      <c r="A29" s="30" t="str">
        <v>Greenfield USD - Granite Point ES</v>
      </c>
      <c r="B29" s="31" t="str">
        <v>CA</v>
      </c>
      <c r="C29" s="11"/>
      <c r="D29" s="18"/>
      <c r="E29" s="18" t="str">
        <f t="shared" si="0"/>
        <v/>
      </c>
      <c r="F29" s="19"/>
      <c r="G29" s="20"/>
      <c r="H29" s="20" t="str">
        <f t="shared" si="1"/>
        <v/>
      </c>
      <c r="I29" s="19" t="str">
        <f t="shared" si="2"/>
        <v/>
      </c>
      <c r="J29" s="42"/>
      <c r="K29" s="43"/>
    </row>
    <row r="30" spans="1:11" ht="15.6">
      <c r="A30" s="28" t="str">
        <v>Greenfield USD - Greenfield MS</v>
      </c>
      <c r="B30" s="29" t="str">
        <v>CA</v>
      </c>
      <c r="C30" s="24"/>
      <c r="D30" s="13"/>
      <c r="E30" s="13" t="str">
        <f t="shared" si="0"/>
        <v/>
      </c>
      <c r="F30" s="14"/>
      <c r="G30" s="15"/>
      <c r="H30" s="15" t="str">
        <f t="shared" si="1"/>
        <v/>
      </c>
      <c r="I30" s="16" t="str">
        <f t="shared" si="2"/>
        <v/>
      </c>
      <c r="J30" s="41"/>
      <c r="K30" s="41"/>
    </row>
    <row r="31" spans="1:11" ht="15.6">
      <c r="A31" s="30" t="str">
        <v>Greenfield USD - Horizon ES</v>
      </c>
      <c r="B31" s="31" t="str">
        <v>CA</v>
      </c>
      <c r="C31" s="11"/>
      <c r="D31" s="18"/>
      <c r="E31" s="18" t="str">
        <f t="shared" si="0"/>
        <v/>
      </c>
      <c r="F31" s="19"/>
      <c r="G31" s="20"/>
      <c r="H31" s="20" t="str">
        <f t="shared" si="1"/>
        <v/>
      </c>
      <c r="I31" s="19" t="str">
        <f t="shared" si="2"/>
        <v/>
      </c>
      <c r="J31" s="42"/>
      <c r="K31" s="55"/>
    </row>
    <row r="32" spans="1:11" ht="15.6">
      <c r="A32" s="28" t="str">
        <v>Greenfield USD - McKee MS</v>
      </c>
      <c r="B32" s="29" t="str">
        <v>CA</v>
      </c>
      <c r="C32" s="24"/>
      <c r="D32" s="13"/>
      <c r="E32" s="13" t="str">
        <f t="shared" si="0"/>
        <v/>
      </c>
      <c r="F32" s="14"/>
      <c r="G32" s="15"/>
      <c r="H32" s="15" t="str">
        <f t="shared" si="1"/>
        <v/>
      </c>
      <c r="I32" s="16" t="str">
        <f t="shared" si="2"/>
        <v/>
      </c>
      <c r="J32" s="41"/>
      <c r="K32" s="41"/>
    </row>
    <row r="33" spans="1:11" ht="15.6">
      <c r="A33" s="30" t="str">
        <v>Greenfield USD - Plantation ES</v>
      </c>
      <c r="B33" s="31" t="str">
        <v>CA</v>
      </c>
      <c r="C33" s="11"/>
      <c r="D33" s="18"/>
      <c r="E33" s="18" t="str">
        <f t="shared" si="0"/>
        <v/>
      </c>
      <c r="F33" s="19"/>
      <c r="G33" s="20"/>
      <c r="H33" s="20" t="str">
        <f t="shared" si="1"/>
        <v/>
      </c>
      <c r="I33" s="19" t="str">
        <f t="shared" si="2"/>
        <v/>
      </c>
      <c r="J33" s="42"/>
      <c r="K33" s="43"/>
    </row>
    <row r="34" spans="1:11" ht="15.6">
      <c r="A34" s="28" t="str">
        <v>Greenfield USD - Planz ES</v>
      </c>
      <c r="B34" s="29" t="str">
        <v>CA</v>
      </c>
      <c r="C34" s="24"/>
      <c r="D34" s="13"/>
      <c r="E34" s="13" t="str">
        <f t="shared" si="0"/>
        <v/>
      </c>
      <c r="F34" s="14"/>
      <c r="G34" s="15"/>
      <c r="H34" s="15" t="str">
        <f t="shared" si="1"/>
        <v/>
      </c>
      <c r="I34" s="16" t="str">
        <f t="shared" si="2"/>
        <v/>
      </c>
      <c r="J34" s="41"/>
      <c r="K34" s="41"/>
    </row>
    <row r="35" spans="1:11" ht="15.6">
      <c r="A35" s="30" t="str">
        <v>Greenfield USD - Raffaello Palla ES</v>
      </c>
      <c r="B35" s="31" t="str">
        <v>CA</v>
      </c>
      <c r="C35" s="11"/>
      <c r="D35" s="18"/>
      <c r="E35" s="18" t="str">
        <f t="shared" si="0"/>
        <v/>
      </c>
      <c r="F35" s="19"/>
      <c r="G35" s="20"/>
      <c r="H35" s="20" t="str">
        <f t="shared" si="1"/>
        <v/>
      </c>
      <c r="I35" s="19" t="str">
        <f t="shared" si="2"/>
        <v/>
      </c>
      <c r="J35" s="42"/>
      <c r="K35" s="43"/>
    </row>
    <row r="36" spans="1:11" ht="15.6">
      <c r="A36" s="28" t="str">
        <v>Greenfield USD - Valle Verde ES</v>
      </c>
      <c r="B36" s="29" t="str">
        <v>CA</v>
      </c>
      <c r="C36" s="24"/>
      <c r="D36" s="13"/>
      <c r="E36" s="13" t="str">
        <f t="shared" si="0"/>
        <v/>
      </c>
      <c r="F36" s="14"/>
      <c r="G36" s="15"/>
      <c r="H36" s="15" t="str">
        <f t="shared" si="1"/>
        <v/>
      </c>
      <c r="I36" s="16" t="str">
        <f t="shared" si="2"/>
        <v/>
      </c>
      <c r="J36" s="41"/>
      <c r="K36" s="41"/>
    </row>
    <row r="37" spans="1:11" ht="15.6">
      <c r="A37" s="30" t="str">
        <v>Greenfield USD - W.A. Kendrick ES</v>
      </c>
      <c r="B37" s="31" t="str">
        <v>CA</v>
      </c>
      <c r="C37" s="11"/>
      <c r="D37" s="18"/>
      <c r="E37" s="18" t="str">
        <f t="shared" si="0"/>
        <v/>
      </c>
      <c r="F37" s="19"/>
      <c r="G37" s="20"/>
      <c r="H37" s="20" t="str">
        <f t="shared" si="1"/>
        <v/>
      </c>
      <c r="I37" s="19" t="str">
        <f t="shared" si="2"/>
        <v/>
      </c>
      <c r="J37" s="42"/>
      <c r="K37" s="43"/>
    </row>
    <row r="38" spans="1:11" ht="15.6">
      <c r="A38" s="28" t="str">
        <v>Muroc Joint USD - Boron HS</v>
      </c>
      <c r="B38" s="29" t="str">
        <v>CA</v>
      </c>
      <c r="C38" s="24"/>
      <c r="D38" s="13"/>
      <c r="E38" s="13" t="str">
        <f t="shared" si="0"/>
        <v/>
      </c>
      <c r="F38" s="14"/>
      <c r="G38" s="15"/>
      <c r="H38" s="15" t="str">
        <f t="shared" si="1"/>
        <v/>
      </c>
      <c r="I38" s="16" t="str">
        <f t="shared" si="2"/>
        <v/>
      </c>
      <c r="J38" s="41"/>
      <c r="K38" s="41"/>
    </row>
    <row r="39" spans="1:11" ht="15.6">
      <c r="A39" s="30" t="str">
        <v>Muroc Joint USD - W. Boron ES</v>
      </c>
      <c r="B39" s="31" t="str">
        <v>CA</v>
      </c>
      <c r="C39" s="11"/>
      <c r="D39" s="18"/>
      <c r="E39" s="18" t="str">
        <f t="shared" si="0"/>
        <v/>
      </c>
      <c r="F39" s="19"/>
      <c r="G39" s="20"/>
      <c r="H39" s="20" t="str">
        <f t="shared" si="1"/>
        <v/>
      </c>
      <c r="I39" s="19" t="str">
        <f t="shared" si="2"/>
        <v/>
      </c>
      <c r="J39" s="42"/>
      <c r="K39" s="43"/>
    </row>
    <row r="40" spans="1:11" ht="15.6">
      <c r="A40" s="28" t="str">
        <v>Colusa - WTP</v>
      </c>
      <c r="B40" s="29" t="str">
        <v>CA</v>
      </c>
      <c r="C40" s="24"/>
      <c r="D40" s="13"/>
      <c r="E40" s="13" t="str">
        <f t="shared" si="0"/>
        <v/>
      </c>
      <c r="F40" s="14"/>
      <c r="G40" s="15"/>
      <c r="H40" s="15" t="str">
        <f t="shared" si="1"/>
        <v/>
      </c>
      <c r="I40" s="16" t="str">
        <f t="shared" si="2"/>
        <v/>
      </c>
      <c r="J40" s="41"/>
      <c r="K40" s="85"/>
    </row>
    <row r="41" spans="1:11" ht="15.6">
      <c r="A41" s="30" t="str">
        <v>CDCR-North Kern State Prision</v>
      </c>
      <c r="B41" s="31" t="str">
        <v>CA</v>
      </c>
      <c r="C41" s="11"/>
      <c r="D41" s="18"/>
      <c r="E41" s="18" t="str">
        <f t="shared" si="0"/>
        <v/>
      </c>
      <c r="F41" s="19"/>
      <c r="G41" s="20"/>
      <c r="H41" s="20" t="str">
        <f t="shared" si="1"/>
        <v/>
      </c>
      <c r="I41" s="19" t="str">
        <f t="shared" si="2"/>
        <v/>
      </c>
      <c r="J41" s="55"/>
      <c r="K41" s="55"/>
    </row>
    <row r="42" spans="1:11" ht="15.6">
      <c r="A42" s="28" t="str">
        <v>Muroc Joint USD - District Office</v>
      </c>
      <c r="B42" s="29" t="str">
        <v>CA</v>
      </c>
      <c r="C42" s="24"/>
      <c r="D42" s="13"/>
      <c r="E42" s="13" t="str">
        <f t="shared" si="0"/>
        <v/>
      </c>
      <c r="F42" s="14"/>
      <c r="G42" s="15"/>
      <c r="H42" s="15" t="str">
        <f t="shared" si="1"/>
        <v/>
      </c>
      <c r="I42" s="16" t="str">
        <f t="shared" si="2"/>
        <v/>
      </c>
      <c r="J42" s="41"/>
      <c r="K42" s="41"/>
    </row>
    <row r="43" spans="1:11" ht="15.6">
      <c r="A43" s="30" t="str">
        <v>Whole Foods - Manhattan Beach</v>
      </c>
      <c r="B43" s="31" t="str">
        <v>CA</v>
      </c>
      <c r="C43" s="11"/>
      <c r="D43" s="18"/>
      <c r="E43" s="18" t="str">
        <f t="shared" si="0"/>
        <v/>
      </c>
      <c r="F43" s="19"/>
      <c r="G43" s="20"/>
      <c r="H43" s="20" t="str">
        <f t="shared" si="1"/>
        <v/>
      </c>
      <c r="I43" s="19" t="str">
        <f t="shared" si="2"/>
        <v/>
      </c>
      <c r="J43" s="55"/>
      <c r="K43" s="55"/>
    </row>
    <row r="44" spans="1:11" ht="15.6">
      <c r="A44" s="28" t="str">
        <v>Pioneer USD - Frontier ES</v>
      </c>
      <c r="B44" s="29" t="str">
        <v>CA</v>
      </c>
      <c r="C44" s="24"/>
      <c r="D44" s="13"/>
      <c r="E44" s="13" t="str">
        <f t="shared" si="0"/>
        <v/>
      </c>
      <c r="F44" s="14"/>
      <c r="G44" s="15"/>
      <c r="H44" s="15" t="str">
        <f t="shared" si="1"/>
        <v/>
      </c>
      <c r="I44" s="16" t="str">
        <f t="shared" si="2"/>
        <v/>
      </c>
      <c r="J44" s="41"/>
      <c r="K44" s="41"/>
    </row>
    <row r="45" spans="1:11" ht="15.6">
      <c r="A45" s="30" t="str">
        <v>Pioneer USD - Pioneer ES</v>
      </c>
      <c r="B45" s="31" t="str">
        <v>CA</v>
      </c>
      <c r="C45" s="11"/>
      <c r="D45" s="18"/>
      <c r="E45" s="18" t="str">
        <f t="shared" si="0"/>
        <v/>
      </c>
      <c r="F45" s="19"/>
      <c r="G45" s="20"/>
      <c r="H45" s="20" t="str">
        <f t="shared" si="1"/>
        <v/>
      </c>
      <c r="I45" s="19" t="str">
        <f t="shared" si="2"/>
        <v/>
      </c>
      <c r="J45" s="114"/>
      <c r="K45" s="114"/>
    </row>
    <row r="46" spans="1:11" ht="15.6">
      <c r="A46" s="28" t="str">
        <v>Pioneer USD - Pioneer MS</v>
      </c>
      <c r="B46" s="29" t="str">
        <v>CA</v>
      </c>
      <c r="C46" s="24"/>
      <c r="D46" s="13"/>
      <c r="E46" s="13" t="str">
        <f t="shared" si="0"/>
        <v/>
      </c>
      <c r="F46" s="14"/>
      <c r="G46" s="15"/>
      <c r="H46" s="15" t="str">
        <f t="shared" si="1"/>
        <v/>
      </c>
      <c r="I46" s="16" t="str">
        <f t="shared" si="2"/>
        <v/>
      </c>
      <c r="J46" s="85"/>
      <c r="K46" s="85"/>
    </row>
    <row r="47" spans="1:11" ht="15.6">
      <c r="A47" s="30" t="str">
        <v>Kingsburg Joint UHSD - Kingsburg HS</v>
      </c>
      <c r="B47" s="31" t="str">
        <v>CA</v>
      </c>
      <c r="C47" s="11"/>
      <c r="D47" s="18"/>
      <c r="E47" s="18" t="str">
        <f t="shared" si="0"/>
        <v/>
      </c>
      <c r="F47" s="19"/>
      <c r="G47" s="20"/>
      <c r="H47" s="20" t="str">
        <f t="shared" si="1"/>
        <v/>
      </c>
      <c r="I47" s="19" t="str">
        <f t="shared" si="2"/>
        <v/>
      </c>
      <c r="J47" s="114"/>
      <c r="K47" s="114"/>
    </row>
    <row r="48" spans="1:11" ht="15.6">
      <c r="A48" s="28" t="str">
        <v>CADRB</v>
      </c>
      <c r="B48" s="29" t="str">
        <v>CA</v>
      </c>
      <c r="C48" s="24"/>
      <c r="D48" s="13"/>
      <c r="E48" s="13" t="str">
        <f t="shared" si="0"/>
        <v/>
      </c>
      <c r="F48" s="14"/>
      <c r="G48" s="15"/>
      <c r="H48" s="15" t="str">
        <f t="shared" si="1"/>
        <v/>
      </c>
      <c r="I48" s="16" t="str">
        <f t="shared" si="2"/>
        <v/>
      </c>
      <c r="J48" s="85"/>
      <c r="K48" s="85"/>
    </row>
    <row r="49" spans="1:11" ht="15.6">
      <c r="A49" s="30" t="str">
        <v>CDCR-CA State Prison LA County</v>
      </c>
      <c r="B49" s="31" t="str">
        <v>CA</v>
      </c>
      <c r="C49" s="11"/>
      <c r="D49" s="18"/>
      <c r="E49" s="18" t="str">
        <f t="shared" si="0"/>
        <v/>
      </c>
      <c r="F49" s="19"/>
      <c r="G49" s="20"/>
      <c r="H49" s="20" t="str">
        <f t="shared" si="1"/>
        <v/>
      </c>
      <c r="I49" s="19" t="str">
        <f t="shared" si="2"/>
        <v/>
      </c>
      <c r="J49" s="42"/>
      <c r="K49" s="43"/>
    </row>
    <row r="50" spans="1:11" ht="15.6">
      <c r="A50" s="28" t="str">
        <v>Central USD Akers ES</v>
      </c>
      <c r="B50" s="29" t="str">
        <v>CA</v>
      </c>
      <c r="C50" s="24"/>
      <c r="D50" s="13"/>
      <c r="E50" s="13" t="str">
        <f t="shared" si="0"/>
        <v/>
      </c>
      <c r="F50" s="14"/>
      <c r="G50" s="15"/>
      <c r="H50" s="15" t="str">
        <f t="shared" si="1"/>
        <v/>
      </c>
      <c r="I50" s="16" t="str">
        <f t="shared" si="2"/>
        <v/>
      </c>
      <c r="J50" s="41"/>
      <c r="K50" s="41"/>
    </row>
    <row r="51" spans="1:11" ht="15.6">
      <c r="A51" s="30" t="str">
        <v>CUSD - District Office</v>
      </c>
      <c r="B51" s="31" t="str">
        <v>CA</v>
      </c>
      <c r="C51" s="11"/>
      <c r="D51" s="18"/>
      <c r="E51" s="18" t="str">
        <f t="shared" si="0"/>
        <v/>
      </c>
      <c r="F51" s="19"/>
      <c r="G51" s="20"/>
      <c r="H51" s="20" t="str">
        <f t="shared" si="1"/>
        <v/>
      </c>
      <c r="I51" s="19" t="str">
        <f t="shared" si="2"/>
        <v/>
      </c>
      <c r="J51" s="42"/>
      <c r="K51" s="114"/>
    </row>
    <row r="52" spans="1:11" ht="15.6">
      <c r="A52" s="28" t="str">
        <v>Parlier - WTP</v>
      </c>
      <c r="B52" s="29" t="str">
        <v>CA</v>
      </c>
      <c r="C52" s="24"/>
      <c r="D52" s="13"/>
      <c r="E52" s="13" t="str">
        <f t="shared" si="0"/>
        <v/>
      </c>
      <c r="F52" s="14"/>
      <c r="G52" s="15"/>
      <c r="H52" s="15" t="str">
        <f t="shared" si="1"/>
        <v/>
      </c>
      <c r="I52" s="16" t="str">
        <f t="shared" si="2"/>
        <v/>
      </c>
      <c r="J52" s="57"/>
      <c r="K52" s="85"/>
    </row>
    <row r="53" spans="1:11" ht="15.6">
      <c r="A53" s="30" t="str">
        <v>Snowline SD - Quail Valley MS</v>
      </c>
      <c r="B53" s="31" t="str">
        <v>CA</v>
      </c>
      <c r="C53" s="11"/>
      <c r="D53" s="18"/>
      <c r="E53" s="18" t="str">
        <f t="shared" si="0"/>
        <v/>
      </c>
      <c r="F53" s="19"/>
      <c r="G53" s="20"/>
      <c r="H53" s="20" t="str">
        <f t="shared" si="1"/>
        <v/>
      </c>
      <c r="I53" s="19" t="str">
        <f t="shared" si="2"/>
        <v/>
      </c>
      <c r="J53" s="114"/>
      <c r="K53" s="86"/>
    </row>
    <row r="54" spans="1:11" ht="15.6">
      <c r="A54" s="28" t="str">
        <v>Snowline SD - Serrano HS - Middle Lot</v>
      </c>
      <c r="B54" s="29" t="str">
        <v>CA</v>
      </c>
      <c r="C54" s="24"/>
      <c r="D54" s="13"/>
      <c r="E54" s="13" t="str">
        <f t="shared" si="0"/>
        <v/>
      </c>
      <c r="F54" s="14"/>
      <c r="G54" s="15"/>
      <c r="H54" s="15" t="str">
        <f t="shared" si="1"/>
        <v/>
      </c>
      <c r="I54" s="16" t="str">
        <f t="shared" si="2"/>
        <v/>
      </c>
      <c r="J54" s="41"/>
      <c r="K54" s="41"/>
    </row>
    <row r="55" spans="1:11" ht="15.6">
      <c r="A55" s="30" t="str">
        <v>Snowline SD - Pinon Hills ES</v>
      </c>
      <c r="B55" s="31" t="str">
        <v>CA</v>
      </c>
      <c r="C55" s="11"/>
      <c r="D55" s="18"/>
      <c r="E55" s="18" t="str">
        <f t="shared" si="0"/>
        <v/>
      </c>
      <c r="F55" s="19"/>
      <c r="G55" s="20"/>
      <c r="H55" s="20" t="str">
        <f t="shared" si="1"/>
        <v/>
      </c>
      <c r="I55" s="19" t="str">
        <f t="shared" si="2"/>
        <v/>
      </c>
      <c r="J55" s="114"/>
      <c r="K55" s="114"/>
    </row>
    <row r="56" spans="1:11" ht="15.6">
      <c r="A56" s="28" t="str">
        <v>Ramona - Santa Maria WTP</v>
      </c>
      <c r="B56" s="29" t="str">
        <v>CA</v>
      </c>
      <c r="C56" s="24"/>
      <c r="D56" s="13"/>
      <c r="E56" s="13" t="str">
        <f t="shared" si="0"/>
        <v/>
      </c>
      <c r="F56" s="14"/>
      <c r="G56" s="15"/>
      <c r="H56" s="15" t="str">
        <f t="shared" si="1"/>
        <v/>
      </c>
      <c r="I56" s="16" t="str">
        <f t="shared" si="2"/>
        <v/>
      </c>
      <c r="J56" s="57"/>
      <c r="K56" s="57"/>
    </row>
    <row r="57" spans="1:11" ht="15.6">
      <c r="A57" s="30" t="str">
        <v>Kohls - Redding</v>
      </c>
      <c r="B57" s="31" t="str">
        <v>CA</v>
      </c>
      <c r="C57" s="11"/>
      <c r="D57" s="18"/>
      <c r="E57" s="18" t="str">
        <f t="shared" si="0"/>
        <v/>
      </c>
      <c r="F57" s="19"/>
      <c r="G57" s="20"/>
      <c r="H57" s="20" t="str">
        <f t="shared" si="1"/>
        <v/>
      </c>
      <c r="I57" s="19" t="str">
        <f t="shared" si="2"/>
        <v/>
      </c>
      <c r="J57" s="55"/>
      <c r="K57" s="55"/>
    </row>
    <row r="58" spans="1:11" ht="15.6">
      <c r="A58" s="28" t="str">
        <v>Kohls - Salinas</v>
      </c>
      <c r="B58" s="29" t="str">
        <v>CA</v>
      </c>
      <c r="C58" s="24"/>
      <c r="D58" s="13"/>
      <c r="E58" s="13" t="str">
        <f t="shared" si="0"/>
        <v/>
      </c>
      <c r="F58" s="14"/>
      <c r="G58" s="15"/>
      <c r="H58" s="15" t="str">
        <f t="shared" si="1"/>
        <v/>
      </c>
      <c r="I58" s="16" t="str">
        <f t="shared" si="2"/>
        <v/>
      </c>
      <c r="J58" s="85"/>
      <c r="K58" s="85"/>
    </row>
    <row r="59" spans="1:11" ht="15.6">
      <c r="A59" s="30" t="str">
        <v>Kohls - San Bernardino - Central</v>
      </c>
      <c r="B59" s="31" t="str">
        <v>CA</v>
      </c>
      <c r="C59" s="11"/>
      <c r="D59" s="18"/>
      <c r="E59" s="18" t="str">
        <f t="shared" si="0"/>
        <v/>
      </c>
      <c r="F59" s="19"/>
      <c r="G59" s="20"/>
      <c r="H59" s="20" t="str">
        <f t="shared" si="1"/>
        <v/>
      </c>
      <c r="I59" s="19" t="str">
        <f t="shared" si="2"/>
        <v/>
      </c>
      <c r="J59" s="42"/>
      <c r="K59" s="43"/>
    </row>
    <row r="60" spans="1:11" ht="15.6">
      <c r="A60" s="28" t="str">
        <v>Kohls - Sonora</v>
      </c>
      <c r="B60" s="29" t="str">
        <v>CA</v>
      </c>
      <c r="C60" s="24"/>
      <c r="D60" s="13"/>
      <c r="E60" s="13" t="str">
        <f t="shared" si="0"/>
        <v/>
      </c>
      <c r="F60" s="14"/>
      <c r="G60" s="15"/>
      <c r="H60" s="15" t="str">
        <f t="shared" si="1"/>
        <v/>
      </c>
      <c r="I60" s="16" t="str">
        <f t="shared" si="2"/>
        <v/>
      </c>
      <c r="J60" s="85"/>
      <c r="K60" s="85"/>
    </row>
    <row r="61" spans="1:11" ht="15.6">
      <c r="A61" s="30" t="str">
        <v>CUSD - Stratford ES</v>
      </c>
      <c r="B61" s="31" t="str">
        <v>CA</v>
      </c>
      <c r="C61" s="11"/>
      <c r="D61" s="18"/>
      <c r="E61" s="18" t="str">
        <f t="shared" si="0"/>
        <v/>
      </c>
      <c r="F61" s="19"/>
      <c r="G61" s="87"/>
      <c r="H61" s="20" t="str">
        <f t="shared" si="1"/>
        <v/>
      </c>
      <c r="I61" s="19" t="str">
        <f t="shared" si="2"/>
        <v/>
      </c>
      <c r="J61" s="55"/>
      <c r="K61" s="43"/>
    </row>
    <row r="62" spans="1:11" ht="15.6">
      <c r="A62" s="28" t="str">
        <v>Taft - City Hall</v>
      </c>
      <c r="B62" s="29" t="str">
        <v>CA</v>
      </c>
      <c r="C62" s="24"/>
      <c r="D62" s="13"/>
      <c r="E62" s="13" t="str">
        <f t="shared" si="0"/>
        <v/>
      </c>
      <c r="F62" s="14"/>
      <c r="G62" s="15"/>
      <c r="H62" s="15" t="str">
        <f t="shared" si="1"/>
        <v/>
      </c>
      <c r="I62" s="16" t="str">
        <f t="shared" si="2"/>
        <v/>
      </c>
      <c r="J62" s="41"/>
      <c r="K62" s="41"/>
    </row>
    <row r="63" spans="1:11" ht="15.6">
      <c r="A63" s="30" t="str">
        <v>Taft - Federal Prison</v>
      </c>
      <c r="B63" s="31" t="str">
        <v>CA</v>
      </c>
      <c r="C63" s="11"/>
      <c r="D63" s="18"/>
      <c r="E63" s="18" t="str">
        <f t="shared" si="0"/>
        <v/>
      </c>
      <c r="F63" s="19"/>
      <c r="G63" s="20"/>
      <c r="H63" s="20" t="str">
        <f t="shared" si="1"/>
        <v/>
      </c>
      <c r="I63" s="19" t="str">
        <f t="shared" si="2"/>
        <v/>
      </c>
      <c r="J63" s="42"/>
      <c r="K63" s="43"/>
    </row>
    <row r="64" spans="1:11" ht="15.6">
      <c r="A64" s="28" t="str">
        <v>Taft - Police Department</v>
      </c>
      <c r="B64" s="29" t="str">
        <v>CA</v>
      </c>
      <c r="C64" s="24"/>
      <c r="D64" s="13"/>
      <c r="E64" s="13" t="str">
        <f t="shared" si="0"/>
        <v/>
      </c>
      <c r="F64" s="14"/>
      <c r="G64" s="15"/>
      <c r="H64" s="15" t="str">
        <f t="shared" si="1"/>
        <v/>
      </c>
      <c r="I64" s="16" t="str">
        <f t="shared" si="2"/>
        <v/>
      </c>
      <c r="J64" s="41"/>
      <c r="K64" s="41"/>
    </row>
    <row r="65" spans="1:11" ht="15.6">
      <c r="A65" s="30" t="str">
        <v>Taft - WTP</v>
      </c>
      <c r="B65" s="31" t="str">
        <v>CA</v>
      </c>
      <c r="C65" s="11"/>
      <c r="D65" s="18"/>
      <c r="E65" s="18" t="str">
        <f t="shared" si="0"/>
        <v/>
      </c>
      <c r="F65" s="19"/>
      <c r="G65" s="20"/>
      <c r="H65" s="20" t="str">
        <f t="shared" si="1"/>
        <v/>
      </c>
      <c r="I65" s="19" t="str">
        <f t="shared" si="2"/>
        <v/>
      </c>
      <c r="J65" s="55"/>
      <c r="K65" s="55"/>
    </row>
    <row r="66" spans="1:11" ht="15.6">
      <c r="A66" s="28" t="str">
        <v>CDCR - CA Correctional Institution</v>
      </c>
      <c r="B66" s="29" t="str">
        <v>CA</v>
      </c>
      <c r="C66" s="24"/>
      <c r="D66" s="13"/>
      <c r="E66" s="13" t="str">
        <f t="shared" si="0"/>
        <v/>
      </c>
      <c r="F66" s="14"/>
      <c r="G66" s="15"/>
      <c r="H66" s="15" t="str">
        <f t="shared" si="1"/>
        <v/>
      </c>
      <c r="I66" s="16" t="str">
        <f t="shared" si="2"/>
        <v/>
      </c>
      <c r="J66" s="57"/>
      <c r="K66" s="57"/>
    </row>
    <row r="67" spans="1:11" ht="15.6">
      <c r="A67" s="30" t="str">
        <v>CDCR - CA Correctional Institution II</v>
      </c>
      <c r="B67" s="31" t="str">
        <v>CA</v>
      </c>
      <c r="C67" s="11"/>
      <c r="D67" s="18"/>
      <c r="E67" s="18" t="str">
        <f t="shared" si="0"/>
        <v/>
      </c>
      <c r="F67" s="19"/>
      <c r="G67" s="20"/>
      <c r="H67" s="20" t="str">
        <f t="shared" si="1"/>
        <v/>
      </c>
      <c r="I67" s="19" t="str">
        <f t="shared" si="2"/>
        <v/>
      </c>
      <c r="J67" s="55"/>
      <c r="K67" s="55"/>
    </row>
    <row r="68" spans="1:11" ht="15.6">
      <c r="A68" s="28" t="str">
        <v>Snowline SD - Vista Verde ES</v>
      </c>
      <c r="B68" s="29" t="str">
        <v>CA</v>
      </c>
      <c r="C68" s="24"/>
      <c r="D68" s="13"/>
      <c r="E68" s="13" t="str">
        <f t="shared" si="0"/>
        <v/>
      </c>
      <c r="F68" s="14"/>
      <c r="G68" s="15"/>
      <c r="H68" s="15" t="str">
        <f t="shared" si="1"/>
        <v/>
      </c>
      <c r="I68" s="16" t="str">
        <f t="shared" si="2"/>
        <v/>
      </c>
      <c r="J68" s="41"/>
      <c r="K68" s="41"/>
    </row>
    <row r="69" spans="1:11" ht="14.45">
      <c r="A69" s="21" t="str">
        <v>North Stonington</v>
      </c>
      <c r="B69" s="33" t="str">
        <v>CT</v>
      </c>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6" priority="3" stopIfTrue="1" operator="lessThanOrEqual">
      <formula>-0.1</formula>
    </cfRule>
    <cfRule type="expression" dxfId="5" priority="4">
      <formula>AND(ISNUMBER(F2), F2&gt;=0.1)</formula>
    </cfRule>
  </conditionalFormatting>
  <conditionalFormatting sqref="F4:F100 I4:I100">
    <cfRule type="cellIs" dxfId="4" priority="1" stopIfTrue="1" operator="lessThanOrEqual">
      <formula>-0.1</formula>
    </cfRule>
    <cfRule type="expression" dxfId="3" priority="2">
      <formula>AND(ISNUMBER(F4), F4&gt;=0.1)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69"/>
  <sheetViews>
    <sheetView workbookViewId="0">
      <pane ySplit="3" topLeftCell="A72" activePane="bottomLeft" state="frozen"/>
      <selection pane="bottomLeft" activeCell="B72" sqref="B72"/>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441</v>
      </c>
      <c r="B1" t="s">
        <v>442</v>
      </c>
    </row>
    <row r="3" spans="1:12" ht="12.6">
      <c r="A3" t="s">
        <v>443</v>
      </c>
      <c r="B3" t="s">
        <v>3</v>
      </c>
      <c r="C3" t="s">
        <v>4</v>
      </c>
      <c r="D3" t="s">
        <v>444</v>
      </c>
      <c r="E3" s="2" t="s">
        <v>445</v>
      </c>
    </row>
    <row r="4" spans="1:12" ht="14.45">
      <c r="A4" s="50" t="s">
        <v>446</v>
      </c>
      <c r="B4" t="s">
        <v>447</v>
      </c>
      <c r="C4" s="47" t="s">
        <v>448</v>
      </c>
      <c r="D4" s="46" t="s">
        <v>449</v>
      </c>
      <c r="E4" t="s">
        <v>450</v>
      </c>
      <c r="G4" s="3"/>
    </row>
    <row r="5" spans="1:12" ht="14.45">
      <c r="A5" s="50" t="s">
        <v>451</v>
      </c>
      <c r="B5" t="s">
        <v>452</v>
      </c>
      <c r="C5" s="47" t="s">
        <v>453</v>
      </c>
      <c r="D5" s="46" t="s">
        <v>449</v>
      </c>
      <c r="E5" t="s">
        <v>450</v>
      </c>
      <c r="G5" s="3"/>
    </row>
    <row r="6" spans="1:12" ht="14.45">
      <c r="A6" s="50" t="s">
        <v>454</v>
      </c>
      <c r="B6" t="s">
        <v>455</v>
      </c>
      <c r="C6" s="47" t="s">
        <v>456</v>
      </c>
      <c r="D6" s="46" t="s">
        <v>449</v>
      </c>
      <c r="E6" t="s">
        <v>450</v>
      </c>
      <c r="G6" s="3"/>
    </row>
    <row r="7" spans="1:12" ht="12.75" customHeight="1">
      <c r="A7" s="50" t="s">
        <v>457</v>
      </c>
      <c r="B7" t="s">
        <v>458</v>
      </c>
      <c r="C7" s="47" t="s">
        <v>459</v>
      </c>
      <c r="D7" s="46" t="s">
        <v>449</v>
      </c>
      <c r="E7" t="s">
        <v>450</v>
      </c>
    </row>
    <row r="8" spans="1:12" ht="12.75" customHeight="1">
      <c r="A8" s="50" t="s">
        <v>460</v>
      </c>
      <c r="B8" t="s">
        <v>461</v>
      </c>
      <c r="C8" s="47" t="s">
        <v>453</v>
      </c>
      <c r="D8" s="46" t="s">
        <v>449</v>
      </c>
      <c r="E8" t="s">
        <v>450</v>
      </c>
    </row>
    <row r="9" spans="1:12" ht="12.75" customHeight="1">
      <c r="A9" s="50" t="s">
        <v>462</v>
      </c>
      <c r="B9" t="s">
        <v>463</v>
      </c>
      <c r="C9" s="47" t="s">
        <v>448</v>
      </c>
      <c r="D9" s="46" t="s">
        <v>449</v>
      </c>
      <c r="E9" t="s">
        <v>450</v>
      </c>
    </row>
    <row r="10" spans="1:12" ht="12.75" customHeight="1">
      <c r="A10" s="50" t="s">
        <v>464</v>
      </c>
      <c r="B10" t="s">
        <v>465</v>
      </c>
      <c r="C10" s="47" t="s">
        <v>453</v>
      </c>
      <c r="D10" s="46" t="s">
        <v>449</v>
      </c>
      <c r="E10" t="s">
        <v>450</v>
      </c>
      <c r="K10" s="44"/>
      <c r="L10" s="44"/>
    </row>
    <row r="11" spans="1:12" ht="12.75" customHeight="1">
      <c r="A11" s="50" t="s">
        <v>466</v>
      </c>
      <c r="B11" t="s">
        <v>467</v>
      </c>
      <c r="C11" s="47" t="s">
        <v>459</v>
      </c>
      <c r="D11" s="46" t="s">
        <v>449</v>
      </c>
      <c r="E11" t="s">
        <v>450</v>
      </c>
      <c r="K11" s="44"/>
      <c r="L11" s="44"/>
    </row>
    <row r="12" spans="1:12" ht="12.75" customHeight="1">
      <c r="A12" s="50" t="s">
        <v>468</v>
      </c>
      <c r="B12" t="s">
        <v>469</v>
      </c>
      <c r="C12" s="47" t="s">
        <v>470</v>
      </c>
      <c r="D12" s="46" t="s">
        <v>449</v>
      </c>
      <c r="E12" t="s">
        <v>450</v>
      </c>
      <c r="K12" s="44"/>
      <c r="L12" s="44"/>
    </row>
    <row r="13" spans="1:12" ht="12.75" customHeight="1">
      <c r="A13" s="50" t="s">
        <v>471</v>
      </c>
      <c r="B13" t="s">
        <v>472</v>
      </c>
      <c r="C13" s="47" t="s">
        <v>456</v>
      </c>
      <c r="D13" s="46" t="s">
        <v>449</v>
      </c>
      <c r="E13" t="s">
        <v>450</v>
      </c>
      <c r="K13" s="44"/>
      <c r="L13" s="44"/>
    </row>
    <row r="14" spans="1:12" ht="12.75" customHeight="1">
      <c r="A14" s="50" t="s">
        <v>473</v>
      </c>
      <c r="B14" t="s">
        <v>474</v>
      </c>
      <c r="C14" s="47" t="s">
        <v>453</v>
      </c>
      <c r="D14" s="46" t="s">
        <v>449</v>
      </c>
      <c r="E14" t="s">
        <v>450</v>
      </c>
      <c r="K14" s="44"/>
      <c r="L14" s="44"/>
    </row>
    <row r="15" spans="1:12" ht="12.75" customHeight="1">
      <c r="A15" s="50" t="s">
        <v>475</v>
      </c>
      <c r="B15" t="s">
        <v>476</v>
      </c>
      <c r="C15" s="47" t="s">
        <v>456</v>
      </c>
      <c r="D15" s="46" t="s">
        <v>449</v>
      </c>
      <c r="E15" t="s">
        <v>450</v>
      </c>
      <c r="K15" s="44"/>
      <c r="L15" s="44"/>
    </row>
    <row r="16" spans="1:12" ht="12.75" customHeight="1">
      <c r="A16" s="50" t="s">
        <v>477</v>
      </c>
      <c r="B16" t="s">
        <v>478</v>
      </c>
      <c r="C16" s="47" t="s">
        <v>453</v>
      </c>
      <c r="D16" s="46" t="s">
        <v>449</v>
      </c>
      <c r="E16" t="s">
        <v>450</v>
      </c>
      <c r="K16" s="44"/>
      <c r="L16" s="44"/>
    </row>
    <row r="17" spans="1:12" ht="12.75" customHeight="1">
      <c r="A17" s="50" t="s">
        <v>479</v>
      </c>
      <c r="B17" t="s">
        <v>480</v>
      </c>
      <c r="C17" s="47" t="s">
        <v>453</v>
      </c>
      <c r="D17" s="46" t="s">
        <v>449</v>
      </c>
      <c r="E17" t="s">
        <v>450</v>
      </c>
      <c r="K17" s="44"/>
      <c r="L17" s="44"/>
    </row>
    <row r="18" spans="1:12" ht="12.75" customHeight="1">
      <c r="A18" s="50" t="s">
        <v>481</v>
      </c>
      <c r="B18" t="s">
        <v>482</v>
      </c>
      <c r="C18" s="47" t="s">
        <v>453</v>
      </c>
      <c r="D18" s="46" t="s">
        <v>449</v>
      </c>
      <c r="E18" t="s">
        <v>450</v>
      </c>
      <c r="K18" s="44"/>
      <c r="L18" s="44"/>
    </row>
    <row r="19" spans="1:12" ht="12.75" customHeight="1">
      <c r="A19" s="50" t="s">
        <v>483</v>
      </c>
      <c r="B19" t="s">
        <v>484</v>
      </c>
      <c r="C19" s="47" t="s">
        <v>453</v>
      </c>
      <c r="D19" s="46" t="s">
        <v>449</v>
      </c>
      <c r="E19" t="s">
        <v>450</v>
      </c>
      <c r="K19" s="44"/>
      <c r="L19" s="44"/>
    </row>
    <row r="20" spans="1:12" ht="12.75" customHeight="1">
      <c r="A20" s="50" t="s">
        <v>485</v>
      </c>
      <c r="B20" t="s">
        <v>486</v>
      </c>
      <c r="C20" s="47" t="s">
        <v>456</v>
      </c>
      <c r="D20" s="46" t="s">
        <v>449</v>
      </c>
      <c r="E20" t="s">
        <v>450</v>
      </c>
      <c r="K20" s="44"/>
      <c r="L20" s="44"/>
    </row>
    <row r="21" spans="1:12" ht="12.75" customHeight="1">
      <c r="A21" s="50" t="s">
        <v>487</v>
      </c>
      <c r="B21" t="s">
        <v>488</v>
      </c>
      <c r="C21" s="47" t="s">
        <v>459</v>
      </c>
      <c r="D21" s="46" t="s">
        <v>449</v>
      </c>
      <c r="E21" t="s">
        <v>450</v>
      </c>
      <c r="K21" s="44"/>
      <c r="L21" s="44"/>
    </row>
    <row r="22" spans="1:12" ht="12.75" customHeight="1">
      <c r="A22" s="50" t="s">
        <v>489</v>
      </c>
      <c r="B22" t="s">
        <v>490</v>
      </c>
      <c r="C22" s="47" t="s">
        <v>453</v>
      </c>
      <c r="D22" s="46" t="s">
        <v>449</v>
      </c>
      <c r="E22" t="s">
        <v>450</v>
      </c>
      <c r="K22" s="44"/>
      <c r="L22" s="44"/>
    </row>
    <row r="23" spans="1:12" ht="12.75" customHeight="1">
      <c r="A23" s="50" t="s">
        <v>491</v>
      </c>
      <c r="B23" t="s">
        <v>492</v>
      </c>
      <c r="C23" s="47" t="s">
        <v>453</v>
      </c>
      <c r="D23" s="46" t="s">
        <v>449</v>
      </c>
      <c r="E23" t="s">
        <v>450</v>
      </c>
      <c r="K23" s="44"/>
      <c r="L23" s="44"/>
    </row>
    <row r="24" spans="1:12" ht="12.75" customHeight="1">
      <c r="A24" s="50" t="s">
        <v>493</v>
      </c>
      <c r="B24" t="s">
        <v>494</v>
      </c>
      <c r="C24" s="47" t="s">
        <v>456</v>
      </c>
      <c r="D24" s="46" t="s">
        <v>449</v>
      </c>
      <c r="E24" t="s">
        <v>450</v>
      </c>
      <c r="K24" s="44"/>
      <c r="L24" s="44"/>
    </row>
    <row r="25" spans="1:12" ht="12.75" customHeight="1">
      <c r="A25" s="50" t="s">
        <v>495</v>
      </c>
      <c r="B25" t="s">
        <v>496</v>
      </c>
      <c r="C25" s="47" t="s">
        <v>448</v>
      </c>
      <c r="D25" s="46" t="s">
        <v>449</v>
      </c>
      <c r="E25" t="s">
        <v>450</v>
      </c>
      <c r="K25" s="44"/>
      <c r="L25" s="44"/>
    </row>
    <row r="26" spans="1:12" ht="12.75" customHeight="1">
      <c r="A26" t="s">
        <v>497</v>
      </c>
      <c r="B26" t="s">
        <v>498</v>
      </c>
      <c r="C26" s="47" t="s">
        <v>499</v>
      </c>
      <c r="D26" t="s">
        <v>449</v>
      </c>
      <c r="E26" t="s">
        <v>450</v>
      </c>
      <c r="K26" s="44"/>
      <c r="L26" s="44"/>
    </row>
    <row r="27" spans="1:12" ht="12.75" customHeight="1">
      <c r="A27" t="s">
        <v>500</v>
      </c>
      <c r="B27" t="s">
        <v>501</v>
      </c>
      <c r="C27" s="47" t="s">
        <v>499</v>
      </c>
      <c r="D27" t="s">
        <v>449</v>
      </c>
      <c r="E27" t="s">
        <v>450</v>
      </c>
      <c r="K27" s="44"/>
      <c r="L27" s="44"/>
    </row>
    <row r="28" spans="1:12" ht="12.75" customHeight="1">
      <c r="A28" t="s">
        <v>502</v>
      </c>
      <c r="B28" t="s">
        <v>503</v>
      </c>
      <c r="C28" s="47" t="s">
        <v>499</v>
      </c>
      <c r="D28" t="s">
        <v>449</v>
      </c>
      <c r="E28" t="s">
        <v>450</v>
      </c>
      <c r="K28" s="44"/>
      <c r="L28" s="44"/>
    </row>
    <row r="29" spans="1:12" ht="12.75" customHeight="1">
      <c r="A29" t="s">
        <v>504</v>
      </c>
      <c r="B29" t="s">
        <v>505</v>
      </c>
      <c r="C29" s="47" t="s">
        <v>499</v>
      </c>
      <c r="D29" t="s">
        <v>449</v>
      </c>
      <c r="E29" t="s">
        <v>450</v>
      </c>
      <c r="K29" s="44"/>
      <c r="L29" s="44"/>
    </row>
    <row r="30" spans="1:12" ht="12.75" customHeight="1">
      <c r="A30" t="s">
        <v>506</v>
      </c>
      <c r="B30" t="s">
        <v>507</v>
      </c>
      <c r="C30" s="47" t="s">
        <v>499</v>
      </c>
      <c r="D30" t="s">
        <v>449</v>
      </c>
      <c r="E30" t="s">
        <v>450</v>
      </c>
      <c r="K30" s="44"/>
      <c r="L30" s="44"/>
    </row>
    <row r="31" spans="1:12" ht="12.75" customHeight="1">
      <c r="A31" t="s">
        <v>508</v>
      </c>
      <c r="B31" t="s">
        <v>509</v>
      </c>
      <c r="C31" s="47" t="s">
        <v>499</v>
      </c>
      <c r="D31" t="s">
        <v>449</v>
      </c>
      <c r="E31" t="s">
        <v>450</v>
      </c>
      <c r="K31" s="44"/>
      <c r="L31" s="44"/>
    </row>
    <row r="32" spans="1:12" ht="12.75" customHeight="1">
      <c r="A32" t="s">
        <v>510</v>
      </c>
      <c r="B32" t="s">
        <v>511</v>
      </c>
      <c r="C32" s="47" t="s">
        <v>499</v>
      </c>
      <c r="D32" t="s">
        <v>449</v>
      </c>
      <c r="E32" t="s">
        <v>450</v>
      </c>
    </row>
    <row r="33" spans="1:5" ht="12.75" customHeight="1">
      <c r="A33" t="s">
        <v>512</v>
      </c>
      <c r="B33" t="s">
        <v>513</v>
      </c>
      <c r="C33" s="47" t="s">
        <v>499</v>
      </c>
      <c r="D33" t="s">
        <v>449</v>
      </c>
      <c r="E33" t="s">
        <v>450</v>
      </c>
    </row>
    <row r="34" spans="1:5" ht="12.75" customHeight="1">
      <c r="A34" t="s">
        <v>514</v>
      </c>
      <c r="B34" t="s">
        <v>515</v>
      </c>
      <c r="C34" s="47" t="s">
        <v>499</v>
      </c>
      <c r="D34" t="s">
        <v>449</v>
      </c>
      <c r="E34" t="s">
        <v>450</v>
      </c>
    </row>
    <row r="35" spans="1:5" ht="12.75" customHeight="1">
      <c r="A35" t="s">
        <v>516</v>
      </c>
      <c r="B35" t="s">
        <v>517</v>
      </c>
      <c r="C35" s="47" t="s">
        <v>499</v>
      </c>
      <c r="D35" t="s">
        <v>449</v>
      </c>
      <c r="E35" t="s">
        <v>450</v>
      </c>
    </row>
    <row r="36" spans="1:5" ht="12.75" customHeight="1">
      <c r="A36" t="s">
        <v>518</v>
      </c>
      <c r="B36" t="s">
        <v>519</v>
      </c>
      <c r="C36" s="47" t="s">
        <v>499</v>
      </c>
      <c r="D36" t="s">
        <v>449</v>
      </c>
      <c r="E36" t="s">
        <v>450</v>
      </c>
    </row>
    <row r="37" spans="1:5" ht="12.75" customHeight="1">
      <c r="A37" t="s">
        <v>520</v>
      </c>
      <c r="B37" t="s">
        <v>521</v>
      </c>
      <c r="C37" s="47" t="s">
        <v>499</v>
      </c>
      <c r="D37" t="s">
        <v>449</v>
      </c>
      <c r="E37" t="s">
        <v>450</v>
      </c>
    </row>
    <row r="38" spans="1:5" ht="12.75" customHeight="1">
      <c r="A38" t="s">
        <v>522</v>
      </c>
      <c r="B38" t="s">
        <v>523</v>
      </c>
      <c r="C38" s="47" t="s">
        <v>499</v>
      </c>
      <c r="D38" t="s">
        <v>449</v>
      </c>
      <c r="E38" t="s">
        <v>450</v>
      </c>
    </row>
    <row r="39" spans="1:5" ht="12.75" customHeight="1">
      <c r="A39" t="s">
        <v>524</v>
      </c>
      <c r="B39" t="s">
        <v>525</v>
      </c>
      <c r="C39" s="47" t="s">
        <v>499</v>
      </c>
      <c r="D39" t="s">
        <v>449</v>
      </c>
      <c r="E39" t="s">
        <v>450</v>
      </c>
    </row>
    <row r="40" spans="1:5" ht="12.75" customHeight="1">
      <c r="A40" t="s">
        <v>526</v>
      </c>
      <c r="B40" t="s">
        <v>527</v>
      </c>
      <c r="C40" s="47" t="s">
        <v>499</v>
      </c>
      <c r="D40" t="s">
        <v>449</v>
      </c>
      <c r="E40" t="s">
        <v>450</v>
      </c>
    </row>
    <row r="41" spans="1:5" ht="12.75" customHeight="1">
      <c r="A41" t="s">
        <v>528</v>
      </c>
      <c r="B41" t="s">
        <v>529</v>
      </c>
      <c r="C41" s="47" t="s">
        <v>499</v>
      </c>
      <c r="E41" t="s">
        <v>450</v>
      </c>
    </row>
    <row r="42" spans="1:5" ht="12.75" customHeight="1">
      <c r="A42" t="s">
        <v>530</v>
      </c>
      <c r="B42" t="s">
        <v>531</v>
      </c>
      <c r="C42" s="47" t="s">
        <v>499</v>
      </c>
      <c r="D42" t="s">
        <v>449</v>
      </c>
      <c r="E42" t="s">
        <v>450</v>
      </c>
    </row>
    <row r="43" spans="1:5" ht="12.75" customHeight="1">
      <c r="A43" t="s">
        <v>532</v>
      </c>
      <c r="B43" t="s">
        <v>533</v>
      </c>
      <c r="C43" s="47" t="s">
        <v>499</v>
      </c>
      <c r="D43" t="s">
        <v>449</v>
      </c>
      <c r="E43" t="s">
        <v>450</v>
      </c>
    </row>
    <row r="44" spans="1:5" ht="12.75" customHeight="1">
      <c r="A44" t="s">
        <v>534</v>
      </c>
      <c r="B44" t="s">
        <v>535</v>
      </c>
      <c r="C44" s="47" t="s">
        <v>499</v>
      </c>
      <c r="D44" t="s">
        <v>449</v>
      </c>
      <c r="E44" t="s">
        <v>450</v>
      </c>
    </row>
    <row r="45" spans="1:5" ht="12.75" customHeight="1">
      <c r="A45" t="s">
        <v>536</v>
      </c>
      <c r="B45" t="s">
        <v>537</v>
      </c>
      <c r="C45" s="47" t="s">
        <v>499</v>
      </c>
      <c r="D45" t="s">
        <v>449</v>
      </c>
      <c r="E45" t="s">
        <v>450</v>
      </c>
    </row>
    <row r="46" spans="1:5" ht="12.75" customHeight="1">
      <c r="A46" t="s">
        <v>538</v>
      </c>
      <c r="B46" t="s">
        <v>539</v>
      </c>
      <c r="C46" s="47" t="s">
        <v>499</v>
      </c>
      <c r="D46" t="s">
        <v>449</v>
      </c>
      <c r="E46" t="s">
        <v>450</v>
      </c>
    </row>
    <row r="47" spans="1:5" ht="12.75" customHeight="1">
      <c r="A47" t="s">
        <v>540</v>
      </c>
      <c r="B47" t="s">
        <v>541</v>
      </c>
      <c r="C47" s="47" t="s">
        <v>499</v>
      </c>
      <c r="D47" t="s">
        <v>449</v>
      </c>
      <c r="E47" t="s">
        <v>450</v>
      </c>
    </row>
    <row r="48" spans="1:5" ht="12.75" customHeight="1">
      <c r="A48" t="s">
        <v>542</v>
      </c>
      <c r="B48" t="s">
        <v>542</v>
      </c>
      <c r="C48" s="47" t="s">
        <v>499</v>
      </c>
      <c r="E48" t="s">
        <v>450</v>
      </c>
    </row>
    <row r="49" spans="1:5" ht="12.75" customHeight="1">
      <c r="A49" t="s">
        <v>543</v>
      </c>
      <c r="B49" t="s">
        <v>544</v>
      </c>
      <c r="C49" s="47" t="s">
        <v>499</v>
      </c>
      <c r="E49" t="s">
        <v>450</v>
      </c>
    </row>
    <row r="50" spans="1:5" ht="12.75" customHeight="1">
      <c r="A50" t="s">
        <v>545</v>
      </c>
      <c r="B50" t="s">
        <v>546</v>
      </c>
      <c r="C50" s="47" t="s">
        <v>499</v>
      </c>
      <c r="E50" t="s">
        <v>450</v>
      </c>
    </row>
    <row r="51" spans="1:5" ht="12.75" customHeight="1">
      <c r="A51" t="s">
        <v>547</v>
      </c>
      <c r="B51" t="s">
        <v>548</v>
      </c>
      <c r="C51" s="47" t="s">
        <v>499</v>
      </c>
      <c r="D51" t="s">
        <v>449</v>
      </c>
      <c r="E51" t="s">
        <v>450</v>
      </c>
    </row>
    <row r="52" spans="1:5" ht="12.75" customHeight="1">
      <c r="A52" t="s">
        <v>549</v>
      </c>
      <c r="B52" t="s">
        <v>550</v>
      </c>
      <c r="C52" s="47" t="s">
        <v>499</v>
      </c>
      <c r="E52" t="s">
        <v>450</v>
      </c>
    </row>
    <row r="53" spans="1:5" ht="12.75" customHeight="1">
      <c r="A53" t="s">
        <v>551</v>
      </c>
      <c r="B53" t="s">
        <v>552</v>
      </c>
      <c r="C53" s="47" t="s">
        <v>499</v>
      </c>
      <c r="D53" t="s">
        <v>449</v>
      </c>
      <c r="E53" t="s">
        <v>450</v>
      </c>
    </row>
    <row r="54" spans="1:5" ht="12.75" customHeight="1">
      <c r="A54" t="s">
        <v>553</v>
      </c>
      <c r="B54" t="s">
        <v>554</v>
      </c>
      <c r="C54" s="47" t="s">
        <v>499</v>
      </c>
      <c r="E54" t="s">
        <v>450</v>
      </c>
    </row>
    <row r="55" spans="1:5" ht="12.75" customHeight="1">
      <c r="A55" t="s">
        <v>555</v>
      </c>
      <c r="B55" t="s">
        <v>556</v>
      </c>
      <c r="C55" s="47" t="s">
        <v>499</v>
      </c>
      <c r="D55" t="s">
        <v>449</v>
      </c>
      <c r="E55" t="s">
        <v>450</v>
      </c>
    </row>
    <row r="56" spans="1:5" ht="12.75" customHeight="1">
      <c r="A56" t="s">
        <v>557</v>
      </c>
      <c r="B56" t="s">
        <v>558</v>
      </c>
      <c r="C56" s="47" t="s">
        <v>499</v>
      </c>
      <c r="D56" t="s">
        <v>449</v>
      </c>
      <c r="E56" t="s">
        <v>450</v>
      </c>
    </row>
    <row r="57" spans="1:5" ht="12.75" customHeight="1">
      <c r="A57" t="s">
        <v>559</v>
      </c>
      <c r="B57" t="s">
        <v>560</v>
      </c>
      <c r="C57" s="47" t="s">
        <v>499</v>
      </c>
      <c r="D57" t="s">
        <v>449</v>
      </c>
      <c r="E57" t="s">
        <v>450</v>
      </c>
    </row>
    <row r="58" spans="1:5" ht="12.75" customHeight="1">
      <c r="A58" t="s">
        <v>561</v>
      </c>
      <c r="B58" t="s">
        <v>562</v>
      </c>
      <c r="C58" s="47" t="s">
        <v>499</v>
      </c>
      <c r="D58" t="s">
        <v>449</v>
      </c>
      <c r="E58" t="s">
        <v>450</v>
      </c>
    </row>
    <row r="59" spans="1:5" ht="12.75" customHeight="1">
      <c r="A59" t="s">
        <v>563</v>
      </c>
      <c r="B59" t="s">
        <v>564</v>
      </c>
      <c r="C59" s="47" t="s">
        <v>499</v>
      </c>
      <c r="E59" t="s">
        <v>450</v>
      </c>
    </row>
    <row r="60" spans="1:5" ht="12.75" customHeight="1">
      <c r="A60" t="s">
        <v>565</v>
      </c>
      <c r="B60" t="s">
        <v>566</v>
      </c>
      <c r="C60" s="47" t="s">
        <v>499</v>
      </c>
      <c r="D60" t="s">
        <v>449</v>
      </c>
      <c r="E60" t="s">
        <v>450</v>
      </c>
    </row>
    <row r="61" spans="1:5" ht="12.75" customHeight="1">
      <c r="A61" t="s">
        <v>567</v>
      </c>
      <c r="B61" t="s">
        <v>568</v>
      </c>
      <c r="C61" s="47" t="s">
        <v>499</v>
      </c>
      <c r="D61" t="s">
        <v>449</v>
      </c>
      <c r="E61" t="s">
        <v>450</v>
      </c>
    </row>
    <row r="62" spans="1:5" ht="12.75" customHeight="1">
      <c r="A62" t="s">
        <v>569</v>
      </c>
      <c r="B62" t="s">
        <v>570</v>
      </c>
      <c r="C62" s="47" t="s">
        <v>499</v>
      </c>
      <c r="D62" t="s">
        <v>449</v>
      </c>
      <c r="E62" t="s">
        <v>450</v>
      </c>
    </row>
    <row r="63" spans="1:5" ht="12.75" customHeight="1">
      <c r="A63" t="s">
        <v>571</v>
      </c>
      <c r="B63" t="s">
        <v>572</v>
      </c>
      <c r="C63" s="47" t="s">
        <v>499</v>
      </c>
      <c r="D63" t="s">
        <v>449</v>
      </c>
      <c r="E63" t="s">
        <v>450</v>
      </c>
    </row>
    <row r="64" spans="1:5" ht="12.75" customHeight="1">
      <c r="A64" t="s">
        <v>573</v>
      </c>
      <c r="B64" t="s">
        <v>574</v>
      </c>
      <c r="C64" s="47" t="s">
        <v>499</v>
      </c>
      <c r="D64" t="s">
        <v>449</v>
      </c>
      <c r="E64" t="s">
        <v>450</v>
      </c>
    </row>
    <row r="65" spans="1:5" ht="12.75" customHeight="1">
      <c r="A65" t="s">
        <v>526</v>
      </c>
      <c r="B65" t="s">
        <v>575</v>
      </c>
      <c r="C65" s="47" t="s">
        <v>499</v>
      </c>
      <c r="E65" t="s">
        <v>450</v>
      </c>
    </row>
    <row r="66" spans="1:5" ht="12.75" customHeight="1">
      <c r="A66" t="s">
        <v>576</v>
      </c>
      <c r="B66" t="s">
        <v>577</v>
      </c>
      <c r="C66" s="47" t="s">
        <v>499</v>
      </c>
      <c r="E66" t="s">
        <v>450</v>
      </c>
    </row>
    <row r="67" spans="1:5" ht="12.75" customHeight="1">
      <c r="A67" t="s">
        <v>578</v>
      </c>
      <c r="B67" t="s">
        <v>579</v>
      </c>
      <c r="C67" s="47" t="s">
        <v>499</v>
      </c>
      <c r="E67" t="s">
        <v>450</v>
      </c>
    </row>
    <row r="68" spans="1:5" ht="12.75" customHeight="1">
      <c r="A68" t="s">
        <v>580</v>
      </c>
      <c r="B68" t="s">
        <v>581</v>
      </c>
      <c r="C68" s="47" t="s">
        <v>499</v>
      </c>
      <c r="D68" t="s">
        <v>449</v>
      </c>
      <c r="E68" t="s">
        <v>450</v>
      </c>
    </row>
    <row r="69" spans="1:5" ht="12.75" customHeight="1">
      <c r="A69" s="108" t="s">
        <v>582</v>
      </c>
      <c r="B69" s="109" t="s">
        <v>583</v>
      </c>
      <c r="C69" s="47" t="s">
        <v>448</v>
      </c>
      <c r="E69" t="s">
        <v>450</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7946C510-7D04-49D8-9B25-EEC04582A1CA}"/>
</file>

<file path=customXml/itemProps2.xml><?xml version="1.0" encoding="utf-8"?>
<ds:datastoreItem xmlns:ds="http://schemas.openxmlformats.org/officeDocument/2006/customXml" ds:itemID="{BE26B669-A686-459C-A5E9-FEC3409C4C81}"/>
</file>

<file path=customXml/itemProps3.xml><?xml version="1.0" encoding="utf-8"?>
<ds:datastoreItem xmlns:ds="http://schemas.openxmlformats.org/officeDocument/2006/customXml" ds:itemID="{8D732231-4216-4543-A665-18A2886B0EB7}"/>
</file>

<file path=customXml/itemProps4.xml><?xml version="1.0" encoding="utf-8"?>
<ds:datastoreItem xmlns:ds="http://schemas.openxmlformats.org/officeDocument/2006/customXml" ds:itemID="{E20E8303-6A67-485C-B6F4-303542CC295C}"/>
</file>

<file path=customXml/itemProps5.xml><?xml version="1.0" encoding="utf-8"?>
<ds:datastoreItem xmlns:ds="http://schemas.openxmlformats.org/officeDocument/2006/customXml" ds:itemID="{078388C9-06F9-42F4-B857-EF76B5CAF1FD}"/>
</file>

<file path=customXml/itemProps6.xml><?xml version="1.0" encoding="utf-8"?>
<ds:datastoreItem xmlns:ds="http://schemas.openxmlformats.org/officeDocument/2006/customXml" ds:itemID="{BF5C6359-7763-4C37-8EAF-2BC4698CB285}"/>
</file>

<file path=customXml/itemProps7.xml><?xml version="1.0" encoding="utf-8"?>
<ds:datastoreItem xmlns:ds="http://schemas.openxmlformats.org/officeDocument/2006/customXml" ds:itemID="{E3716282-BFD2-4ED2-BA47-BFA1123827F0}"/>
</file>

<file path=customXml/itemProps8.xml><?xml version="1.0" encoding="utf-8"?>
<ds:datastoreItem xmlns:ds="http://schemas.openxmlformats.org/officeDocument/2006/customXml" ds:itemID="{0389C43E-394D-44C0-87DC-4780FCFCFB40}"/>
</file>

<file path=customXml/itemProps9.xml><?xml version="1.0" encoding="utf-8"?>
<ds:datastoreItem xmlns:ds="http://schemas.openxmlformats.org/officeDocument/2006/customXml" ds:itemID="{F12EFA50-0068-4A8C-85A0-F1B26389EBC3}"/>
</file>

<file path=customXml/itemProps10.xml><?xml version="1.0" encoding="utf-8"?>
<ds:datastoreItem xmlns:ds="http://schemas.openxmlformats.org/officeDocument/2006/customXml" ds:itemID="{D3A7101F-9A85-4235-8B03-415370C100B2}"/>
</file>

<file path=customXml/itemProps11.xml><?xml version="1.0" encoding="utf-8"?>
<ds:datastoreItem xmlns:ds="http://schemas.openxmlformats.org/officeDocument/2006/customXml" ds:itemID="{3AEAA9D8-2182-46BA-A58E-96C72DDA1C54}"/>
</file>

<file path=customXml/itemProps12.xml><?xml version="1.0" encoding="utf-8"?>
<ds:datastoreItem xmlns:ds="http://schemas.openxmlformats.org/officeDocument/2006/customXml" ds:itemID="{14966E4F-347B-477B-B74C-9DAC05405806}"/>
</file>

<file path=customXml/itemProps13.xml><?xml version="1.0" encoding="utf-8"?>
<ds:datastoreItem xmlns:ds="http://schemas.openxmlformats.org/officeDocument/2006/customXml" ds:itemID="{98A113BB-8B7A-453C-8BD4-8EFC67FC2D3F}"/>
</file>

<file path=customXml/itemProps14.xml><?xml version="1.0" encoding="utf-8"?>
<ds:datastoreItem xmlns:ds="http://schemas.openxmlformats.org/officeDocument/2006/customXml" ds:itemID="{CB52044A-5C0B-44A2-99D0-C1C315EC302D}"/>
</file>

<file path=customXml/itemProps15.xml><?xml version="1.0" encoding="utf-8"?>
<ds:datastoreItem xmlns:ds="http://schemas.openxmlformats.org/officeDocument/2006/customXml" ds:itemID="{34BBAF6D-3414-4D51-A698-6F1C5B8B63F4}"/>
</file>

<file path=customXml/itemProps16.xml><?xml version="1.0" encoding="utf-8"?>
<ds:datastoreItem xmlns:ds="http://schemas.openxmlformats.org/officeDocument/2006/customXml" ds:itemID="{66B09F59-6532-46F8-924A-9A02417E070D}"/>
</file>

<file path=customXml/itemProps17.xml><?xml version="1.0" encoding="utf-8"?>
<ds:datastoreItem xmlns:ds="http://schemas.openxmlformats.org/officeDocument/2006/customXml" ds:itemID="{2BC74AAC-D69B-4AF1-9649-B21EF3C1C463}"/>
</file>

<file path=customXml/itemProps18.xml><?xml version="1.0" encoding="utf-8"?>
<ds:datastoreItem xmlns:ds="http://schemas.openxmlformats.org/officeDocument/2006/customXml" ds:itemID="{1954BBA4-0359-438C-B0EC-A756015F7C02}"/>
</file>

<file path=customXml/itemProps19.xml><?xml version="1.0" encoding="utf-8"?>
<ds:datastoreItem xmlns:ds="http://schemas.openxmlformats.org/officeDocument/2006/customXml" ds:itemID="{F6B2B1A1-1C4B-4AC9-9A7D-7A102DD1C942}"/>
</file>

<file path=customXml/itemProps20.xml><?xml version="1.0" encoding="utf-8"?>
<ds:datastoreItem xmlns:ds="http://schemas.openxmlformats.org/officeDocument/2006/customXml" ds:itemID="{89CF5C07-45EB-4100-9AFB-2C6AF77FA78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Brown, David</cp:lastModifiedBy>
  <cp:revision/>
  <dcterms:created xsi:type="dcterms:W3CDTF">2021-01-01T16:39:53Z</dcterms:created>
  <dcterms:modified xsi:type="dcterms:W3CDTF">2025-07-02T16:44:51Z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2024-09-09T14:54:19Z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aa69ef55-c4c8-4461-ae67-71b5fea80fc0</vt:lpwstr>
  </property>
  <property fmtid="{D5CDD505-2E9C-101B-9397-08002B2CF9AE}" pid="9" name="MSIP_Label_9d817c99-0b37-4a07-8277-96aa1f96b74b_ContentBits">
    <vt:lpwstr>0</vt:lpwstr>
  </property>
</Properties>
</file>