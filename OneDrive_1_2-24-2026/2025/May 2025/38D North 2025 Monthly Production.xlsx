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 documentId="13_ncr:1_{5E2CF765-1076-42BE-A315-E9AC1F07F49E}" xr6:coauthVersionLast="47" xr6:coauthVersionMax="47" xr10:uidLastSave="{EEAEF653-C7DA-4DA2-9104-504A580DE5FC}"/>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0" l="1"/>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H18" i="28" l="1"/>
  <c r="I18" i="28" s="1"/>
  <c r="H19" i="28"/>
  <c r="I19" i="28" s="1"/>
  <c r="H20" i="28"/>
  <c r="I20" i="28" s="1"/>
  <c r="H21" i="28"/>
  <c r="I21" i="28" s="1"/>
  <c r="H22" i="28"/>
  <c r="I22" i="28" s="1"/>
  <c r="H23" i="28"/>
  <c r="I23" i="28" s="1"/>
  <c r="H24" i="28"/>
  <c r="I24" i="28" s="1"/>
  <c r="F21" i="28"/>
  <c r="E18" i="28"/>
  <c r="F18" i="28" s="1"/>
  <c r="E19" i="28"/>
  <c r="F19" i="28" s="1"/>
  <c r="E20" i="28"/>
  <c r="F20" i="28" s="1"/>
  <c r="E21" i="28"/>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I23" i="27"/>
  <c r="H18" i="27"/>
  <c r="I18" i="27" s="1"/>
  <c r="H19" i="27"/>
  <c r="I19" i="27" s="1"/>
  <c r="H20" i="27"/>
  <c r="I20" i="27" s="1"/>
  <c r="H21" i="27"/>
  <c r="I21" i="27" s="1"/>
  <c r="H22" i="27"/>
  <c r="I22" i="27" s="1"/>
  <c r="H23" i="27"/>
  <c r="H24" i="27"/>
  <c r="I24" i="27" s="1"/>
  <c r="E18" i="27"/>
  <c r="F18" i="27" s="1"/>
  <c r="E19" i="27"/>
  <c r="F19" i="27" s="1"/>
  <c r="E20" i="27"/>
  <c r="F20" i="27" s="1"/>
  <c r="E21" i="27"/>
  <c r="F21" i="27" s="1"/>
  <c r="E22" i="27"/>
  <c r="F22" i="27" s="1"/>
  <c r="E23" i="27"/>
  <c r="F23" i="27" s="1"/>
  <c r="E24" i="27"/>
  <c r="F24" i="27" s="1"/>
  <c r="I21" i="26"/>
  <c r="H18" i="26"/>
  <c r="I18" i="26" s="1"/>
  <c r="H19" i="26"/>
  <c r="I19" i="26" s="1"/>
  <c r="H20" i="26"/>
  <c r="I20" i="26" s="1"/>
  <c r="H21" i="26"/>
  <c r="H22" i="26"/>
  <c r="I22" i="26" s="1"/>
  <c r="H23" i="26"/>
  <c r="I23" i="26" s="1"/>
  <c r="H24" i="26"/>
  <c r="I24" i="26" s="1"/>
  <c r="F19" i="26"/>
  <c r="E18" i="26"/>
  <c r="F18" i="26" s="1"/>
  <c r="E19" i="26"/>
  <c r="E20" i="26"/>
  <c r="F20" i="26" s="1"/>
  <c r="E21" i="26"/>
  <c r="F21" i="26" s="1"/>
  <c r="E22" i="26"/>
  <c r="F22" i="26" s="1"/>
  <c r="E23" i="26"/>
  <c r="F23" i="26" s="1"/>
  <c r="E24" i="26"/>
  <c r="F24" i="26" s="1"/>
  <c r="I19" i="19"/>
  <c r="I20" i="19"/>
  <c r="I21" i="19"/>
  <c r="H18" i="19"/>
  <c r="I18" i="19" s="1"/>
  <c r="H19" i="19"/>
  <c r="H20" i="19"/>
  <c r="H21" i="19"/>
  <c r="H22" i="19"/>
  <c r="I22" i="19" s="1"/>
  <c r="H23" i="19"/>
  <c r="I23" i="19" s="1"/>
  <c r="H24" i="19"/>
  <c r="I24" i="19" s="1"/>
  <c r="F18" i="19"/>
  <c r="F19" i="19"/>
  <c r="F22" i="19"/>
  <c r="E18" i="19"/>
  <c r="E19" i="19"/>
  <c r="E20" i="19"/>
  <c r="F20" i="19" s="1"/>
  <c r="E21" i="19"/>
  <c r="F21" i="19" s="1"/>
  <c r="E22" i="19"/>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D10" i="34"/>
  <c r="C10" i="34"/>
  <c r="D6" i="34"/>
  <c r="E6" i="34" s="1"/>
  <c r="F6" i="34" s="1"/>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<sst xmlns="http://schemas.openxmlformats.org/spreadsheetml/2006/main" count="516" uniqueCount="228">
  <si>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</si>
  <si>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</si>
  <si>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</si>
  <si>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</si>
  <si>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</si>
  <si>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</si>
  <si>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</si>
  <si>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</si>
  <si>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</si>
  <si>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</si>
  <si>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</si>
  <si>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</si>
  <si>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</si>
  <si>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</si>
  <si>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</si>
  <si>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</si>
  <si>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</si>
  <si>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</si>
  <si>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</si>
  <si>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</si>
  <si>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</si>
  <si>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</si>
  <si>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</si>
  <si>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</si>
  <si>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</si>
  <si>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</si>
  <si>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</si>
  <si>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</si>
  <si>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</si>
  <si>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</si>
  <si>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</si>
  <si>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</si>
  <si>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</si>
  <si>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</si>
  <si>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</si>
  <si>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</si>
  <si>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</si>
  <si>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</si>
  <si>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</si>
  <si>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</si>
  <si>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</si>
  <si>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</si>
  <si>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</si>
  <si>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</si>
  <si>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</si>
  <si>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</si>
  <si>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</si>
  <si>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</si>
  <si>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</si>
  <si>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</si>
  <si>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</si>
  <si>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</si>
  <si>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</si>
  <si>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</si>
  <si>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</si>
  <si>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</si>
  <si>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</si>
  <si>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</si>
  <si>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</si>
  <si>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</si>
  <si>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</si>
  <si>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</si>
  <si>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</si>
  <si>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</si>
  <si>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</si>
  <si>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</si>
  <si>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</si>
  <si>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</si>
  <si>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</si>
  <si>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</si>
  <si>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</si>
  <si>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</si>
  <si>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</si>
  <si>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</si>
  <si>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</si>
  <si>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</si>
  <si>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</si>
  <si>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</si>
  <si>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</si>
  <si>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</si>
  <si>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</si>
  <si>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</si>
  <si>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</si>
  <si>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</si>
  <si>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</si>
  <si>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</si>
  <si>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</si>
  <si>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</si>
  <si>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</si>
  <si>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</si>
  <si>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</si>
  <si>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</si>
  <si>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</si>
  <si>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</si>
  <si>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</si>
  <si>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</si>
  <si>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</si>
  <si>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</si>
  <si>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</si>
  <si>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</si>
  <si>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</si>
  <si>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</si>
  <si>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</si>
  <si>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</si>
  <si>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</si>
  <si>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</si>
  <si>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</si>
  <si>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</si>
  <si>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</si>
  <si>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</si>
  <si>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</si>
  <si>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</si>
  <si>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</si>
  <si>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</si>
  <si>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</si>
  <si>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</si>
  <si>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</si>
  <si>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</si>
  <si>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</si>
  <si>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</si>
  <si>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</si>
  <si>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</si>
  <si>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</si>
  <si>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</si>
  <si>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</si>
  <si>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</si>
  <si>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</si>
  <si>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</si>
  <si>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</si>
  <si>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</si>
  <si>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</si>
  <si>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</si>
  <si>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</si>
  <si>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</si>
  <si>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</si>
  <si>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</si>
  <si>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</si>
  <si>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</si>
  <si>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</si>
  <si>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</si>
  <si>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</si>
  <si>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</si>
  <si>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</si>
  <si>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</si>
  <si>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</si>
  <si>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</si>
  <si>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</si>
  <si>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</si>
  <si>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</si>
  <si>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</si>
  <si>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</si>
  <si>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</si>
  <si>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</si>
  <si>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</si>
  <si>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</si>
  <si>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</si>
  <si>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</si>
  <si>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</si>
  <si>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</si>
  <si>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</si>
  <si>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</si>
  <si>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</si>
  <si>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</si>
  <si>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</si>
  <si>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</si>
  <si>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</si>
  <si>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</si>
  <si>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</si>
  <si>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</si>
  <si>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</si>
  <si>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</si>
  <si>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</si>
  <si>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</si>
  <si>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</si>
  <si>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</si>
  <si>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</si>
  <si>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</si>
  <si>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</si>
  <si>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</si>
  <si>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</si>
  <si>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</si>
  <si>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</si>
  <si>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</si>
  <si>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 </t>
  </si>
  <si>
    <t>July Actual v. Expected</t>
  </si>
  <si>
    <t>July Actual v. Forecasted</t>
  </si>
  <si>
    <t>August Actual v. Expected</t>
  </si>
  <si>
    <t>August Actual v. Forecasted</t>
  </si>
  <si>
    <t>s</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</si>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</sst>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sz val="11"/>
      <color rgb="FF000000"/>
      <name val="Calibri"/>
    </font>
    <font>
      <sz val="11"/>
      <name val="Calibri"/>
      <scheme val="minor"/>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1" fillId="0" borderId="0" applyNumberFormat="0" applyFill="0" applyBorder="0" applyAlignment="0" applyProtection="0"/>
  </cellStyleXfs>
  <cellXfs count="10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39"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49" fontId="40" fillId="38" borderId="1" xfId="2" applyNumberFormat="1" applyFont="1" applyFill="1" applyBorder="1" applyAlignment="1">
      <alignment vertical="top" wrapText="1"/>
    </xf>
    <xf numFmtId="0" fontId="40" fillId="0" borderId="0" xfId="0" applyFont="1"/>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41" fillId="38" borderId="1" xfId="45" applyNumberFormat="1" applyFill="1" applyBorder="1" applyAlignment="1">
      <alignment horizontal="left" vertical="top" wrapText="1"/>
    </xf>
    <xf numFmtId="49" fontId="41" fillId="0" borderId="1" xfId="45" applyNumberFormat="1" applyBorder="1" applyAlignment="1">
      <alignment horizontal="left" vertical="center" wrapText="1"/>
    </xf>
    <xf numFmtId="49" fontId="41" fillId="0" borderId="1" xfId="45" applyNumberFormat="1" applyBorder="1" applyAlignment="1">
      <alignment horizontal="left" vertical="top" wrapText="1"/>
    </xf>
    <xf numFmtId="0" fontId="41" fillId="0" borderId="0" xfId="45" applyAlignment="1">
      <alignment vertical="top"/>
    </xf>
    <xf numFmtId="0" fontId="41"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41" fillId="0" borderId="0" xfId="45" applyAlignment="1">
      <alignment horizontal="left" vertical="top"/>
    </xf>
    <xf numFmtId="49" fontId="39" fillId="38" borderId="1" xfId="2" applyNumberFormat="1" applyFont="1" applyFill="1" applyBorder="1" applyAlignment="1">
      <alignment horizontal="left" vertical="top" wrapText="1"/>
    </xf>
    <xf numFmtId="49" fontId="41" fillId="38" borderId="1" xfId="45" applyNumberFormat="1" applyFill="1" applyBorder="1" applyAlignment="1">
      <alignment vertical="top" wrapText="1"/>
    </xf>
    <xf numFmtId="49" fontId="41" fillId="0" borderId="1" xfId="45" applyNumberFormat="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4" totalsRowShown="0">
  <autoFilter ref="A3:E2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98" t="str" cm="1">
        <f t="array" ref="A1">portfolio</f>
        <v>38 DN</v>
      </c>
      <c r="B1" s="98"/>
      <c r="C1" s="98"/>
      <c r="D1" s="99" t="s">
        <v>0</v>
      </c>
      <c r="E1" s="99"/>
      <c r="F1" s="99"/>
      <c r="G1" s="97" t="s">
        <v>1</v>
      </c>
      <c r="H1" s="97"/>
      <c r="I1" s="97"/>
    </row>
    <row r="2" spans="1:12" ht="19.5" customHeight="1">
      <c r="A2" s="100" t="s">
        <v>2</v>
      </c>
      <c r="B2" s="100"/>
      <c r="C2" s="5">
        <f>SUM(C4:C99)</f>
        <v>15262953.246677741</v>
      </c>
      <c r="D2" s="5">
        <f>SUM(D4:D99)</f>
        <v>18506015.870000001</v>
      </c>
      <c r="E2" s="5">
        <f>C2-D2</f>
        <v>-3243062.6233222596</v>
      </c>
      <c r="F2" s="6">
        <f>IFERROR(E2/D2, 0)</f>
        <v>-0.17524369621770239</v>
      </c>
      <c r="G2" s="5">
        <f>SUM(G4:G99)</f>
        <v>18392740.850000001</v>
      </c>
      <c r="H2" s="7">
        <f>C2-G2</f>
        <v>-3129787.6033222601</v>
      </c>
      <c r="I2" s="6">
        <f>IFERROR(H2/G2, 0)</f>
        <v>-0.17016428540188233</v>
      </c>
    </row>
    <row r="3" spans="1:12" ht="14.25" customHeight="1">
      <c r="A3" s="17" t="s">
        <v>3</v>
      </c>
      <c r="B3" s="17" t="s">
        <v>4</v>
      </c>
      <c r="C3" s="27" t="s">
        <v>5</v>
      </c>
      <c r="D3" s="28" t="s">
        <v>6</v>
      </c>
      <c r="E3" s="28" t="s">
        <v>7</v>
      </c>
      <c r="F3" s="29" t="s">
        <v>8</v>
      </c>
      <c r="G3" s="30" t="s">
        <v>9</v>
      </c>
      <c r="H3" s="31" t="s">
        <v>7</v>
      </c>
      <c r="I3" s="32" t="s">
        <v>8</v>
      </c>
    </row>
    <row r="4" spans="1:12" ht="15.6">
      <c r="A4" s="34" t="str" cm="1">
        <f t="array" ref="A4:A24">Sites[Site]</f>
        <v>6th St.</v>
      </c>
      <c r="B4" s="35" t="str" cm="1">
        <f t="array" ref="B4:B24">Sites[State]</f>
        <v>CA</v>
      </c>
      <c r="C4" s="36">
        <f>SUM('1st Qtr'!C4, '2nd Qtr'!C4, '3rd Qtr'!C4, '4th Qtr'!C4)</f>
        <v>869619.5</v>
      </c>
      <c r="D4" s="37">
        <f>SUM('1st Qtr'!D4, '2nd Qtr'!D4, '3rd Qtr'!D4, '4th Qtr'!D4)</f>
        <v>711197.39</v>
      </c>
      <c r="E4" s="37">
        <f>IF(AND(ISNUMBER(C4),ISNUMBER(D4)), C4-D4, "")</f>
        <v>158422.10999999999</v>
      </c>
      <c r="F4" s="38">
        <f>IFERROR(E4/D4, "")</f>
        <v>0.22275406550634275</v>
      </c>
      <c r="G4" s="39">
        <f>SUM('1st Qtr'!G4, '2nd Qtr'!G4, '3rd Qtr'!G4, '4th Qtr'!G4)</f>
        <v>961652.1</v>
      </c>
      <c r="H4" s="39">
        <f>SUM('1st Qtr'!H4, '2nd Qtr'!H4, '3rd Qtr'!H4, '4th Qtr'!H4)</f>
        <v>-92032.599999999977</v>
      </c>
      <c r="I4" s="40">
        <f>IFERROR(H4/G4, "")</f>
        <v>-9.5702593484691581E-2</v>
      </c>
    </row>
    <row r="5" spans="1:12" ht="15.6">
      <c r="A5" s="41" t="str">
        <v>Barton Acres</v>
      </c>
      <c r="B5" s="42" t="str">
        <v>MA</v>
      </c>
      <c r="C5" s="43">
        <f>SUM('1st Qtr'!C5, '2nd Qtr'!C5, '3rd Qtr'!C5, '4th Qtr'!C5)</f>
        <v>551532</v>
      </c>
      <c r="D5" s="44">
        <f>SUM('1st Qtr'!D5, '2nd Qtr'!D5, '3rd Qtr'!D5, '4th Qtr'!D5)</f>
        <v>761468</v>
      </c>
      <c r="E5" s="44">
        <f t="shared" ref="E5:E15" si="0">IF(AND(ISNUMBER(C5),ISNUMBER(D5)), C5-D5, "")</f>
        <v>-209936</v>
      </c>
      <c r="F5" s="45">
        <f>IFERROR(E5/D5, "")</f>
        <v>-0.27569904447724658</v>
      </c>
      <c r="G5" s="46">
        <f>SUM('1st Qtr'!G5, '2nd Qtr'!G5, '3rd Qtr'!G5, '4th Qtr'!G5)</f>
        <v>667830.86</v>
      </c>
      <c r="H5" s="71">
        <f>SUM('1st Qtr'!H5, '2nd Qtr'!H5, '3rd Qtr'!H5, '4th Qtr'!H5)</f>
        <v>-116298.86000000002</v>
      </c>
      <c r="I5" s="45">
        <f>IFERROR(H5/G5, "")</f>
        <v>-0.17414418375335339</v>
      </c>
      <c r="K5" s="72"/>
    </row>
    <row r="6" spans="1:12" ht="15.6">
      <c r="A6" s="34" t="str">
        <v>Bowden</v>
      </c>
      <c r="B6" s="35" t="str">
        <v>MA</v>
      </c>
      <c r="C6" s="36">
        <f>SUM('1st Qtr'!C6, '2nd Qtr'!C6, '3rd Qtr'!C6, '4th Qtr'!C6)</f>
        <v>1181266</v>
      </c>
      <c r="D6" s="37">
        <f>SUM('1st Qtr'!D6, '2nd Qtr'!D6, '3rd Qtr'!D6, '4th Qtr'!D6)</f>
        <v>1373253.9</v>
      </c>
      <c r="E6" s="37">
        <f t="shared" si="0"/>
        <v>-191987.89999999991</v>
      </c>
      <c r="F6" s="38">
        <f t="shared" ref="F6:F15" si="1">IFERROR(E6/D6, "")</f>
        <v>-0.13980510086299403</v>
      </c>
      <c r="G6" s="39">
        <f>SUM('1st Qtr'!G6, '2nd Qtr'!G6, '3rd Qtr'!G6, '4th Qtr'!G6)</f>
        <v>1394878.6</v>
      </c>
      <c r="H6" s="39">
        <f>SUM('1st Qtr'!H6, '2nd Qtr'!H6, '3rd Qtr'!H6, '4th Qtr'!H6)</f>
        <v>-213612.60000000003</v>
      </c>
      <c r="I6" s="40">
        <f t="shared" ref="I6:I15" si="2">IFERROR(H6/G6, "")</f>
        <v>-0.15314063890578006</v>
      </c>
    </row>
    <row r="7" spans="1:12" ht="15.6">
      <c r="A7" s="41" t="str">
        <v>Blair Wire Village</v>
      </c>
      <c r="B7" s="42" t="str">
        <v>MA</v>
      </c>
      <c r="C7" s="43">
        <f>SUM('1st Qtr'!C7, '2nd Qtr'!C7, '3rd Qtr'!C7, '4th Qtr'!C7)</f>
        <v>571113</v>
      </c>
      <c r="D7" s="44">
        <f>SUM('1st Qtr'!D7, '2nd Qtr'!D7, '3rd Qtr'!D7, '4th Qtr'!D7)</f>
        <v>803535.4</v>
      </c>
      <c r="E7" s="44">
        <f t="shared" si="0"/>
        <v>-232422.40000000002</v>
      </c>
      <c r="F7" s="45">
        <f t="shared" si="1"/>
        <v>-0.28924973311692304</v>
      </c>
      <c r="G7" s="46">
        <f>SUM('1st Qtr'!G7, '2nd Qtr'!G7, '3rd Qtr'!G7, '4th Qtr'!G7)</f>
        <v>698075.23</v>
      </c>
      <c r="H7" s="71">
        <f>SUM('1st Qtr'!H7, '2nd Qtr'!H7, '3rd Qtr'!H7, '4th Qtr'!H7)</f>
        <v>-126962.23</v>
      </c>
      <c r="I7" s="45">
        <f t="shared" si="2"/>
        <v>-0.18187470997932415</v>
      </c>
      <c r="L7" s="72"/>
    </row>
    <row r="8" spans="1:12" ht="15.6">
      <c r="A8" s="34" t="str">
        <v>Boutilier</v>
      </c>
      <c r="B8" s="35" t="str">
        <v>MA</v>
      </c>
      <c r="C8" s="36">
        <f>SUM('1st Qtr'!C8, '2nd Qtr'!C8, '3rd Qtr'!C8, '4th Qtr'!C8)</f>
        <v>1620221</v>
      </c>
      <c r="D8" s="37">
        <f>SUM('1st Qtr'!D8, '2nd Qtr'!D8, '3rd Qtr'!D8, '4th Qtr'!D8)</f>
        <v>1968249.7</v>
      </c>
      <c r="E8" s="37">
        <f t="shared" si="0"/>
        <v>-348028.69999999995</v>
      </c>
      <c r="F8" s="38">
        <f t="shared" si="1"/>
        <v>-0.17682141651031369</v>
      </c>
      <c r="G8" s="39">
        <f>SUM('1st Qtr'!G8, '2nd Qtr'!G8, '3rd Qtr'!G8, '4th Qtr'!G8)</f>
        <v>1833270.1</v>
      </c>
      <c r="H8" s="39">
        <f>SUM('1st Qtr'!H8, '2nd Qtr'!H8, '3rd Qtr'!H8, '4th Qtr'!H8)</f>
        <v>-213049.10000000003</v>
      </c>
      <c r="I8" s="40">
        <f t="shared" si="2"/>
        <v>-0.11621260827850736</v>
      </c>
    </row>
    <row r="9" spans="1:12" ht="15.6">
      <c r="A9" s="41" t="str">
        <v>Cherry Valley</v>
      </c>
      <c r="B9" s="42" t="str">
        <v>MA</v>
      </c>
      <c r="C9" s="43">
        <f>SUM('1st Qtr'!C9, '2nd Qtr'!C9, '3rd Qtr'!C9, '4th Qtr'!C9)</f>
        <v>546729</v>
      </c>
      <c r="D9" s="44">
        <f>SUM('1st Qtr'!D9, '2nd Qtr'!D9, '3rd Qtr'!D9, '4th Qtr'!D9)</f>
        <v>778625.8</v>
      </c>
      <c r="E9" s="44">
        <f t="shared" si="0"/>
        <v>-231896.80000000005</v>
      </c>
      <c r="F9" s="45">
        <f t="shared" si="1"/>
        <v>-0.29782830211893829</v>
      </c>
      <c r="G9" s="46">
        <f>SUM('1st Qtr'!G9, '2nd Qtr'!G9, '3rd Qtr'!G9, '4th Qtr'!G9)</f>
        <v>686577</v>
      </c>
      <c r="H9" s="71">
        <f>SUM('1st Qtr'!H9, '2nd Qtr'!H9, '3rd Qtr'!H9, '4th Qtr'!H9)</f>
        <v>-139848</v>
      </c>
      <c r="I9" s="45">
        <f t="shared" si="2"/>
        <v>-0.2036887341113961</v>
      </c>
      <c r="K9" s="73"/>
    </row>
    <row r="10" spans="1:12" ht="15.6">
      <c r="A10" s="34" t="str">
        <v>Cohasse</v>
      </c>
      <c r="B10" s="35" t="str">
        <v>MA</v>
      </c>
      <c r="C10" s="36">
        <f>SUM('1st Qtr'!C10, '2nd Qtr'!C10, '3rd Qtr'!C10, '4th Qtr'!C10)</f>
        <v>550199</v>
      </c>
      <c r="D10" s="37">
        <f>SUM('1st Qtr'!D10, '2nd Qtr'!D10, '3rd Qtr'!D10, '4th Qtr'!D10)</f>
        <v>727950.2</v>
      </c>
      <c r="E10" s="37">
        <f t="shared" si="0"/>
        <v>-177751.19999999995</v>
      </c>
      <c r="F10" s="38">
        <f t="shared" si="1"/>
        <v>-0.24418043981580054</v>
      </c>
      <c r="G10" s="39">
        <f>SUM('1st Qtr'!G10, '2nd Qtr'!G10, '3rd Qtr'!G10, '4th Qtr'!G10)</f>
        <v>784974.2</v>
      </c>
      <c r="H10" s="39">
        <f>SUM('1st Qtr'!H10, '2nd Qtr'!H10, '3rd Qtr'!H10, '4th Qtr'!H10)</f>
        <v>-234775.19999999998</v>
      </c>
      <c r="I10" s="40">
        <f t="shared" si="2"/>
        <v>-0.29908651774797185</v>
      </c>
    </row>
    <row r="11" spans="1:12" ht="15.6">
      <c r="A11" s="41" t="str">
        <v>ISM Dighton Solar 2</v>
      </c>
      <c r="B11" s="42" t="str">
        <v>MA</v>
      </c>
      <c r="C11" s="43">
        <f>SUM('1st Qtr'!C11, '2nd Qtr'!C11, '3rd Qtr'!C11, '4th Qtr'!C11)</f>
        <v>1452905</v>
      </c>
      <c r="D11" s="44">
        <f>SUM('1st Qtr'!D11, '2nd Qtr'!D11, '3rd Qtr'!D11, '4th Qtr'!D11)</f>
        <v>1511000.4</v>
      </c>
      <c r="E11" s="44">
        <f t="shared" si="0"/>
        <v>-58095.399999999907</v>
      </c>
      <c r="F11" s="45">
        <f t="shared" si="1"/>
        <v>-3.8448302197669773E-2</v>
      </c>
      <c r="G11" s="46">
        <f>SUM('1st Qtr'!G11, '2nd Qtr'!G11, '3rd Qtr'!G11, '4th Qtr'!G11)</f>
        <v>1455408.2</v>
      </c>
      <c r="H11" s="71">
        <f>SUM('1st Qtr'!H11, '2nd Qtr'!H11, '3rd Qtr'!H11, '4th Qtr'!H11)</f>
        <v>-2503.2000000000116</v>
      </c>
      <c r="I11" s="45">
        <f t="shared" si="2"/>
        <v>-1.7199298451115032E-3</v>
      </c>
    </row>
    <row r="12" spans="1:12" ht="15.6">
      <c r="A12" s="34" t="str">
        <v>Dudley River 1</v>
      </c>
      <c r="B12" s="35" t="str">
        <v>MA</v>
      </c>
      <c r="C12" s="36">
        <f>SUM('1st Qtr'!C12, '2nd Qtr'!C12, '3rd Qtr'!C12, '4th Qtr'!C12)</f>
        <v>595410</v>
      </c>
      <c r="D12" s="37">
        <f>SUM('1st Qtr'!D12, '2nd Qtr'!D12, '3rd Qtr'!D12, '4th Qtr'!D12)</f>
        <v>703390</v>
      </c>
      <c r="E12" s="37">
        <f t="shared" si="0"/>
        <v>-107980</v>
      </c>
      <c r="F12" s="38">
        <f t="shared" si="1"/>
        <v>-0.15351369794850653</v>
      </c>
      <c r="G12" s="39">
        <f>SUM('1st Qtr'!G12, '2nd Qtr'!G12, '3rd Qtr'!G12, '4th Qtr'!G12)</f>
        <v>708494.95</v>
      </c>
      <c r="H12" s="39">
        <f>SUM('1st Qtr'!H12, '2nd Qtr'!H12, '3rd Qtr'!H12, '4th Qtr'!H12)</f>
        <v>-113084.94999999998</v>
      </c>
      <c r="I12" s="40">
        <f t="shared" si="2"/>
        <v>-0.15961292314080713</v>
      </c>
    </row>
    <row r="13" spans="1:12" ht="15.6">
      <c r="A13" s="41" t="str">
        <v>Dudley River 2</v>
      </c>
      <c r="B13" s="42" t="str">
        <v>MA</v>
      </c>
      <c r="C13" s="43">
        <f>SUM('1st Qtr'!C13, '2nd Qtr'!C13, '3rd Qtr'!C13, '4th Qtr'!C13)</f>
        <v>596452</v>
      </c>
      <c r="D13" s="44">
        <f>SUM('1st Qtr'!D13, '2nd Qtr'!D13, '3rd Qtr'!D13, '4th Qtr'!D13)</f>
        <v>703556</v>
      </c>
      <c r="E13" s="44">
        <f t="shared" si="0"/>
        <v>-107104</v>
      </c>
      <c r="F13" s="45">
        <f t="shared" si="1"/>
        <v>-0.15223237382667479</v>
      </c>
      <c r="G13" s="46">
        <f>SUM('1st Qtr'!G13, '2nd Qtr'!G13, '3rd Qtr'!G13, '4th Qtr'!G13)</f>
        <v>679088.79</v>
      </c>
      <c r="H13" s="71">
        <f>SUM('1st Qtr'!H13, '2nd Qtr'!H13, '3rd Qtr'!H13, '4th Qtr'!H13)</f>
        <v>-82636.789999999994</v>
      </c>
      <c r="I13" s="45">
        <f t="shared" si="2"/>
        <v>-0.12168775455710289</v>
      </c>
    </row>
    <row r="14" spans="1:12" ht="15.6">
      <c r="A14" s="34" t="str">
        <v>Dudley River 3</v>
      </c>
      <c r="B14" s="35" t="str">
        <v>MA</v>
      </c>
      <c r="C14" s="36">
        <f>SUM('1st Qtr'!C14, '2nd Qtr'!C14, '3rd Qtr'!C14, '4th Qtr'!C14)</f>
        <v>628927</v>
      </c>
      <c r="D14" s="37">
        <f>SUM('1st Qtr'!D14, '2nd Qtr'!D14, '3rd Qtr'!D14, '4th Qtr'!D14)</f>
        <v>707601.4</v>
      </c>
      <c r="E14" s="37">
        <f t="shared" si="0"/>
        <v>-78674.400000000023</v>
      </c>
      <c r="F14" s="38">
        <f t="shared" si="1"/>
        <v>-0.1111846302169555</v>
      </c>
      <c r="G14" s="39">
        <f>SUM('1st Qtr'!G14, '2nd Qtr'!G14, '3rd Qtr'!G14, '4th Qtr'!G14)</f>
        <v>688726.59</v>
      </c>
      <c r="H14" s="39">
        <f>SUM('1st Qtr'!H14, '2nd Qtr'!H14, '3rd Qtr'!H14, '4th Qtr'!H14)</f>
        <v>-59799.589999999982</v>
      </c>
      <c r="I14" s="40">
        <f t="shared" si="2"/>
        <v>-8.6826312310665954E-2</v>
      </c>
    </row>
    <row r="15" spans="1:12" ht="15.6">
      <c r="A15" s="41" t="str">
        <v>Flint Pond</v>
      </c>
      <c r="B15" s="42" t="str">
        <v>MA</v>
      </c>
      <c r="C15" s="43">
        <f>SUM('1st Qtr'!C15, '2nd Qtr'!C15, '3rd Qtr'!C15, '4th Qtr'!C15)</f>
        <v>286470.5</v>
      </c>
      <c r="D15" s="44">
        <f>SUM('1st Qtr'!D15, '2nd Qtr'!D15, '3rd Qtr'!D15, '4th Qtr'!D15)</f>
        <v>334817.43</v>
      </c>
      <c r="E15" s="44">
        <f t="shared" si="0"/>
        <v>-48346.929999999993</v>
      </c>
      <c r="F15" s="45">
        <f t="shared" si="1"/>
        <v>-0.14439788872401293</v>
      </c>
      <c r="G15" s="46">
        <f>SUM('1st Qtr'!G15, '2nd Qtr'!G15, '3rd Qtr'!G15, '4th Qtr'!G15)</f>
        <v>319217.73</v>
      </c>
      <c r="H15" s="71">
        <f>SUM('1st Qtr'!H15, '2nd Qtr'!H15, '3rd Qtr'!H15, '4th Qtr'!H15)</f>
        <v>-32747.230000000003</v>
      </c>
      <c r="I15" s="45">
        <f t="shared" si="2"/>
        <v>-0.10258587453773324</v>
      </c>
    </row>
    <row r="16" spans="1:12" ht="15.6">
      <c r="A16" s="34" t="str">
        <v>Incom</v>
      </c>
      <c r="B16" s="35" t="str">
        <v>MA</v>
      </c>
      <c r="C16" s="36">
        <f>SUM('1st Qtr'!C16, '2nd Qtr'!C16, '3rd Qtr'!C16, '4th Qtr'!C16)</f>
        <v>1246840</v>
      </c>
      <c r="D16" s="37">
        <f>SUM('1st Qtr'!D16, '2nd Qtr'!D16, '3rd Qtr'!D16, '4th Qtr'!D16)</f>
        <v>1580612.4</v>
      </c>
      <c r="E16" s="37">
        <f t="shared" ref="E16:E19" si="3">IF(AND(ISNUMBER(C16),ISNUMBER(D16)), C16-D16, "")</f>
        <v>-333772.39999999991</v>
      </c>
      <c r="F16" s="38">
        <f t="shared" ref="F16:F19" si="4">IFERROR(E16/D16, "")</f>
        <v>-0.21116650736132395</v>
      </c>
      <c r="G16" s="39">
        <f>SUM('1st Qtr'!G16, '2nd Qtr'!G16, '3rd Qtr'!G16, '4th Qtr'!G16)</f>
        <v>1564428.6</v>
      </c>
      <c r="H16" s="39">
        <f>SUM('1st Qtr'!H16, '2nd Qtr'!H16, '3rd Qtr'!H16, '4th Qtr'!H16)</f>
        <v>-317588.59999999998</v>
      </c>
      <c r="I16" s="40">
        <f t="shared" ref="I16:I19" si="5">IFERROR(H16/G16, "")</f>
        <v>-0.20300613271836118</v>
      </c>
    </row>
    <row r="17" spans="1:9" ht="15.6">
      <c r="A17" s="41" t="str">
        <v>JH</v>
      </c>
      <c r="B17" s="42" t="str">
        <v>MA</v>
      </c>
      <c r="C17" s="43">
        <f>SUM('1st Qtr'!C17, '2nd Qtr'!C17, '3rd Qtr'!C17, '4th Qtr'!C17)</f>
        <v>541221</v>
      </c>
      <c r="D17" s="44">
        <f>SUM('1st Qtr'!D17, '2nd Qtr'!D17, '3rd Qtr'!D17, '4th Qtr'!D17)</f>
        <v>732540.2</v>
      </c>
      <c r="E17" s="44">
        <f t="shared" si="3"/>
        <v>-191319.19999999995</v>
      </c>
      <c r="F17" s="45">
        <f t="shared" si="4"/>
        <v>-0.2611722878826308</v>
      </c>
      <c r="G17" s="46">
        <f>SUM('1st Qtr'!G17, '2nd Qtr'!G17, '3rd Qtr'!G17, '4th Qtr'!G17)</f>
        <v>761423.29999999993</v>
      </c>
      <c r="H17" s="71">
        <f>SUM('1st Qtr'!H17, '2nd Qtr'!H17, '3rd Qtr'!H17, '4th Qtr'!H17)</f>
        <v>-220202.3</v>
      </c>
      <c r="I17" s="45">
        <f t="shared" si="5"/>
        <v>-0.28919826855836955</v>
      </c>
    </row>
    <row r="18" spans="1:9" ht="12.75" customHeight="1">
      <c r="A18" s="34" t="str">
        <v>Ledeaux</v>
      </c>
      <c r="B18" s="41" t="str">
        <v>MA</v>
      </c>
      <c r="C18" s="36">
        <f>SUM('1st Qtr'!C18, '2nd Qtr'!C18, '3rd Qtr'!C18, '4th Qtr'!C18)</f>
        <v>489213</v>
      </c>
      <c r="D18" s="37">
        <f>SUM('1st Qtr'!D18, '2nd Qtr'!D18, '3rd Qtr'!D18, '4th Qtr'!D18)</f>
        <v>615806.38</v>
      </c>
      <c r="E18" s="37">
        <f t="shared" si="3"/>
        <v>-126593.38</v>
      </c>
      <c r="F18" s="38">
        <f t="shared" si="4"/>
        <v>-0.20557334920758696</v>
      </c>
      <c r="G18" s="39">
        <f>SUM('1st Qtr'!G18, '2nd Qtr'!G18, '3rd Qtr'!G18, '4th Qtr'!G18)</f>
        <v>732242.92999999993</v>
      </c>
      <c r="H18" s="39">
        <f>SUM('1st Qtr'!H18, '2nd Qtr'!H18, '3rd Qtr'!H18, '4th Qtr'!H18)</f>
        <v>-243029.93</v>
      </c>
      <c r="I18" s="40">
        <f t="shared" si="5"/>
        <v>-0.33189795359307878</v>
      </c>
    </row>
    <row r="19" spans="1:9" ht="15.6">
      <c r="A19" s="41" t="str">
        <v>Palombo A</v>
      </c>
      <c r="B19" s="41" t="str">
        <v>MA</v>
      </c>
      <c r="C19" s="43">
        <f>SUM('1st Qtr'!C19, '2nd Qtr'!C19, '3rd Qtr'!C19, '4th Qtr'!C19)</f>
        <v>1281921.9966777409</v>
      </c>
      <c r="D19" s="44">
        <f>SUM('1st Qtr'!D19, '2nd Qtr'!D19, '3rd Qtr'!D19, '4th Qtr'!D19)</f>
        <v>1572707.1</v>
      </c>
      <c r="E19" s="44">
        <f t="shared" si="3"/>
        <v>-290785.10332225915</v>
      </c>
      <c r="F19" s="45">
        <f t="shared" si="4"/>
        <v>-0.18489463379561213</v>
      </c>
      <c r="G19" s="46">
        <f>SUM('1st Qtr'!G19, '2nd Qtr'!G19, '3rd Qtr'!G19, '4th Qtr'!G19)</f>
        <v>1665433</v>
      </c>
      <c r="H19" s="71">
        <f>SUM('1st Qtr'!H19, '2nd Qtr'!H19, '3rd Qtr'!H19, '4th Qtr'!H19)</f>
        <v>-383511.003322259</v>
      </c>
      <c r="I19" s="45">
        <f t="shared" si="5"/>
        <v>-0.23027705306803636</v>
      </c>
    </row>
    <row r="20" spans="1:9" ht="15.6">
      <c r="A20" s="34" t="str">
        <v>Palombo B</v>
      </c>
      <c r="B20" s="41" t="str">
        <v>MA</v>
      </c>
      <c r="C20" s="36">
        <f>SUM('1st Qtr'!C20, '2nd Qtr'!C20, '3rd Qtr'!C20, '4th Qtr'!C20)</f>
        <v>618409</v>
      </c>
      <c r="D20" s="37">
        <f>SUM('1st Qtr'!D20, '2nd Qtr'!D20, '3rd Qtr'!D20, '4th Qtr'!D20)</f>
        <v>713315.9</v>
      </c>
      <c r="E20" s="37">
        <f t="shared" ref="E20:E24" si="6">IF(AND(ISNUMBER(C20),ISNUMBER(D20)), C20-D20, "")</f>
        <v>-94906.900000000023</v>
      </c>
      <c r="F20" s="38">
        <f t="shared" ref="F20:F24" si="7">IFERROR(E20/D20, "")</f>
        <v>-0.1330503077248103</v>
      </c>
      <c r="G20" s="39">
        <f>SUM('1st Qtr'!G20, '2nd Qtr'!G20, '3rd Qtr'!G20, '4th Qtr'!G20)</f>
        <v>693989.12</v>
      </c>
      <c r="H20" s="39">
        <f>SUM('1st Qtr'!H20, '2nd Qtr'!H20, '3rd Qtr'!H20, '4th Qtr'!H20)</f>
        <v>-75580.120000000024</v>
      </c>
      <c r="I20" s="40">
        <f t="shared" ref="I20:I24" si="8">IFERROR(H20/G20, "")</f>
        <v>-0.10890677940311229</v>
      </c>
    </row>
    <row r="21" spans="1:9" ht="15.6">
      <c r="A21" s="41" t="str">
        <v>St Josephs Church</v>
      </c>
      <c r="B21" s="41" t="str">
        <v>MA</v>
      </c>
      <c r="C21" s="43">
        <f>SUM('1st Qtr'!C21, '2nd Qtr'!C21, '3rd Qtr'!C21, '4th Qtr'!C21)</f>
        <v>566661</v>
      </c>
      <c r="D21" s="44">
        <f>SUM('1st Qtr'!D21, '2nd Qtr'!D21, '3rd Qtr'!D21, '4th Qtr'!D21)</f>
        <v>789171.19999999995</v>
      </c>
      <c r="E21" s="44">
        <f t="shared" si="6"/>
        <v>-222510.19999999995</v>
      </c>
      <c r="F21" s="45">
        <f t="shared" si="7"/>
        <v>-0.28195428317708499</v>
      </c>
      <c r="G21" s="46">
        <f>SUM('1st Qtr'!G21, '2nd Qtr'!G21, '3rd Qtr'!G21, '4th Qtr'!G21)</f>
        <v>715572.82000000007</v>
      </c>
      <c r="H21" s="71">
        <f>SUM('1st Qtr'!H21, '2nd Qtr'!H21, '3rd Qtr'!H21, '4th Qtr'!H21)</f>
        <v>-148911.82</v>
      </c>
      <c r="I21" s="45">
        <f t="shared" si="8"/>
        <v>-0.20810155981050257</v>
      </c>
    </row>
    <row r="22" spans="1:9" ht="15.6">
      <c r="A22" s="34" t="str">
        <v>Sunset A</v>
      </c>
      <c r="B22" s="41" t="str">
        <v>MA</v>
      </c>
      <c r="C22" s="36">
        <f>SUM('1st Qtr'!C22, '2nd Qtr'!C22, '3rd Qtr'!C22, '4th Qtr'!C22)</f>
        <v>263288.5</v>
      </c>
      <c r="D22" s="37">
        <f>SUM('1st Qtr'!D22, '2nd Qtr'!D22, '3rd Qtr'!D22, '4th Qtr'!D22)</f>
        <v>383583.57</v>
      </c>
      <c r="E22" s="37">
        <f t="shared" si="6"/>
        <v>-120295.07</v>
      </c>
      <c r="F22" s="38">
        <f t="shared" si="7"/>
        <v>-0.31360850518180433</v>
      </c>
      <c r="G22" s="39">
        <f>SUM('1st Qtr'!G22, '2nd Qtr'!G22, '3rd Qtr'!G22, '4th Qtr'!G22)</f>
        <v>314419.55</v>
      </c>
      <c r="H22" s="39">
        <f>SUM('1st Qtr'!H22, '2nd Qtr'!H22, '3rd Qtr'!H22, '4th Qtr'!H22)</f>
        <v>-51131.049999999988</v>
      </c>
      <c r="I22" s="40">
        <f t="shared" si="8"/>
        <v>-0.16262045410344234</v>
      </c>
    </row>
    <row r="23" spans="1:9" ht="15.6">
      <c r="A23" s="41" t="str">
        <v>Sunset B</v>
      </c>
      <c r="B23" s="41" t="str">
        <v>MA</v>
      </c>
      <c r="C23" s="43">
        <f>SUM('1st Qtr'!C23, '2nd Qtr'!C23, '3rd Qtr'!C23, '4th Qtr'!C23)</f>
        <v>252122.75</v>
      </c>
      <c r="D23" s="44">
        <f>SUM('1st Qtr'!D23, '2nd Qtr'!D23, '3rd Qtr'!D23, '4th Qtr'!D23)</f>
        <v>329435.30000000005</v>
      </c>
      <c r="E23" s="44">
        <f t="shared" si="6"/>
        <v>-77312.550000000047</v>
      </c>
      <c r="F23" s="45">
        <f t="shared" si="7"/>
        <v>-0.23468204530601317</v>
      </c>
      <c r="G23" s="46">
        <f>SUM('1st Qtr'!G23, '2nd Qtr'!G23, '3rd Qtr'!G23, '4th Qtr'!G23)</f>
        <v>310648.94999999995</v>
      </c>
      <c r="H23" s="71">
        <f>SUM('1st Qtr'!H23, '2nd Qtr'!H23, '3rd Qtr'!H23, '4th Qtr'!H23)</f>
        <v>-58526.2</v>
      </c>
      <c r="I23" s="45">
        <f t="shared" si="8"/>
        <v>-0.18839979983837063</v>
      </c>
    </row>
    <row r="24" spans="1:9" ht="15.6">
      <c r="A24" s="34" t="str">
        <v>Woodchuck</v>
      </c>
      <c r="B24" s="41" t="str">
        <v>MA</v>
      </c>
      <c r="C24" s="36">
        <f>SUM('1st Qtr'!C24, '2nd Qtr'!C24, '3rd Qtr'!C24, '4th Qtr'!C24)</f>
        <v>552432</v>
      </c>
      <c r="D24" s="37">
        <f>SUM('1st Qtr'!D24, '2nd Qtr'!D24, '3rd Qtr'!D24, '4th Qtr'!D24)</f>
        <v>704198.2</v>
      </c>
      <c r="E24" s="37">
        <f t="shared" si="6"/>
        <v>-151766.19999999995</v>
      </c>
      <c r="F24" s="38">
        <f t="shared" si="7"/>
        <v>-0.21551631344698122</v>
      </c>
      <c r="G24" s="39">
        <f>SUM('1st Qtr'!G24, '2nd Qtr'!G24, '3rd Qtr'!G24, '4th Qtr'!G24)</f>
        <v>756388.23</v>
      </c>
      <c r="H24" s="39">
        <f>SUM('1st Qtr'!H24, '2nd Qtr'!H24, '3rd Qtr'!H24, '4th Qtr'!H24)</f>
        <v>-203956.22999999998</v>
      </c>
      <c r="I24" s="40">
        <f t="shared" si="8"/>
        <v>-0.26964490179864375</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G24" activePane="bottomRight" state="frozen"/>
      <selection pane="bottomRight" activeCell="G24" sqref="G2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8" t="str" cm="1">
        <f t="array" ref="A1">portfolio</f>
        <v>38 DN</v>
      </c>
      <c r="B1" s="98"/>
      <c r="C1" s="98"/>
      <c r="D1" s="99" t="s">
        <v>10</v>
      </c>
      <c r="E1" s="99"/>
      <c r="F1" s="99"/>
      <c r="G1" s="97" t="s">
        <v>11</v>
      </c>
      <c r="H1" s="97"/>
      <c r="I1" s="97"/>
    </row>
    <row r="2" spans="1:9" ht="19.5" customHeight="1">
      <c r="A2" s="100" t="s">
        <v>2</v>
      </c>
      <c r="B2" s="100"/>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6">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6">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6">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6">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6">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6">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6">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6">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6">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6">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6">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6">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6">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6">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6">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6">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6">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6">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6">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4.45">
      <c r="A25" s="13"/>
      <c r="B25" s="8"/>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L11" sqref="L11"/>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8" t="str" cm="1">
        <f t="array" ref="A1">portfolio</f>
        <v>38 DN</v>
      </c>
      <c r="B1" s="98"/>
      <c r="C1" s="98"/>
      <c r="D1" s="99" t="s">
        <v>12</v>
      </c>
      <c r="E1" s="99"/>
      <c r="F1" s="99"/>
      <c r="G1" s="97" t="s">
        <v>13</v>
      </c>
      <c r="H1" s="97"/>
      <c r="I1" s="97"/>
    </row>
    <row r="2" spans="1:9" ht="19.5" customHeight="1">
      <c r="A2" s="100" t="s">
        <v>2</v>
      </c>
      <c r="B2" s="100"/>
      <c r="C2" s="5">
        <f>SUM(C4:C99)</f>
        <v>8086831.25</v>
      </c>
      <c r="D2" s="5">
        <f>SUM(D4:D99)</f>
        <v>8246215.0699999994</v>
      </c>
      <c r="E2" s="5">
        <f>C2-D2</f>
        <v>-159383.81999999937</v>
      </c>
      <c r="F2" s="6">
        <f>IFERROR(E2/D2, 0)</f>
        <v>-1.932811825146823E-2</v>
      </c>
      <c r="G2" s="5">
        <f>SUM(G4:G99)</f>
        <v>9234501.0499999989</v>
      </c>
      <c r="H2" s="7">
        <f>C2-G2</f>
        <v>-1147669.7999999989</v>
      </c>
      <c r="I2" s="6">
        <f>IFERROR(H2/G2, 0)</f>
        <v>-0.12428065076672432</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SUM(Apr!C4, May!C4, Jun!C4)</f>
        <v>425433.5</v>
      </c>
      <c r="D4" s="37">
        <f>SUM(Apr!D4, May!D4, Jun!D4)</f>
        <v>424033</v>
      </c>
      <c r="E4" s="37">
        <f>IF(AND(ISNUMBER(C4),ISNUMBER(D4)), C4-D4, "")</f>
        <v>1400.5</v>
      </c>
      <c r="F4" s="38">
        <f>IFERROR(E4/D4, "")</f>
        <v>3.3028089794898039E-3</v>
      </c>
      <c r="G4" s="39">
        <f>SUM(Apr!G4, May!G4, Jun!G4)</f>
        <v>478839.6</v>
      </c>
      <c r="H4" s="39">
        <f>SUM(Apr!H4, May!H4, Jun!H4)</f>
        <v>-53406.099999999977</v>
      </c>
      <c r="I4" s="40">
        <f>IFERROR(H4/G4, "")</f>
        <v>-0.11153233775986778</v>
      </c>
    </row>
    <row r="5" spans="1:9" ht="15.6">
      <c r="A5" s="56" t="str">
        <v>Barton Acres</v>
      </c>
      <c r="B5" s="42" t="str">
        <v>MA</v>
      </c>
      <c r="C5" s="43">
        <f>SUM(Apr!C5, May!C5, Jun!C5)</f>
        <v>320994</v>
      </c>
      <c r="D5" s="44">
        <f>SUM(Apr!D5, May!D5, Jun!D5)</f>
        <v>323459.30000000005</v>
      </c>
      <c r="E5" s="44">
        <f t="shared" ref="E5:E15" si="0">IF(AND(ISNUMBER(C5),ISNUMBER(D5)), C5-D5, "")</f>
        <v>-2465.3000000000466</v>
      </c>
      <c r="F5" s="45">
        <f>IFERROR(E5/D5, "")</f>
        <v>-7.6216698669664042E-3</v>
      </c>
      <c r="G5" s="46">
        <f>SUM(Apr!G5, May!G5, Jun!G5)</f>
        <v>359080.6</v>
      </c>
      <c r="H5" s="46">
        <f>SUM(Apr!H5, May!H5, Jun!H5)</f>
        <v>-38086.600000000006</v>
      </c>
      <c r="I5" s="45">
        <f>IFERROR(H5/G5, "")</f>
        <v>-0.10606699442966289</v>
      </c>
    </row>
    <row r="6" spans="1:9" ht="15.6">
      <c r="A6" s="55" t="str">
        <v>Bowden</v>
      </c>
      <c r="B6" s="35" t="str">
        <v>MA</v>
      </c>
      <c r="C6" s="36">
        <f>SUM(Apr!C6, May!C6, Jun!C6)</f>
        <v>650802</v>
      </c>
      <c r="D6" s="37">
        <f>SUM(Apr!D6, May!D6, Jun!D6)</f>
        <v>645254.89999999991</v>
      </c>
      <c r="E6" s="37">
        <f t="shared" si="0"/>
        <v>5547.1000000000931</v>
      </c>
      <c r="F6" s="38">
        <f t="shared" ref="F6:F15" si="1">IFERROR(E6/D6, "")</f>
        <v>8.5967576534484186E-3</v>
      </c>
      <c r="G6" s="39">
        <f>SUM(Apr!G6, May!G6, Jun!G6)</f>
        <v>714063.7</v>
      </c>
      <c r="H6" s="39">
        <f>SUM(Apr!H6, May!H6, Jun!H6)</f>
        <v>-63261.700000000012</v>
      </c>
      <c r="I6" s="40">
        <f t="shared" ref="I6:I15" si="2">IFERROR(H6/G6, "")</f>
        <v>-8.8593916761207744E-2</v>
      </c>
    </row>
    <row r="7" spans="1:9" ht="15.6">
      <c r="A7" s="56" t="str">
        <v>Blair Wire Village</v>
      </c>
      <c r="B7" s="42" t="str">
        <v>MA</v>
      </c>
      <c r="C7" s="43">
        <f>SUM(Apr!C7, May!C7, Jun!C7)</f>
        <v>312615</v>
      </c>
      <c r="D7" s="44">
        <f>SUM(Apr!D7, May!D7, Jun!D7)</f>
        <v>336372.4</v>
      </c>
      <c r="E7" s="44">
        <f t="shared" si="0"/>
        <v>-23757.400000000023</v>
      </c>
      <c r="F7" s="45">
        <f t="shared" si="1"/>
        <v>-7.0628267955397117E-2</v>
      </c>
      <c r="G7" s="46">
        <f>SUM(Apr!G7, May!G7, Jun!G7)</f>
        <v>358476.79999999999</v>
      </c>
      <c r="H7" s="46">
        <f>SUM(Apr!H7, May!H7, Jun!H7)</f>
        <v>-45861.799999999988</v>
      </c>
      <c r="I7" s="45">
        <f t="shared" si="2"/>
        <v>-0.1279351969220881</v>
      </c>
    </row>
    <row r="8" spans="1:9" ht="15.6">
      <c r="A8" s="55" t="str">
        <v>Boutilier</v>
      </c>
      <c r="B8" s="35" t="str">
        <v>MA</v>
      </c>
      <c r="C8" s="36">
        <f>SUM(Apr!C8, May!C8, Jun!C8)</f>
        <v>894782</v>
      </c>
      <c r="D8" s="37">
        <f>SUM(Apr!D8, May!D8, Jun!D8)</f>
        <v>884991</v>
      </c>
      <c r="E8" s="37">
        <f t="shared" si="0"/>
        <v>9791</v>
      </c>
      <c r="F8" s="38">
        <f t="shared" si="1"/>
        <v>1.106338934520238E-2</v>
      </c>
      <c r="G8" s="39">
        <f>SUM(Apr!G8, May!G8, Jun!G8)</f>
        <v>985710.4</v>
      </c>
      <c r="H8" s="39">
        <f>SUM(Apr!H8, May!H8, Jun!H8)</f>
        <v>-90928.400000000023</v>
      </c>
      <c r="I8" s="40">
        <f t="shared" si="2"/>
        <v>-9.224656653718985E-2</v>
      </c>
    </row>
    <row r="9" spans="1:9" ht="15.6">
      <c r="A9" s="56" t="str">
        <v>Cherry Valley</v>
      </c>
      <c r="B9" s="42" t="str">
        <v>MA</v>
      </c>
      <c r="C9" s="43">
        <f>SUM(Apr!C9, May!C9, Jun!C9)</f>
        <v>298946</v>
      </c>
      <c r="D9" s="44">
        <f>SUM(Apr!D9, May!D9, Jun!D9)</f>
        <v>325055.5</v>
      </c>
      <c r="E9" s="44">
        <f t="shared" si="0"/>
        <v>-26109.5</v>
      </c>
      <c r="F9" s="45">
        <f t="shared" si="1"/>
        <v>-8.0323206344762657E-2</v>
      </c>
      <c r="G9" s="46">
        <f>SUM(Apr!G9, May!G9, Jun!G9)</f>
        <v>357881</v>
      </c>
      <c r="H9" s="46">
        <f>SUM(Apr!H9, May!H9, Jun!H9)</f>
        <v>-58935</v>
      </c>
      <c r="I9" s="45">
        <f t="shared" si="2"/>
        <v>-0.16467764424487469</v>
      </c>
    </row>
    <row r="10" spans="1:9" ht="15.6">
      <c r="A10" s="55" t="str">
        <v>Cohasse</v>
      </c>
      <c r="B10" s="35" t="str">
        <v>MA</v>
      </c>
      <c r="C10" s="36">
        <f>SUM(Apr!C10, May!C10, Jun!C10)</f>
        <v>293237</v>
      </c>
      <c r="D10" s="37">
        <f>SUM(Apr!D10, May!D10, Jun!D10)</f>
        <v>298044.59999999998</v>
      </c>
      <c r="E10" s="37">
        <f t="shared" si="0"/>
        <v>-4807.5999999999767</v>
      </c>
      <c r="F10" s="38">
        <f t="shared" si="1"/>
        <v>-1.6130471748187946E-2</v>
      </c>
      <c r="G10" s="39">
        <f>SUM(Apr!G10, May!G10, Jun!G10)</f>
        <v>365324.79999999999</v>
      </c>
      <c r="H10" s="39">
        <f>SUM(Apr!H10, May!H10, Jun!H10)</f>
        <v>-72087.799999999988</v>
      </c>
      <c r="I10" s="40">
        <f t="shared" si="2"/>
        <v>-0.19732522949441153</v>
      </c>
    </row>
    <row r="11" spans="1:9" ht="15.6">
      <c r="A11" s="56" t="str">
        <v>ISM Dighton Solar 2</v>
      </c>
      <c r="B11" s="42" t="str">
        <v>MA</v>
      </c>
      <c r="C11" s="43">
        <f>SUM(Apr!C11, May!C11, Jun!C11)</f>
        <v>679886</v>
      </c>
      <c r="D11" s="44">
        <f>SUM(Apr!D11, May!D11, Jun!D11)</f>
        <v>664696</v>
      </c>
      <c r="E11" s="44">
        <f t="shared" si="0"/>
        <v>15190</v>
      </c>
      <c r="F11" s="45">
        <f t="shared" si="1"/>
        <v>2.2852552144138071E-2</v>
      </c>
      <c r="G11" s="46">
        <f>SUM(Apr!G11, May!G11, Jun!G11)</f>
        <v>731728.2</v>
      </c>
      <c r="H11" s="46">
        <f>SUM(Apr!H11, May!H11, Jun!H11)</f>
        <v>-51842.200000000012</v>
      </c>
      <c r="I11" s="45">
        <f t="shared" si="2"/>
        <v>-7.0848984636645157E-2</v>
      </c>
    </row>
    <row r="12" spans="1:9" ht="15.6">
      <c r="A12" s="55" t="str">
        <v>Dudley River 1</v>
      </c>
      <c r="B12" s="35" t="str">
        <v>MA</v>
      </c>
      <c r="C12" s="36">
        <f>SUM(Apr!C12, May!C12, Jun!C12)</f>
        <v>316970</v>
      </c>
      <c r="D12" s="37">
        <f>SUM(Apr!D12, May!D12, Jun!D12)</f>
        <v>322909</v>
      </c>
      <c r="E12" s="37">
        <f t="shared" si="0"/>
        <v>-5939</v>
      </c>
      <c r="F12" s="38">
        <f t="shared" si="1"/>
        <v>-1.8392178601401632E-2</v>
      </c>
      <c r="G12" s="39">
        <f>SUM(Apr!G12, May!G12, Jun!G12)</f>
        <v>360268.19999999995</v>
      </c>
      <c r="H12" s="39">
        <f>SUM(Apr!H12, May!H12, Jun!H12)</f>
        <v>-43298.199999999983</v>
      </c>
      <c r="I12" s="40">
        <f t="shared" si="2"/>
        <v>-0.12018324126303678</v>
      </c>
    </row>
    <row r="13" spans="1:9" ht="15.6">
      <c r="A13" s="56" t="str">
        <v>Dudley River 2</v>
      </c>
      <c r="B13" s="42" t="str">
        <v>MA</v>
      </c>
      <c r="C13" s="43">
        <f>SUM(Apr!C13, May!C13, Jun!C13)</f>
        <v>306305</v>
      </c>
      <c r="D13" s="44">
        <f>SUM(Apr!D13, May!D13, Jun!D13)</f>
        <v>317053.8</v>
      </c>
      <c r="E13" s="44">
        <f t="shared" si="0"/>
        <v>-10748.799999999988</v>
      </c>
      <c r="F13" s="45">
        <f t="shared" si="1"/>
        <v>-3.3902132697983714E-2</v>
      </c>
      <c r="G13" s="46">
        <f>SUM(Apr!G13, May!G13, Jun!G13)</f>
        <v>345211.1</v>
      </c>
      <c r="H13" s="46">
        <f>SUM(Apr!H13, May!H13, Jun!H13)</f>
        <v>-38906.100000000006</v>
      </c>
      <c r="I13" s="45">
        <f t="shared" si="2"/>
        <v>-0.11270234358049323</v>
      </c>
    </row>
    <row r="14" spans="1:9" ht="15.6">
      <c r="A14" s="55" t="str">
        <v>Dudley River 3</v>
      </c>
      <c r="B14" s="35" t="str">
        <v>MA</v>
      </c>
      <c r="C14" s="36">
        <f>SUM(Apr!C14, May!C14, Jun!C14)</f>
        <v>315489</v>
      </c>
      <c r="D14" s="37">
        <f>SUM(Apr!D14, May!D14, Jun!D14)</f>
        <v>317748.09999999998</v>
      </c>
      <c r="E14" s="37">
        <f t="shared" si="0"/>
        <v>-2259.0999999999767</v>
      </c>
      <c r="F14" s="38">
        <f t="shared" si="1"/>
        <v>-7.1097199322355566E-3</v>
      </c>
      <c r="G14" s="39">
        <f>SUM(Apr!G14, May!G14, Jun!G14)</f>
        <v>349545.5</v>
      </c>
      <c r="H14" s="39">
        <f>SUM(Apr!H14, May!H14, Jun!H14)</f>
        <v>-34056.5</v>
      </c>
      <c r="I14" s="40">
        <f t="shared" si="2"/>
        <v>-9.7430806575967935E-2</v>
      </c>
    </row>
    <row r="15" spans="1:9" ht="15.6">
      <c r="A15" s="56" t="str">
        <v>Flint Pond</v>
      </c>
      <c r="B15" s="42" t="str">
        <v>MA</v>
      </c>
      <c r="C15" s="43">
        <f>SUM(Apr!C15, May!C15, Jun!C15)</f>
        <v>154280.5</v>
      </c>
      <c r="D15" s="44">
        <f>SUM(Apr!D15, May!D15, Jun!D15)</f>
        <v>134616.74</v>
      </c>
      <c r="E15" s="44">
        <f t="shared" si="0"/>
        <v>19663.760000000009</v>
      </c>
      <c r="F15" s="45">
        <f t="shared" si="1"/>
        <v>0.14607217497615832</v>
      </c>
      <c r="G15" s="46">
        <f>SUM(Apr!G15, May!G15, Jun!G15)</f>
        <v>170381.31</v>
      </c>
      <c r="H15" s="46">
        <f>SUM(Apr!H15, May!H15, Jun!H15)</f>
        <v>-16100.809999999998</v>
      </c>
      <c r="I15" s="45">
        <f t="shared" si="2"/>
        <v>-9.4498686504992824E-2</v>
      </c>
    </row>
    <row r="16" spans="1:9" ht="15.6">
      <c r="A16" s="55" t="str">
        <v>Incom</v>
      </c>
      <c r="B16" s="35" t="str">
        <v>MA</v>
      </c>
      <c r="C16" s="36">
        <f>SUM(Apr!C16, May!C16, Jun!C16)</f>
        <v>666605</v>
      </c>
      <c r="D16" s="37">
        <f>SUM(Apr!D16, May!D16, Jun!D16)</f>
        <v>720791.1</v>
      </c>
      <c r="E16" s="37">
        <f t="shared" ref="E16:E18" si="3">IF(AND(ISNUMBER(C16),ISNUMBER(D16)), C16-D16, "")</f>
        <v>-54186.099999999977</v>
      </c>
      <c r="F16" s="38">
        <f t="shared" ref="F16:F18" si="4">IFERROR(E16/D16, "")</f>
        <v>-7.517587273205785E-2</v>
      </c>
      <c r="G16" s="39">
        <f>SUM(Apr!G16, May!G16, Jun!G16)</f>
        <v>741516.80000000005</v>
      </c>
      <c r="H16" s="39">
        <f>SUM(Apr!H16, May!H16, Jun!H16)</f>
        <v>-74911.799999999988</v>
      </c>
      <c r="I16" s="40">
        <f t="shared" ref="I16:I18" si="5">IFERROR(H16/G16, "")</f>
        <v>-0.10102508803576667</v>
      </c>
    </row>
    <row r="17" spans="1:9" ht="15.6">
      <c r="A17" s="56" t="str">
        <v>JH</v>
      </c>
      <c r="B17" s="42" t="str">
        <v>MA</v>
      </c>
      <c r="C17" s="43">
        <f>SUM(Apr!C17, May!C17, Jun!C17)</f>
        <v>300238</v>
      </c>
      <c r="D17" s="44">
        <f>SUM(Apr!D17, May!D17, Jun!D17)</f>
        <v>313305.8</v>
      </c>
      <c r="E17" s="44">
        <f t="shared" si="3"/>
        <v>-13067.799999999988</v>
      </c>
      <c r="F17" s="45">
        <f t="shared" si="4"/>
        <v>-4.1709409784306546E-2</v>
      </c>
      <c r="G17" s="46">
        <f>SUM(Apr!G17, May!G17, Jun!G17)</f>
        <v>362152.19999999995</v>
      </c>
      <c r="H17" s="46">
        <f>SUM(Apr!H17, May!H17, Jun!H17)</f>
        <v>-61914.199999999983</v>
      </c>
      <c r="I17" s="45">
        <f t="shared" si="5"/>
        <v>-0.17096182212892808</v>
      </c>
    </row>
    <row r="18" spans="1:9" ht="12.75" customHeight="1">
      <c r="A18" s="55" t="str">
        <v>Ledeaux</v>
      </c>
      <c r="B18" s="35" t="str">
        <v>MA</v>
      </c>
      <c r="C18" s="36">
        <f>SUM(Apr!C18, May!C18, Jun!C18)</f>
        <v>280977</v>
      </c>
      <c r="D18" s="37">
        <f>SUM(Apr!D18, May!D18, Jun!D18)</f>
        <v>296872.90000000002</v>
      </c>
      <c r="E18" s="37">
        <f t="shared" si="3"/>
        <v>-15895.900000000023</v>
      </c>
      <c r="F18" s="38">
        <f t="shared" si="4"/>
        <v>-5.354446296714864E-2</v>
      </c>
      <c r="G18" s="39">
        <f>SUM(Apr!G18, May!G18, Jun!G18)</f>
        <v>353436</v>
      </c>
      <c r="H18" s="39">
        <f>SUM(Apr!H18, May!H18, Jun!H18)</f>
        <v>-72459</v>
      </c>
      <c r="I18" s="40">
        <f t="shared" si="5"/>
        <v>-0.20501307167351374</v>
      </c>
    </row>
    <row r="19" spans="1:9" ht="15.6">
      <c r="A19" s="56" t="str">
        <v>Palombo A</v>
      </c>
      <c r="B19" s="42" t="str">
        <v>MA</v>
      </c>
      <c r="C19" s="43">
        <f>SUM(Apr!C19, May!C19, Jun!C19)</f>
        <v>639349</v>
      </c>
      <c r="D19" s="44">
        <f>SUM(Apr!D19, May!D19, Jun!D19)</f>
        <v>663834.9</v>
      </c>
      <c r="E19" s="44">
        <f t="shared" ref="E19:E24" si="6">IF(AND(ISNUMBER(C19),ISNUMBER(D19)), C19-D19, "")</f>
        <v>-24485.900000000023</v>
      </c>
      <c r="F19" s="45">
        <f t="shared" ref="F19:F24" si="7">IFERROR(E19/D19, "")</f>
        <v>-3.6885526807945802E-2</v>
      </c>
      <c r="G19" s="46">
        <f>SUM(Apr!G19, May!G19, Jun!G19)</f>
        <v>759812</v>
      </c>
      <c r="H19" s="46">
        <f>SUM(Apr!H19, May!H19, Jun!H19)</f>
        <v>-120463</v>
      </c>
      <c r="I19" s="45">
        <f t="shared" ref="I19:I24" si="8">IFERROR(H19/G19, "")</f>
        <v>-0.15854316594104859</v>
      </c>
    </row>
    <row r="20" spans="1:9" ht="15.6">
      <c r="A20" s="55" t="str">
        <v>Palombo B</v>
      </c>
      <c r="B20" s="35" t="str">
        <v>MA</v>
      </c>
      <c r="C20" s="36">
        <f>SUM(Apr!C20, May!C20, Jun!C20)</f>
        <v>320735</v>
      </c>
      <c r="D20" s="37">
        <f>SUM(Apr!D20, May!D20, Jun!D20)</f>
        <v>282617.8</v>
      </c>
      <c r="E20" s="37">
        <f t="shared" si="6"/>
        <v>38117.200000000012</v>
      </c>
      <c r="F20" s="38">
        <f t="shared" si="7"/>
        <v>0.13487190120367512</v>
      </c>
      <c r="G20" s="39">
        <f>SUM(Apr!G20, May!G20, Jun!G20)</f>
        <v>373616.9</v>
      </c>
      <c r="H20" s="39">
        <f>SUM(Apr!H20, May!H20, Jun!H20)</f>
        <v>-52881.900000000023</v>
      </c>
      <c r="I20" s="40">
        <f t="shared" si="8"/>
        <v>-0.14154043888271656</v>
      </c>
    </row>
    <row r="21" spans="1:9" ht="15.6">
      <c r="A21" s="56" t="str">
        <v>St Josephs Church</v>
      </c>
      <c r="B21" s="42" t="str">
        <v>MA</v>
      </c>
      <c r="C21" s="43">
        <f>SUM(Apr!C21, May!C21, Jun!C21)</f>
        <v>306893</v>
      </c>
      <c r="D21" s="44">
        <f>SUM(Apr!D21, May!D21, Jun!D21)</f>
        <v>334536.5</v>
      </c>
      <c r="E21" s="44">
        <f t="shared" si="6"/>
        <v>-27643.5</v>
      </c>
      <c r="F21" s="45">
        <f t="shared" si="7"/>
        <v>-8.2632238933569288E-2</v>
      </c>
      <c r="G21" s="46">
        <f>SUM(Apr!G21, May!G21, Jun!G21)</f>
        <v>355029.5</v>
      </c>
      <c r="H21" s="46">
        <f>SUM(Apr!H21, May!H21, Jun!H21)</f>
        <v>-48136.5</v>
      </c>
      <c r="I21" s="45">
        <f t="shared" si="8"/>
        <v>-0.13558450776625605</v>
      </c>
    </row>
    <row r="22" spans="1:9" ht="15.6">
      <c r="A22" s="55" t="str">
        <v>Sunset A</v>
      </c>
      <c r="B22" s="35" t="str">
        <v>MA</v>
      </c>
      <c r="C22" s="36">
        <f>SUM(Apr!C22, May!C22, Jun!C22)</f>
        <v>150673.5</v>
      </c>
      <c r="D22" s="37">
        <f>SUM(Apr!D22, May!D22, Jun!D22)</f>
        <v>161945.01</v>
      </c>
      <c r="E22" s="37">
        <f t="shared" si="6"/>
        <v>-11271.510000000009</v>
      </c>
      <c r="F22" s="38">
        <f t="shared" si="7"/>
        <v>-6.9600847843351327E-2</v>
      </c>
      <c r="G22" s="39">
        <f>SUM(Apr!G22, May!G22, Jun!G22)</f>
        <v>169060.12</v>
      </c>
      <c r="H22" s="39">
        <f>SUM(Apr!H22, May!H22, Jun!H22)</f>
        <v>-18386.619999999995</v>
      </c>
      <c r="I22" s="40">
        <f t="shared" si="8"/>
        <v>-0.10875787855823121</v>
      </c>
    </row>
    <row r="23" spans="1:9" ht="15.6">
      <c r="A23" s="56" t="str">
        <v>Sunset B</v>
      </c>
      <c r="B23" s="42" t="str">
        <v>MA</v>
      </c>
      <c r="C23" s="43">
        <f>SUM(Apr!C23, May!C23, Jun!C23)</f>
        <v>142939.75</v>
      </c>
      <c r="D23" s="44">
        <f>SUM(Apr!D23, May!D23, Jun!D23)</f>
        <v>154946.02000000002</v>
      </c>
      <c r="E23" s="44">
        <f t="shared" si="6"/>
        <v>-12006.270000000019</v>
      </c>
      <c r="F23" s="45">
        <f t="shared" si="7"/>
        <v>-7.7486791851768877E-2</v>
      </c>
      <c r="G23" s="46">
        <f>SUM(Apr!G23, May!G23, Jun!G23)</f>
        <v>167029.41999999998</v>
      </c>
      <c r="H23" s="46">
        <f>SUM(Apr!H23, May!H23, Jun!H23)</f>
        <v>-24089.67</v>
      </c>
      <c r="I23" s="45">
        <f t="shared" si="8"/>
        <v>-0.14422411333284879</v>
      </c>
    </row>
    <row r="24" spans="1:9" ht="15.6">
      <c r="A24" s="55" t="str">
        <v>Woodchuck</v>
      </c>
      <c r="B24" s="35" t="str">
        <v>MA</v>
      </c>
      <c r="C24" s="36">
        <f>SUM(Apr!C24, May!C24, Jun!C24)</f>
        <v>308681</v>
      </c>
      <c r="D24" s="37">
        <f>SUM(Apr!D24, May!D24, Jun!D24)</f>
        <v>323130.7</v>
      </c>
      <c r="E24" s="37">
        <f t="shared" si="6"/>
        <v>-14449.700000000012</v>
      </c>
      <c r="F24" s="38">
        <f t="shared" si="7"/>
        <v>-4.4717818517398721E-2</v>
      </c>
      <c r="G24" s="39">
        <f>SUM(Apr!G24, May!G24, Jun!G24)</f>
        <v>376336.9</v>
      </c>
      <c r="H24" s="39">
        <f>SUM(Apr!H24, May!H24, Jun!H24)</f>
        <v>-67655.899999999994</v>
      </c>
      <c r="I24" s="40">
        <f t="shared" si="8"/>
        <v>-0.179774824100427</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8" t="str" cm="1">
        <f t="array" ref="A1">portfolio</f>
        <v>38 DN</v>
      </c>
      <c r="B1" s="98"/>
      <c r="C1" s="98"/>
      <c r="D1" s="99" t="s">
        <v>14</v>
      </c>
      <c r="E1" s="99"/>
      <c r="F1" s="99"/>
      <c r="G1" s="97" t="s">
        <v>15</v>
      </c>
      <c r="H1" s="97"/>
      <c r="I1" s="97"/>
    </row>
    <row r="2" spans="1:9" ht="19.5" customHeight="1">
      <c r="A2" s="100" t="s">
        <v>2</v>
      </c>
      <c r="B2" s="100"/>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SUM(Jul!C4, Aug!C4, Sep!C4)</f>
        <v>0</v>
      </c>
      <c r="D4" s="37">
        <f>SUM(Jul!D4, Aug!D4, Sep!D4)</f>
        <v>0</v>
      </c>
      <c r="E4" s="37">
        <f>IF(AND(ISNUMBER(C4),ISNUMBER(D4)), C4-D4, "")</f>
        <v>0</v>
      </c>
      <c r="F4" s="38" t="str">
        <f>IFERROR(E4/D4, "")</f>
        <v/>
      </c>
      <c r="G4" s="39">
        <f>SUM(Jul!G4,Aug!G4,Sep!G4)</f>
        <v>0</v>
      </c>
      <c r="H4" s="39">
        <f>SUM(Jul!H4, Aug!H4, Sep!H4)</f>
        <v>0</v>
      </c>
      <c r="I4" s="40" t="str">
        <f>IFERROR(H4/G4, "")</f>
        <v/>
      </c>
    </row>
    <row r="5" spans="1:9" ht="15.6">
      <c r="A5" s="56" t="str">
        <v>Barton Acres</v>
      </c>
      <c r="B5" s="42" t="str">
        <v>MA</v>
      </c>
      <c r="C5" s="43">
        <f>SUM(Jul!C5, Aug!C5, Sep!C5)</f>
        <v>0</v>
      </c>
      <c r="D5" s="44">
        <f>SUM(Jul!D5, Aug!D5, Sep!D5)</f>
        <v>0</v>
      </c>
      <c r="E5" s="44">
        <f t="shared" ref="E5:E15" si="0">IF(AND(ISNUMBER(C5),ISNUMBER(D5)), C5-D5, "")</f>
        <v>0</v>
      </c>
      <c r="F5" s="45" t="str">
        <f>IFERROR(E5/D5, "")</f>
        <v/>
      </c>
      <c r="G5" s="46">
        <f>SUM(Jul!G5,Aug!G5,Sep!G5)</f>
        <v>0</v>
      </c>
      <c r="H5" s="46">
        <f>SUM(Jul!H5, Aug!H5, Sep!H5)</f>
        <v>0</v>
      </c>
      <c r="I5" s="45" t="str">
        <f>IFERROR(H5/G5, "")</f>
        <v/>
      </c>
    </row>
    <row r="6" spans="1:9" ht="15.6">
      <c r="A6" s="55" t="str">
        <v>Bowden</v>
      </c>
      <c r="B6" s="35" t="str">
        <v>MA</v>
      </c>
      <c r="C6" s="36">
        <f>SUM(Jul!C6, Aug!C6, Sep!C6)</f>
        <v>0</v>
      </c>
      <c r="D6" s="37">
        <f>SUM(Jul!D6, Aug!D6, Sep!D6)</f>
        <v>0</v>
      </c>
      <c r="E6" s="37">
        <f t="shared" si="0"/>
        <v>0</v>
      </c>
      <c r="F6" s="38" t="str">
        <f t="shared" ref="F6:F15" si="1">IFERROR(E6/D6, "")</f>
        <v/>
      </c>
      <c r="G6" s="39">
        <f>SUM(Jul!G6,Aug!G6,Sep!G6)</f>
        <v>0</v>
      </c>
      <c r="H6" s="39">
        <f>SUM(Jul!H6, Aug!H6, Sep!H6)</f>
        <v>0</v>
      </c>
      <c r="I6" s="40" t="str">
        <f t="shared" ref="I6:I15" si="2">IFERROR(H6/G6, "")</f>
        <v/>
      </c>
    </row>
    <row r="7" spans="1:9" ht="15.6">
      <c r="A7" s="56" t="str">
        <v>Blair Wire Village</v>
      </c>
      <c r="B7" s="42" t="str">
        <v>MA</v>
      </c>
      <c r="C7" s="43">
        <f>SUM(Jul!C7, Aug!C7, Sep!C7)</f>
        <v>0</v>
      </c>
      <c r="D7" s="44">
        <f>SUM(Jul!D7, Aug!D7, Sep!D7)</f>
        <v>0</v>
      </c>
      <c r="E7" s="44">
        <f t="shared" si="0"/>
        <v>0</v>
      </c>
      <c r="F7" s="45" t="str">
        <f t="shared" si="1"/>
        <v/>
      </c>
      <c r="G7" s="46">
        <f>SUM(Jul!G7,Aug!G7,Sep!G7)</f>
        <v>0</v>
      </c>
      <c r="H7" s="46">
        <f>SUM(Jul!H7, Aug!H7, Sep!H7)</f>
        <v>0</v>
      </c>
      <c r="I7" s="45" t="str">
        <f t="shared" si="2"/>
        <v/>
      </c>
    </row>
    <row r="8" spans="1:9" ht="15.6">
      <c r="A8" s="55" t="str">
        <v>Boutilier</v>
      </c>
      <c r="B8" s="35" t="str">
        <v>MA</v>
      </c>
      <c r="C8" s="36">
        <f>SUM(Jul!C8, Aug!C8, Sep!C8)</f>
        <v>0</v>
      </c>
      <c r="D8" s="37">
        <f>SUM(Jul!D8, Aug!D8, Sep!D8)</f>
        <v>0</v>
      </c>
      <c r="E8" s="37">
        <f t="shared" si="0"/>
        <v>0</v>
      </c>
      <c r="F8" s="38" t="str">
        <f t="shared" si="1"/>
        <v/>
      </c>
      <c r="G8" s="39">
        <f>SUM(Jul!G8,Aug!G8,Sep!G8)</f>
        <v>0</v>
      </c>
      <c r="H8" s="39">
        <f>SUM(Jul!H8, Aug!H8, Sep!H8)</f>
        <v>0</v>
      </c>
      <c r="I8" s="40" t="str">
        <f t="shared" si="2"/>
        <v/>
      </c>
    </row>
    <row r="9" spans="1:9" ht="15.6">
      <c r="A9" s="56" t="str">
        <v>Cherry Valley</v>
      </c>
      <c r="B9" s="42" t="str">
        <v>MA</v>
      </c>
      <c r="C9" s="43">
        <f>SUM(Jul!C9, Aug!C9, Sep!C9)</f>
        <v>0</v>
      </c>
      <c r="D9" s="44">
        <f>SUM(Jul!D9, Aug!D9, Sep!D9)</f>
        <v>0</v>
      </c>
      <c r="E9" s="44">
        <f t="shared" si="0"/>
        <v>0</v>
      </c>
      <c r="F9" s="45" t="str">
        <f t="shared" si="1"/>
        <v/>
      </c>
      <c r="G9" s="46">
        <f>SUM(Jul!G9,Aug!G9,Sep!G9)</f>
        <v>0</v>
      </c>
      <c r="H9" s="46">
        <f>SUM(Jul!H9, Aug!H9, Sep!H9)</f>
        <v>0</v>
      </c>
      <c r="I9" s="45" t="str">
        <f t="shared" si="2"/>
        <v/>
      </c>
    </row>
    <row r="10" spans="1:9" ht="15.6">
      <c r="A10" s="55" t="str">
        <v>Cohasse</v>
      </c>
      <c r="B10" s="35" t="str">
        <v>MA</v>
      </c>
      <c r="C10" s="36">
        <f>SUM(Jul!C10, Aug!C10, Sep!C10)</f>
        <v>0</v>
      </c>
      <c r="D10" s="37">
        <f>SUM(Jul!D10, Aug!D10, Sep!D10)</f>
        <v>0</v>
      </c>
      <c r="E10" s="37">
        <f t="shared" si="0"/>
        <v>0</v>
      </c>
      <c r="F10" s="38" t="str">
        <f t="shared" si="1"/>
        <v/>
      </c>
      <c r="G10" s="39">
        <f>SUM(Jul!G10,Aug!G10,Sep!G10)</f>
        <v>0</v>
      </c>
      <c r="H10" s="39">
        <f>SUM(Jul!H10, Aug!H10, Sep!H10)</f>
        <v>0</v>
      </c>
      <c r="I10" s="40" t="str">
        <f t="shared" si="2"/>
        <v/>
      </c>
    </row>
    <row r="11" spans="1:9" ht="15.6">
      <c r="A11" s="56" t="str">
        <v>ISM Dighton Solar 2</v>
      </c>
      <c r="B11" s="42" t="str">
        <v>MA</v>
      </c>
      <c r="C11" s="43">
        <f>SUM(Jul!C11, Aug!C11, Sep!C11)</f>
        <v>0</v>
      </c>
      <c r="D11" s="44">
        <f>SUM(Jul!D11, Aug!D11, Sep!D11)</f>
        <v>0</v>
      </c>
      <c r="E11" s="44">
        <f t="shared" si="0"/>
        <v>0</v>
      </c>
      <c r="F11" s="45" t="str">
        <f t="shared" si="1"/>
        <v/>
      </c>
      <c r="G11" s="46">
        <f>SUM(Jul!G11,Aug!G11,Sep!G11)</f>
        <v>0</v>
      </c>
      <c r="H11" s="46">
        <f>SUM(Jul!H11, Aug!H11, Sep!H11)</f>
        <v>0</v>
      </c>
      <c r="I11" s="45" t="str">
        <f t="shared" si="2"/>
        <v/>
      </c>
    </row>
    <row r="12" spans="1:9" ht="15.6">
      <c r="A12" s="55" t="str">
        <v>Dudley River 1</v>
      </c>
      <c r="B12" s="35" t="str">
        <v>MA</v>
      </c>
      <c r="C12" s="36">
        <f>SUM(Jul!C12, Aug!C12, Sep!C12)</f>
        <v>0</v>
      </c>
      <c r="D12" s="37">
        <f>SUM(Jul!D12, Aug!D12, Sep!D12)</f>
        <v>0</v>
      </c>
      <c r="E12" s="37">
        <f t="shared" si="0"/>
        <v>0</v>
      </c>
      <c r="F12" s="38" t="str">
        <f t="shared" si="1"/>
        <v/>
      </c>
      <c r="G12" s="39">
        <f>SUM(Jul!G12,Aug!G12,Sep!G12)</f>
        <v>0</v>
      </c>
      <c r="H12" s="39">
        <f>SUM(Jul!H12, Aug!H12, Sep!H12)</f>
        <v>0</v>
      </c>
      <c r="I12" s="40" t="str">
        <f t="shared" si="2"/>
        <v/>
      </c>
    </row>
    <row r="13" spans="1:9" ht="15.6">
      <c r="A13" s="56" t="str">
        <v>Dudley River 2</v>
      </c>
      <c r="B13" s="42" t="str">
        <v>MA</v>
      </c>
      <c r="C13" s="43">
        <f>SUM(Jul!C13, Aug!C13, Sep!C13)</f>
        <v>0</v>
      </c>
      <c r="D13" s="44">
        <f>SUM(Jul!D13, Aug!D13, Sep!D13)</f>
        <v>0</v>
      </c>
      <c r="E13" s="44">
        <f t="shared" si="0"/>
        <v>0</v>
      </c>
      <c r="F13" s="45" t="str">
        <f t="shared" si="1"/>
        <v/>
      </c>
      <c r="G13" s="46">
        <f>SUM(Jul!G13,Aug!G13,Sep!G13)</f>
        <v>0</v>
      </c>
      <c r="H13" s="46">
        <f>SUM(Jul!H13, Aug!H13, Sep!H13)</f>
        <v>0</v>
      </c>
      <c r="I13" s="45" t="str">
        <f t="shared" si="2"/>
        <v/>
      </c>
    </row>
    <row r="14" spans="1:9" ht="15.6">
      <c r="A14" s="55" t="str">
        <v>Dudley River 3</v>
      </c>
      <c r="B14" s="35" t="str">
        <v>MA</v>
      </c>
      <c r="C14" s="36">
        <f>SUM(Jul!C14, Aug!C14, Sep!C14)</f>
        <v>0</v>
      </c>
      <c r="D14" s="37">
        <f>SUM(Jul!D14, Aug!D14, Sep!D14)</f>
        <v>0</v>
      </c>
      <c r="E14" s="37">
        <f t="shared" si="0"/>
        <v>0</v>
      </c>
      <c r="F14" s="38" t="str">
        <f t="shared" si="1"/>
        <v/>
      </c>
      <c r="G14" s="39">
        <f>SUM(Jul!G14,Aug!G14,Sep!G14)</f>
        <v>0</v>
      </c>
      <c r="H14" s="39">
        <f>SUM(Jul!H14, Aug!H14, Sep!H14)</f>
        <v>0</v>
      </c>
      <c r="I14" s="40" t="str">
        <f t="shared" si="2"/>
        <v/>
      </c>
    </row>
    <row r="15" spans="1:9" ht="15.6">
      <c r="A15" s="56" t="str">
        <v>Flint Pond</v>
      </c>
      <c r="B15" s="42" t="str">
        <v>MA</v>
      </c>
      <c r="C15" s="43">
        <f>SUM(Jul!C15, Aug!C15, Sep!C15)</f>
        <v>0</v>
      </c>
      <c r="D15" s="44">
        <f>SUM(Jul!D15, Aug!D15, Sep!D15)</f>
        <v>0</v>
      </c>
      <c r="E15" s="44">
        <f t="shared" si="0"/>
        <v>0</v>
      </c>
      <c r="F15" s="45" t="str">
        <f t="shared" si="1"/>
        <v/>
      </c>
      <c r="G15" s="46">
        <f>SUM(Jul!G15,Aug!G15,Sep!G15)</f>
        <v>0</v>
      </c>
      <c r="H15" s="46">
        <f>SUM(Jul!H15, Aug!H15, Sep!H15)</f>
        <v>0</v>
      </c>
      <c r="I15" s="45" t="str">
        <f t="shared" si="2"/>
        <v/>
      </c>
    </row>
    <row r="16" spans="1:9" ht="15.6">
      <c r="A16" s="55" t="str">
        <v>Incom</v>
      </c>
      <c r="B16" s="35" t="str">
        <v>MA</v>
      </c>
      <c r="C16" s="36">
        <f>SUM(Jul!C16, Aug!C16, Sep!C16)</f>
        <v>0</v>
      </c>
      <c r="D16" s="37">
        <f>SUM(Jul!D16, Aug!D16, Sep!D16)</f>
        <v>0</v>
      </c>
      <c r="E16" s="37">
        <f t="shared" ref="E16:E19" si="3">IF(AND(ISNUMBER(C16),ISNUMBER(D16)), C16-D16, "")</f>
        <v>0</v>
      </c>
      <c r="F16" s="38" t="str">
        <f t="shared" ref="F16:F19" si="4">IFERROR(E16/D16, "")</f>
        <v/>
      </c>
      <c r="G16" s="39">
        <f>SUM(Jul!G16,Aug!G16,Sep!G16)</f>
        <v>0</v>
      </c>
      <c r="H16" s="39">
        <f>SUM(Jul!H16, Aug!H16, Sep!H16)</f>
        <v>0</v>
      </c>
      <c r="I16" s="40" t="str">
        <f t="shared" ref="I16:I19" si="5">IFERROR(H16/G16, "")</f>
        <v/>
      </c>
    </row>
    <row r="17" spans="1:9" ht="15.6">
      <c r="A17" s="56" t="str">
        <v>JH</v>
      </c>
      <c r="B17" s="42" t="str">
        <v>MA</v>
      </c>
      <c r="C17" s="43">
        <f>SUM(Jul!C17, Aug!C17, Sep!C17)</f>
        <v>0</v>
      </c>
      <c r="D17" s="44">
        <f>SUM(Jul!D17, Aug!D17, Sep!D17)</f>
        <v>0</v>
      </c>
      <c r="E17" s="44">
        <f t="shared" si="3"/>
        <v>0</v>
      </c>
      <c r="F17" s="45" t="str">
        <f t="shared" si="4"/>
        <v/>
      </c>
      <c r="G17" s="46">
        <f>SUM(Jul!G17,Aug!G17,Sep!G17)</f>
        <v>0</v>
      </c>
      <c r="H17" s="46">
        <f>SUM(Jul!H17, Aug!H17, Sep!H17)</f>
        <v>0</v>
      </c>
      <c r="I17" s="45" t="str">
        <f t="shared" si="5"/>
        <v/>
      </c>
    </row>
    <row r="18" spans="1:9" ht="12.75" customHeight="1">
      <c r="A18" s="55" t="str">
        <v>Ledeaux</v>
      </c>
      <c r="B18" s="34" t="str">
        <v>MA</v>
      </c>
      <c r="C18" s="36">
        <f>SUM(Jul!C18, Aug!C18, Sep!C18)</f>
        <v>0</v>
      </c>
      <c r="D18" s="37">
        <f>SUM(Jul!D18, Aug!D18, Sep!D18)</f>
        <v>0</v>
      </c>
      <c r="E18" s="37">
        <f t="shared" si="3"/>
        <v>0</v>
      </c>
      <c r="F18" s="38" t="str">
        <f t="shared" si="4"/>
        <v/>
      </c>
      <c r="G18" s="39">
        <f>SUM(Jul!G18,Aug!G18,Sep!G18)</f>
        <v>0</v>
      </c>
      <c r="H18" s="39">
        <f>SUM(Jul!H18, Aug!H18, Sep!H18)</f>
        <v>0</v>
      </c>
      <c r="I18" s="40" t="str">
        <f t="shared" si="5"/>
        <v/>
      </c>
    </row>
    <row r="19" spans="1:9" ht="15.6">
      <c r="A19" s="56" t="str">
        <v>Palombo A</v>
      </c>
      <c r="B19" s="41" t="str">
        <v>MA</v>
      </c>
      <c r="C19" s="43">
        <f>SUM(Jul!C19, Aug!C19, Sep!C19)</f>
        <v>0</v>
      </c>
      <c r="D19" s="44">
        <f>SUM(Jul!D19, Aug!D19, Sep!D19)</f>
        <v>0</v>
      </c>
      <c r="E19" s="44">
        <f t="shared" si="3"/>
        <v>0</v>
      </c>
      <c r="F19" s="45" t="str">
        <f t="shared" si="4"/>
        <v/>
      </c>
      <c r="G19" s="46">
        <f>SUM(Jul!G19,Aug!G19,Sep!G19)</f>
        <v>0</v>
      </c>
      <c r="H19" s="46">
        <f>SUM(Jul!H19, Aug!H19, Sep!H19)</f>
        <v>0</v>
      </c>
      <c r="I19" s="45" t="str">
        <f t="shared" si="5"/>
        <v/>
      </c>
    </row>
    <row r="20" spans="1:9" ht="15.6">
      <c r="A20" s="55" t="str">
        <v>Palombo B</v>
      </c>
      <c r="B20" s="34" t="str">
        <v>MA</v>
      </c>
      <c r="C20" s="36">
        <f>SUM(Jul!C20, Aug!C20, Sep!C20)</f>
        <v>0</v>
      </c>
      <c r="D20" s="37">
        <f>SUM(Jul!D20, Aug!D20, Sep!D20)</f>
        <v>0</v>
      </c>
      <c r="E20" s="37">
        <f t="shared" ref="E20:E24" si="6">IF(AND(ISNUMBER(C20),ISNUMBER(D20)), C20-D20, "")</f>
        <v>0</v>
      </c>
      <c r="F20" s="38" t="str">
        <f t="shared" ref="F20:F24" si="7">IFERROR(E20/D20, "")</f>
        <v/>
      </c>
      <c r="G20" s="39">
        <f>SUM(Jul!G20,Aug!G20,Sep!G20)</f>
        <v>0</v>
      </c>
      <c r="H20" s="39">
        <f>SUM(Jul!H20, Aug!H20, Sep!H20)</f>
        <v>0</v>
      </c>
      <c r="I20" s="40" t="str">
        <f t="shared" ref="I20:I24" si="8">IFERROR(H20/G20, "")</f>
        <v/>
      </c>
    </row>
    <row r="21" spans="1:9" ht="15.6">
      <c r="A21" s="56" t="str">
        <v>St Josephs Church</v>
      </c>
      <c r="B21" s="41" t="str">
        <v>MA</v>
      </c>
      <c r="C21" s="43">
        <f>SUM(Jul!C21, Aug!C21, Sep!C21)</f>
        <v>0</v>
      </c>
      <c r="D21" s="44">
        <f>SUM(Jul!D21, Aug!D21, Sep!D21)</f>
        <v>0</v>
      </c>
      <c r="E21" s="44">
        <f t="shared" si="6"/>
        <v>0</v>
      </c>
      <c r="F21" s="45" t="str">
        <f t="shared" si="7"/>
        <v/>
      </c>
      <c r="G21" s="46">
        <f>SUM(Jul!G21,Aug!G21,Sep!G21)</f>
        <v>0</v>
      </c>
      <c r="H21" s="46">
        <f>SUM(Jul!H21, Aug!H21, Sep!H21)</f>
        <v>0</v>
      </c>
      <c r="I21" s="45" t="str">
        <f t="shared" si="8"/>
        <v/>
      </c>
    </row>
    <row r="22" spans="1:9" ht="15.6">
      <c r="A22" s="55" t="str">
        <v>Sunset A</v>
      </c>
      <c r="B22" s="34" t="str">
        <v>MA</v>
      </c>
      <c r="C22" s="36">
        <f>SUM(Jul!C22, Aug!C22, Sep!C22)</f>
        <v>0</v>
      </c>
      <c r="D22" s="37">
        <f>SUM(Jul!D22, Aug!D22, Sep!D22)</f>
        <v>0</v>
      </c>
      <c r="E22" s="37">
        <f t="shared" si="6"/>
        <v>0</v>
      </c>
      <c r="F22" s="38" t="str">
        <f t="shared" si="7"/>
        <v/>
      </c>
      <c r="G22" s="39">
        <f>SUM(Jul!G22,Aug!G22,Sep!G22)</f>
        <v>0</v>
      </c>
      <c r="H22" s="39">
        <f>SUM(Jul!H22, Aug!H22, Sep!H22)</f>
        <v>0</v>
      </c>
      <c r="I22" s="40" t="str">
        <f t="shared" si="8"/>
        <v/>
      </c>
    </row>
    <row r="23" spans="1:9" ht="15.6">
      <c r="A23" s="56" t="str">
        <v>Sunset B</v>
      </c>
      <c r="B23" s="41" t="str">
        <v>MA</v>
      </c>
      <c r="C23" s="43">
        <f>SUM(Jul!C23, Aug!C23, Sep!C23)</f>
        <v>0</v>
      </c>
      <c r="D23" s="44">
        <f>SUM(Jul!D23, Aug!D23, Sep!D23)</f>
        <v>0</v>
      </c>
      <c r="E23" s="44">
        <f t="shared" si="6"/>
        <v>0</v>
      </c>
      <c r="F23" s="45" t="str">
        <f t="shared" si="7"/>
        <v/>
      </c>
      <c r="G23" s="46">
        <f>SUM(Jul!G23,Aug!G23,Sep!G23)</f>
        <v>0</v>
      </c>
      <c r="H23" s="46">
        <f>SUM(Jul!H23, Aug!H23, Sep!H23)</f>
        <v>0</v>
      </c>
      <c r="I23" s="45" t="str">
        <f t="shared" si="8"/>
        <v/>
      </c>
    </row>
    <row r="24" spans="1:9" ht="15.6">
      <c r="A24" s="55" t="str">
        <v>Woodchuck</v>
      </c>
      <c r="B24" s="34" t="str">
        <v>MA</v>
      </c>
      <c r="C24" s="36">
        <f>SUM(Jul!C24, Aug!C24, Sep!C24)</f>
        <v>0</v>
      </c>
      <c r="D24" s="37">
        <f>SUM(Jul!D24, Aug!D24, Sep!D24)</f>
        <v>0</v>
      </c>
      <c r="E24" s="37">
        <f t="shared" si="6"/>
        <v>0</v>
      </c>
      <c r="F24" s="38" t="str">
        <f t="shared" si="7"/>
        <v/>
      </c>
      <c r="G24" s="39">
        <f>SUM(Jul!G24,Aug!G24,Sep!G24)</f>
        <v>0</v>
      </c>
      <c r="H24" s="39">
        <f>SUM(Jul!H24, Aug!H24, Sep!H24)</f>
        <v>0</v>
      </c>
      <c r="I24" s="40" t="str">
        <f t="shared" si="8"/>
        <v/>
      </c>
    </row>
    <row r="25" spans="1:9" ht="15.6">
      <c r="A25" s="9"/>
      <c r="B25" s="13"/>
      <c r="C25" s="13"/>
      <c r="D25" s="13"/>
      <c r="E25" s="13"/>
      <c r="F25" s="13"/>
      <c r="G25" s="13"/>
      <c r="H25" s="13"/>
      <c r="I25" s="13"/>
    </row>
    <row r="26" spans="1:9" ht="15.6">
      <c r="A26" s="9"/>
      <c r="B26" s="13"/>
      <c r="C26" s="13"/>
      <c r="D26" s="13"/>
      <c r="E26" s="13"/>
      <c r="F26" s="13"/>
      <c r="G26" s="13"/>
      <c r="H26" s="13"/>
      <c r="I26" s="13"/>
    </row>
    <row r="27" spans="1:9" ht="15.6">
      <c r="A27" s="9"/>
      <c r="B27" s="13"/>
      <c r="C27" s="13"/>
      <c r="D27" s="13"/>
      <c r="E27" s="13"/>
      <c r="F27" s="13"/>
      <c r="G27" s="13"/>
      <c r="H27" s="13"/>
      <c r="I27" s="13"/>
    </row>
    <row r="28" spans="1:9" ht="15.6">
      <c r="A28" s="9"/>
      <c r="B28" s="13"/>
      <c r="C28" s="13"/>
      <c r="D28" s="13"/>
      <c r="E28" s="13"/>
      <c r="F28" s="13"/>
      <c r="G28" s="13"/>
      <c r="H28" s="13"/>
      <c r="I28" s="13"/>
    </row>
    <row r="29" spans="1:9" ht="15.6">
      <c r="A29" s="9"/>
      <c r="B29" s="13"/>
      <c r="C29" s="13"/>
      <c r="D29" s="13"/>
      <c r="E29" s="13"/>
      <c r="F29" s="13"/>
      <c r="G29" s="13"/>
      <c r="H29" s="13"/>
      <c r="I29" s="13"/>
    </row>
    <row r="30" spans="1:9" ht="15.6">
      <c r="A30" s="9"/>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8" t="str" cm="1">
        <f t="array" ref="A1">portfolio</f>
        <v>38 DN</v>
      </c>
      <c r="B1" s="98"/>
      <c r="C1" s="98"/>
      <c r="D1" s="99" t="s">
        <v>16</v>
      </c>
      <c r="E1" s="99"/>
      <c r="F1" s="99"/>
      <c r="G1" s="97" t="s">
        <v>17</v>
      </c>
      <c r="H1" s="97"/>
      <c r="I1" s="97"/>
    </row>
    <row r="2" spans="1:9" ht="19.5" customHeight="1">
      <c r="A2" s="100" t="s">
        <v>2</v>
      </c>
      <c r="B2" s="100"/>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6">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6">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6">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6">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6">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6">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6">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6">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6">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6">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6">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6">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6">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6">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6">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6">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6">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6">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6">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6">
      <c r="A25" s="9"/>
      <c r="B25" s="8"/>
      <c r="C25" s="23"/>
      <c r="D25" s="10"/>
      <c r="E25" s="10"/>
      <c r="F25" s="11"/>
      <c r="G25" s="12"/>
      <c r="H25" s="12"/>
      <c r="I25" s="11"/>
    </row>
    <row r="26" spans="1:9" ht="14.45">
      <c r="A26" s="13"/>
      <c r="B26" s="8"/>
      <c r="C26" s="23"/>
      <c r="D26" s="10"/>
      <c r="E26" s="10"/>
      <c r="F26" s="11"/>
      <c r="G26" s="12"/>
      <c r="H26" s="12"/>
      <c r="I26" s="11"/>
    </row>
    <row r="27" spans="1:9" ht="14.45">
      <c r="A27" s="13"/>
      <c r="B27" s="8"/>
      <c r="C27" s="23"/>
      <c r="D27" s="10"/>
      <c r="E27" s="10"/>
      <c r="F27" s="11"/>
      <c r="G27" s="12"/>
      <c r="H27" s="12"/>
      <c r="I27" s="11"/>
    </row>
    <row r="28" spans="1:9" ht="14.45">
      <c r="A28" s="13"/>
      <c r="B28" s="8"/>
      <c r="C28" s="23"/>
      <c r="D28" s="10"/>
      <c r="E28" s="10"/>
      <c r="F28" s="11"/>
      <c r="G28" s="12"/>
      <c r="H28" s="12"/>
      <c r="I28" s="11"/>
    </row>
    <row r="29" spans="1:9" ht="14.45">
      <c r="A29" s="13"/>
      <c r="B29" s="8"/>
      <c r="C29" s="23"/>
      <c r="D29" s="10"/>
      <c r="E29" s="10"/>
      <c r="F29" s="11"/>
      <c r="G29" s="12"/>
      <c r="H29" s="12"/>
      <c r="I29" s="11"/>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bottomRight" activeCell="J8" sqref="J8"/>
      <selection pane="bottomLeft" activeCell="D28" sqref="D28"/>
      <selection pane="topRight" activeCell="D28" sqref="D28"/>
    </sheetView>
  </sheetViews>
  <sheetFormatPr defaultRowHeight="13.9"/>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6">
      <c r="A1" s="98" t="str" cm="1">
        <f t="array" ref="A1">portfolio</f>
        <v>38 DN</v>
      </c>
      <c r="B1" s="98"/>
      <c r="C1" s="98"/>
      <c r="D1" s="99" t="s">
        <v>18</v>
      </c>
      <c r="E1" s="99"/>
      <c r="F1" s="99"/>
      <c r="G1" s="97" t="s">
        <v>19</v>
      </c>
      <c r="H1" s="97"/>
      <c r="I1" s="97"/>
      <c r="J1" s="4"/>
      <c r="K1" s="4"/>
    </row>
    <row r="2" spans="1:12" ht="15.6">
      <c r="A2" s="100" t="s">
        <v>2</v>
      </c>
      <c r="B2" s="100"/>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
      </c>
      <c r="K2" s="4"/>
    </row>
    <row r="3" spans="1:12" ht="15.6">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4">Sites[Site]</f>
        <v>6th St.</v>
      </c>
      <c r="B4" s="48" t="str" cm="1">
        <f t="array" ref="B4:B24">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5" t="s">
        <v>23</v>
      </c>
    </row>
    <row r="5" spans="1:12" ht="15.6">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4" t="s">
        <v>24</v>
      </c>
      <c r="K5" s="86"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5" t="s">
        <v>27</v>
      </c>
      <c r="L6" s="88" t="s">
        <v>28</v>
      </c>
    </row>
    <row r="7" spans="1:12" ht="15.6">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4" t="s">
        <v>29</v>
      </c>
      <c r="K7" s="84"/>
    </row>
    <row r="8" spans="1:12" ht="15.6">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28.9">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4" t="s">
        <v>30</v>
      </c>
      <c r="K9" s="86" t="s">
        <v>31</v>
      </c>
    </row>
    <row r="10" spans="1:12" ht="15.6">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43.15">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4" t="s">
        <v>32</v>
      </c>
      <c r="K11" s="87" t="s">
        <v>33</v>
      </c>
      <c r="L11" s="88" t="s">
        <v>34</v>
      </c>
    </row>
    <row r="12" spans="1:12" ht="28.9">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5" t="s">
        <v>36</v>
      </c>
    </row>
    <row r="13" spans="1:12" ht="86.45">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4" t="s">
        <v>37</v>
      </c>
      <c r="K13" s="87" t="s">
        <v>38</v>
      </c>
      <c r="L13" s="88" t="s">
        <v>39</v>
      </c>
    </row>
    <row r="14" spans="1:12" ht="28.9">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5" t="s">
        <v>41</v>
      </c>
    </row>
    <row r="15" spans="1:12" ht="28.9">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4" t="s">
        <v>42</v>
      </c>
      <c r="K15" s="86" t="s">
        <v>43</v>
      </c>
    </row>
    <row r="16" spans="1:12" ht="28.9">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5" t="s">
        <v>45</v>
      </c>
    </row>
    <row r="17" spans="1:11" ht="15.6">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6">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6">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6">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6">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6">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6">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6">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4.45">
      <c r="A25" s="13"/>
      <c r="B25" s="18"/>
      <c r="C25" s="21"/>
      <c r="D25" s="13"/>
      <c r="E25" s="13"/>
      <c r="F25" s="13"/>
      <c r="G25" s="13"/>
      <c r="H25" s="13"/>
      <c r="I25" s="13"/>
      <c r="J25" s="22"/>
      <c r="K25" s="13"/>
    </row>
    <row r="26" spans="1:11" ht="14.45">
      <c r="A26" s="13"/>
      <c r="B26" s="18"/>
      <c r="C26" s="13"/>
      <c r="D26" s="13"/>
      <c r="E26" s="13"/>
      <c r="F26" s="13"/>
      <c r="G26" s="13"/>
      <c r="H26" s="13"/>
      <c r="I26" s="13"/>
      <c r="J26" s="20"/>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11" activePane="bottomRight" state="frozen"/>
      <selection pane="bottomRight" activeCell="I21" sqref="I21"/>
      <selection pane="bottomLeft" activeCell="J14" sqref="J14"/>
      <selection pane="topRight" activeCell="J14" sqref="J14"/>
    </sheetView>
  </sheetViews>
  <sheetFormatPr defaultRowHeight="14.4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98" t="str" cm="1">
        <f t="array" ref="A1">portfolio</f>
        <v>38 DN</v>
      </c>
      <c r="B1" s="98"/>
      <c r="C1" s="98"/>
      <c r="D1" s="99" t="s">
        <v>46</v>
      </c>
      <c r="E1" s="99"/>
      <c r="F1" s="99"/>
      <c r="G1" s="97" t="s">
        <v>47</v>
      </c>
      <c r="H1" s="97"/>
      <c r="I1" s="97"/>
      <c r="J1" s="60"/>
      <c r="K1" s="60"/>
    </row>
    <row r="2" spans="1:12" ht="19.5" customHeight="1">
      <c r="A2" s="100" t="s">
        <v>2</v>
      </c>
      <c r="B2" s="100"/>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
      </c>
      <c r="K2" s="60"/>
    </row>
    <row r="3" spans="1:12" ht="14.25" customHeight="1">
      <c r="A3" s="17" t="s">
        <v>3</v>
      </c>
      <c r="B3" s="17" t="s">
        <v>4</v>
      </c>
      <c r="C3" s="27" t="s">
        <v>5</v>
      </c>
      <c r="D3" s="28" t="s">
        <v>6</v>
      </c>
      <c r="E3" s="28" t="s">
        <v>7</v>
      </c>
      <c r="F3" s="29" t="s">
        <v>8</v>
      </c>
      <c r="G3" s="30" t="s">
        <v>9</v>
      </c>
      <c r="H3" s="31" t="s">
        <v>7</v>
      </c>
      <c r="I3" s="32" t="s">
        <v>8</v>
      </c>
      <c r="J3" s="83" t="s">
        <v>20</v>
      </c>
      <c r="K3" s="62" t="s">
        <v>21</v>
      </c>
    </row>
    <row r="4" spans="1:12" ht="100.9">
      <c r="A4" s="52" t="str" cm="1">
        <f t="array" ref="A4:A24">Sites[Site]</f>
        <v>6th St.</v>
      </c>
      <c r="B4" s="48" t="str" cm="1">
        <f t="array" ref="B4:B24">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5" t="s">
        <v>49</v>
      </c>
      <c r="L4" s="89" t="s">
        <v>50</v>
      </c>
    </row>
    <row r="5" spans="1:12" ht="28.9">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57.6">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5"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7" t="s">
        <v>55</v>
      </c>
    </row>
    <row r="8" spans="1:12" ht="28.9">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28.9">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7" t="s">
        <v>58</v>
      </c>
    </row>
    <row r="10" spans="1:12" ht="28.9">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5" t="s">
        <v>60</v>
      </c>
    </row>
    <row r="11" spans="1:12" ht="28.9">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7" t="s">
        <v>62</v>
      </c>
    </row>
    <row r="12" spans="1:12" ht="28.9">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28.9">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28.9">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28.9">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7" t="s">
        <v>66</v>
      </c>
    </row>
    <row r="16" spans="1:12" ht="28.9">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7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7" t="s">
        <v>69</v>
      </c>
      <c r="L17" s="89" t="s">
        <v>70</v>
      </c>
    </row>
    <row r="18" spans="1:12" ht="97.9"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5" t="s">
        <v>72</v>
      </c>
      <c r="L18" s="89" t="s">
        <v>73</v>
      </c>
    </row>
    <row r="19" spans="1:12" ht="28.9">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28.9">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28.9">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28.9">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90" t="s">
        <v>75</v>
      </c>
      <c r="K23" s="65"/>
    </row>
    <row r="24" spans="1:12" ht="86.45">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5" t="s">
        <v>77</v>
      </c>
      <c r="L24" s="89" t="s">
        <v>78</v>
      </c>
    </row>
    <row r="25" spans="1:12">
      <c r="A25" s="13"/>
      <c r="B25" s="18"/>
      <c r="C25" s="13"/>
      <c r="D25" s="13"/>
      <c r="E25" s="13"/>
      <c r="F25" s="13"/>
      <c r="G25" s="13"/>
      <c r="H25" s="13"/>
      <c r="I25" s="13"/>
    </row>
    <row r="26" spans="1:12">
      <c r="A26" s="13"/>
      <c r="B26" s="18"/>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14"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8" t="str" cm="1">
        <f t="array" ref="A1">portfolio</f>
        <v>38 DN</v>
      </c>
      <c r="B1" s="98"/>
      <c r="C1" s="98"/>
      <c r="D1" s="99" t="s">
        <v>79</v>
      </c>
      <c r="E1" s="99"/>
      <c r="F1" s="99"/>
      <c r="G1" s="97" t="s">
        <v>80</v>
      </c>
      <c r="H1" s="97"/>
      <c r="I1" s="97"/>
      <c r="J1" s="4"/>
      <c r="K1" s="4"/>
    </row>
    <row r="2" spans="1:14" ht="19.5" customHeight="1">
      <c r="A2" s="100" t="s">
        <v>2</v>
      </c>
      <c r="B2" s="100"/>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6">
      <c r="A4" s="47" t="str" cm="1">
        <f t="array" ref="A4:A24">Sites[Site]</f>
        <v>6th St.</v>
      </c>
      <c r="B4" s="48" t="str" cm="1">
        <f t="array" ref="B4:B24">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92"/>
      <c r="M4" s="92"/>
      <c r="N4" s="92"/>
    </row>
    <row r="5" spans="1:14" ht="15.6">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92"/>
      <c r="M5" s="92"/>
      <c r="N5" s="92"/>
    </row>
    <row r="6" spans="1:14" ht="115.15">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5" t="s">
        <v>82</v>
      </c>
      <c r="L6" s="93" t="s">
        <v>83</v>
      </c>
      <c r="M6" s="93" t="s">
        <v>84</v>
      </c>
      <c r="N6" s="92"/>
    </row>
    <row r="7" spans="1:14" ht="28.9">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7" t="s">
        <v>86</v>
      </c>
      <c r="L7" s="92"/>
      <c r="M7" s="92"/>
      <c r="N7" s="92"/>
    </row>
    <row r="8" spans="1:14" ht="43.1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5" t="s">
        <v>88</v>
      </c>
      <c r="L8" s="92"/>
      <c r="M8" s="92"/>
      <c r="N8" s="92"/>
    </row>
    <row r="9" spans="1:14" ht="28.9">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7" t="s">
        <v>90</v>
      </c>
      <c r="L9" s="92"/>
      <c r="M9" s="92"/>
      <c r="N9" s="92"/>
    </row>
    <row r="10" spans="1:14" ht="28.9">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92"/>
      <c r="M10" s="92"/>
      <c r="N10" s="92"/>
    </row>
    <row r="11" spans="1:14" ht="28.9">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92"/>
      <c r="M11" s="92"/>
      <c r="N11" s="92"/>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5" t="s">
        <v>96</v>
      </c>
      <c r="L12" s="93" t="s">
        <v>97</v>
      </c>
      <c r="M12" s="92"/>
      <c r="N12" s="92"/>
    </row>
    <row r="13" spans="1:14" ht="43.1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7" t="s">
        <v>99</v>
      </c>
      <c r="L13" s="92"/>
      <c r="M13" s="92"/>
      <c r="N13" s="92"/>
    </row>
    <row r="14" spans="1:14" ht="28.9">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92"/>
      <c r="M14" s="92"/>
      <c r="N14" s="92"/>
    </row>
    <row r="15" spans="1:14" ht="28.9">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7" t="s">
        <v>103</v>
      </c>
      <c r="L15" s="92"/>
      <c r="M15" s="92"/>
      <c r="N15" s="92"/>
    </row>
    <row r="16" spans="1:14" ht="28.9">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5" t="s">
        <v>105</v>
      </c>
      <c r="L16" s="93" t="s">
        <v>106</v>
      </c>
      <c r="M16" s="92"/>
      <c r="N16" s="92"/>
    </row>
    <row r="17" spans="1:14" ht="57.6">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7" t="s">
        <v>108</v>
      </c>
      <c r="L17" s="92"/>
      <c r="M17" s="92"/>
      <c r="N17" s="92"/>
    </row>
    <row r="18" spans="1:14" ht="57.6">
      <c r="A18" s="91"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5" t="s">
        <v>110</v>
      </c>
      <c r="L18" s="92"/>
      <c r="M18" s="92"/>
      <c r="N18" s="92"/>
    </row>
    <row r="19" spans="1:14" ht="28.9">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7" t="s">
        <v>112</v>
      </c>
      <c r="L19" s="92"/>
      <c r="M19" s="92"/>
      <c r="N19" s="92"/>
    </row>
    <row r="20" spans="1:14" ht="28.9">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92"/>
      <c r="M20" s="92"/>
      <c r="N20" s="92"/>
    </row>
    <row r="21" spans="1:14" ht="15.6">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92"/>
      <c r="M21" s="92"/>
      <c r="N21" s="92"/>
    </row>
    <row r="22" spans="1:14" ht="43.1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92"/>
      <c r="M22" s="92"/>
      <c r="N22" s="92"/>
    </row>
    <row r="23" spans="1:14" ht="28.9">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92"/>
      <c r="M23" s="92"/>
      <c r="N23" s="92"/>
    </row>
    <row r="24" spans="1:14" ht="57.6">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5" t="s">
        <v>121</v>
      </c>
      <c r="L24" s="92"/>
      <c r="M24" s="92"/>
      <c r="N24" s="92"/>
    </row>
    <row r="25" spans="1:14" ht="14.45">
      <c r="A25" s="13"/>
      <c r="B25" s="18"/>
      <c r="C25" s="13"/>
      <c r="D25" s="13"/>
      <c r="E25" s="13"/>
      <c r="F25" s="13"/>
      <c r="G25" s="13"/>
      <c r="H25" s="13"/>
      <c r="I25" s="13"/>
      <c r="J25" s="13"/>
      <c r="K25" s="13"/>
    </row>
    <row r="26" spans="1:14" ht="14.45">
      <c r="A26" s="13"/>
      <c r="B26" s="18"/>
      <c r="C26" s="13"/>
      <c r="D26" s="13"/>
      <c r="E26" s="13"/>
      <c r="F26" s="13"/>
      <c r="G26" s="13"/>
      <c r="H26" s="13"/>
      <c r="I26" s="13"/>
      <c r="J26" s="13"/>
    </row>
    <row r="27" spans="1:14" ht="14.45">
      <c r="A27" s="13"/>
      <c r="B27" s="18"/>
      <c r="C27" s="13"/>
      <c r="D27" s="13"/>
      <c r="E27" s="13"/>
      <c r="F27" s="13"/>
      <c r="G27" s="13"/>
      <c r="H27" s="13"/>
      <c r="I27" s="13"/>
      <c r="J27" s="13"/>
    </row>
    <row r="28" spans="1:14" ht="14.45">
      <c r="A28" s="13"/>
      <c r="B28" s="18"/>
      <c r="C28" s="13"/>
      <c r="D28" s="13"/>
      <c r="E28" s="13"/>
      <c r="F28" s="13"/>
      <c r="G28" s="13"/>
      <c r="H28" s="13"/>
      <c r="I28" s="13"/>
      <c r="J28" s="13"/>
    </row>
    <row r="29" spans="1:14" ht="14.45">
      <c r="A29" s="13"/>
      <c r="B29" s="18"/>
      <c r="C29" s="13"/>
      <c r="D29" s="13"/>
      <c r="E29" s="13"/>
      <c r="F29" s="13"/>
      <c r="G29" s="13"/>
      <c r="H29" s="13"/>
      <c r="I29" s="13"/>
      <c r="J29" s="13"/>
    </row>
    <row r="30" spans="1:14" ht="14.45">
      <c r="A30" s="13"/>
      <c r="B30" s="18"/>
      <c r="C30" s="13"/>
      <c r="D30" s="13"/>
      <c r="E30" s="13"/>
      <c r="F30" s="13"/>
      <c r="G30" s="13"/>
      <c r="H30" s="13"/>
      <c r="I30" s="13"/>
      <c r="J30" s="13"/>
    </row>
    <row r="31" spans="1:14" ht="14.45">
      <c r="A31" s="13"/>
      <c r="B31" s="18"/>
      <c r="C31" s="13"/>
      <c r="D31" s="13"/>
      <c r="E31" s="13"/>
      <c r="F31" s="13"/>
      <c r="G31" s="13"/>
      <c r="H31" s="13"/>
      <c r="I31" s="13"/>
      <c r="J31" s="13"/>
    </row>
    <row r="32" spans="1:14" ht="14.45">
      <c r="A32" s="13"/>
      <c r="B32" s="18"/>
      <c r="C32" s="13"/>
      <c r="D32" s="13"/>
      <c r="E32" s="13"/>
      <c r="F32" s="14"/>
      <c r="G32" s="13"/>
      <c r="H32" s="14"/>
      <c r="I32" s="13"/>
      <c r="J32" s="13"/>
    </row>
    <row r="33" spans="1:11" ht="14.45">
      <c r="A33" s="13"/>
      <c r="B33" s="18"/>
      <c r="C33" s="13"/>
      <c r="D33" s="13"/>
      <c r="E33" s="13"/>
      <c r="F33" s="14"/>
      <c r="G33" s="13"/>
      <c r="H33" s="14"/>
      <c r="I33" s="13"/>
      <c r="J33" s="13"/>
    </row>
    <row r="34" spans="1:11" ht="14.45">
      <c r="A34" s="13"/>
      <c r="B34" s="18"/>
      <c r="C34" s="13"/>
      <c r="D34" s="13"/>
      <c r="E34" s="13"/>
      <c r="F34" s="14"/>
      <c r="G34" s="13"/>
      <c r="H34" s="14"/>
      <c r="I34" s="13"/>
      <c r="J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bottomRight" activeCell="J19" sqref="J1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98" t="str" cm="1">
        <f t="array" ref="A1">portfolio</f>
        <v>38 DN</v>
      </c>
      <c r="B1" s="98"/>
      <c r="C1" s="98"/>
      <c r="D1" s="99" t="s">
        <v>122</v>
      </c>
      <c r="E1" s="99"/>
      <c r="F1" s="99"/>
      <c r="G1" s="97" t="s">
        <v>123</v>
      </c>
      <c r="H1" s="97"/>
      <c r="I1" s="97"/>
      <c r="J1" s="4"/>
      <c r="K1" s="4"/>
    </row>
    <row r="2" spans="1:13" ht="19.5" customHeight="1">
      <c r="A2" s="100" t="s">
        <v>2</v>
      </c>
      <c r="B2" s="100"/>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91" t="str" cm="1">
        <f t="array" ref="A4:A24">Sites[Site]</f>
        <v>6th St.</v>
      </c>
      <c r="B4" s="48" t="str" cm="1">
        <f t="array" ref="B4:B24">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5" t="s">
        <v>125</v>
      </c>
      <c r="L4" s="93" t="s">
        <v>126</v>
      </c>
      <c r="M4" s="92"/>
    </row>
    <row r="5" spans="1:13" ht="43.1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7" t="s">
        <v>128</v>
      </c>
      <c r="L5" s="93" t="s">
        <v>129</v>
      </c>
      <c r="M5" s="92"/>
    </row>
    <row r="6" spans="1:13" ht="15.6">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92"/>
      <c r="M6" s="92"/>
    </row>
    <row r="7" spans="1:13" ht="15.6">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92"/>
      <c r="M7" s="92"/>
    </row>
    <row r="8" spans="1:13" ht="57.6">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5" t="s">
        <v>131</v>
      </c>
      <c r="L8" s="93" t="s">
        <v>132</v>
      </c>
      <c r="M8" s="92"/>
    </row>
    <row r="9" spans="1:13" ht="28.9">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7" t="s">
        <v>134</v>
      </c>
      <c r="L9" s="92"/>
      <c r="M9" s="92"/>
    </row>
    <row r="10" spans="1:13" ht="15.6">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5" t="s">
        <v>136</v>
      </c>
      <c r="L10" s="92"/>
      <c r="M10" s="92"/>
    </row>
    <row r="11" spans="1:13" ht="86.45">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7" t="s">
        <v>138</v>
      </c>
      <c r="L11" s="93" t="s">
        <v>139</v>
      </c>
      <c r="M11" s="92"/>
    </row>
    <row r="12" spans="1:13" ht="43.15">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5" t="s">
        <v>141</v>
      </c>
      <c r="L12" s="92"/>
      <c r="M12" s="92"/>
    </row>
    <row r="13" spans="1:13" ht="43.15">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7" t="s">
        <v>142</v>
      </c>
      <c r="L13" s="92"/>
      <c r="M13" s="92"/>
    </row>
    <row r="14" spans="1:13" ht="43.15">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5" t="s">
        <v>144</v>
      </c>
      <c r="L14" s="92"/>
      <c r="M14" s="92"/>
    </row>
    <row r="15" spans="1:13" ht="15.6">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92"/>
      <c r="M15" s="92"/>
    </row>
    <row r="16" spans="1:13" ht="28.9">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4" t="s">
        <v>145</v>
      </c>
      <c r="K16" s="85" t="s">
        <v>146</v>
      </c>
      <c r="L16" s="92"/>
      <c r="M16" s="92"/>
    </row>
    <row r="17" spans="1:13" ht="15.6">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92"/>
      <c r="M17" s="92"/>
    </row>
    <row r="18" spans="1:13" ht="43.15">
      <c r="A18" s="91"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5" t="s">
        <v>148</v>
      </c>
      <c r="L18" s="92"/>
      <c r="M18" s="92"/>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7" t="s">
        <v>150</v>
      </c>
      <c r="L19" s="92"/>
      <c r="M19" s="92"/>
    </row>
    <row r="20" spans="1:13" ht="28.9">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5" t="s">
        <v>152</v>
      </c>
      <c r="L20" s="92"/>
      <c r="M20" s="92"/>
    </row>
    <row r="21" spans="1:13" ht="28.9">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7" t="s">
        <v>154</v>
      </c>
      <c r="L21" s="92"/>
      <c r="M21" s="92"/>
    </row>
    <row r="22" spans="1:13" ht="15.6">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92"/>
      <c r="M22" s="92"/>
    </row>
    <row r="23" spans="1:13" ht="15.6">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92"/>
      <c r="M23" s="92"/>
    </row>
    <row r="24" spans="1:13" ht="15.6">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92"/>
      <c r="M24" s="92"/>
    </row>
    <row r="25" spans="1:13" ht="14.45">
      <c r="A25" s="13"/>
      <c r="B25" s="18"/>
      <c r="C25" s="13"/>
      <c r="D25" s="13"/>
      <c r="E25" s="13"/>
      <c r="F25" s="13"/>
      <c r="G25" s="13"/>
      <c r="H25" s="13"/>
      <c r="I25" s="13"/>
      <c r="J25" s="13"/>
      <c r="K25" s="13"/>
    </row>
    <row r="26" spans="1:13" ht="14.45">
      <c r="A26" s="13"/>
      <c r="B26" s="18"/>
      <c r="C26" s="13"/>
      <c r="D26" s="13"/>
      <c r="E26" s="13"/>
      <c r="F26" s="13"/>
      <c r="G26" s="13"/>
      <c r="H26" s="13"/>
      <c r="I26" s="13"/>
      <c r="J26" s="13"/>
      <c r="K26" s="13"/>
    </row>
    <row r="27" spans="1:13" ht="14.45">
      <c r="A27" s="13"/>
      <c r="B27" s="18"/>
      <c r="C27" s="13"/>
      <c r="D27" s="13"/>
      <c r="E27" s="13"/>
      <c r="F27" s="13"/>
      <c r="G27" s="13"/>
      <c r="H27" s="13"/>
      <c r="I27" s="13"/>
      <c r="J27" s="13"/>
      <c r="K27" s="13"/>
    </row>
    <row r="28" spans="1:13" ht="14.45">
      <c r="A28" s="13"/>
      <c r="B28" s="18"/>
      <c r="C28" s="13"/>
      <c r="D28" s="13"/>
      <c r="E28" s="13"/>
      <c r="F28" s="13"/>
      <c r="G28" s="13"/>
      <c r="H28" s="13"/>
      <c r="I28" s="13"/>
      <c r="J28" s="13"/>
      <c r="K28" s="13"/>
    </row>
    <row r="29" spans="1:13" ht="14.45">
      <c r="A29" s="13"/>
      <c r="B29" s="18"/>
      <c r="C29" s="13"/>
      <c r="D29" s="13"/>
      <c r="E29" s="13"/>
      <c r="F29" s="13"/>
      <c r="G29" s="13"/>
      <c r="H29" s="13"/>
      <c r="I29" s="13"/>
      <c r="J29" s="13"/>
      <c r="K29" s="13"/>
    </row>
    <row r="30" spans="1:13" ht="14.45">
      <c r="A30" s="13"/>
      <c r="B30" s="18"/>
      <c r="C30" s="13"/>
      <c r="D30" s="13"/>
      <c r="E30" s="13"/>
      <c r="F30" s="13"/>
      <c r="G30" s="13"/>
      <c r="H30" s="13"/>
      <c r="I30" s="13"/>
      <c r="J30" s="13"/>
      <c r="K30" s="13"/>
    </row>
    <row r="31" spans="1:13" ht="14.45">
      <c r="A31" s="13"/>
      <c r="B31" s="18"/>
      <c r="C31" s="13"/>
      <c r="D31" s="13"/>
      <c r="E31" s="13"/>
      <c r="F31" s="13"/>
      <c r="G31" s="13"/>
      <c r="H31" s="13"/>
      <c r="I31" s="13"/>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tabSelected="1" zoomScaleNormal="100" workbookViewId="0">
      <pane xSplit="2" ySplit="3" topLeftCell="C4" activePane="bottomRight" state="frozen"/>
      <selection pane="bottomRight" activeCell="N7" sqref="N7"/>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98" t="str" cm="1">
        <f t="array" ref="A1">portfolio</f>
        <v>38 DN</v>
      </c>
      <c r="B1" s="98"/>
      <c r="C1" s="98"/>
      <c r="D1" s="99" t="s">
        <v>155</v>
      </c>
      <c r="E1" s="99"/>
      <c r="F1" s="99"/>
      <c r="G1" s="97" t="s">
        <v>156</v>
      </c>
      <c r="H1" s="97"/>
      <c r="I1" s="97"/>
      <c r="J1" s="4"/>
      <c r="K1" s="4"/>
    </row>
    <row r="2" spans="1:12" ht="19.5" customHeight="1">
      <c r="A2" s="100" t="s">
        <v>2</v>
      </c>
      <c r="B2" s="100"/>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91" t="str" cm="1">
        <f t="array" ref="A4:A24">Sites[Site]</f>
        <v>6th St.</v>
      </c>
      <c r="B4" s="48" t="str" cm="1">
        <f t="array" ref="B4:B24">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95" t="s">
        <v>158</v>
      </c>
      <c r="L4" s="88"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7" t="s">
        <v>161</v>
      </c>
    </row>
    <row r="6" spans="1:12" ht="28.9">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6" t="s">
        <v>164</v>
      </c>
    </row>
    <row r="8" spans="1:12" ht="28.9">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28.9">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28.9">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60.75">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7" t="s">
        <v>166</v>
      </c>
      <c r="L11" s="88" t="s">
        <v>167</v>
      </c>
    </row>
    <row r="12" spans="1:12" ht="28.9">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28.9">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28.9">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28.9">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28.9">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28.9">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91"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95" t="s">
        <v>172</v>
      </c>
    </row>
    <row r="19" spans="1:12" ht="57.6">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6" t="s">
        <v>174</v>
      </c>
    </row>
    <row r="20" spans="1:12" ht="28.9">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28.9">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28.9">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95" t="s">
        <v>177</v>
      </c>
    </row>
    <row r="23" spans="1:12" ht="76.5">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7" t="s">
        <v>179</v>
      </c>
      <c r="L23" s="88" t="s">
        <v>180</v>
      </c>
    </row>
    <row r="24" spans="1:12" ht="28.9">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4.45">
      <c r="A25" s="13"/>
      <c r="B25" s="18"/>
      <c r="C25" s="13"/>
      <c r="D25" s="13"/>
      <c r="E25" s="13"/>
      <c r="F25" s="13"/>
      <c r="G25" s="13"/>
      <c r="H25" s="13"/>
      <c r="I25" s="13"/>
      <c r="J25" s="13"/>
      <c r="K25" s="13"/>
    </row>
    <row r="26" spans="1:12" ht="14.45">
      <c r="A26" s="13"/>
      <c r="B26" s="18"/>
      <c r="C26" s="13"/>
      <c r="D26" s="13"/>
      <c r="E26" s="13"/>
      <c r="F26" s="13"/>
      <c r="G26" s="13"/>
      <c r="H26" s="13"/>
      <c r="I26" s="13"/>
      <c r="J26" s="13"/>
      <c r="K26" s="13"/>
    </row>
    <row r="27" spans="1:12" ht="14.45">
      <c r="A27" s="13"/>
      <c r="B27" s="18"/>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Normal="100" workbookViewId="0">
      <pane xSplit="2" ySplit="3" topLeftCell="C11"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8" t="str" cm="1">
        <f t="array" ref="A1">portfolio</f>
        <v>38 DN</v>
      </c>
      <c r="B1" s="98"/>
      <c r="C1" s="98"/>
      <c r="D1" s="99" t="s">
        <v>181</v>
      </c>
      <c r="E1" s="99"/>
      <c r="F1" s="99"/>
      <c r="G1" s="97" t="s">
        <v>182</v>
      </c>
      <c r="H1" s="97"/>
      <c r="I1" s="97"/>
      <c r="J1" s="4"/>
      <c r="K1" s="4"/>
    </row>
    <row r="2" spans="1:13" ht="19.5" customHeight="1">
      <c r="A2" s="100" t="s">
        <v>2</v>
      </c>
      <c r="B2" s="100"/>
      <c r="C2" s="5">
        <f>SUM(C4:C99)</f>
        <v>0</v>
      </c>
      <c r="D2" s="5">
        <f>SUM(D4:D99)</f>
        <v>0</v>
      </c>
      <c r="E2" s="5">
        <f>C2-D2</f>
        <v>0</v>
      </c>
      <c r="F2" s="6">
        <f>IFERROR(E2/D2, 0)</f>
        <v>0</v>
      </c>
      <c r="G2" s="5">
        <f>SUM(G4:G99)</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3" ht="15.6">
      <c r="A6" s="51" t="str">
        <v>Bowden</v>
      </c>
      <c r="B6" s="48" t="str">
        <v>MA</v>
      </c>
      <c r="C6" s="36"/>
      <c r="D6" s="37"/>
      <c r="E6" s="37" t="str">
        <f t="shared" si="0"/>
        <v/>
      </c>
      <c r="F6" s="38" t="str">
        <f t="shared" ref="F6:F17"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6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58"/>
      <c r="K9" s="58"/>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04.25" customHeight="1">
      <c r="A11" s="49" t="str">
        <v>ISM Dighton Solar 2</v>
      </c>
      <c r="B11" s="50" t="str">
        <v>MA</v>
      </c>
      <c r="C11" s="43"/>
      <c r="D11" s="44"/>
      <c r="E11" s="44" t="str">
        <f t="shared" si="0"/>
        <v/>
      </c>
      <c r="F11" s="45" t="str">
        <f t="shared" si="3"/>
        <v/>
      </c>
      <c r="G11" s="46"/>
      <c r="H11" s="46" t="str">
        <f t="shared" si="1"/>
        <v/>
      </c>
      <c r="I11" s="45" t="str">
        <f t="shared" si="2"/>
        <v/>
      </c>
      <c r="J11" s="58"/>
      <c r="K11" s="69"/>
    </row>
    <row r="12" spans="1:13" ht="15.6">
      <c r="A12" s="51" t="str">
        <v>Dudley River 1</v>
      </c>
      <c r="B12" s="48" t="str">
        <v>MA</v>
      </c>
      <c r="C12" s="36"/>
      <c r="D12" s="37"/>
      <c r="E12" s="37" t="str">
        <f t="shared" si="0"/>
        <v/>
      </c>
      <c r="F12" s="38" t="str">
        <f t="shared" si="3"/>
        <v/>
      </c>
      <c r="G12" s="39"/>
      <c r="H12" s="39" t="str">
        <f t="shared" si="1"/>
        <v/>
      </c>
      <c r="I12" s="40" t="str">
        <f t="shared" si="2"/>
        <v/>
      </c>
      <c r="J12" s="57"/>
      <c r="K12" s="57"/>
      <c r="M12" t="s">
        <v>183</v>
      </c>
    </row>
    <row r="13" spans="1:13" ht="15.6">
      <c r="A13" s="49" t="str">
        <v>Dudley River 2</v>
      </c>
      <c r="B13" s="50" t="str">
        <v>MA</v>
      </c>
      <c r="C13" s="43"/>
      <c r="D13" s="44"/>
      <c r="E13" s="44" t="str">
        <f t="shared" si="0"/>
        <v/>
      </c>
      <c r="F13" s="45" t="str">
        <f t="shared" si="3"/>
        <v/>
      </c>
      <c r="G13" s="46"/>
      <c r="H13" s="46" t="str">
        <f t="shared" si="1"/>
        <v/>
      </c>
      <c r="I13" s="45" t="str">
        <f t="shared" si="2"/>
        <v/>
      </c>
      <c r="J13" s="58"/>
      <c r="K13" s="69"/>
    </row>
    <row r="14" spans="1:13" ht="15.6">
      <c r="A14" s="51" t="str">
        <v>Dudley River 3</v>
      </c>
      <c r="B14" s="48" t="str">
        <v>MA</v>
      </c>
      <c r="C14" s="36"/>
      <c r="D14" s="37"/>
      <c r="E14" s="37" t="str">
        <f t="shared" si="0"/>
        <v/>
      </c>
      <c r="F14" s="38" t="str">
        <f t="shared" si="3"/>
        <v/>
      </c>
      <c r="G14" s="39"/>
      <c r="H14" s="39" t="str">
        <f t="shared" si="1"/>
        <v/>
      </c>
      <c r="I14" s="40" t="str">
        <f t="shared" si="2"/>
        <v/>
      </c>
      <c r="J14" s="57"/>
      <c r="K14" s="57"/>
    </row>
    <row r="15" spans="1:13" ht="15.6">
      <c r="A15" s="49" t="str">
        <v>Flint Pond</v>
      </c>
      <c r="B15" s="50" t="str">
        <v>MA</v>
      </c>
      <c r="C15" s="43"/>
      <c r="D15" s="44"/>
      <c r="E15" s="44" t="str">
        <f t="shared" si="0"/>
        <v/>
      </c>
      <c r="F15" s="45" t="str">
        <f t="shared" si="3"/>
        <v/>
      </c>
      <c r="G15" s="46"/>
      <c r="H15" s="46" t="str">
        <f t="shared" si="1"/>
        <v/>
      </c>
      <c r="I15" s="45" t="str">
        <f t="shared" si="2"/>
        <v/>
      </c>
      <c r="J15" s="58"/>
      <c r="K15" s="58"/>
    </row>
    <row r="16" spans="1:13"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70" t="str">
        <f t="shared" si="3"/>
        <v/>
      </c>
      <c r="G17" s="46"/>
      <c r="H17" s="46" t="str">
        <f t="shared" si="1"/>
        <v/>
      </c>
      <c r="I17" s="45" t="str">
        <f t="shared" si="2"/>
        <v/>
      </c>
      <c r="J17" s="58"/>
      <c r="K17" s="58"/>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70"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34.5" customHeight="1">
      <c r="A21" s="49" t="str">
        <v>St Josephs Church</v>
      </c>
      <c r="B21" s="50" t="str">
        <v>MA</v>
      </c>
      <c r="C21" s="43"/>
      <c r="D21" s="44"/>
      <c r="E21" s="44" t="str">
        <f t="shared" si="4"/>
        <v/>
      </c>
      <c r="F21" s="70" t="str">
        <f t="shared" si="5"/>
        <v/>
      </c>
      <c r="G21" s="46"/>
      <c r="H21" s="46" t="str">
        <f t="shared" si="6"/>
        <v/>
      </c>
      <c r="I21" s="45" t="str">
        <f t="shared" si="7"/>
        <v/>
      </c>
      <c r="J21" s="58"/>
      <c r="K21" s="6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70" t="str">
        <f t="shared" si="5"/>
        <v/>
      </c>
      <c r="G23" s="46"/>
      <c r="H23" s="46" t="str">
        <f t="shared" si="6"/>
        <v/>
      </c>
      <c r="I23" s="45" t="str">
        <f t="shared" si="7"/>
        <v/>
      </c>
      <c r="J23" s="58"/>
      <c r="K23" s="58"/>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1"/>
  <sheetViews>
    <sheetView zoomScaleNormal="100" workbookViewId="0">
      <pane xSplit="2" ySplit="3" topLeftCell="C9"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8" t="str" cm="1">
        <f t="array" ref="A1">portfolio</f>
        <v>38 DN</v>
      </c>
      <c r="B1" s="98"/>
      <c r="C1" s="98"/>
      <c r="D1" s="99" t="s">
        <v>184</v>
      </c>
      <c r="E1" s="99"/>
      <c r="F1" s="99"/>
      <c r="G1" s="97" t="s">
        <v>185</v>
      </c>
      <c r="H1" s="97"/>
      <c r="I1" s="97"/>
      <c r="J1" s="4"/>
      <c r="K1" s="4"/>
    </row>
    <row r="2" spans="1:11" ht="19.5" customHeight="1">
      <c r="A2" s="100" t="s">
        <v>2</v>
      </c>
      <c r="B2" s="100"/>
      <c r="C2" s="5">
        <f>SUM(C4:C99)</f>
        <v>0</v>
      </c>
      <c r="D2" s="5">
        <f>SUM(D4:D99)</f>
        <v>0</v>
      </c>
      <c r="E2" s="5">
        <f>C2-D2</f>
        <v>0</v>
      </c>
      <c r="F2" s="6">
        <f>IFERROR(E2/D2, 0)</f>
        <v>0</v>
      </c>
      <c r="G2" s="5">
        <f>SUM(G4:G99)</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69"/>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8"/>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8" t="str" cm="1">
        <f t="array" ref="A1">portfolio</f>
        <v>38 DN</v>
      </c>
      <c r="B1" s="98"/>
      <c r="C1" s="98"/>
      <c r="D1" s="99" t="s">
        <v>186</v>
      </c>
      <c r="E1" s="99"/>
      <c r="F1" s="99"/>
      <c r="G1" s="97" t="s">
        <v>187</v>
      </c>
      <c r="H1" s="97"/>
      <c r="I1" s="97"/>
      <c r="J1" s="4"/>
      <c r="K1" s="4"/>
    </row>
    <row r="2" spans="1:11" ht="19.5" customHeight="1">
      <c r="A2" s="100" t="s">
        <v>2</v>
      </c>
      <c r="B2" s="100"/>
      <c r="C2" s="5">
        <f>SUM(C4:C99)</f>
        <v>0</v>
      </c>
      <c r="D2" s="5">
        <f>SUM(D4:D99)</f>
        <v>0</v>
      </c>
      <c r="E2" s="5">
        <f>C2-D2</f>
        <v>0</v>
      </c>
      <c r="F2" s="6">
        <f>IFERROR(E2/D2, 0)</f>
        <v>0</v>
      </c>
      <c r="G2" s="5">
        <f>SUM(G4:G99)</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t="s">
        <v>188</v>
      </c>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1"/>
  <sheetViews>
    <sheetView zoomScaleNormal="100" workbookViewId="0">
      <pane xSplit="2" ySplit="3" topLeftCell="C12"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8" t="str" cm="1">
        <f t="array" ref="A1">portfolio</f>
        <v>38 DN</v>
      </c>
      <c r="B1" s="98"/>
      <c r="C1" s="98"/>
      <c r="D1" s="99" t="s">
        <v>189</v>
      </c>
      <c r="E1" s="99"/>
      <c r="F1" s="99"/>
      <c r="G1" s="97" t="s">
        <v>190</v>
      </c>
      <c r="H1" s="97"/>
      <c r="I1" s="97"/>
      <c r="J1" s="4"/>
      <c r="K1" s="4"/>
    </row>
    <row r="2" spans="1:11" ht="19.5" customHeight="1">
      <c r="A2" s="100" t="s">
        <v>2</v>
      </c>
      <c r="B2" s="100"/>
      <c r="C2" s="5">
        <f>SUM(C4:C99)</f>
        <v>0</v>
      </c>
      <c r="D2" s="5">
        <f>SUM(D4:D99)</f>
        <v>0</v>
      </c>
      <c r="E2" s="5">
        <f>C2-D2</f>
        <v>0</v>
      </c>
      <c r="F2" s="6">
        <f>IFERROR(E2/D2, 0)</f>
        <v>0</v>
      </c>
      <c r="G2" s="5">
        <f>SUM(G4:G99)</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8"/>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34.25" customHeight="1">
      <c r="A11" s="49" t="str">
        <v>ISM Dighton Solar 2</v>
      </c>
      <c r="B11" s="50" t="str">
        <v>MA</v>
      </c>
      <c r="C11" s="43"/>
      <c r="D11" s="44"/>
      <c r="E11" s="44" t="str">
        <f t="shared" si="0"/>
        <v/>
      </c>
      <c r="F11" s="45" t="str">
        <f t="shared" si="3"/>
        <v/>
      </c>
      <c r="G11" s="46"/>
      <c r="H11" s="46" t="str">
        <f t="shared" si="1"/>
        <v/>
      </c>
      <c r="I11" s="45" t="str">
        <f t="shared" si="2"/>
        <v/>
      </c>
      <c r="J11" s="67"/>
      <c r="K11" s="67"/>
    </row>
    <row r="12" spans="1:11" ht="55.5" customHeight="1">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7"/>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8" t="str" cm="1">
        <f t="array" ref="A1">portfolio</f>
        <v>38 DN</v>
      </c>
      <c r="B1" s="98"/>
      <c r="C1" s="98"/>
      <c r="D1" s="99" t="s">
        <v>191</v>
      </c>
      <c r="E1" s="99"/>
      <c r="F1" s="99"/>
      <c r="G1" s="97" t="s">
        <v>192</v>
      </c>
      <c r="H1" s="97"/>
      <c r="I1" s="97"/>
      <c r="J1" s="4"/>
      <c r="K1" s="4"/>
    </row>
    <row r="2" spans="1:11" ht="19.5" customHeight="1">
      <c r="A2" s="100" t="s">
        <v>2</v>
      </c>
      <c r="B2" s="100"/>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36" customHeight="1">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8"/>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67"/>
      <c r="K9" s="69"/>
    </row>
    <row r="10" spans="1:11" ht="15.6">
      <c r="A10" s="51" t="str">
        <v>Cohasse</v>
      </c>
      <c r="B10" s="48" t="str">
        <v>MA</v>
      </c>
      <c r="C10" s="36"/>
      <c r="D10" s="37"/>
      <c r="E10" s="37" t="str">
        <f t="shared" si="0"/>
        <v/>
      </c>
      <c r="F10" s="38" t="str">
        <f t="shared" si="3"/>
        <v/>
      </c>
      <c r="G10" s="39"/>
      <c r="H10" s="39" t="str">
        <f t="shared" si="1"/>
        <v/>
      </c>
      <c r="I10" s="40" t="str">
        <f t="shared" si="2"/>
        <v/>
      </c>
      <c r="J10" s="57"/>
      <c r="K10" s="75"/>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6">
      <c r="A12" s="51" t="str">
        <v>Dudley River 1</v>
      </c>
      <c r="B12" s="48" t="str">
        <v>MA</v>
      </c>
      <c r="C12" s="36"/>
      <c r="D12" s="37"/>
      <c r="E12" s="37" t="str">
        <f t="shared" si="0"/>
        <v/>
      </c>
      <c r="F12" s="38" t="str">
        <f t="shared" si="3"/>
        <v/>
      </c>
      <c r="G12" s="39"/>
      <c r="H12" s="39" t="str">
        <f t="shared" si="1"/>
        <v/>
      </c>
      <c r="I12" s="40" t="str">
        <f t="shared" si="2"/>
        <v/>
      </c>
      <c r="J12" s="57"/>
      <c r="K12" s="75"/>
    </row>
    <row r="13" spans="1:11" ht="15.6">
      <c r="A13" s="49" t="str">
        <v>Dudley River 2</v>
      </c>
      <c r="B13" s="50" t="str">
        <v>MA</v>
      </c>
      <c r="C13" s="43"/>
      <c r="D13" s="44"/>
      <c r="E13" s="44" t="str">
        <f t="shared" si="0"/>
        <v/>
      </c>
      <c r="F13" s="45" t="str">
        <f t="shared" si="3"/>
        <v/>
      </c>
      <c r="G13" s="46"/>
      <c r="H13" s="46" t="str">
        <f t="shared" si="1"/>
        <v/>
      </c>
      <c r="I13" s="45" t="str">
        <f t="shared" si="2"/>
        <v/>
      </c>
      <c r="J13" s="58"/>
      <c r="K13" s="77"/>
    </row>
    <row r="14" spans="1:11" ht="15.6">
      <c r="A14" s="51" t="str">
        <v>Dudley River 3</v>
      </c>
      <c r="B14" s="48" t="str">
        <v>MA</v>
      </c>
      <c r="C14" s="36"/>
      <c r="D14" s="37"/>
      <c r="E14" s="37" t="str">
        <f t="shared" si="0"/>
        <v/>
      </c>
      <c r="F14" s="38" t="str">
        <f t="shared" si="3"/>
        <v/>
      </c>
      <c r="G14" s="39"/>
      <c r="H14" s="39" t="str">
        <f t="shared" si="1"/>
        <v/>
      </c>
      <c r="I14" s="40" t="str">
        <f t="shared" si="2"/>
        <v/>
      </c>
      <c r="J14" s="57"/>
      <c r="K14" s="75"/>
    </row>
    <row r="15" spans="1:11" ht="15.6">
      <c r="A15" s="49" t="str">
        <v>Flint Pond</v>
      </c>
      <c r="B15" s="50" t="str">
        <v>MA</v>
      </c>
      <c r="C15" s="43"/>
      <c r="D15" s="44"/>
      <c r="E15" s="44" t="str">
        <f t="shared" si="0"/>
        <v/>
      </c>
      <c r="F15" s="45" t="str">
        <f t="shared" si="3"/>
        <v/>
      </c>
      <c r="G15" s="46"/>
      <c r="H15" s="46" t="str">
        <f t="shared" si="1"/>
        <v/>
      </c>
      <c r="I15" s="45" t="str">
        <f t="shared" si="2"/>
        <v/>
      </c>
      <c r="J15" s="69"/>
      <c r="K15" s="76"/>
    </row>
    <row r="16" spans="1:11" ht="15.6">
      <c r="A16" s="51" t="str">
        <v>Incom</v>
      </c>
      <c r="B16" s="48" t="str">
        <v>MA</v>
      </c>
      <c r="C16" s="36"/>
      <c r="D16" s="37"/>
      <c r="E16" s="37" t="str">
        <f t="shared" si="0"/>
        <v/>
      </c>
      <c r="F16" s="38" t="str">
        <f t="shared" si="3"/>
        <v/>
      </c>
      <c r="G16" s="39"/>
      <c r="H16" s="39" t="str">
        <f t="shared" si="1"/>
        <v/>
      </c>
      <c r="I16" s="40" t="str">
        <f t="shared" si="2"/>
        <v/>
      </c>
      <c r="J16" s="57"/>
      <c r="K16" s="75"/>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8" t="str" cm="1">
        <f t="array" ref="A1">portfolio</f>
        <v>38 DN</v>
      </c>
      <c r="B1" s="98"/>
      <c r="C1" s="98"/>
      <c r="D1" s="99" t="s">
        <v>193</v>
      </c>
      <c r="E1" s="99"/>
      <c r="F1" s="99"/>
      <c r="G1" s="97" t="s">
        <v>194</v>
      </c>
      <c r="H1" s="97"/>
      <c r="I1" s="97"/>
      <c r="J1" s="4"/>
      <c r="K1" s="4"/>
    </row>
    <row r="2" spans="1:11" ht="19.5" customHeight="1">
      <c r="A2" s="100" t="s">
        <v>2</v>
      </c>
      <c r="B2" s="100"/>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IFERROR(E16/D16, "")</f>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8" t="str" cm="1">
        <f t="array" ref="A1">portfolio</f>
        <v>38 DN</v>
      </c>
      <c r="B1" s="98"/>
      <c r="C1" s="98"/>
      <c r="D1" s="99" t="s">
        <v>195</v>
      </c>
      <c r="E1" s="99"/>
      <c r="F1" s="99"/>
      <c r="G1" s="97" t="s">
        <v>196</v>
      </c>
      <c r="H1" s="97"/>
      <c r="I1" s="97"/>
      <c r="J1" s="4"/>
      <c r="K1" s="4"/>
    </row>
    <row r="2" spans="1:13" ht="19.5" customHeight="1">
      <c r="A2" s="100" t="s">
        <v>2</v>
      </c>
      <c r="B2" s="100"/>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6">
      <c r="A6" s="51" t="str">
        <v>Bowden</v>
      </c>
      <c r="B6" s="48" t="str">
        <v>MA</v>
      </c>
      <c r="C6" s="36"/>
      <c r="D6" s="37"/>
      <c r="E6" s="37" t="str">
        <f t="shared" si="0"/>
        <v/>
      </c>
      <c r="F6" s="38" t="str">
        <f t="shared" ref="F6:F24"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5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67"/>
      <c r="K9" s="80"/>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5.6">
      <c r="A11" s="49" t="str">
        <v>ISM Dighton Solar 2</v>
      </c>
      <c r="B11" s="50" t="str">
        <v>MA</v>
      </c>
      <c r="C11" s="43"/>
      <c r="D11" s="44"/>
      <c r="E11" s="44" t="str">
        <f t="shared" si="0"/>
        <v/>
      </c>
      <c r="F11" s="45" t="str">
        <f t="shared" si="3"/>
        <v/>
      </c>
      <c r="G11" s="46"/>
      <c r="H11" s="46" t="str">
        <f t="shared" si="1"/>
        <v/>
      </c>
      <c r="I11" s="45" t="str">
        <f t="shared" si="2"/>
        <v/>
      </c>
      <c r="J11" s="58"/>
      <c r="K11" s="78"/>
      <c r="M11" t="s">
        <v>197</v>
      </c>
    </row>
    <row r="12" spans="1:13" ht="15.6">
      <c r="A12" s="51" t="str">
        <v>Dudley River 1</v>
      </c>
      <c r="B12" s="48" t="str">
        <v>MA</v>
      </c>
      <c r="C12" s="36"/>
      <c r="D12" s="37"/>
      <c r="E12" s="37" t="str">
        <f t="shared" si="0"/>
        <v/>
      </c>
      <c r="F12" s="38" t="str">
        <f t="shared" si="3"/>
        <v/>
      </c>
      <c r="G12" s="39"/>
      <c r="H12" s="39" t="str">
        <f t="shared" si="1"/>
        <v/>
      </c>
      <c r="I12" s="40" t="str">
        <f t="shared" si="2"/>
        <v/>
      </c>
      <c r="J12" s="66"/>
      <c r="K12" s="66"/>
    </row>
    <row r="13" spans="1:13" ht="15.6">
      <c r="A13" s="49" t="str">
        <v>Dudley River 2</v>
      </c>
      <c r="B13" s="50" t="str">
        <v>MA</v>
      </c>
      <c r="C13" s="43"/>
      <c r="D13" s="44"/>
      <c r="E13" s="44" t="str">
        <f t="shared" si="0"/>
        <v/>
      </c>
      <c r="F13" s="45" t="str">
        <f t="shared" si="3"/>
        <v/>
      </c>
      <c r="G13" s="46"/>
      <c r="H13" s="46" t="str">
        <f t="shared" si="1"/>
        <v/>
      </c>
      <c r="I13" s="45" t="str">
        <f t="shared" si="2"/>
        <v/>
      </c>
      <c r="J13" s="58"/>
      <c r="K13" s="59"/>
    </row>
    <row r="14" spans="1:13" ht="15.6">
      <c r="A14" s="51" t="str">
        <v>Dudley River 3</v>
      </c>
      <c r="B14" s="48" t="str">
        <v>MA</v>
      </c>
      <c r="C14" s="36"/>
      <c r="D14" s="37"/>
      <c r="E14" s="37" t="str">
        <f t="shared" si="0"/>
        <v/>
      </c>
      <c r="F14" s="38" t="str">
        <f t="shared" si="3"/>
        <v/>
      </c>
      <c r="G14" s="39"/>
      <c r="H14" s="39" t="str">
        <f t="shared" si="1"/>
        <v/>
      </c>
      <c r="I14" s="40" t="str">
        <f t="shared" si="2"/>
        <v/>
      </c>
      <c r="J14" s="66"/>
      <c r="K14" s="66"/>
    </row>
    <row r="15" spans="1:13" ht="15.6">
      <c r="A15" s="49" t="str">
        <v>Flint Pond</v>
      </c>
      <c r="B15" s="50" t="str">
        <v>MA</v>
      </c>
      <c r="C15" s="43"/>
      <c r="D15" s="44"/>
      <c r="E15" s="44" t="str">
        <f t="shared" si="0"/>
        <v/>
      </c>
      <c r="F15" s="45" t="str">
        <f t="shared" si="3"/>
        <v/>
      </c>
      <c r="G15" s="46"/>
      <c r="H15" s="46" t="str">
        <f t="shared" si="1"/>
        <v/>
      </c>
      <c r="I15" s="45" t="str">
        <f t="shared" si="2"/>
        <v/>
      </c>
      <c r="J15" s="82"/>
      <c r="K15" s="79"/>
    </row>
    <row r="16" spans="1:13" ht="15.6">
      <c r="A16" s="51" t="str">
        <v>Incom</v>
      </c>
      <c r="B16" s="48" t="str">
        <v>MA</v>
      </c>
      <c r="C16" s="36"/>
      <c r="D16" s="37"/>
      <c r="E16" s="37" t="str">
        <f t="shared" si="0"/>
        <v/>
      </c>
      <c r="F16" s="38" t="str">
        <f t="shared" si="3"/>
        <v/>
      </c>
      <c r="G16" s="39"/>
      <c r="H16" s="39" t="str">
        <f t="shared" si="1"/>
        <v/>
      </c>
      <c r="I16" s="40" t="str">
        <f t="shared" si="2"/>
        <v/>
      </c>
      <c r="J16" s="81"/>
      <c r="K16" s="57"/>
    </row>
    <row r="17" spans="1:11" ht="15.6">
      <c r="A17" s="49" t="str">
        <v>JH</v>
      </c>
      <c r="B17" s="50" t="str">
        <v>MA</v>
      </c>
      <c r="C17" s="43"/>
      <c r="D17" s="44"/>
      <c r="E17" s="44"/>
      <c r="F17" s="45" t="str">
        <f t="shared" si="3"/>
        <v/>
      </c>
      <c r="G17" s="46"/>
      <c r="H17" s="46" t="str">
        <f t="shared" si="1"/>
        <v/>
      </c>
      <c r="I17" s="45" t="str">
        <f t="shared" si="2"/>
        <v/>
      </c>
      <c r="J17" s="58"/>
      <c r="K17" s="79"/>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75"/>
      <c r="K22" s="57"/>
    </row>
    <row r="23" spans="1:11" ht="15.6">
      <c r="A23" s="49" t="str">
        <v>Sunset B</v>
      </c>
      <c r="B23" s="50" t="str">
        <v>MA</v>
      </c>
      <c r="C23" s="43"/>
      <c r="D23" s="44"/>
      <c r="E23" s="44" t="str">
        <f t="shared" si="0"/>
        <v/>
      </c>
      <c r="F23" s="45" t="str">
        <f t="shared" si="3"/>
        <v/>
      </c>
      <c r="G23" s="46"/>
      <c r="H23" s="46" t="str">
        <f t="shared" si="1"/>
        <v/>
      </c>
      <c r="I23" s="45" t="str">
        <f t="shared" si="2"/>
        <v/>
      </c>
      <c r="J23" s="69"/>
      <c r="K23" s="76"/>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B30" sqref="B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198</v>
      </c>
      <c r="B1" t="s">
        <v>199</v>
      </c>
    </row>
    <row r="3" spans="1:12" ht="13.15">
      <c r="A3" t="s">
        <v>200</v>
      </c>
      <c r="B3" t="s">
        <v>3</v>
      </c>
      <c r="C3" t="s">
        <v>4</v>
      </c>
      <c r="D3" t="s">
        <v>201</v>
      </c>
      <c r="E3" s="2" t="s">
        <v>202</v>
      </c>
    </row>
    <row r="4" spans="1:12" ht="14.45">
      <c r="A4" s="26" t="s">
        <v>203</v>
      </c>
      <c r="B4" t="s">
        <v>203</v>
      </c>
      <c r="C4" s="25" t="s">
        <v>204</v>
      </c>
      <c r="D4" s="24" t="s">
        <v>205</v>
      </c>
      <c r="E4" t="s">
        <v>206</v>
      </c>
      <c r="G4" s="3"/>
    </row>
    <row r="5" spans="1:12" ht="14.45">
      <c r="A5" s="26" t="s">
        <v>207</v>
      </c>
      <c r="B5" t="s">
        <v>207</v>
      </c>
      <c r="C5" s="25" t="s">
        <v>208</v>
      </c>
      <c r="D5" s="24" t="s">
        <v>205</v>
      </c>
      <c r="E5" t="s">
        <v>206</v>
      </c>
      <c r="G5" s="3"/>
    </row>
    <row r="6" spans="1:12" ht="14.45">
      <c r="A6" s="26" t="s">
        <v>209</v>
      </c>
      <c r="B6" t="s">
        <v>209</v>
      </c>
      <c r="C6" s="25" t="s">
        <v>208</v>
      </c>
      <c r="D6" s="24" t="s">
        <v>205</v>
      </c>
      <c r="E6" t="s">
        <v>206</v>
      </c>
      <c r="G6" s="3"/>
    </row>
    <row r="7" spans="1:12" ht="12.75" customHeight="1">
      <c r="A7" s="26" t="s">
        <v>210</v>
      </c>
      <c r="B7" t="s">
        <v>210</v>
      </c>
      <c r="C7" s="25" t="s">
        <v>208</v>
      </c>
      <c r="D7" s="24" t="s">
        <v>205</v>
      </c>
      <c r="E7" t="s">
        <v>206</v>
      </c>
    </row>
    <row r="8" spans="1:12" ht="12.75" customHeight="1">
      <c r="A8" s="26" t="s">
        <v>211</v>
      </c>
      <c r="B8" t="s">
        <v>211</v>
      </c>
      <c r="C8" s="25" t="s">
        <v>208</v>
      </c>
      <c r="D8" s="24" t="s">
        <v>205</v>
      </c>
      <c r="E8" t="s">
        <v>206</v>
      </c>
    </row>
    <row r="9" spans="1:12" ht="12.75" customHeight="1">
      <c r="A9" s="26" t="s">
        <v>212</v>
      </c>
      <c r="B9" t="s">
        <v>212</v>
      </c>
      <c r="C9" s="25" t="s">
        <v>208</v>
      </c>
      <c r="D9" s="24" t="s">
        <v>205</v>
      </c>
      <c r="E9" t="s">
        <v>206</v>
      </c>
    </row>
    <row r="10" spans="1:12" ht="12.75" customHeight="1">
      <c r="A10" s="26" t="s">
        <v>213</v>
      </c>
      <c r="B10" t="s">
        <v>213</v>
      </c>
      <c r="C10" s="25" t="s">
        <v>208</v>
      </c>
      <c r="D10" s="24" t="s">
        <v>205</v>
      </c>
      <c r="E10" t="s">
        <v>206</v>
      </c>
      <c r="K10" s="21"/>
      <c r="L10" s="21"/>
    </row>
    <row r="11" spans="1:12" ht="12.75" customHeight="1">
      <c r="A11" s="26" t="s">
        <v>214</v>
      </c>
      <c r="B11" t="s">
        <v>214</v>
      </c>
      <c r="C11" s="25" t="s">
        <v>208</v>
      </c>
      <c r="D11" s="24" t="s">
        <v>205</v>
      </c>
      <c r="E11" t="s">
        <v>206</v>
      </c>
      <c r="K11" s="21"/>
      <c r="L11" s="21"/>
    </row>
    <row r="12" spans="1:12" ht="12.75" customHeight="1">
      <c r="A12" s="26" t="s">
        <v>215</v>
      </c>
      <c r="B12" t="s">
        <v>215</v>
      </c>
      <c r="C12" s="25" t="s">
        <v>208</v>
      </c>
      <c r="D12" s="24" t="s">
        <v>205</v>
      </c>
      <c r="E12" t="s">
        <v>206</v>
      </c>
      <c r="K12" s="21"/>
      <c r="L12" s="21"/>
    </row>
    <row r="13" spans="1:12" ht="12.75" customHeight="1">
      <c r="A13" s="26" t="s">
        <v>216</v>
      </c>
      <c r="B13" t="s">
        <v>216</v>
      </c>
      <c r="C13" s="25" t="s">
        <v>208</v>
      </c>
      <c r="D13" s="24" t="s">
        <v>205</v>
      </c>
      <c r="E13" t="s">
        <v>206</v>
      </c>
      <c r="K13" s="21"/>
      <c r="L13" s="21"/>
    </row>
    <row r="14" spans="1:12" ht="12.75" customHeight="1">
      <c r="A14" s="26" t="s">
        <v>217</v>
      </c>
      <c r="B14" t="s">
        <v>217</v>
      </c>
      <c r="C14" s="25" t="s">
        <v>208</v>
      </c>
      <c r="D14" s="24" t="s">
        <v>205</v>
      </c>
      <c r="E14" t="s">
        <v>206</v>
      </c>
      <c r="K14" s="21"/>
      <c r="L14" s="21"/>
    </row>
    <row r="15" spans="1:12" ht="12.75" customHeight="1">
      <c r="A15" s="26" t="s">
        <v>218</v>
      </c>
      <c r="B15" t="s">
        <v>218</v>
      </c>
      <c r="C15" s="25" t="s">
        <v>208</v>
      </c>
      <c r="D15" s="24" t="s">
        <v>205</v>
      </c>
      <c r="E15" t="s">
        <v>206</v>
      </c>
      <c r="K15" s="21"/>
      <c r="L15" s="21"/>
    </row>
    <row r="16" spans="1:12" ht="12.75" customHeight="1">
      <c r="A16" s="26" t="s">
        <v>219</v>
      </c>
      <c r="B16" t="s">
        <v>219</v>
      </c>
      <c r="C16" s="25" t="s">
        <v>208</v>
      </c>
      <c r="D16" s="24" t="s">
        <v>205</v>
      </c>
      <c r="E16" t="s">
        <v>206</v>
      </c>
      <c r="K16" s="21"/>
      <c r="L16" s="21"/>
    </row>
    <row r="17" spans="1:12" ht="12.75" customHeight="1">
      <c r="A17" s="26" t="s">
        <v>220</v>
      </c>
      <c r="B17" t="s">
        <v>220</v>
      </c>
      <c r="C17" s="25" t="s">
        <v>208</v>
      </c>
      <c r="D17" s="24" t="s">
        <v>205</v>
      </c>
      <c r="E17" t="s">
        <v>206</v>
      </c>
      <c r="K17" s="21"/>
      <c r="L17" s="21"/>
    </row>
    <row r="18" spans="1:12" ht="12.75" customHeight="1">
      <c r="A18" s="26" t="s">
        <v>221</v>
      </c>
      <c r="B18" t="s">
        <v>221</v>
      </c>
      <c r="C18" s="25" t="s">
        <v>208</v>
      </c>
      <c r="D18" s="24" t="s">
        <v>205</v>
      </c>
      <c r="E18" t="s">
        <v>206</v>
      </c>
      <c r="K18" s="21"/>
      <c r="L18" s="21"/>
    </row>
    <row r="19" spans="1:12" ht="12.75" customHeight="1">
      <c r="A19" s="26" t="s">
        <v>222</v>
      </c>
      <c r="B19" t="s">
        <v>222</v>
      </c>
      <c r="C19" s="25" t="s">
        <v>208</v>
      </c>
      <c r="D19" s="24" t="s">
        <v>205</v>
      </c>
      <c r="E19" t="s">
        <v>206</v>
      </c>
      <c r="K19" s="21"/>
      <c r="L19" s="21"/>
    </row>
    <row r="20" spans="1:12" ht="12.75" customHeight="1">
      <c r="A20" s="26" t="s">
        <v>223</v>
      </c>
      <c r="B20" t="s">
        <v>223</v>
      </c>
      <c r="C20" s="25" t="s">
        <v>208</v>
      </c>
      <c r="D20" s="24" t="s">
        <v>205</v>
      </c>
      <c r="E20" t="s">
        <v>206</v>
      </c>
      <c r="K20" s="21"/>
      <c r="L20" s="21"/>
    </row>
    <row r="21" spans="1:12" ht="12.75" customHeight="1">
      <c r="A21" s="26" t="s">
        <v>224</v>
      </c>
      <c r="B21" t="s">
        <v>224</v>
      </c>
      <c r="C21" s="25" t="s">
        <v>208</v>
      </c>
      <c r="D21" s="24" t="s">
        <v>205</v>
      </c>
      <c r="E21" t="s">
        <v>206</v>
      </c>
      <c r="K21" s="21"/>
      <c r="L21" s="21"/>
    </row>
    <row r="22" spans="1:12" ht="12.75" customHeight="1">
      <c r="A22" s="26" t="s">
        <v>225</v>
      </c>
      <c r="B22" t="s">
        <v>225</v>
      </c>
      <c r="C22" s="25" t="s">
        <v>208</v>
      </c>
      <c r="D22" s="24" t="s">
        <v>205</v>
      </c>
      <c r="E22" t="s">
        <v>206</v>
      </c>
      <c r="K22" s="21"/>
      <c r="L22" s="21"/>
    </row>
    <row r="23" spans="1:12" ht="12.75" customHeight="1">
      <c r="A23" s="26" t="s">
        <v>226</v>
      </c>
      <c r="B23" t="s">
        <v>226</v>
      </c>
      <c r="C23" s="25" t="s">
        <v>208</v>
      </c>
      <c r="D23" s="24" t="s">
        <v>205</v>
      </c>
      <c r="E23" t="s">
        <v>206</v>
      </c>
      <c r="K23" s="21"/>
      <c r="L23" s="21"/>
    </row>
    <row r="24" spans="1:12" ht="12.75" customHeight="1">
      <c r="A24" s="26" t="s">
        <v>227</v>
      </c>
      <c r="B24" t="s">
        <v>227</v>
      </c>
      <c r="C24" s="25" t="s">
        <v>208</v>
      </c>
      <c r="D24" s="24" t="s">
        <v>205</v>
      </c>
      <c r="E24" t="s">
        <v>206</v>
      </c>
      <c r="K24" s="21"/>
      <c r="L24" s="21"/>
    </row>
    <row r="25" spans="1:12" ht="12.75" customHeight="1">
      <c r="K25" s="21"/>
      <c r="L25" s="21"/>
    </row>
    <row r="26" spans="1:12" ht="12.75" customHeight="1">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40876158-6234-43E7-928D-A5ADB8DE56C9}"/>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2025-06-13T18:18:04Z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ies>
</file>