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5" documentId="13_ncr:1_{06501C9B-2DC4-462A-8B0D-325F48EEFEEA}" xr6:coauthVersionLast="47" xr6:coauthVersionMax="47" xr10:uidLastSave="{FEF30E2D-6F77-4FDD-A0C6-BFD4D48AA8DB}"/>
  <bookViews>
    <workbookView xWindow="-108" yWindow="-108" windowWidth="23256" windowHeight="13896" tabRatio="866" firstSheet="9"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0" l="1"/>
  <c r="K22" i="18"/>
  <c r="K21" i="1"/>
  <c r="K22" i="1"/>
  <c r="J6" i="20"/>
  <c r="J7" i="20"/>
  <c r="J8" i="20"/>
  <c r="J9" i="20"/>
  <c r="J10" i="20"/>
  <c r="J11" i="20"/>
  <c r="J12" i="20"/>
  <c r="J13" i="20"/>
  <c r="J14" i="20"/>
  <c r="J15" i="20"/>
  <c r="J16" i="20"/>
  <c r="J17" i="20"/>
  <c r="J18" i="20"/>
  <c r="J19" i="20"/>
  <c r="J20" i="20"/>
  <c r="J21" i="20"/>
  <c r="J22" i="20"/>
  <c r="J23" i="20"/>
  <c r="K23" i="20" s="1"/>
  <c r="J5" i="20"/>
  <c r="J4" i="20"/>
  <c r="G6" i="20"/>
  <c r="G7" i="20"/>
  <c r="G8" i="20"/>
  <c r="G9" i="20"/>
  <c r="G10" i="20"/>
  <c r="G11" i="20"/>
  <c r="G12" i="20"/>
  <c r="G13" i="20"/>
  <c r="G14" i="20"/>
  <c r="G15" i="20"/>
  <c r="G16" i="20"/>
  <c r="G17" i="20"/>
  <c r="G18" i="20"/>
  <c r="G19" i="20"/>
  <c r="G20" i="20"/>
  <c r="G21" i="20"/>
  <c r="G22" i="20"/>
  <c r="G23" i="20"/>
  <c r="G5" i="20"/>
  <c r="G4" i="20"/>
  <c r="D4" i="18"/>
  <c r="C4" i="18"/>
  <c r="F23" i="18"/>
  <c r="I23" i="18"/>
  <c r="C23" i="18"/>
  <c r="D23" i="18"/>
  <c r="D5" i="18"/>
  <c r="D6" i="18"/>
  <c r="D7" i="18"/>
  <c r="D8" i="18"/>
  <c r="D9" i="18"/>
  <c r="D10" i="18"/>
  <c r="D11" i="18"/>
  <c r="D12" i="18"/>
  <c r="D13" i="18"/>
  <c r="D14" i="18"/>
  <c r="D15" i="18"/>
  <c r="D16" i="18"/>
  <c r="D17" i="18"/>
  <c r="D18" i="18"/>
  <c r="D19" i="18"/>
  <c r="D20" i="18"/>
  <c r="D21" i="18"/>
  <c r="D22" i="18"/>
  <c r="E23" i="21"/>
  <c r="J23" i="21"/>
  <c r="J6" i="21"/>
  <c r="J7" i="21"/>
  <c r="J8" i="21"/>
  <c r="J9" i="21"/>
  <c r="J10" i="21"/>
  <c r="J11" i="21"/>
  <c r="K11" i="21" s="1"/>
  <c r="J12" i="21"/>
  <c r="K12" i="21" s="1"/>
  <c r="J13" i="21"/>
  <c r="J14" i="21"/>
  <c r="J14" i="18" s="1"/>
  <c r="J15" i="21"/>
  <c r="K15" i="21" s="1"/>
  <c r="J16" i="21"/>
  <c r="K16" i="21" s="1"/>
  <c r="J17" i="21"/>
  <c r="J18" i="21"/>
  <c r="K18" i="21" s="1"/>
  <c r="J19" i="21"/>
  <c r="K19" i="21" s="1"/>
  <c r="J20" i="21"/>
  <c r="J20" i="18" s="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3" i="4"/>
  <c r="L15" i="4"/>
  <c r="L17" i="4"/>
  <c r="L18" i="4"/>
  <c r="L19" i="4"/>
  <c r="L21" i="4"/>
  <c r="L22" i="4"/>
  <c r="L5" i="4"/>
  <c r="L4" i="4"/>
  <c r="I6" i="4"/>
  <c r="I7" i="4"/>
  <c r="I9" i="4"/>
  <c r="I10" i="4"/>
  <c r="I11" i="4"/>
  <c r="I12" i="4"/>
  <c r="I13" i="4"/>
  <c r="I15" i="4"/>
  <c r="I17" i="4"/>
  <c r="I18" i="4"/>
  <c r="I19" i="4"/>
  <c r="I21" i="4"/>
  <c r="I22" i="4"/>
  <c r="I5" i="4"/>
  <c r="F6" i="4"/>
  <c r="F7" i="4"/>
  <c r="F8" i="4"/>
  <c r="F9" i="4"/>
  <c r="F10" i="4"/>
  <c r="F11" i="4"/>
  <c r="F12" i="4"/>
  <c r="F13" i="4"/>
  <c r="F14" i="4"/>
  <c r="F15" i="4"/>
  <c r="F16" i="4"/>
  <c r="F17" i="4"/>
  <c r="F18" i="4"/>
  <c r="F19" i="4"/>
  <c r="F20" i="4"/>
  <c r="F21" i="4"/>
  <c r="F22" i="4"/>
  <c r="F5" i="4"/>
  <c r="F4" i="4"/>
  <c r="E19" i="4"/>
  <c r="J7" i="72"/>
  <c r="D6" i="30"/>
  <c r="D8" i="30"/>
  <c r="D10" i="30"/>
  <c r="D12" i="30"/>
  <c r="D14" i="30"/>
  <c r="D16" i="30"/>
  <c r="E16" i="30" s="1"/>
  <c r="D18" i="30"/>
  <c r="D20" i="30"/>
  <c r="D22" i="30"/>
  <c r="D4" i="30"/>
  <c r="E8" i="30"/>
  <c r="D6" i="29"/>
  <c r="D8" i="29"/>
  <c r="D10" i="29"/>
  <c r="D12" i="29"/>
  <c r="E12" i="29" s="1"/>
  <c r="D14" i="29"/>
  <c r="D16" i="29"/>
  <c r="E16" i="29" s="1"/>
  <c r="D18" i="29"/>
  <c r="D2" i="29" s="1"/>
  <c r="D20" i="29"/>
  <c r="E20" i="29" s="1"/>
  <c r="D22" i="29"/>
  <c r="D4" i="29"/>
  <c r="E4" i="29" s="1"/>
  <c r="E8" i="29"/>
  <c r="D6" i="1"/>
  <c r="D7" i="1"/>
  <c r="D8" i="1"/>
  <c r="D9" i="1"/>
  <c r="D10" i="1"/>
  <c r="D11" i="1"/>
  <c r="D12" i="1"/>
  <c r="D13" i="1"/>
  <c r="D14" i="1"/>
  <c r="D15" i="1"/>
  <c r="D15" i="34" s="1"/>
  <c r="D16" i="1"/>
  <c r="D16" i="34" s="1"/>
  <c r="D17" i="1"/>
  <c r="D17" i="34" s="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E22" i="28"/>
  <c r="E21" i="28"/>
  <c r="E20" i="28"/>
  <c r="E19" i="28"/>
  <c r="E18" i="28"/>
  <c r="E17" i="28"/>
  <c r="E16" i="28"/>
  <c r="E15" i="28"/>
  <c r="E14" i="28"/>
  <c r="E13" i="28"/>
  <c r="E12" i="28"/>
  <c r="E11" i="28"/>
  <c r="E10" i="28"/>
  <c r="E9" i="28"/>
  <c r="E8" i="28"/>
  <c r="E7" i="28"/>
  <c r="E6" i="28"/>
  <c r="E5" i="28"/>
  <c r="E4" i="28"/>
  <c r="D2" i="28"/>
  <c r="K22" i="28"/>
  <c r="J22" i="29" s="1"/>
  <c r="H22" i="28"/>
  <c r="G22" i="29" s="1"/>
  <c r="E4" i="26"/>
  <c r="E22" i="27"/>
  <c r="E21" i="27"/>
  <c r="E20" i="27"/>
  <c r="E19" i="27"/>
  <c r="E18" i="27"/>
  <c r="E17" i="27"/>
  <c r="E16" i="27"/>
  <c r="E15" i="27"/>
  <c r="E14" i="27"/>
  <c r="E13" i="27"/>
  <c r="E12" i="27"/>
  <c r="E11" i="27"/>
  <c r="E10" i="27"/>
  <c r="E9" i="27"/>
  <c r="E8" i="27"/>
  <c r="E7" i="27"/>
  <c r="E6" i="27"/>
  <c r="E5" i="27"/>
  <c r="E4" i="27"/>
  <c r="D2" i="27"/>
  <c r="F2" i="27"/>
  <c r="G2" i="27" s="1"/>
  <c r="H2" i="27" s="1"/>
  <c r="H4" i="27"/>
  <c r="H5" i="27"/>
  <c r="H6" i="27"/>
  <c r="H7" i="27"/>
  <c r="H8" i="27"/>
  <c r="H9" i="27"/>
  <c r="H10" i="27"/>
  <c r="H11" i="27"/>
  <c r="H12" i="27"/>
  <c r="H13" i="27"/>
  <c r="H14" i="27"/>
  <c r="H15" i="27"/>
  <c r="H16" i="27"/>
  <c r="H17" i="27"/>
  <c r="H18" i="27"/>
  <c r="H19" i="27"/>
  <c r="H20" i="27"/>
  <c r="H21" i="27"/>
  <c r="H22" i="27"/>
  <c r="E2" i="19"/>
  <c r="F2" i="4"/>
  <c r="D2" i="19"/>
  <c r="D2" i="20"/>
  <c r="D2" i="4"/>
  <c r="D2" i="3"/>
  <c r="D2" i="72"/>
  <c r="E5" i="19"/>
  <c r="E6" i="19"/>
  <c r="E7" i="19"/>
  <c r="E8" i="19"/>
  <c r="E9" i="19"/>
  <c r="E10" i="19"/>
  <c r="E11" i="19"/>
  <c r="E12" i="19"/>
  <c r="E13" i="19"/>
  <c r="E14" i="19"/>
  <c r="E15" i="19"/>
  <c r="E16" i="19"/>
  <c r="E17" i="19"/>
  <c r="E18" i="19"/>
  <c r="E19" i="19"/>
  <c r="E20" i="19"/>
  <c r="E21" i="19"/>
  <c r="E22" i="19"/>
  <c r="E4" i="19"/>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F22" i="29"/>
  <c r="C22" i="29"/>
  <c r="F4" i="29"/>
  <c r="C21" i="29"/>
  <c r="E21" i="29" s="1"/>
  <c r="E22" i="26"/>
  <c r="E21" i="26"/>
  <c r="E20" i="26"/>
  <c r="E19" i="26"/>
  <c r="E18" i="26"/>
  <c r="E17" i="26"/>
  <c r="E16" i="26"/>
  <c r="E15" i="26"/>
  <c r="E14" i="26"/>
  <c r="E13" i="26"/>
  <c r="E12" i="26"/>
  <c r="E11" i="26"/>
  <c r="E10" i="26"/>
  <c r="E9" i="26"/>
  <c r="E8" i="26"/>
  <c r="E7" i="26"/>
  <c r="E6" i="26"/>
  <c r="E5" i="26"/>
  <c r="D2" i="26"/>
  <c r="K22" i="27"/>
  <c r="I22" i="29" s="1"/>
  <c r="K22" i="26"/>
  <c r="H22" i="26"/>
  <c r="H22" i="19"/>
  <c r="K22" i="19"/>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C22" i="18"/>
  <c r="H22" i="21"/>
  <c r="H22" i="4"/>
  <c r="K22" i="4"/>
  <c r="J22" i="3"/>
  <c r="J23" i="3"/>
  <c r="G22" i="3"/>
  <c r="H22" i="3" s="1"/>
  <c r="I22" i="1"/>
  <c r="F22" i="1"/>
  <c r="C22" i="1"/>
  <c r="G22" i="1" s="1"/>
  <c r="J22" i="72"/>
  <c r="K22" i="72" s="1"/>
  <c r="G22" i="72"/>
  <c r="H22" i="72" s="1"/>
  <c r="G21" i="72"/>
  <c r="H21" i="72" s="1"/>
  <c r="C16" i="30"/>
  <c r="F16" i="30"/>
  <c r="C17" i="30"/>
  <c r="E17" i="30" s="1"/>
  <c r="F17" i="30"/>
  <c r="C18" i="30"/>
  <c r="F18" i="30"/>
  <c r="C19" i="30"/>
  <c r="E19" i="30" s="1"/>
  <c r="F19" i="30"/>
  <c r="K19" i="31"/>
  <c r="C20" i="30"/>
  <c r="E20" i="30" s="1"/>
  <c r="F20" i="30"/>
  <c r="C21" i="30"/>
  <c r="E21" i="30" s="1"/>
  <c r="F21" i="30"/>
  <c r="C16" i="29"/>
  <c r="F16" i="29"/>
  <c r="G16" i="29" s="1"/>
  <c r="H16" i="29" s="1"/>
  <c r="C17" i="29"/>
  <c r="E17" i="29" s="1"/>
  <c r="F17" i="29"/>
  <c r="C18" i="29"/>
  <c r="F18" i="29"/>
  <c r="C19" i="29"/>
  <c r="E19" i="29" s="1"/>
  <c r="F19" i="29"/>
  <c r="C20" i="29"/>
  <c r="F20" i="29"/>
  <c r="G20" i="29" s="1"/>
  <c r="H20" i="29" s="1"/>
  <c r="F21" i="29"/>
  <c r="C16" i="18"/>
  <c r="F16" i="18"/>
  <c r="C17" i="18"/>
  <c r="F17" i="18"/>
  <c r="C18" i="18"/>
  <c r="F18" i="18"/>
  <c r="C19" i="18"/>
  <c r="F19" i="18"/>
  <c r="C20" i="18"/>
  <c r="F20" i="18"/>
  <c r="C21" i="18"/>
  <c r="E21" i="18" s="1"/>
  <c r="F21" i="18"/>
  <c r="C16" i="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G21" i="29" s="1"/>
  <c r="H21" i="29" s="1"/>
  <c r="K21" i="28"/>
  <c r="K16" i="27"/>
  <c r="I16" i="29" s="1"/>
  <c r="K17" i="27"/>
  <c r="K18" i="27"/>
  <c r="K19" i="27"/>
  <c r="K20" i="27"/>
  <c r="I20" i="29" s="1"/>
  <c r="K21" i="27"/>
  <c r="H16" i="26"/>
  <c r="H17" i="26"/>
  <c r="H18" i="26"/>
  <c r="H19" i="26"/>
  <c r="J19" i="29"/>
  <c r="H20" i="26"/>
  <c r="K20" i="26"/>
  <c r="H21" i="26"/>
  <c r="K21" i="26"/>
  <c r="H16" i="19"/>
  <c r="K16" i="19"/>
  <c r="H17" i="19"/>
  <c r="K17" i="19"/>
  <c r="H18" i="19"/>
  <c r="K18" i="19"/>
  <c r="H19" i="19"/>
  <c r="K19" i="19"/>
  <c r="H20" i="19"/>
  <c r="K20" i="19"/>
  <c r="H21" i="19"/>
  <c r="K21" i="19"/>
  <c r="H16" i="4"/>
  <c r="I16" i="4" s="1"/>
  <c r="K16" i="4"/>
  <c r="H17" i="4"/>
  <c r="K17" i="4"/>
  <c r="H18" i="4"/>
  <c r="K18" i="4"/>
  <c r="H19" i="4"/>
  <c r="K19" i="4"/>
  <c r="H20" i="4"/>
  <c r="I20" i="4" s="1"/>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I6" i="1"/>
  <c r="I7" i="1"/>
  <c r="I8" i="1"/>
  <c r="I9" i="1"/>
  <c r="I10" i="1"/>
  <c r="I11" i="1"/>
  <c r="I12" i="1"/>
  <c r="I13" i="1"/>
  <c r="I14" i="1"/>
  <c r="I15" i="1"/>
  <c r="I5" i="1"/>
  <c r="I4" i="1"/>
  <c r="B4" i="34" a="1"/>
  <c r="B4" i="34" s="1"/>
  <c r="A4" i="34" a="1"/>
  <c r="A4" i="34" s="1"/>
  <c r="A1" i="34" a="1"/>
  <c r="A1" i="34" s="1"/>
  <c r="F15" i="30"/>
  <c r="C15" i="30"/>
  <c r="E15" i="30" s="1"/>
  <c r="F14" i="30"/>
  <c r="C14" i="30"/>
  <c r="E14" i="30" s="1"/>
  <c r="F13" i="30"/>
  <c r="C13" i="30"/>
  <c r="E13" i="30" s="1"/>
  <c r="F12" i="30"/>
  <c r="C12" i="30"/>
  <c r="E12" i="30" s="1"/>
  <c r="F11" i="30"/>
  <c r="C11" i="30"/>
  <c r="E11" i="30" s="1"/>
  <c r="F10" i="30"/>
  <c r="C10" i="30"/>
  <c r="E10" i="30" s="1"/>
  <c r="F9" i="30"/>
  <c r="C9" i="30"/>
  <c r="E9" i="30" s="1"/>
  <c r="F8" i="30"/>
  <c r="C8" i="30"/>
  <c r="F7" i="30"/>
  <c r="C7" i="30"/>
  <c r="E7" i="30" s="1"/>
  <c r="F6" i="30"/>
  <c r="C6" i="30"/>
  <c r="E6" i="30" s="1"/>
  <c r="F5" i="30"/>
  <c r="C5" i="30"/>
  <c r="E5" i="30" s="1"/>
  <c r="F4" i="30"/>
  <c r="C4" i="30"/>
  <c r="E4" i="30" s="1"/>
  <c r="F15" i="29"/>
  <c r="C15" i="29"/>
  <c r="E15" i="29" s="1"/>
  <c r="F14" i="29"/>
  <c r="C14" i="29"/>
  <c r="E14" i="29" s="1"/>
  <c r="F13" i="29"/>
  <c r="G13" i="29" s="1"/>
  <c r="H13" i="29" s="1"/>
  <c r="C13" i="29"/>
  <c r="E13" i="29" s="1"/>
  <c r="F12" i="29"/>
  <c r="C12" i="29"/>
  <c r="F11" i="29"/>
  <c r="C11" i="29"/>
  <c r="E11" i="29" s="1"/>
  <c r="F10" i="29"/>
  <c r="C10" i="29"/>
  <c r="E10" i="29" s="1"/>
  <c r="F9" i="29"/>
  <c r="G9" i="29" s="1"/>
  <c r="H9" i="29" s="1"/>
  <c r="C9" i="29"/>
  <c r="E9" i="29" s="1"/>
  <c r="F8" i="29"/>
  <c r="C8" i="29"/>
  <c r="F7" i="29"/>
  <c r="G7" i="29" s="1"/>
  <c r="H7" i="29" s="1"/>
  <c r="C7" i="29"/>
  <c r="E7" i="29" s="1"/>
  <c r="F6" i="29"/>
  <c r="C6" i="29"/>
  <c r="E6" i="29" s="1"/>
  <c r="F5" i="29"/>
  <c r="G5" i="29" s="1"/>
  <c r="H5" i="29" s="1"/>
  <c r="C5" i="29"/>
  <c r="E5" i="29" s="1"/>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I14" i="29" s="1"/>
  <c r="H14" i="28"/>
  <c r="K13" i="28"/>
  <c r="H13" i="28"/>
  <c r="K12" i="28"/>
  <c r="H12" i="28"/>
  <c r="K11" i="28"/>
  <c r="H11" i="28"/>
  <c r="K10" i="28"/>
  <c r="J10" i="29" s="1"/>
  <c r="H10" i="28"/>
  <c r="K9" i="28"/>
  <c r="J9" i="29" s="1"/>
  <c r="I9" i="29"/>
  <c r="H9" i="28"/>
  <c r="K8" i="28"/>
  <c r="J8" i="29" s="1"/>
  <c r="H8" i="28"/>
  <c r="K7" i="28"/>
  <c r="H7" i="28"/>
  <c r="K6" i="28"/>
  <c r="H6" i="28"/>
  <c r="K5" i="28"/>
  <c r="H5" i="28"/>
  <c r="K4" i="28"/>
  <c r="J4" i="29" s="1"/>
  <c r="K4" i="29" s="1"/>
  <c r="H4" i="28"/>
  <c r="B4" i="28" a="1"/>
  <c r="B4" i="28" s="1"/>
  <c r="A4" i="28" a="1"/>
  <c r="A4" i="28" s="1"/>
  <c r="J2" i="28"/>
  <c r="K2" i="28" s="1"/>
  <c r="L2" i="28" s="1"/>
  <c r="G2" i="28"/>
  <c r="C2" i="28"/>
  <c r="E2" i="28"/>
  <c r="A1" i="28" a="1"/>
  <c r="A1" i="28"/>
  <c r="K15" i="27"/>
  <c r="K14" i="27"/>
  <c r="K13" i="27"/>
  <c r="I13" i="29" s="1"/>
  <c r="J12" i="29"/>
  <c r="K11" i="27"/>
  <c r="K10" i="27"/>
  <c r="I10" i="29" s="1"/>
  <c r="K9" i="27"/>
  <c r="K8" i="27"/>
  <c r="K7" i="27"/>
  <c r="I7" i="29" s="1"/>
  <c r="K6" i="27"/>
  <c r="J5" i="29"/>
  <c r="K5" i="27"/>
  <c r="K4" i="27"/>
  <c r="I4" i="29" s="1"/>
  <c r="I2" i="27"/>
  <c r="C2" i="27"/>
  <c r="A1" i="27" a="1"/>
  <c r="A1" i="27"/>
  <c r="K15" i="26"/>
  <c r="H15" i="26"/>
  <c r="K14" i="26"/>
  <c r="H14" i="26"/>
  <c r="K13" i="26"/>
  <c r="H13" i="26"/>
  <c r="H12" i="26"/>
  <c r="K11" i="26"/>
  <c r="H11" i="26"/>
  <c r="K10" i="26"/>
  <c r="H10" i="26"/>
  <c r="H9" i="26"/>
  <c r="K8" i="26"/>
  <c r="H8" i="26"/>
  <c r="H7" i="26"/>
  <c r="H6" i="26"/>
  <c r="K5" i="26"/>
  <c r="H5" i="26"/>
  <c r="K4" i="26"/>
  <c r="H4" i="26"/>
  <c r="I2" i="26"/>
  <c r="F2" i="26"/>
  <c r="C2" i="26"/>
  <c r="E2" i="26"/>
  <c r="A1" i="26" a="1"/>
  <c r="A1" i="26"/>
  <c r="K15" i="19"/>
  <c r="H15" i="19"/>
  <c r="K14" i="19"/>
  <c r="H14" i="19"/>
  <c r="K13" i="19"/>
  <c r="H13" i="19"/>
  <c r="K12" i="19"/>
  <c r="H12" i="19"/>
  <c r="K11" i="19"/>
  <c r="H11" i="19"/>
  <c r="K10" i="19"/>
  <c r="J10" i="18" s="1"/>
  <c r="H10" i="19"/>
  <c r="K9" i="19"/>
  <c r="H9" i="19"/>
  <c r="K8" i="19"/>
  <c r="H8" i="19"/>
  <c r="K7" i="19"/>
  <c r="H7" i="19"/>
  <c r="K6" i="19"/>
  <c r="H6" i="19"/>
  <c r="K5" i="19"/>
  <c r="H5" i="19"/>
  <c r="K4" i="19"/>
  <c r="H4" i="19"/>
  <c r="J2" i="19"/>
  <c r="G2" i="19"/>
  <c r="H2" i="19" s="1"/>
  <c r="I2" i="19" s="1"/>
  <c r="C2" i="19"/>
  <c r="A1" i="19" a="1"/>
  <c r="A1" i="19"/>
  <c r="H4" i="20"/>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H13" i="4"/>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J18" i="29"/>
  <c r="I18" i="29"/>
  <c r="J21" i="29"/>
  <c r="I21" i="29"/>
  <c r="I8" i="29"/>
  <c r="E2" i="27"/>
  <c r="J16" i="29"/>
  <c r="J15" i="29"/>
  <c r="G18" i="29"/>
  <c r="H18" i="29" s="1"/>
  <c r="J7" i="29"/>
  <c r="J13" i="29"/>
  <c r="G8" i="29"/>
  <c r="H8" i="29" s="1"/>
  <c r="G14" i="29"/>
  <c r="H14" i="29" s="1"/>
  <c r="G19" i="29"/>
  <c r="H19" i="29" s="1"/>
  <c r="J20" i="29"/>
  <c r="K16" i="26"/>
  <c r="G12" i="29"/>
  <c r="H12" i="29"/>
  <c r="K18" i="26"/>
  <c r="G17" i="29"/>
  <c r="H17" i="29"/>
  <c r="K17" i="26"/>
  <c r="G11" i="29"/>
  <c r="H11" i="29" s="1"/>
  <c r="G12" i="18"/>
  <c r="H12" i="18" s="1"/>
  <c r="J18" i="18"/>
  <c r="K18" i="18" s="1"/>
  <c r="J16" i="18"/>
  <c r="K16" i="18" s="1"/>
  <c r="J2" i="31"/>
  <c r="K2" i="31" s="1"/>
  <c r="L2" i="31"/>
  <c r="M2" i="28"/>
  <c r="H2" i="28"/>
  <c r="I2" i="28" s="1"/>
  <c r="J2" i="27"/>
  <c r="K2" i="27" s="1"/>
  <c r="L2" i="27"/>
  <c r="J2" i="26"/>
  <c r="K2" i="26"/>
  <c r="L2" i="26"/>
  <c r="K2" i="19"/>
  <c r="L2" i="19"/>
  <c r="M2" i="19"/>
  <c r="K20" i="72"/>
  <c r="K18" i="72"/>
  <c r="K19" i="72"/>
  <c r="K17" i="72"/>
  <c r="K9" i="26"/>
  <c r="K12" i="26"/>
  <c r="G15" i="29"/>
  <c r="H15" i="29" s="1"/>
  <c r="K7" i="26"/>
  <c r="J9" i="18"/>
  <c r="J6" i="18"/>
  <c r="J7" i="18"/>
  <c r="J8" i="18"/>
  <c r="J6" i="34"/>
  <c r="G4" i="29"/>
  <c r="H4" i="29" s="1"/>
  <c r="J10" i="1"/>
  <c r="K10" i="1" s="1"/>
  <c r="J6" i="1"/>
  <c r="G2" i="31"/>
  <c r="H2" i="31" s="1"/>
  <c r="G2" i="26"/>
  <c r="H2" i="26" s="1"/>
  <c r="J2" i="72"/>
  <c r="K2" i="72" s="1"/>
  <c r="K13" i="29"/>
  <c r="G2" i="72"/>
  <c r="H2" i="72"/>
  <c r="D9" i="34" l="1"/>
  <c r="D11" i="34"/>
  <c r="E8" i="18"/>
  <c r="D7" i="34"/>
  <c r="D5" i="34"/>
  <c r="E14" i="18"/>
  <c r="D14" i="34"/>
  <c r="D21" i="34"/>
  <c r="E13" i="18"/>
  <c r="D13" i="34"/>
  <c r="D19" i="34"/>
  <c r="E2" i="20"/>
  <c r="J23" i="18"/>
  <c r="K23" i="18" s="1"/>
  <c r="K23" i="21"/>
  <c r="E11" i="18"/>
  <c r="G11" i="18"/>
  <c r="G16" i="18"/>
  <c r="H16" i="18" s="1"/>
  <c r="G23" i="18"/>
  <c r="H23" i="18" s="1"/>
  <c r="D18" i="34"/>
  <c r="J11" i="18"/>
  <c r="E16" i="18"/>
  <c r="G2" i="21"/>
  <c r="H2" i="21" s="1"/>
  <c r="D20" i="34"/>
  <c r="E20" i="18"/>
  <c r="K20" i="21"/>
  <c r="J15" i="18"/>
  <c r="K15" i="18" s="1"/>
  <c r="J5" i="18"/>
  <c r="K14" i="18"/>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J15" i="34"/>
  <c r="J10" i="34"/>
  <c r="J9" i="34"/>
  <c r="E10" i="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G6" i="1"/>
  <c r="H6" i="1" s="1"/>
  <c r="E15" i="1"/>
  <c r="J22" i="1"/>
  <c r="J18" i="34"/>
  <c r="J17" i="34"/>
  <c r="J4" i="1"/>
  <c r="K4" i="1" s="1"/>
  <c r="G2" i="3"/>
  <c r="H2" i="3" s="1"/>
  <c r="K22" i="3"/>
  <c r="J2" i="3"/>
  <c r="K2" i="3" s="1"/>
  <c r="J22" i="34"/>
  <c r="E18" i="30"/>
  <c r="D2" i="30"/>
  <c r="E18" i="29"/>
  <c r="K7" i="29"/>
  <c r="C2" i="29"/>
  <c r="E2" i="29" s="1"/>
  <c r="E22" i="29"/>
  <c r="F2" i="18"/>
  <c r="D2" i="18"/>
  <c r="G6" i="18"/>
  <c r="H6" i="18" s="1"/>
  <c r="E17" i="18"/>
  <c r="E18" i="18"/>
  <c r="G7" i="18"/>
  <c r="H7" i="18" s="1"/>
  <c r="E19" i="18"/>
  <c r="E20" i="1"/>
  <c r="E11" i="1"/>
  <c r="E19" i="1"/>
  <c r="E12" i="1"/>
  <c r="E13" i="1"/>
  <c r="E21" i="1"/>
  <c r="D2" i="1"/>
  <c r="G19" i="1"/>
  <c r="H19" i="1" s="1"/>
  <c r="C9" i="34"/>
  <c r="E9" i="34" s="1"/>
  <c r="C13" i="34"/>
  <c r="E13" i="34" s="1"/>
  <c r="C20" i="34"/>
  <c r="G10" i="1"/>
  <c r="H10" i="1" s="1"/>
  <c r="E22" i="1"/>
  <c r="C22" i="34"/>
  <c r="F2" i="1"/>
  <c r="G4" i="18"/>
  <c r="H4" i="18" s="1"/>
  <c r="I15" i="29"/>
  <c r="H11" i="18"/>
  <c r="I17" i="29"/>
  <c r="I17" i="34" s="1"/>
  <c r="K8" i="18"/>
  <c r="J19" i="34"/>
  <c r="F17" i="34"/>
  <c r="F22" i="34"/>
  <c r="K15" i="29"/>
  <c r="F20" i="34"/>
  <c r="J8" i="1"/>
  <c r="K8" i="1" s="1"/>
  <c r="K15" i="1"/>
  <c r="G10" i="18"/>
  <c r="H10" i="18" s="1"/>
  <c r="G14" i="18"/>
  <c r="H14" i="18" s="1"/>
  <c r="H22" i="29"/>
  <c r="F19" i="34"/>
  <c r="K18" i="29"/>
  <c r="K8" i="29"/>
  <c r="I5" i="29"/>
  <c r="K5" i="29" s="1"/>
  <c r="J22" i="18"/>
  <c r="K22" i="29"/>
  <c r="K20" i="29"/>
  <c r="F5" i="34"/>
  <c r="J16" i="34"/>
  <c r="K16" i="72"/>
  <c r="K16" i="29"/>
  <c r="K4" i="20"/>
  <c r="I6" i="29"/>
  <c r="K12" i="27"/>
  <c r="I12" i="29" s="1"/>
  <c r="K12" i="29" s="1"/>
  <c r="G6" i="29"/>
  <c r="H6" i="29" s="1"/>
  <c r="G10" i="29"/>
  <c r="H10" i="29" s="1"/>
  <c r="C6" i="34"/>
  <c r="F9" i="34"/>
  <c r="F13" i="34"/>
  <c r="J13" i="1"/>
  <c r="K13" i="1" s="1"/>
  <c r="J13" i="34"/>
  <c r="J11" i="34"/>
  <c r="J11" i="1"/>
  <c r="K11" i="1" s="1"/>
  <c r="J9" i="1"/>
  <c r="K9" i="1" s="1"/>
  <c r="J7" i="1"/>
  <c r="K7" i="1" s="1"/>
  <c r="J7" i="34"/>
  <c r="J17" i="29"/>
  <c r="K17" i="29" s="1"/>
  <c r="J20" i="1"/>
  <c r="K20" i="1" s="1"/>
  <c r="C2" i="1"/>
  <c r="G8" i="1"/>
  <c r="H8" i="1" s="1"/>
  <c r="C2" i="18"/>
  <c r="F6" i="34"/>
  <c r="C10" i="34"/>
  <c r="C14" i="34"/>
  <c r="E14" i="34" s="1"/>
  <c r="I2" i="1"/>
  <c r="K19" i="26"/>
  <c r="K5" i="18"/>
  <c r="I11" i="29"/>
  <c r="K21" i="29"/>
  <c r="J11" i="29"/>
  <c r="J19" i="1"/>
  <c r="K19" i="1" s="1"/>
  <c r="J13" i="18"/>
  <c r="K13" i="18" s="1"/>
  <c r="J20" i="34"/>
  <c r="K10" i="29"/>
  <c r="I15" i="34"/>
  <c r="K15" i="34" s="1"/>
  <c r="J19" i="18"/>
  <c r="K19" i="18" s="1"/>
  <c r="J17" i="18"/>
  <c r="K17" i="18" s="1"/>
  <c r="K17" i="21"/>
  <c r="I19" i="29"/>
  <c r="I19" i="34" s="1"/>
  <c r="J12" i="1"/>
  <c r="K12" i="1" s="1"/>
  <c r="J12" i="34"/>
  <c r="J21" i="18"/>
  <c r="K21" i="18" s="1"/>
  <c r="K21" i="21"/>
  <c r="K6" i="26"/>
  <c r="J6" i="29"/>
  <c r="J14" i="29"/>
  <c r="K14" i="29" s="1"/>
  <c r="G2" i="20"/>
  <c r="H2" i="20" s="1"/>
  <c r="L2" i="20"/>
  <c r="J2" i="20"/>
  <c r="K2" i="20" s="1"/>
  <c r="J12" i="18"/>
  <c r="K12" i="18" s="1"/>
  <c r="K9" i="29"/>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E22" i="34" l="1"/>
  <c r="D2" i="34"/>
  <c r="E18" i="34"/>
  <c r="E10" i="34"/>
  <c r="E6" i="34"/>
  <c r="G9" i="34"/>
  <c r="H9" i="34" s="1"/>
  <c r="E12" i="34"/>
  <c r="K8" i="34"/>
  <c r="K14" i="34"/>
  <c r="K18" i="34"/>
  <c r="K17" i="34"/>
  <c r="K21" i="34"/>
  <c r="G13" i="34"/>
  <c r="H13" i="34" s="1"/>
  <c r="G6" i="34"/>
  <c r="H6" i="34" s="1"/>
  <c r="G20" i="34"/>
  <c r="H20" i="34" s="1"/>
  <c r="E20" i="34"/>
  <c r="E2" i="30"/>
  <c r="K7" i="34"/>
  <c r="K19" i="29"/>
  <c r="G7" i="34"/>
  <c r="H7" i="34" s="1"/>
  <c r="E2" i="18"/>
  <c r="G17" i="34"/>
  <c r="H17" i="34" s="1"/>
  <c r="G11" i="34"/>
  <c r="H11" i="34" s="1"/>
  <c r="G22" i="34"/>
  <c r="H22" i="34" s="1"/>
  <c r="G16" i="34"/>
  <c r="H16" i="34" s="1"/>
  <c r="G19" i="34"/>
  <c r="H19" i="34" s="1"/>
  <c r="I2" i="18"/>
  <c r="J2" i="18" s="1"/>
  <c r="K2" i="18" s="1"/>
  <c r="E2" i="1"/>
  <c r="G21" i="34"/>
  <c r="H21" i="34" s="1"/>
  <c r="K19" i="34"/>
  <c r="G18" i="34"/>
  <c r="H18" i="34" s="1"/>
  <c r="G5" i="34"/>
  <c r="H5" i="34" s="1"/>
  <c r="G8" i="34"/>
  <c r="H8" i="34" s="1"/>
  <c r="I2" i="29"/>
  <c r="J2" i="29" s="1"/>
  <c r="K2" i="29" s="1"/>
  <c r="G10" i="34"/>
  <c r="H10" i="34" s="1"/>
  <c r="K13" i="34"/>
  <c r="K6" i="29"/>
  <c r="I11" i="34"/>
  <c r="K11" i="34" s="1"/>
  <c r="K16" i="34"/>
  <c r="G14" i="34"/>
  <c r="H14" i="34" s="1"/>
  <c r="K11" i="29"/>
  <c r="J2" i="1"/>
  <c r="K2" i="1" s="1"/>
  <c r="G2" i="1"/>
  <c r="H2" i="1" s="1"/>
  <c r="G15" i="34"/>
  <c r="H15" i="34" s="1"/>
  <c r="G12" i="34"/>
  <c r="H12" i="34" s="1"/>
  <c r="I12" i="34"/>
  <c r="K12" i="34" s="1"/>
  <c r="K20" i="34"/>
  <c r="G2" i="18"/>
  <c r="H2" i="18" s="1"/>
  <c r="K18" i="30"/>
  <c r="K10" i="30"/>
  <c r="K8" i="30"/>
  <c r="K22" i="30"/>
  <c r="K21" i="30"/>
  <c r="K11" i="30"/>
  <c r="K9" i="30"/>
  <c r="K7" i="30"/>
  <c r="K4" i="30"/>
  <c r="C2" i="34"/>
  <c r="E2" i="34" s="1"/>
  <c r="K5" i="30"/>
  <c r="I5" i="34"/>
  <c r="I2" i="30"/>
  <c r="J2" i="30" s="1"/>
  <c r="K2" i="30" s="1"/>
  <c r="K12" i="30"/>
  <c r="K6" i="30"/>
  <c r="G2" i="30"/>
  <c r="H2" i="30" s="1"/>
  <c r="G4" i="34"/>
  <c r="H4" i="34" s="1"/>
  <c r="F2" i="34"/>
  <c r="G2" i="34" l="1"/>
  <c r="H2" i="34" s="1"/>
  <c r="K5" i="34"/>
  <c r="I2" i="34"/>
  <c r="J2" i="34" s="1"/>
  <c r="K2" i="34" s="1"/>
  <c r="H4" i="21"/>
  <c r="H5" i="21"/>
  <c r="J4" i="18"/>
  <c r="J4" i="34" s="1"/>
  <c r="K4" i="34" s="1"/>
  <c r="K4" i="21"/>
  <c r="H6" i="21"/>
  <c r="K4"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<sst xmlns="http://schemas.openxmlformats.org/spreadsheetml/2006/main" count="481" uniqueCount="233">
  <si>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</si>
  <si>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</si>
  <si>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</si>
  <si>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</si>
  <si>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</si>
  <si>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</si>
  <si>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</si>
  <si>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</si>
  <si>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</si>
  <si>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</si>
  <si>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</si>
  <si>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</si>
  <si>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</si>
  <si>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</si>
  <si>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</si>
  <si>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</si>
  <si>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</si>
  <si>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</si>
  <si>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</si>
  <si>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</si>
  <si>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</si>
  <si>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</si>
  <si>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</si>
  <si>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</si>
  <si>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</si>
  <si>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</si>
  <si>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</si>
  <si>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</si>
  <si>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</si>
  <si>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</si>
  <si>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</si>
  <si>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</si>
  <si>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</si>
  <si>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</si>
  <si>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</si>
  <si>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</si>
  <si>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</si>
  <si>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</si>
  <si>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</si>
  <si>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</si>
  <si>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</si>
  <si>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</si>
  <si>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</si>
  <si>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</si>
  <si>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</si>
  <si>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</si>
  <si>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</si>
  <si>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</si>
  <si>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</si>
  <si>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</si>
  <si>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</si>
  <si>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</si>
  <si>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</si>
  <si>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</si>
  <si>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</si>
  <si>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</si>
  <si>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</si>
  <si>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</si>
  <si>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</si>
  <si>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</si>
  <si>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</si>
  <si>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</si>
  <si>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</si>
  <si>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</si>
  <si>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</si>
  <si>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</si>
  <si>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</si>
  <si>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</si>
  <si>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</si>
  <si>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</si>
  <si>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</si>
  <si>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</si>
  <si>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</si>
  <si>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</si>
  <si>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</si>
  <si>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</si>
  <si>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</si>
  <si>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</si>
  <si>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</si>
  <si>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</si>
  <si>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</si>
  <si>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</si>
  <si>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</si>
  <si>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</si>
  <si>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</si>
  <si>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</si>
  <si>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</si>
  <si>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</si>
  <si>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</si>
  <si>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</si>
  <si>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</si>
  <si>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</si>
  <si>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</si>
  <si>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</si>
  <si>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</si>
  <si>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</si>
  <si>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</si>
  <si>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</si>
  <si>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</si>
  <si>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</si>
  <si>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</si>
  <si>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</si>
  <si>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</si>
  <si>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</si>
  <si>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</si>
  <si>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</si>
  <si>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</si>
  <si>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</si>
  <si>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</si>
  <si>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</si>
  <si>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</si>
  <si>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rPr>
      <t xml:space="preserve">1. Weather station has been reporting erroneous values since 04/07 at 13:45, with continuous fluctuations on the graph indicating inconsistent readings throughout the day.
</t>
    </r>
    <r>
      <rPr>
        <b/>
        <sz val="11"/>
        <color rgb="FF000000"/>
        <rFont val="Calibri"/>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</si>
  <si>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</si>
  <si>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</si>
  <si>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</si>
  <si>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</si>
  <si>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</si>
  <si>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</si>
  <si>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</si>
  <si>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</si>
  <si>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</si>
  <si>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</si>
  <si>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</si>
  <si>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</si>
  <si>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</si>
  <si>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</si>
  <si>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</si>
  <si>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</si>
  <si>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</si>
  <si>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</si>
  <si>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</si>
  <si>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</si>
  <si>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</si>
  <si>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N/A</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</si>
  <si>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</si>
  <si>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</si>
  <si>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</si>
  <si>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</si>
  <si>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1. The weather station has been reporting erroneous values, with its graph showing continuous fluctuations throughout the day,indicating inconsistent readings. We are contacting AlsoEnergy sales for a quote for a replacement irradiance sensor and temperature sensor for this site.</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</si>
  <si>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</si>
  <si>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</si>
  <si>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</si>
  <si>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</si>
  <si>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</si>
  <si>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</si>
  <si>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</si>
  <si>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</si>
  <si>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</si>
  <si>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</si>
  <si>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</si>
  <si>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</si>
  <si>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</si>
  <si>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</si>
  <si>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</si>
  <si>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</si>
  <si>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</si>
  <si>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</si>
  <si>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</si>
  <si>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</si>
  <si>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</si>
  <si>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</si>
  <si>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</si>
  <si>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</si>
  <si>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</si>
  <si>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</si>
  <si>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</si>
  <si>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</si>
  <si>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</si>
  <si>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</si>
  <si>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</si>
  <si>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</si>
  <si>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</si>
  <si>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</si>
  <si>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</si>
  <si>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July Actual v. Expected</t>
  </si>
  <si>
    <t>July Actual v. Forecasted</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</si>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</sst>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2">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sz val="11"/>
      <color rgb="FF000000"/>
      <name val="Calibri"/>
    </font>
    <font>
      <u/>
      <sz val="10"/>
      <color theme="10"/>
      <name val="Arial"/>
    </font>
    <font>
      <b/>
      <sz val="11"/>
      <color rgb="FF000000"/>
      <name val="Calibri"/>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0" fillId="0" borderId="0" applyNumberFormat="0" applyFill="0" applyBorder="0" applyAlignment="0" applyProtection="0"/>
  </cellStyleXfs>
  <cellXfs count="13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39" fillId="0" borderId="0" xfId="0" applyNumberFormat="1" applyFont="1" applyAlignment="1">
      <alignment horizontal="left" vertical="center"/>
    </xf>
    <xf numFmtId="49" fontId="39" fillId="0" borderId="0" xfId="0" applyNumberFormat="1" applyFont="1" applyAlignment="1">
      <alignment horizontal="left" vertical="top"/>
    </xf>
    <xf numFmtId="49" fontId="28" fillId="0" borderId="0" xfId="0" applyNumberFormat="1" applyFont="1" applyAlignment="1">
      <alignment vertical="center"/>
    </xf>
    <xf numFmtId="49" fontId="39" fillId="0" borderId="0" xfId="0" applyNumberFormat="1" applyFont="1" applyAlignment="1">
      <alignment vertical="center"/>
    </xf>
    <xf numFmtId="49" fontId="39" fillId="0" borderId="0" xfId="0" applyNumberFormat="1" applyFont="1" applyAlignment="1">
      <alignment horizontal="left" vertical="top" wrapText="1"/>
    </xf>
    <xf numFmtId="49" fontId="40" fillId="38" borderId="0" xfId="45" applyNumberFormat="1" applyFill="1" applyBorder="1" applyAlignment="1">
      <alignment horizontal="left" vertical="top" wrapText="1"/>
    </xf>
    <xf numFmtId="49" fontId="40" fillId="0" borderId="0" xfId="45" applyNumberFormat="1" applyAlignment="1">
      <alignment horizontal="left" vertical="top"/>
    </xf>
    <xf numFmtId="49" fontId="40" fillId="38" borderId="0" xfId="45" applyNumberFormat="1" applyFill="1" applyBorder="1" applyAlignment="1">
      <alignment vertical="top" wrapText="1"/>
    </xf>
    <xf numFmtId="49" fontId="40" fillId="0" borderId="0" xfId="45" applyNumberFormat="1" applyAlignment="1">
      <alignment vertical="top"/>
    </xf>
    <xf numFmtId="49" fontId="40" fillId="38" borderId="0" xfId="45" applyNumberFormat="1" applyFill="1" applyAlignment="1">
      <alignment vertical="top" wrapText="1"/>
    </xf>
    <xf numFmtId="0" fontId="40" fillId="0" borderId="0" xfId="45" applyAlignment="1">
      <alignment vertical="top"/>
    </xf>
    <xf numFmtId="0" fontId="40" fillId="0" borderId="0" xfId="45" applyAlignment="1">
      <alignment horizontal="left" vertical="top"/>
    </xf>
    <xf numFmtId="0" fontId="40" fillId="0" borderId="0" xfId="45"/>
    <xf numFmtId="49" fontId="40" fillId="0" borderId="0" xfId="45" applyNumberFormat="1" applyAlignment="1">
      <alignment vertical="top" wrapText="1"/>
    </xf>
    <xf numFmtId="49" fontId="40" fillId="38" borderId="0" xfId="45" applyNumberFormat="1" applyFill="1" applyAlignment="1">
      <alignment horizontal="left" vertical="top" wrapText="1"/>
    </xf>
    <xf numFmtId="49" fontId="40" fillId="0" borderId="0" xfId="45" applyNumberFormat="1" applyAlignment="1">
      <alignment horizontal="left" vertical="top" wrapText="1"/>
    </xf>
    <xf numFmtId="0" fontId="39" fillId="0" borderId="0" xfId="0" applyFont="1" applyAlignment="1">
      <alignment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49" fontId="39" fillId="38" borderId="0" xfId="2" applyNumberFormat="1" applyFont="1" applyFill="1" applyBorder="1" applyAlignment="1">
      <alignment horizontal="left" vertical="top" wrapText="1"/>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49" borderId="0" xfId="1" applyNumberFormat="1" applyFont="1" applyFill="1" applyBorder="1" applyAlignment="1">
      <alignment horizontal="center"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5">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workbookViewId="0">
      <pane ySplit="2" topLeftCell="A3" activePane="bottomLeft" state="frozen"/>
      <selection pane="bottomLeft" activeCell="E29" sqref="E29"/>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7" t="str" cm="1">
        <f t="array" ref="A1">portfolio</f>
        <v>CITI</v>
      </c>
      <c r="B1" s="127"/>
      <c r="C1" s="127"/>
      <c r="D1" s="76" t="s">
        <v>0</v>
      </c>
      <c r="E1" s="76" t="s">
        <v>1</v>
      </c>
      <c r="F1" s="128" t="s">
        <v>2</v>
      </c>
      <c r="G1" s="128"/>
      <c r="H1" s="128"/>
      <c r="I1" s="126" t="s">
        <v>3</v>
      </c>
      <c r="J1" s="126"/>
      <c r="K1" s="126"/>
    </row>
    <row r="2" spans="1:11" ht="19.5" customHeight="1">
      <c r="A2" s="129" t="s">
        <v>4</v>
      </c>
      <c r="B2" s="129"/>
      <c r="C2" s="6">
        <f>SUM(C4:C100)</f>
        <v>8666517.3800000008</v>
      </c>
      <c r="D2" s="6">
        <f>SUM(D4:D22)</f>
        <v>9089296.6900000013</v>
      </c>
      <c r="E2" s="7">
        <f>C2/D2</f>
        <v>0.95348602599086241</v>
      </c>
      <c r="F2" s="6">
        <f>SUM(F4:F100)</f>
        <v>9048736.3690000009</v>
      </c>
      <c r="G2" s="6">
        <f>C2-F2</f>
        <v>-382218.98900000006</v>
      </c>
      <c r="H2" s="7">
        <f>IFERROR(G2/F2, 0)</f>
        <v>-4.2240040312086148E-2</v>
      </c>
      <c r="I2" s="6">
        <f>SUM(I4:I100)</f>
        <v>9166088.807</v>
      </c>
      <c r="J2" s="8">
        <f>C2-I2</f>
        <v>-499571.42699999921</v>
      </c>
      <c r="K2" s="7">
        <f>IFERROR(J2/I2, 0)</f>
        <v>-5.4502136900363027E-2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262772.75</v>
      </c>
      <c r="D4" s="116">
        <f>SUM('1st Qtr'!D4,'2nd Qtr'!D4,'3rd Qtr'!D4,'4th Qtr'!D4)</f>
        <v>254868.74</v>
      </c>
      <c r="E4" s="79">
        <f>C4/D4</f>
        <v>1.0310120809637149</v>
      </c>
      <c r="F4" s="14">
        <f>SUM('1st Qtr'!F4, '2nd Qtr'!F4, '3rd Qtr'!F4, '4th Qtr'!F4)</f>
        <v>252345</v>
      </c>
      <c r="G4" s="14">
        <f>IF(AND(ISNUMBER(C4),ISNUMBER(F4)), C4-F4, "")</f>
        <v>10427.75</v>
      </c>
      <c r="H4" s="15">
        <f>IFERROR(G4/F4, "")</f>
        <v>4.1323386633378908E-2</v>
      </c>
      <c r="I4" s="16">
        <f>SUM('1st Qtr'!I4,'2nd Qtr'!I4,'3rd Qtr'!I4,'4th Qtr'!I4)</f>
        <v>271155.53200000001</v>
      </c>
      <c r="J4" s="16">
        <f>SUM('1st Qtr'!J4, '2nd Qtr'!J4, '3rd Qtr'!J4, '4th Qtr'!J4)</f>
        <v>-8382.7819999999992</v>
      </c>
      <c r="K4" s="17">
        <f>IFERROR(J4/I4, "")</f>
        <v>-3.0915032188980011E-2</v>
      </c>
    </row>
    <row r="5" spans="1:11" ht="15.6">
      <c r="A5" s="19" t="str">
        <v>CA: Antioch MC CUP - Citi</v>
      </c>
      <c r="B5" s="11" t="str">
        <v>CA</v>
      </c>
      <c r="C5" s="20">
        <f>SUM('1st Qtr'!C5, '2nd Qtr'!C5, '3rd Qtr'!C5, '4th Qtr'!C5)</f>
        <v>899080</v>
      </c>
      <c r="D5" s="117">
        <f>SUM('1st Qtr'!D5,'2nd Qtr'!D5,'3rd Qtr'!D5,'4th Qtr'!D5)</f>
        <v>858006.17999999993</v>
      </c>
      <c r="E5" s="80">
        <f t="shared" ref="E5:E22" si="0">C5/D5</f>
        <v>1.0478712402747496</v>
      </c>
      <c r="F5" s="20">
        <f>SUM('1st Qtr'!F5, '2nd Qtr'!F5, '3rd Qtr'!F5, '4th Qtr'!F5)</f>
        <v>849436</v>
      </c>
      <c r="G5" s="20">
        <f t="shared" ref="G5:G15" si="1">IF(AND(ISNUMBER(C5),ISNUMBER(F5)), C5-F5, "")</f>
        <v>49644</v>
      </c>
      <c r="H5" s="21">
        <f>IFERROR(G5/F5, "")</f>
        <v>5.8443484853479249E-2</v>
      </c>
      <c r="I5" s="22">
        <f>SUM('1st Qtr'!I5,'2nd Qtr'!I5,'3rd Qtr'!I5,'4th Qtr'!I5)</f>
        <v>938022.99399999995</v>
      </c>
      <c r="J5" s="22">
        <f>SUM(Jan!J5, Feb!J5, Mar!K5)</f>
        <v>-18801.309999999983</v>
      </c>
      <c r="K5" s="21">
        <f>IFERROR(J5/I5, "")</f>
        <v>-2.0043549166983411E-2</v>
      </c>
    </row>
    <row r="6" spans="1:11" ht="15.6">
      <c r="A6" s="13" t="str">
        <v>CA: Clovis - Citi</v>
      </c>
      <c r="B6" s="10" t="str">
        <v>CA</v>
      </c>
      <c r="C6" s="26">
        <f>SUM('1st Qtr'!C6, '2nd Qtr'!C6, '3rd Qtr'!C6, '4th Qtr'!C6)</f>
        <v>369447</v>
      </c>
      <c r="D6" s="116">
        <f>SUM('1st Qtr'!D6,'2nd Qtr'!D6,'3rd Qtr'!D6,'4th Qtr'!D6)</f>
        <v>357752</v>
      </c>
      <c r="E6" s="79">
        <f t="shared" si="0"/>
        <v>1.0326902435206511</v>
      </c>
      <c r="F6" s="14">
        <f>SUM('1st Qtr'!F6, '2nd Qtr'!F6, '3rd Qtr'!F6, '4th Qtr'!F6)</f>
        <v>345399</v>
      </c>
      <c r="G6" s="14">
        <f t="shared" si="1"/>
        <v>24048</v>
      </c>
      <c r="H6" s="15">
        <f t="shared" ref="H6:H15" si="2">IFERROR(G6/F6, "")</f>
        <v>6.9623826357343252E-2</v>
      </c>
      <c r="I6" s="16">
        <f>SUM('1st Qtr'!I6,'2nd Qtr'!I6,'3rd Qtr'!I6,'4th Qtr'!I6)</f>
        <v>156099.671</v>
      </c>
      <c r="J6" s="16">
        <f>SUM(Jan!J6, Feb!J6, Mar!K6)</f>
        <v>37638.939999999995</v>
      </c>
      <c r="K6" s="17">
        <f t="shared" ref="K6:K15" si="3">IFERROR(J6/I6, "")</f>
        <v>0.24112120005685339</v>
      </c>
    </row>
    <row r="7" spans="1:11" ht="15.6">
      <c r="A7" s="19" t="str">
        <v>CA: Elk Grove MOB - Citi</v>
      </c>
      <c r="B7" s="11" t="str">
        <v>CA</v>
      </c>
      <c r="C7" s="20">
        <f>SUM('1st Qtr'!C7, '2nd Qtr'!C7, '3rd Qtr'!C7, '4th Qtr'!C7)</f>
        <v>570859.5</v>
      </c>
      <c r="D7" s="117">
        <f>SUM('1st Qtr'!D7,'2nd Qtr'!D7,'3rd Qtr'!D7,'4th Qtr'!D7)</f>
        <v>572482</v>
      </c>
      <c r="E7" s="80">
        <f t="shared" si="0"/>
        <v>0.99716584975597489</v>
      </c>
      <c r="F7" s="20">
        <f>SUM('1st Qtr'!F7, '2nd Qtr'!F7, '3rd Qtr'!F7, '4th Qtr'!F7)</f>
        <v>566814</v>
      </c>
      <c r="G7" s="20">
        <f t="shared" si="1"/>
        <v>4045.5</v>
      </c>
      <c r="H7" s="21">
        <f t="shared" si="2"/>
        <v>7.1372619589494968E-3</v>
      </c>
      <c r="I7" s="22">
        <f>SUM('1st Qtr'!I7,'2nd Qtr'!I7,'3rd Qtr'!I7,'4th Qtr'!I7)</f>
        <v>612154.00300000003</v>
      </c>
      <c r="J7" s="22">
        <f>SUM(Jan!J7, Feb!J7, Mar!K7)</f>
        <v>-16876.800000000003</v>
      </c>
      <c r="K7" s="21">
        <f t="shared" si="3"/>
        <v>-2.7569533021578562E-2</v>
      </c>
    </row>
    <row r="8" spans="1:11" ht="15.6">
      <c r="A8" s="13" t="str">
        <v>CA: Elk Grove Promenade - Citi</v>
      </c>
      <c r="B8" s="10" t="str">
        <v>CA</v>
      </c>
      <c r="C8" s="26">
        <f>SUM('1st Qtr'!C8, '2nd Qtr'!C8, '3rd Qtr'!C8, '4th Qtr'!C8)</f>
        <v>305726.5</v>
      </c>
      <c r="D8" s="116">
        <f>SUM('1st Qtr'!D8,'2nd Qtr'!D8,'3rd Qtr'!D8,'4th Qtr'!D8)</f>
        <v>306797.5</v>
      </c>
      <c r="E8" s="79">
        <f t="shared" si="0"/>
        <v>0.99650909802068144</v>
      </c>
      <c r="F8" s="14">
        <f>SUM('1st Qtr'!F8, '2nd Qtr'!F8, '3rd Qtr'!F8, '4th Qtr'!F8)</f>
        <v>303789.989</v>
      </c>
      <c r="G8" s="14">
        <f t="shared" si="1"/>
        <v>1936.5109999999986</v>
      </c>
      <c r="H8" s="15">
        <f t="shared" si="2"/>
        <v>6.3745056457406787E-3</v>
      </c>
      <c r="I8" s="16">
        <f>SUM('1st Qtr'!I8,'2nd Qtr'!I8,'3rd Qtr'!I8,'4th Qtr'!I8)</f>
        <v>330878.15300000005</v>
      </c>
      <c r="J8" s="16">
        <f>SUM(Jan!J8, Feb!J8, Mar!K8)</f>
        <v>-13241.197999999997</v>
      </c>
      <c r="K8" s="17">
        <f t="shared" si="3"/>
        <v>-4.0018350803596253E-2</v>
      </c>
    </row>
    <row r="9" spans="1:11" ht="15.6">
      <c r="A9" s="19" t="str">
        <v>CA: Fresno Sequioa - Citi</v>
      </c>
      <c r="B9" s="11" t="str">
        <v>CA</v>
      </c>
      <c r="C9" s="20">
        <f>SUM('1st Qtr'!C9, '2nd Qtr'!C9, '3rd Qtr'!C9, '4th Qtr'!C9)</f>
        <v>596072.5</v>
      </c>
      <c r="D9" s="117">
        <f>SUM('1st Qtr'!D9,'2nd Qtr'!D9,'3rd Qtr'!D9,'4th Qtr'!D9)</f>
        <v>609190.56000000006</v>
      </c>
      <c r="E9" s="80">
        <f t="shared" si="0"/>
        <v>0.97846640959111375</v>
      </c>
      <c r="F9" s="20">
        <f>SUM('1st Qtr'!F9, '2nd Qtr'!F9, '3rd Qtr'!F9, '4th Qtr'!F9)</f>
        <v>603281</v>
      </c>
      <c r="G9" s="20">
        <f t="shared" si="1"/>
        <v>-7208.5</v>
      </c>
      <c r="H9" s="21">
        <f t="shared" si="2"/>
        <v>-1.1948826500420203E-2</v>
      </c>
      <c r="I9" s="22">
        <f>SUM('1st Qtr'!I9,'2nd Qtr'!I9,'3rd Qtr'!I9,'4th Qtr'!I9)</f>
        <v>653449.10899999994</v>
      </c>
      <c r="J9" s="22">
        <f>SUM(Jan!J9, Feb!J9, Mar!K9)</f>
        <v>-32740.300000000003</v>
      </c>
      <c r="K9" s="21">
        <f t="shared" si="3"/>
        <v>-5.0103825300341798E-2</v>
      </c>
    </row>
    <row r="10" spans="1:11" ht="15.6">
      <c r="A10" s="13" t="str">
        <v>CA: Fresno MOB - Citi</v>
      </c>
      <c r="B10" s="10" t="str">
        <v>CA</v>
      </c>
      <c r="C10" s="26">
        <f>SUM('1st Qtr'!C10, '2nd Qtr'!C10, '3rd Qtr'!C10, '4th Qtr'!C10)</f>
        <v>217563.75</v>
      </c>
      <c r="D10" s="116">
        <f>SUM('1st Qtr'!D10,'2nd Qtr'!D10,'3rd Qtr'!D10,'4th Qtr'!D10)</f>
        <v>246770.87999999998</v>
      </c>
      <c r="E10" s="79">
        <f t="shared" si="0"/>
        <v>0.88164272056735393</v>
      </c>
      <c r="F10" s="14">
        <f>SUM('1st Qtr'!F10, '2nd Qtr'!F10, '3rd Qtr'!F10, '4th Qtr'!F10)</f>
        <v>245682</v>
      </c>
      <c r="G10" s="14">
        <f t="shared" si="1"/>
        <v>-28118.25</v>
      </c>
      <c r="H10" s="15">
        <f t="shared" si="2"/>
        <v>-0.11444977654040589</v>
      </c>
      <c r="I10" s="16">
        <f>SUM('1st Qtr'!I10,'2nd Qtr'!I10,'3rd Qtr'!I10,'4th Qtr'!I10)</f>
        <v>232964.72400000002</v>
      </c>
      <c r="J10" s="16">
        <f>SUM(Jan!J10, Feb!J10, Mar!K10)</f>
        <v>-6133.5459999999985</v>
      </c>
      <c r="K10" s="17">
        <f t="shared" si="3"/>
        <v>-2.6328217829236663E-2</v>
      </c>
    </row>
    <row r="11" spans="1:11" ht="15.6">
      <c r="A11" s="19" t="str">
        <v>CA: Modesto Bangs - Citi</v>
      </c>
      <c r="B11" s="11" t="str">
        <v>CA</v>
      </c>
      <c r="C11" s="20">
        <f>SUM('1st Qtr'!C11, '2nd Qtr'!C11, '3rd Qtr'!C11, '4th Qtr'!C11)</f>
        <v>153396.75</v>
      </c>
      <c r="D11" s="117">
        <f>SUM('1st Qtr'!D11,'2nd Qtr'!D11,'3rd Qtr'!D11,'4th Qtr'!D11)</f>
        <v>162323.71999999997</v>
      </c>
      <c r="E11" s="80">
        <f t="shared" si="0"/>
        <v>0.94500514157758353</v>
      </c>
      <c r="F11" s="20">
        <f>SUM('1st Qtr'!F11, '2nd Qtr'!F11, '3rd Qtr'!F11, '4th Qtr'!F11)</f>
        <v>161587</v>
      </c>
      <c r="G11" s="20">
        <f t="shared" si="1"/>
        <v>-8190.25</v>
      </c>
      <c r="H11" s="21">
        <f t="shared" si="2"/>
        <v>-5.0686317587429683E-2</v>
      </c>
      <c r="I11" s="22">
        <f>SUM('1st Qtr'!I11,'2nd Qtr'!I11,'3rd Qtr'!I11,'4th Qtr'!I11)</f>
        <v>78130.415000000008</v>
      </c>
      <c r="J11" s="22">
        <f>SUM(Jan!J11, Feb!J11, Mar!K11)</f>
        <v>-1666.3119999999981</v>
      </c>
      <c r="K11" s="21">
        <f t="shared" si="3"/>
        <v>-2.1327315361117663E-2</v>
      </c>
    </row>
    <row r="12" spans="1:11" ht="15.6">
      <c r="A12" s="13" t="str">
        <v>CA: Napa Data Center - Citi</v>
      </c>
      <c r="B12" s="10" t="str">
        <v>CA</v>
      </c>
      <c r="C12" s="26">
        <f>SUM('1st Qtr'!C12, '2nd Qtr'!C12, '3rd Qtr'!C12, '4th Qtr'!C12)</f>
        <v>156201.13</v>
      </c>
      <c r="D12" s="116">
        <f>SUM('1st Qtr'!D12,'2nd Qtr'!D12,'3rd Qtr'!D12,'4th Qtr'!D12)</f>
        <v>177624.29</v>
      </c>
      <c r="E12" s="79">
        <f t="shared" si="0"/>
        <v>0.87939059460842883</v>
      </c>
      <c r="F12" s="14">
        <f>SUM('1st Qtr'!F12, '2nd Qtr'!F12, '3rd Qtr'!F12, '4th Qtr'!F12)</f>
        <v>171156</v>
      </c>
      <c r="G12" s="14">
        <f t="shared" si="1"/>
        <v>-14954.869999999995</v>
      </c>
      <c r="H12" s="15">
        <f t="shared" si="2"/>
        <v>-8.7375668980345392E-2</v>
      </c>
      <c r="I12" s="16">
        <f>SUM('1st Qtr'!I12,'2nd Qtr'!I12,'3rd Qtr'!I12,'4th Qtr'!I12)</f>
        <v>184666.18100000001</v>
      </c>
      <c r="J12" s="16">
        <f>SUM(Jan!J12, Feb!J12, Mar!K12)</f>
        <v>-13452.904999999999</v>
      </c>
      <c r="K12" s="17">
        <f t="shared" si="3"/>
        <v>-7.2849857657477618E-2</v>
      </c>
    </row>
    <row r="13" spans="1:11" ht="15.6">
      <c r="A13" s="19" t="str">
        <v>CA: Petaluma MOB - Citi</v>
      </c>
      <c r="B13" s="11" t="str">
        <v>CA</v>
      </c>
      <c r="C13" s="20">
        <f>SUM('1st Qtr'!C13, '2nd Qtr'!C13, '3rd Qtr'!C13, '4th Qtr'!C13)</f>
        <v>269808.5</v>
      </c>
      <c r="D13" s="117">
        <f>SUM('1st Qtr'!D13,'2nd Qtr'!D13,'3rd Qtr'!D13,'4th Qtr'!D13)</f>
        <v>359736.5</v>
      </c>
      <c r="E13" s="80">
        <f t="shared" si="0"/>
        <v>0.75001702635123213</v>
      </c>
      <c r="F13" s="20">
        <f>SUM('1st Qtr'!F13, '2nd Qtr'!F13, '3rd Qtr'!F13, '4th Qtr'!F13)</f>
        <v>394293</v>
      </c>
      <c r="G13" s="20">
        <f t="shared" si="1"/>
        <v>-124484.5</v>
      </c>
      <c r="H13" s="21">
        <f t="shared" si="2"/>
        <v>-0.31571572409350407</v>
      </c>
      <c r="I13" s="22">
        <f>SUM('1st Qtr'!I13,'2nd Qtr'!I13,'3rd Qtr'!I13,'4th Qtr'!I13)</f>
        <v>229461.41600000003</v>
      </c>
      <c r="J13" s="22">
        <f>SUM(Jan!J13, Feb!J13, Mar!K13)</f>
        <v>-25903.39</v>
      </c>
      <c r="K13" s="21">
        <f t="shared" si="3"/>
        <v>-0.11288778066287186</v>
      </c>
    </row>
    <row r="14" spans="1:11" ht="15.6">
      <c r="A14" s="13" t="str">
        <v>CA: Pleasanton Tec Ctr - Citi</v>
      </c>
      <c r="B14" s="10" t="str">
        <v>CA</v>
      </c>
      <c r="C14" s="26">
        <f>SUM('1st Qtr'!C14, '2nd Qtr'!C14, '3rd Qtr'!C14, '4th Qtr'!C14)</f>
        <v>491256.5</v>
      </c>
      <c r="D14" s="116">
        <f>SUM('1st Qtr'!D14,'2nd Qtr'!D14,'3rd Qtr'!D14,'4th Qtr'!D14)</f>
        <v>565350.36</v>
      </c>
      <c r="E14" s="79">
        <f t="shared" si="0"/>
        <v>0.86894169484565287</v>
      </c>
      <c r="F14" s="14">
        <f>SUM('1st Qtr'!F14, '2nd Qtr'!F14, '3rd Qtr'!F14, '4th Qtr'!F14)</f>
        <v>559567</v>
      </c>
      <c r="G14" s="14">
        <f t="shared" si="1"/>
        <v>-68310.5</v>
      </c>
      <c r="H14" s="15">
        <f t="shared" si="2"/>
        <v>-0.12207742772536621</v>
      </c>
      <c r="I14" s="16">
        <f>SUM('1st Qtr'!I14,'2nd Qtr'!I14,'3rd Qtr'!I14,'4th Qtr'!I14)</f>
        <v>583727.48400000005</v>
      </c>
      <c r="J14" s="16">
        <f>SUM(Jan!J14, Feb!J14, Mar!K14)</f>
        <v>-32875.356</v>
      </c>
      <c r="K14" s="17">
        <f t="shared" si="3"/>
        <v>-5.6319698662672522E-2</v>
      </c>
    </row>
    <row r="15" spans="1:11" ht="15.6">
      <c r="A15" s="19" t="str">
        <v>CA: Rancho Cordova - Citi</v>
      </c>
      <c r="B15" s="11" t="str">
        <v>CA</v>
      </c>
      <c r="C15" s="20">
        <f>SUM('1st Qtr'!C15, '2nd Qtr'!C15, '3rd Qtr'!C15, '4th Qtr'!C15)</f>
        <v>882780</v>
      </c>
      <c r="D15" s="117">
        <f>SUM('1st Qtr'!D15,'2nd Qtr'!D15,'3rd Qtr'!D15,'4th Qtr'!D15)</f>
        <v>819342.78</v>
      </c>
      <c r="E15" s="80">
        <f t="shared" si="0"/>
        <v>1.0774245182217874</v>
      </c>
      <c r="F15" s="20">
        <f>SUM('1st Qtr'!F15, '2nd Qtr'!F15, '3rd Qtr'!F15, '4th Qtr'!F15)</f>
        <v>812545</v>
      </c>
      <c r="G15" s="20">
        <f t="shared" si="1"/>
        <v>70235</v>
      </c>
      <c r="H15" s="21">
        <f t="shared" si="2"/>
        <v>8.6438289571654489E-2</v>
      </c>
      <c r="I15" s="22">
        <f>SUM('1st Qtr'!I15,'2nd Qtr'!I15,'3rd Qtr'!I15,'4th Qtr'!I15)</f>
        <v>922891.68700000003</v>
      </c>
      <c r="J15" s="22">
        <f>SUM(Jan!J15, Feb!J15, Mar!K15)</f>
        <v>-17879.210000000006</v>
      </c>
      <c r="K15" s="21">
        <f t="shared" si="3"/>
        <v>-1.9373031799776095E-2</v>
      </c>
    </row>
    <row r="16" spans="1:11" ht="15.6">
      <c r="A16" s="13" t="str">
        <v>CA: S Sacramento Wyndham - Citi</v>
      </c>
      <c r="B16" s="10" t="str">
        <v>CA</v>
      </c>
      <c r="C16" s="26">
        <f>SUM('1st Qtr'!C16, '2nd Qtr'!C16, '3rd Qtr'!C16, '4th Qtr'!C16)</f>
        <v>463570.5</v>
      </c>
      <c r="D16" s="116">
        <f>SUM('1st Qtr'!D16,'2nd Qtr'!D16,'3rd Qtr'!D16,'4th Qtr'!D16)</f>
        <v>494454.69</v>
      </c>
      <c r="E16" s="79">
        <f t="shared" si="0"/>
        <v>0.93753888753689441</v>
      </c>
      <c r="F16" s="14">
        <f>SUM('1st Qtr'!F16, '2nd Qtr'!F16, '3rd Qtr'!F16, '4th Qtr'!F16)</f>
        <v>487036</v>
      </c>
      <c r="G16" s="14">
        <f t="shared" ref="G16:G22" si="4">IF(AND(ISNUMBER(C16),ISNUMBER(F16)), C16-F16, "")</f>
        <v>-23465.5</v>
      </c>
      <c r="H16" s="38">
        <f t="shared" ref="H16:H22" si="5">IFERROR(G16/F16, "")</f>
        <v>-4.8180216657495542E-2</v>
      </c>
      <c r="I16" s="39">
        <f>SUM('1st Qtr'!I16,'2nd Qtr'!I16,'3rd Qtr'!I16,'4th Qtr'!I16)</f>
        <v>488571.75699999998</v>
      </c>
      <c r="J16" s="39">
        <f>SUM(Jan!J16, Feb!J16, Mar!K16)</f>
        <v>-1200.1229999999996</v>
      </c>
      <c r="K16" s="40">
        <f t="shared" ref="K16:K22" si="6">IFERROR(J16/I16, "")</f>
        <v>-2.4563904540229075E-3</v>
      </c>
    </row>
    <row r="17" spans="1:11" ht="15.6">
      <c r="A17" s="19" t="str">
        <v>CA: Sacramento Point West - Citi</v>
      </c>
      <c r="B17" s="11" t="str">
        <v>CA</v>
      </c>
      <c r="C17" s="20">
        <f>SUM('1st Qtr'!C17, '2nd Qtr'!C17, '3rd Qtr'!C17, '4th Qtr'!C17)</f>
        <v>917908</v>
      </c>
      <c r="D17" s="117">
        <f>SUM('1st Qtr'!D17,'2nd Qtr'!D17,'3rd Qtr'!D17,'4th Qtr'!D17)</f>
        <v>944417.9</v>
      </c>
      <c r="E17" s="80">
        <f t="shared" si="0"/>
        <v>0.97192990518286448</v>
      </c>
      <c r="F17" s="20">
        <f>SUM('1st Qtr'!F17, '2nd Qtr'!F17, '3rd Qtr'!F17, '4th Qtr'!F17)</f>
        <v>938569</v>
      </c>
      <c r="G17" s="20">
        <f t="shared" si="4"/>
        <v>-20661</v>
      </c>
      <c r="H17" s="43">
        <f t="shared" si="5"/>
        <v>-2.2013298968962324E-2</v>
      </c>
      <c r="I17" s="44">
        <f>SUM('1st Qtr'!I17,'2nd Qtr'!I17,'3rd Qtr'!I17,'4th Qtr'!I17)</f>
        <v>1022092.561</v>
      </c>
      <c r="J17" s="44">
        <f>SUM(Jan!J17, Feb!J17, Mar!K17)</f>
        <v>-48001.260000000009</v>
      </c>
      <c r="K17" s="43">
        <f t="shared" si="6"/>
        <v>-4.6963711342382045E-2</v>
      </c>
    </row>
    <row r="18" spans="1:11" ht="12.75" customHeight="1">
      <c r="A18" s="13" t="str">
        <v>CA: San Jose FHC - Citi</v>
      </c>
      <c r="B18" s="10" t="str">
        <v>CA</v>
      </c>
      <c r="C18" s="26">
        <f>SUM('1st Qtr'!C18, '2nd Qtr'!C18, '3rd Qtr'!C18, '4th Qtr'!C18)</f>
        <v>175753.25</v>
      </c>
      <c r="D18" s="116">
        <f>SUM('1st Qtr'!D18,'2nd Qtr'!D18,'3rd Qtr'!D18,'4th Qtr'!D18)</f>
        <v>197545.34999999998</v>
      </c>
      <c r="E18" s="79">
        <f t="shared" si="0"/>
        <v>0.88968558358878114</v>
      </c>
      <c r="F18" s="14">
        <f>SUM('1st Qtr'!F18, '2nd Qtr'!F18, '3rd Qtr'!F18, '4th Qtr'!F18)</f>
        <v>202472</v>
      </c>
      <c r="G18" s="14">
        <f t="shared" si="4"/>
        <v>-26718.75</v>
      </c>
      <c r="H18" s="38">
        <f t="shared" si="5"/>
        <v>-0.13196269113754</v>
      </c>
      <c r="I18" s="39">
        <f>SUM('1st Qtr'!I18,'2nd Qtr'!I18,'3rd Qtr'!I18,'4th Qtr'!I18)</f>
        <v>200921.87199999997</v>
      </c>
      <c r="J18" s="39">
        <f>SUM(Jan!J18, Feb!J18, Mar!K18)</f>
        <v>-13919.123999999996</v>
      </c>
      <c r="K18" s="40">
        <f t="shared" si="6"/>
        <v>-6.9276300591107356E-2</v>
      </c>
    </row>
    <row r="19" spans="1:11" ht="15.6">
      <c r="A19" s="19" t="str">
        <v>CA: San Jose MOB - Citi</v>
      </c>
      <c r="B19" s="11" t="str">
        <v>CA</v>
      </c>
      <c r="C19" s="20">
        <f>SUM('1st Qtr'!C19, '2nd Qtr'!C19, '3rd Qtr'!C19, '4th Qtr'!C19)</f>
        <v>258408.75</v>
      </c>
      <c r="D19" s="117">
        <f>SUM('1st Qtr'!D19,'2nd Qtr'!D19,'3rd Qtr'!D19,'4th Qtr'!D19)</f>
        <v>316532.83999999997</v>
      </c>
      <c r="E19" s="80">
        <f t="shared" si="0"/>
        <v>0.81637263924969061</v>
      </c>
      <c r="F19" s="20">
        <f>SUM('1st Qtr'!F19, '2nd Qtr'!F19, '3rd Qtr'!F19, '4th Qtr'!F19)</f>
        <v>319234</v>
      </c>
      <c r="G19" s="20">
        <f t="shared" si="4"/>
        <v>-60825.25</v>
      </c>
      <c r="H19" s="43">
        <f t="shared" si="5"/>
        <v>-0.19053499940482529</v>
      </c>
      <c r="I19" s="44">
        <f>SUM('1st Qtr'!I19,'2nd Qtr'!I19,'3rd Qtr'!I19,'4th Qtr'!I19)</f>
        <v>328729.85399999999</v>
      </c>
      <c r="J19" s="44">
        <f>SUM(Jan!J19, Feb!J19, Mar!K19)</f>
        <v>-33809.864000000009</v>
      </c>
      <c r="K19" s="43">
        <f t="shared" si="6"/>
        <v>-0.10284999548595915</v>
      </c>
    </row>
    <row r="20" spans="1:11" ht="15.6">
      <c r="A20" s="13" t="str">
        <v>CA: Selma - Citi</v>
      </c>
      <c r="B20" s="10" t="str">
        <v>CA</v>
      </c>
      <c r="C20" s="26">
        <f>SUM('1st Qtr'!C20, '2nd Qtr'!C20, '3rd Qtr'!C20, '4th Qtr'!C20)</f>
        <v>175340.12</v>
      </c>
      <c r="D20" s="116">
        <f>SUM('1st Qtr'!D20,'2nd Qtr'!D20,'3rd Qtr'!D20,'4th Qtr'!D20)</f>
        <v>181800.96000000002</v>
      </c>
      <c r="E20" s="79">
        <f t="shared" si="0"/>
        <v>0.96446201384195096</v>
      </c>
      <c r="F20" s="14">
        <f>SUM('1st Qtr'!F20, '2nd Qtr'!F20, '3rd Qtr'!F20, '4th Qtr'!F20)</f>
        <v>179933</v>
      </c>
      <c r="G20" s="14">
        <f t="shared" si="4"/>
        <v>-4592.8800000000047</v>
      </c>
      <c r="H20" s="38">
        <f t="shared" si="5"/>
        <v>-2.5525501158764678E-2</v>
      </c>
      <c r="I20" s="39">
        <f>SUM('1st Qtr'!I20,'2nd Qtr'!I20,'3rd Qtr'!I20,'4th Qtr'!I20)</f>
        <v>199952.359</v>
      </c>
      <c r="J20" s="39">
        <f>SUM(Jan!J20, Feb!J20, Mar!K20)</f>
        <v>-11115.291000000001</v>
      </c>
      <c r="K20" s="40">
        <f t="shared" si="6"/>
        <v>-5.5589696743712842E-2</v>
      </c>
    </row>
    <row r="21" spans="1:11" ht="15.6">
      <c r="A21" s="19" t="str">
        <v>CA: Vacaville Hospital</v>
      </c>
      <c r="B21" s="11" t="str">
        <v>CA</v>
      </c>
      <c r="C21" s="20">
        <f>SUM('1st Qtr'!C21, '2nd Qtr'!C21, '3rd Qtr'!C21, '4th Qtr'!C21)</f>
        <v>1139940.75</v>
      </c>
      <c r="D21" s="117">
        <f>SUM('1st Qtr'!D21,'2nd Qtr'!D21,'3rd Qtr'!D21,'4th Qtr'!D21)</f>
        <v>1264041.44</v>
      </c>
      <c r="E21" s="80">
        <f t="shared" si="0"/>
        <v>0.90182229310456785</v>
      </c>
      <c r="F21" s="20">
        <f>SUM('1st Qtr'!F21, '2nd Qtr'!F21, '3rd Qtr'!F21, '4th Qtr'!F21)</f>
        <v>1254288</v>
      </c>
      <c r="G21" s="20">
        <f t="shared" si="4"/>
        <v>-114347.25</v>
      </c>
      <c r="H21" s="43">
        <f t="shared" si="5"/>
        <v>-9.1165067352952434E-2</v>
      </c>
      <c r="I21" s="44">
        <f>SUM('1st Qtr'!I21,'2nd Qtr'!I21,'3rd Qtr'!I21,'4th Qtr'!I21)</f>
        <v>1361987.5180000002</v>
      </c>
      <c r="J21" s="44">
        <f>SUM(Jan!J21, Feb!J21, Mar!K21)</f>
        <v>-33523.386999999988</v>
      </c>
      <c r="K21" s="43">
        <f t="shared" si="6"/>
        <v>-2.4613578727378606E-2</v>
      </c>
    </row>
    <row r="22" spans="1:11" ht="15.6">
      <c r="A22" s="13" t="str">
        <v>CA: Manteca - KP Manteca Hospital</v>
      </c>
      <c r="B22" s="10" t="str">
        <v>CA</v>
      </c>
      <c r="C22" s="26">
        <f>SUM('1st Qtr'!C22, '2nd Qtr'!C22, '3rd Qtr'!C22, '4th Qtr'!C22)</f>
        <v>360631.13</v>
      </c>
      <c r="D22" s="116">
        <f>SUM('1st Qtr'!D22,'2nd Qtr'!D22,'3rd Qtr'!D22,'4th Qtr'!D22)</f>
        <v>400258</v>
      </c>
      <c r="E22" s="79">
        <f t="shared" si="0"/>
        <v>0.90099668214001971</v>
      </c>
      <c r="F22" s="14">
        <f>SUM('1st Qtr'!F22, '2nd Qtr'!F22, '3rd Qtr'!F22, '4th Qtr'!F22)</f>
        <v>401309.38</v>
      </c>
      <c r="G22" s="14">
        <f t="shared" si="4"/>
        <v>-40678.25</v>
      </c>
      <c r="H22" s="38">
        <f t="shared" si="5"/>
        <v>-0.10136381561776603</v>
      </c>
      <c r="I22" s="39">
        <f>SUM('1st Qtr'!I22,'2nd Qtr'!I22,'3rd Qtr'!I22,'4th Qtr'!I22)</f>
        <v>370231.51699999999</v>
      </c>
      <c r="J22" s="39">
        <f>SUM(Jan!J22, Feb!J22, Mar!K22)</f>
        <v>-6367.1640000000116</v>
      </c>
      <c r="K22" s="40">
        <f t="shared" si="6"/>
        <v>-1.7197790322102727E-2</v>
      </c>
    </row>
    <row r="23" spans="1:11" ht="13.9">
      <c r="A23" s="23" t="str">
        <v>Sacramento - KP South Sacramento HSP</v>
      </c>
      <c r="B23" s="23" t="str">
        <v>CA</v>
      </c>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J2" sqref="J2"/>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7" t="str" cm="1">
        <f t="array" ref="A1">portfolio</f>
        <v>CITI</v>
      </c>
      <c r="B1" s="127"/>
      <c r="C1" s="127"/>
      <c r="D1" s="76" t="s">
        <v>0</v>
      </c>
      <c r="E1" s="76" t="s">
        <v>1</v>
      </c>
      <c r="F1" s="128" t="s">
        <v>12</v>
      </c>
      <c r="G1" s="128"/>
      <c r="H1" s="128"/>
      <c r="I1" s="126" t="s">
        <v>13</v>
      </c>
      <c r="J1" s="126"/>
      <c r="K1" s="126"/>
    </row>
    <row r="2" spans="1:11" ht="19.5" customHeight="1">
      <c r="A2" s="129" t="s">
        <v>4</v>
      </c>
      <c r="B2" s="129"/>
      <c r="C2" s="6">
        <f>SUM(C4:C100)</f>
        <v>3997407.76</v>
      </c>
      <c r="D2" s="6">
        <f>SUM(D4:D22)</f>
        <v>3960868.1399999997</v>
      </c>
      <c r="E2" s="7">
        <f>C2/D2</f>
        <v>1.0092251543622455</v>
      </c>
      <c r="F2" s="6">
        <f>SUM(F4:F100)</f>
        <v>3987723.821</v>
      </c>
      <c r="G2" s="6">
        <f>C2-F2</f>
        <v>9683.9389999997802</v>
      </c>
      <c r="H2" s="7">
        <f>IFERROR(G2/F2, 0)</f>
        <v>2.4284377340784203E-3</v>
      </c>
      <c r="I2" s="6">
        <f>SUM(I4:I100)</f>
        <v>4290441.3270000005</v>
      </c>
      <c r="J2" s="8">
        <f>C2-I2</f>
        <v>-293033.56700000074</v>
      </c>
      <c r="K2" s="7">
        <f>IFERROR(J2/I2, 0)</f>
        <v>-6.8299166604592218E-2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148819.5</v>
      </c>
      <c r="D13" s="12">
        <f>SUM(Jan!D13,Feb!D13,Mar!D13)</f>
        <v>130900.23000000001</v>
      </c>
      <c r="E13" s="80">
        <f t="shared" si="0"/>
        <v>1.1368925784164015</v>
      </c>
      <c r="F13" s="20">
        <f>SUM(Jan!F13, Feb!F13, Mar!G13)</f>
        <v>174082</v>
      </c>
      <c r="G13" s="20">
        <f t="shared" si="1"/>
        <v>-25262.5</v>
      </c>
      <c r="H13" s="21">
        <f t="shared" si="2"/>
        <v>-0.14511839248170402</v>
      </c>
      <c r="I13" s="22">
        <f>SUM(Jan!I13, Feb!I13, Mar!J13)</f>
        <v>174722.89</v>
      </c>
      <c r="J13" s="22">
        <f>SUM(Jan!J13, Feb!J13, Mar!K13)</f>
        <v>-25903.39</v>
      </c>
      <c r="K13" s="21">
        <f t="shared" si="3"/>
        <v>-0.14825412972507493</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75">
      <c r="A23" s="19" t="str">
        <v>Sacramento - KP South Sacramento HSP</v>
      </c>
      <c r="B23" s="11" t="str">
        <v>CA</v>
      </c>
      <c r="C23" s="42"/>
      <c r="D23" s="42"/>
      <c r="E23" s="124"/>
      <c r="F23" s="20"/>
      <c r="G23" s="20"/>
      <c r="H23" s="43"/>
      <c r="I23" s="44"/>
      <c r="J23" s="44"/>
      <c r="K23" s="4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2" priority="1" stopIfTrue="1" operator="lessThanOrEqual">
      <formula>-0.1</formula>
    </cfRule>
    <cfRule type="expression" dxfId="31"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10" activePane="bottomLeft" state="frozen"/>
      <selection pane="bottomLeft" activeCell="J31" sqref="J3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27" t="str" cm="1">
        <f t="array" ref="A1">portfolio</f>
        <v>CITI</v>
      </c>
      <c r="B1" s="127"/>
      <c r="C1" s="127"/>
      <c r="D1" s="76" t="s">
        <v>0</v>
      </c>
      <c r="E1" s="76" t="s">
        <v>1</v>
      </c>
      <c r="F1" s="128" t="s">
        <v>14</v>
      </c>
      <c r="G1" s="128"/>
      <c r="H1" s="128"/>
      <c r="I1" s="126" t="s">
        <v>15</v>
      </c>
      <c r="J1" s="126"/>
      <c r="K1" s="126"/>
    </row>
    <row r="2" spans="1:14" ht="19.5" customHeight="1">
      <c r="A2" s="129" t="s">
        <v>4</v>
      </c>
      <c r="B2" s="129"/>
      <c r="C2" s="6">
        <f>SUM(C4:C99)</f>
        <v>5341286.7699999996</v>
      </c>
      <c r="D2" s="6">
        <f>SUM(D4:D22)</f>
        <v>5128428.5499999989</v>
      </c>
      <c r="E2" s="7">
        <f>C2/D2</f>
        <v>1.0415055446175614</v>
      </c>
      <c r="F2" s="6">
        <f>SUM(D4:D99)</f>
        <v>5128428.5499999989</v>
      </c>
      <c r="G2" s="6">
        <f>C2-F2</f>
        <v>212858.22000000067</v>
      </c>
      <c r="H2" s="7">
        <f>IFERROR(G2/F2, 0)</f>
        <v>4.1505544617561403E-2</v>
      </c>
      <c r="I2" s="6">
        <f>SUM(G4:G99)</f>
        <v>-125585.77800000011</v>
      </c>
      <c r="J2" s="8">
        <f>C2-I2</f>
        <v>5466872.5479999995</v>
      </c>
      <c r="K2" s="7">
        <f>IFERROR(J2/I2, 0)</f>
        <v>-43.530984439973729</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148405</v>
      </c>
      <c r="D4" s="122">
        <f>SUM(Apr!D4,May!D4,Jun!D4)</f>
        <v>139469.10999999999</v>
      </c>
      <c r="E4" s="79">
        <f>C4/D4</f>
        <v>1.0640707465617298</v>
      </c>
      <c r="F4" s="14">
        <f>SUM(Apr!F4, May!F4, Jun!G4)</f>
        <v>138088</v>
      </c>
      <c r="G4" s="14">
        <f t="shared" ref="G4:G22" si="0">IF(AND(ISNUMBER(C4),ISNUMBER(F4)), C4-F4, "")</f>
        <v>10317</v>
      </c>
      <c r="H4" s="15">
        <f>IFERROR(G4/F4, "")</f>
        <v>7.4713226348415498E-2</v>
      </c>
      <c r="I4" s="16">
        <f>SUM(Apr!I4+May!I4+Jun!J4)</f>
        <v>153621.815</v>
      </c>
      <c r="J4" s="16">
        <f>SUM(Apr!J4, May!J4, Jun!K4)</f>
        <v>-5216.8150000000023</v>
      </c>
      <c r="K4" s="17">
        <f>IFERROR(J4/I4, "")</f>
        <v>-3.3958816330870729E-2</v>
      </c>
    </row>
    <row r="5" spans="1:14" ht="15.6">
      <c r="A5" s="19" t="str">
        <v>CA: Antioch MC CUP - Citi</v>
      </c>
      <c r="B5" s="11" t="str">
        <v>CA</v>
      </c>
      <c r="C5" s="12">
        <f>SUM(Apr!C5, May!C5, Jun!C5)</f>
        <v>491481</v>
      </c>
      <c r="D5" s="123">
        <f>SUM(Apr!D5,May!D5,Jun!D5)</f>
        <v>475321.88</v>
      </c>
      <c r="E5" s="80">
        <f t="shared" ref="E5:E23" si="1">C5/D5</f>
        <v>1.0339961627686904</v>
      </c>
      <c r="F5" s="20">
        <f>SUM(Apr!F5, May!F5, Jun!G5)</f>
        <v>470574</v>
      </c>
      <c r="G5" s="20">
        <f t="shared" si="0"/>
        <v>20907</v>
      </c>
      <c r="H5" s="21">
        <f>IFERROR(G5/F5, "")</f>
        <v>4.4428718968748802E-2</v>
      </c>
      <c r="I5" s="22">
        <f>SUM(Apr!I5+May!I5+Jun!J5)</f>
        <v>511622.68400000001</v>
      </c>
      <c r="J5" s="22">
        <f>SUM(Apr!J5, May!J5, Jun!K5)</f>
        <v>-20141.683999999979</v>
      </c>
      <c r="K5" s="21">
        <f>IFERROR(J5/I5, "")</f>
        <v>-3.9368238801546142E-2</v>
      </c>
    </row>
    <row r="6" spans="1:14" ht="15.6">
      <c r="A6" s="13" t="str">
        <v>CA: Clovis - Citi</v>
      </c>
      <c r="B6" s="10" t="str">
        <v>CA</v>
      </c>
      <c r="C6" s="26">
        <f>SUM(Apr!C6, May!C6, Jun!C6)</f>
        <v>200183.75</v>
      </c>
      <c r="D6" s="122">
        <f>SUM(Apr!D6,May!D6,Jun!D6)</f>
        <v>205569.5</v>
      </c>
      <c r="E6" s="79">
        <f t="shared" si="1"/>
        <v>0.97380083134900852</v>
      </c>
      <c r="F6" s="14">
        <f>SUM(Apr!F6, May!F6, Jun!G6)</f>
        <v>198472</v>
      </c>
      <c r="G6" s="14">
        <f t="shared" si="0"/>
        <v>1711.75</v>
      </c>
      <c r="H6" s="15">
        <f t="shared" ref="H6:H15" si="2">IFERROR(G6/F6, "")</f>
        <v>8.6246422669192628E-3</v>
      </c>
      <c r="I6" s="16">
        <f>SUM(Apr!I6+May!I6+Jun!J6)</f>
        <v>24475.361000000001</v>
      </c>
      <c r="J6" s="16">
        <f>SUM(Apr!J6, May!J6, Jun!K6)</f>
        <v>175708.389</v>
      </c>
      <c r="K6" s="17">
        <f t="shared" ref="K6:K15" si="3">IFERROR(J6/I6, "")</f>
        <v>7.1789907000758841</v>
      </c>
    </row>
    <row r="7" spans="1:14" ht="15.6">
      <c r="A7" s="19" t="str">
        <v>CA: Elk Grove MOB - Citi</v>
      </c>
      <c r="B7" s="11" t="str">
        <v>CA</v>
      </c>
      <c r="C7" s="12">
        <f>SUM(Apr!C7, May!C7, Jun!C7)</f>
        <v>317135.5</v>
      </c>
      <c r="D7" s="123">
        <f>SUM(Apr!D7,May!D7,Jun!D7)</f>
        <v>326330.5</v>
      </c>
      <c r="E7" s="80">
        <f t="shared" si="1"/>
        <v>0.97182304442888423</v>
      </c>
      <c r="F7" s="20">
        <f>SUM(Apr!F7, May!F7, Jun!G7)</f>
        <v>323100</v>
      </c>
      <c r="G7" s="20">
        <f t="shared" si="0"/>
        <v>-5964.5</v>
      </c>
      <c r="H7" s="21">
        <f t="shared" si="2"/>
        <v>-1.8460229031259674E-2</v>
      </c>
      <c r="I7" s="22">
        <f>SUM(Apr!I7+May!I7+Jun!J7)</f>
        <v>341553.20299999998</v>
      </c>
      <c r="J7" s="22">
        <f>SUM(Apr!J7, May!J7, Jun!K7)</f>
        <v>-24417.703000000009</v>
      </c>
      <c r="K7" s="21">
        <f t="shared" si="3"/>
        <v>-7.1490188894524909E-2</v>
      </c>
      <c r="N7" s="123"/>
    </row>
    <row r="8" spans="1:14" ht="15.6">
      <c r="A8" s="13" t="str">
        <v>CA: Elk Grove Promenade - Citi</v>
      </c>
      <c r="B8" s="10" t="str">
        <v>CA</v>
      </c>
      <c r="C8" s="26">
        <f>SUM(Apr!C8, May!C8, Jun!C8)</f>
        <v>167389.5</v>
      </c>
      <c r="D8" s="122">
        <f>SUM(Apr!D8,May!D8,Jun!D8)</f>
        <v>172769</v>
      </c>
      <c r="E8" s="79">
        <f t="shared" si="1"/>
        <v>0.96886304834779391</v>
      </c>
      <c r="F8" s="14">
        <f>SUM(Apr!F8, May!F8, Jun!G8)</f>
        <v>171058.633</v>
      </c>
      <c r="G8" s="14">
        <f t="shared" si="0"/>
        <v>-3669.1330000000016</v>
      </c>
      <c r="H8" s="15">
        <f t="shared" si="2"/>
        <v>-2.144956343711692E-2</v>
      </c>
      <c r="I8" s="16">
        <f>SUM(Apr!I8+May!I8+Jun!J8)</f>
        <v>179299.95500000002</v>
      </c>
      <c r="J8" s="16">
        <f>SUM(Apr!J8, May!J8, Jun!K8)</f>
        <v>-11910.455000000002</v>
      </c>
      <c r="K8" s="17">
        <f t="shared" si="3"/>
        <v>-6.6427540375010141E-2</v>
      </c>
    </row>
    <row r="9" spans="1:14" ht="15.6">
      <c r="A9" s="19" t="str">
        <v>CA: Fresno Sequioa - Citi</v>
      </c>
      <c r="B9" s="11" t="str">
        <v>CA</v>
      </c>
      <c r="C9" s="12">
        <f>SUM(Apr!C9, May!C9, Jun!C9)</f>
        <v>328179.5</v>
      </c>
      <c r="D9" s="123">
        <f>SUM(Apr!D9,May!D9,Jun!D9)</f>
        <v>342057.35</v>
      </c>
      <c r="E9" s="80">
        <f t="shared" si="1"/>
        <v>0.9594282946997047</v>
      </c>
      <c r="F9" s="20">
        <f>SUM(Apr!F9, May!F9, Jun!G9)</f>
        <v>338739</v>
      </c>
      <c r="G9" s="20">
        <f t="shared" si="0"/>
        <v>-10559.5</v>
      </c>
      <c r="H9" s="21">
        <f t="shared" si="2"/>
        <v>-3.1172967978295975E-2</v>
      </c>
      <c r="I9" s="22">
        <f>SUM(Apr!I9+May!I9+Jun!J9)</f>
        <v>352815.80900000001</v>
      </c>
      <c r="J9" s="22">
        <f>SUM(Apr!J9, May!J9, Jun!K9)</f>
        <v>-24636.308999999979</v>
      </c>
      <c r="K9" s="21">
        <f t="shared" si="3"/>
        <v>-6.9827678838506865E-2</v>
      </c>
    </row>
    <row r="10" spans="1:14" ht="15.6">
      <c r="A10" s="13" t="str">
        <v>CA: Fresno MOB - Citi</v>
      </c>
      <c r="B10" s="10" t="str">
        <v>CA</v>
      </c>
      <c r="C10" s="26">
        <f>SUM(Apr!C10, May!C10, Jun!C10)</f>
        <v>115357.62</v>
      </c>
      <c r="D10" s="122">
        <f>SUM(Apr!D10,May!D10,Jun!D10)</f>
        <v>138983.16999999998</v>
      </c>
      <c r="E10" s="79">
        <f t="shared" si="1"/>
        <v>0.83001143231946728</v>
      </c>
      <c r="F10" s="14">
        <f>SUM(Apr!F10, May!F10, Jun!G10)</f>
        <v>138641</v>
      </c>
      <c r="G10" s="14">
        <f t="shared" si="0"/>
        <v>-23283.380000000005</v>
      </c>
      <c r="H10" s="15">
        <f t="shared" si="2"/>
        <v>-0.16794007544665723</v>
      </c>
      <c r="I10" s="16">
        <f>SUM(Apr!I10+May!I10+Jun!J10)</f>
        <v>124625.04800000001</v>
      </c>
      <c r="J10" s="16">
        <f>SUM(Apr!J10, May!J10, Jun!K10)</f>
        <v>-9267.4279999999999</v>
      </c>
      <c r="K10" s="17">
        <f t="shared" si="3"/>
        <v>-7.4362482893487028E-2</v>
      </c>
    </row>
    <row r="11" spans="1:14" ht="15.6">
      <c r="A11" s="19" t="str">
        <v>CA: Modesto Bangs - Citi</v>
      </c>
      <c r="B11" s="11" t="str">
        <v>CA</v>
      </c>
      <c r="C11" s="12">
        <f>SUM(Apr!C11, May!C11, Jun!C11)</f>
        <v>84964</v>
      </c>
      <c r="D11" s="123">
        <f>SUM(Apr!D11,May!D11,Jun!D11)</f>
        <v>98899.209999999992</v>
      </c>
      <c r="E11" s="80">
        <f t="shared" si="1"/>
        <v>0.85909685223977028</v>
      </c>
      <c r="F11" s="20">
        <f>SUM(Apr!F11, May!F11, Jun!G11)</f>
        <v>98416</v>
      </c>
      <c r="G11" s="20">
        <f>IF(AND(ISNUMBER(C11),ISNUMBER(F11)), C11-F11, "")</f>
        <v>-13452</v>
      </c>
      <c r="H11" s="21">
        <f t="shared" si="2"/>
        <v>-0.13668509185498293</v>
      </c>
      <c r="I11" s="22">
        <f>SUM(Apr!I11+May!I11+Jun!J11)</f>
        <v>8031.3530000000001</v>
      </c>
      <c r="J11" s="22">
        <f>SUM(Apr!J11, May!J11, Jun!K11)</f>
        <v>76932.646999999997</v>
      </c>
      <c r="K11" s="21">
        <f t="shared" si="3"/>
        <v>9.5790394221247652</v>
      </c>
    </row>
    <row r="12" spans="1:14" ht="15.6">
      <c r="A12" s="13" t="str">
        <v>CA: Napa Data Center - Citi</v>
      </c>
      <c r="B12" s="10" t="str">
        <v>CA</v>
      </c>
      <c r="C12" s="26">
        <f>SUM(Apr!C12, May!C12, Jun!C12)</f>
        <v>87169.25</v>
      </c>
      <c r="D12" s="122">
        <f>SUM(Apr!D12,May!D12,Jun!D12)</f>
        <v>99083.82</v>
      </c>
      <c r="E12" s="79">
        <f t="shared" si="1"/>
        <v>0.87975261753129819</v>
      </c>
      <c r="F12" s="14">
        <f>SUM(Apr!F12, May!F12, Jun!G12)</f>
        <v>95251</v>
      </c>
      <c r="G12" s="14">
        <f t="shared" si="0"/>
        <v>-8081.75</v>
      </c>
      <c r="H12" s="15">
        <f t="shared" si="2"/>
        <v>-8.4846878247997401E-2</v>
      </c>
      <c r="I12" s="16">
        <f>SUM(Apr!I12+May!I12+Jun!J12)</f>
        <v>102181.39600000001</v>
      </c>
      <c r="J12" s="16">
        <f>SUM(Apr!J12, May!J12, Jun!K12)</f>
        <v>-15012.146000000001</v>
      </c>
      <c r="K12" s="17">
        <f t="shared" si="3"/>
        <v>-0.14691662658435395</v>
      </c>
    </row>
    <row r="13" spans="1:14" ht="15.6">
      <c r="A13" s="19" t="str">
        <v>CA: Petaluma MOB - Citi</v>
      </c>
      <c r="B13" s="11" t="str">
        <v>CA</v>
      </c>
      <c r="C13" s="12">
        <f>SUM(Apr!C13, May!C13, Jun!C13)</f>
        <v>120989</v>
      </c>
      <c r="D13" s="123">
        <f>SUM(Apr!D13,May!D13,Jun!D13)</f>
        <v>228836.27</v>
      </c>
      <c r="E13" s="80">
        <f t="shared" si="1"/>
        <v>0.5287142636960479</v>
      </c>
      <c r="F13" s="20">
        <f>SUM(Apr!F13, May!F13, Jun!G13)</f>
        <v>220211</v>
      </c>
      <c r="G13" s="20">
        <f t="shared" si="0"/>
        <v>-99222</v>
      </c>
      <c r="H13" s="21">
        <f t="shared" si="2"/>
        <v>-0.45057694665570747</v>
      </c>
      <c r="I13" s="22">
        <f>SUM(Apr!I13+May!I13+Jun!J13)</f>
        <v>54738.525999999998</v>
      </c>
      <c r="J13" s="22">
        <f>SUM(Apr!J13, May!J13, Jun!K13)</f>
        <v>66250.474000000002</v>
      </c>
      <c r="K13" s="21">
        <f t="shared" si="3"/>
        <v>1.210307964814398</v>
      </c>
    </row>
    <row r="14" spans="1:14" ht="15.6">
      <c r="A14" s="13" t="str">
        <v>CA: Pleasanton Tec Ctr - Citi</v>
      </c>
      <c r="B14" s="10" t="str">
        <v>CA</v>
      </c>
      <c r="C14" s="26">
        <f>SUM(Apr!C14, May!C14, Jun!C14)</f>
        <v>261266</v>
      </c>
      <c r="D14" s="122">
        <f>SUM(Apr!D14,May!D14,Jun!D14)</f>
        <v>313016.71999999997</v>
      </c>
      <c r="E14" s="79">
        <f t="shared" si="1"/>
        <v>0.83467106805029467</v>
      </c>
      <c r="F14" s="14">
        <f>SUM(Apr!F14, May!F14, Jun!G14)</f>
        <v>310021</v>
      </c>
      <c r="G14" s="14">
        <f t="shared" si="0"/>
        <v>-48755</v>
      </c>
      <c r="H14" s="15">
        <f t="shared" si="2"/>
        <v>-0.15726354021179209</v>
      </c>
      <c r="I14" s="16">
        <f>SUM(Apr!I14+May!I14+Jun!J14)</f>
        <v>320861.62800000003</v>
      </c>
      <c r="J14" s="16">
        <f>SUM(Apr!J14, May!J14, Jun!K14)</f>
        <v>-59595.627999999997</v>
      </c>
      <c r="K14" s="17">
        <f t="shared" si="3"/>
        <v>-0.18573622645834106</v>
      </c>
    </row>
    <row r="15" spans="1:14" ht="15.6">
      <c r="A15" s="19" t="str">
        <v>CA: Rancho Cordova - Citi</v>
      </c>
      <c r="B15" s="11" t="str">
        <v>CA</v>
      </c>
      <c r="C15" s="12">
        <f>SUM(Apr!C15, May!C15, Jun!C15)</f>
        <v>454900</v>
      </c>
      <c r="D15" s="123">
        <f>SUM(Apr!D15,May!D15,Jun!D15)</f>
        <v>441553.17000000004</v>
      </c>
      <c r="E15" s="80">
        <f t="shared" si="1"/>
        <v>1.0302270052777562</v>
      </c>
      <c r="F15" s="20">
        <f>SUM(Apr!F15, May!F15, Jun!G15)</f>
        <v>438911</v>
      </c>
      <c r="G15" s="20">
        <f t="shared" si="0"/>
        <v>15989</v>
      </c>
      <c r="H15" s="21">
        <f t="shared" si="2"/>
        <v>3.6428797637789896E-2</v>
      </c>
      <c r="I15" s="22">
        <f>SUM(Apr!I15+May!I15+Jun!J15)</f>
        <v>477132.47700000001</v>
      </c>
      <c r="J15" s="22">
        <f>SUM(Apr!J15, May!J15, Jun!K15)</f>
        <v>-22232.477000000014</v>
      </c>
      <c r="K15" s="21">
        <f t="shared" si="3"/>
        <v>-4.6596025363412882E-2</v>
      </c>
    </row>
    <row r="16" spans="1:14" ht="15.6">
      <c r="A16" s="13" t="str">
        <v>CA: S Sacramento Wyndham - Citi</v>
      </c>
      <c r="B16" s="10" t="str">
        <v>CA</v>
      </c>
      <c r="C16" s="37">
        <f>SUM(Apr!C16, May!C16, Jun!C16)</f>
        <v>251515.5</v>
      </c>
      <c r="D16" s="122">
        <f>SUM(Apr!D16,May!D16,Jun!D16)</f>
        <v>282469.56</v>
      </c>
      <c r="E16" s="79">
        <f t="shared" si="1"/>
        <v>0.8904162983083912</v>
      </c>
      <c r="F16" s="14">
        <f>SUM(Apr!F16, May!F16, Jun!G16)</f>
        <v>277578</v>
      </c>
      <c r="G16" s="14">
        <f t="shared" si="0"/>
        <v>-26062.5</v>
      </c>
      <c r="H16" s="38">
        <f t="shared" ref="H16:H22" si="4">IFERROR(G16/F16, "")</f>
        <v>-9.3892527505782156E-2</v>
      </c>
      <c r="I16" s="16">
        <f>SUM(Apr!I16+May!I16+Jun!J16)</f>
        <v>275316.63399999996</v>
      </c>
      <c r="J16" s="39">
        <f>SUM(Apr!J16, May!J16, Jun!K16)</f>
        <v>-23801.133999999991</v>
      </c>
      <c r="K16" s="40">
        <f t="shared" ref="K16:K21" si="5">IFERROR(J16/I16, "")</f>
        <v>-8.6450039920217797E-2</v>
      </c>
    </row>
    <row r="17" spans="1:11" ht="15.6">
      <c r="A17" s="19" t="str">
        <v>CA: Sacramento Point West - Citi</v>
      </c>
      <c r="B17" s="11" t="str">
        <v>CA</v>
      </c>
      <c r="C17" s="42">
        <f>SUM(Apr!C17, May!C17, Jun!C17)</f>
        <v>512068</v>
      </c>
      <c r="D17" s="123">
        <f>SUM(Apr!D17,May!D17,Jun!D17)</f>
        <v>539681.5</v>
      </c>
      <c r="E17" s="80">
        <f t="shared" si="1"/>
        <v>0.94883371025317709</v>
      </c>
      <c r="F17" s="20">
        <f>SUM(Apr!F17, May!F17, Jun!G17)</f>
        <v>535918</v>
      </c>
      <c r="G17" s="20">
        <f t="shared" si="0"/>
        <v>-23850</v>
      </c>
      <c r="H17" s="43">
        <f t="shared" si="4"/>
        <v>-4.4503076963266767E-2</v>
      </c>
      <c r="I17" s="22">
        <f>SUM(Apr!I17+May!I17+Jun!J17)</f>
        <v>568251.30099999998</v>
      </c>
      <c r="J17" s="44">
        <f>SUM(Apr!J17, May!J17, Jun!K17)</f>
        <v>-56183.301000000007</v>
      </c>
      <c r="K17" s="43">
        <f t="shared" si="5"/>
        <v>-9.8870518907971688E-2</v>
      </c>
    </row>
    <row r="18" spans="1:11" ht="12.75" customHeight="1">
      <c r="A18" s="13" t="str">
        <v>CA: San Jose FHC - Citi</v>
      </c>
      <c r="B18" s="10" t="str">
        <v>CA</v>
      </c>
      <c r="C18" s="37">
        <f>SUM(Apr!C18, May!C18, Jun!C18)</f>
        <v>96797.75</v>
      </c>
      <c r="D18" s="122">
        <f>SUM(Apr!D18,May!D18,Jun!D18)</f>
        <v>106952.95999999999</v>
      </c>
      <c r="E18" s="79">
        <f t="shared" si="1"/>
        <v>0.90504975271371646</v>
      </c>
      <c r="F18" s="14">
        <f>SUM(Apr!F18, May!F18, Jun!G18)</f>
        <v>109620</v>
      </c>
      <c r="G18" s="14">
        <f t="shared" si="0"/>
        <v>-12822.25</v>
      </c>
      <c r="H18" s="38">
        <f t="shared" si="4"/>
        <v>-0.11696998722860792</v>
      </c>
      <c r="I18" s="16">
        <f>SUM(Apr!I18+May!I18+Jun!J18)</f>
        <v>108047.24799999999</v>
      </c>
      <c r="J18" s="39">
        <f>SUM(Apr!J18, May!J18, Jun!K18)</f>
        <v>-11249.498</v>
      </c>
      <c r="K18" s="40">
        <f t="shared" si="5"/>
        <v>-0.10411646949119889</v>
      </c>
    </row>
    <row r="19" spans="1:11" ht="15.6">
      <c r="A19" s="19" t="str">
        <v>CA: San Jose MOB - Citi</v>
      </c>
      <c r="B19" s="11" t="str">
        <v>CA</v>
      </c>
      <c r="C19" s="42">
        <f>SUM(Apr!C19, May!C19, Jun!C19)</f>
        <v>142529.5</v>
      </c>
      <c r="D19" s="123">
        <f>SUM(Apr!D19,May!D19,Jun!D19)</f>
        <v>169829.78</v>
      </c>
      <c r="E19" s="80">
        <f t="shared" si="1"/>
        <v>0.83924915877533379</v>
      </c>
      <c r="F19" s="20">
        <f>SUM(Apr!F19, May!F19, Jun!G19)</f>
        <v>171279</v>
      </c>
      <c r="G19" s="20">
        <f t="shared" si="0"/>
        <v>-28749.5</v>
      </c>
      <c r="H19" s="43">
        <f t="shared" si="4"/>
        <v>-0.16785186742099148</v>
      </c>
      <c r="I19" s="22">
        <f>SUM(Apr!I19+May!I19+Jun!J19)</f>
        <v>179040.74</v>
      </c>
      <c r="J19" s="44">
        <f>SUM(Apr!J19, May!J19, Jun!K19)</f>
        <v>-36511.239999999991</v>
      </c>
      <c r="K19" s="43">
        <f t="shared" si="5"/>
        <v>-0.20392699449298518</v>
      </c>
    </row>
    <row r="20" spans="1:11" ht="15.6">
      <c r="A20" s="13" t="str">
        <v>CA: Selma - Citi</v>
      </c>
      <c r="B20" s="10" t="str">
        <v>CA</v>
      </c>
      <c r="C20" s="37">
        <f>SUM(Apr!C20, May!C20, Jun!C20)</f>
        <v>93046.62</v>
      </c>
      <c r="D20" s="122">
        <f>SUM(Apr!D20,May!D20,Jun!D20)</f>
        <v>104601.39</v>
      </c>
      <c r="E20" s="79">
        <f t="shared" si="1"/>
        <v>0.88953521554541481</v>
      </c>
      <c r="F20" s="14">
        <f>SUM(Apr!F20, May!F20, Jun!G20)</f>
        <v>103571</v>
      </c>
      <c r="G20" s="14">
        <f t="shared" si="0"/>
        <v>-10524.380000000005</v>
      </c>
      <c r="H20" s="38">
        <f t="shared" si="4"/>
        <v>-0.10161512392465077</v>
      </c>
      <c r="I20" s="16">
        <f>SUM(Apr!I20+May!I20+Jun!J20)</f>
        <v>106543.568</v>
      </c>
      <c r="J20" s="39">
        <f>SUM(Apr!J20, May!J20, Jun!K20)</f>
        <v>-13496.947999999997</v>
      </c>
      <c r="K20" s="40">
        <f t="shared" si="5"/>
        <v>-0.12668008264938149</v>
      </c>
    </row>
    <row r="21" spans="1:11" ht="15.6">
      <c r="A21" s="19" t="str">
        <v>CA: Vacaville Hospital</v>
      </c>
      <c r="B21" s="11" t="str">
        <v>CA</v>
      </c>
      <c r="C21" s="42">
        <f>SUM(Apr!C21, May!C21, Jun!C21)</f>
        <v>620688.5</v>
      </c>
      <c r="D21" s="123">
        <f>SUM(Apr!D21,May!D21,Jun!D21)</f>
        <v>710841.66</v>
      </c>
      <c r="E21" s="80">
        <f t="shared" si="1"/>
        <v>0.87317406242059581</v>
      </c>
      <c r="F21" s="20">
        <f>SUM(Apr!F21, May!F21, Jun!G21)</f>
        <v>702845</v>
      </c>
      <c r="G21" s="20">
        <f t="shared" si="0"/>
        <v>-82156.5</v>
      </c>
      <c r="H21" s="43">
        <f t="shared" si="4"/>
        <v>-0.11689134873265086</v>
      </c>
      <c r="I21" s="22">
        <f>SUM(Apr!I21+May!I21+Jun!J21)</f>
        <v>809211.88100000005</v>
      </c>
      <c r="J21" s="44">
        <f>SUM(Apr!J21, May!J21, Jun!K21)</f>
        <v>-188523.38099999999</v>
      </c>
      <c r="K21" s="43">
        <f t="shared" si="5"/>
        <v>-0.23297159301100273</v>
      </c>
    </row>
    <row r="22" spans="1:11" ht="15.6">
      <c r="A22" s="13" t="str">
        <v>CA: Manteca - KP Manteca Hospital</v>
      </c>
      <c r="B22" s="10" t="str">
        <v>CA</v>
      </c>
      <c r="C22" s="37">
        <f>SUM(Apr!C22, May!C22, Jun!C22)</f>
        <v>175043.63</v>
      </c>
      <c r="D22" s="122">
        <f>SUM(Apr!D22,May!D22,Jun!D22)</f>
        <v>232162</v>
      </c>
      <c r="E22" s="79">
        <f t="shared" si="1"/>
        <v>0.75397192477666464</v>
      </c>
      <c r="F22" s="14">
        <f>SUM(Apr!F22, May!F22, Jun!G22)</f>
        <v>218718.91499999998</v>
      </c>
      <c r="G22" s="14">
        <f t="shared" si="0"/>
        <v>-43675.284999999974</v>
      </c>
      <c r="H22" s="38">
        <f t="shared" si="4"/>
        <v>-0.19968682178219463</v>
      </c>
      <c r="I22" s="16">
        <f>SUM(Apr!I22+May!I22+Jun!J22)</f>
        <v>178276.853</v>
      </c>
      <c r="J22" s="39">
        <f>SUM(Apr!J22, May!J22, Jun!K22)</f>
        <v>-3233.2229999999981</v>
      </c>
      <c r="K22" s="40">
        <f>IFERROR(J22/I22, "")</f>
        <v>-1.8135966310780672E-2</v>
      </c>
    </row>
    <row r="23" spans="1:11" ht="15.6">
      <c r="A23" s="19" t="str">
        <v>Sacramento - KP South Sacramento HSP</v>
      </c>
      <c r="B23" s="11" t="str">
        <v>CA</v>
      </c>
      <c r="C23" s="42">
        <f>SUM(Apr!C23, May!C23, Jun!C23)</f>
        <v>672177.14999999991</v>
      </c>
      <c r="D23" s="123">
        <f>SUM(Apr!D23,May!D23,Jun!D23)</f>
        <v>0</v>
      </c>
      <c r="E23" s="80">
        <v>0</v>
      </c>
      <c r="F23" s="20">
        <f>SUM(Apr!F23, May!F23, Jun!G23)</f>
        <v>405860</v>
      </c>
      <c r="G23" s="20">
        <f t="shared" ref="G23" si="6">IF(AND(ISNUMBER(C23),ISNUMBER(F23)), C23-F23, "")</f>
        <v>266317.14999999991</v>
      </c>
      <c r="H23" s="43">
        <f t="shared" ref="H23" si="7">IFERROR(G23/F23, "")</f>
        <v>0.65617984033903298</v>
      </c>
      <c r="I23" s="22">
        <f>SUM(Apr!I23+May!I23+Jun!J23)</f>
        <v>731642</v>
      </c>
      <c r="J23" s="44">
        <f>SUM(Apr!J23, May!J23, Jun!K23)</f>
        <v>-59464.850000000035</v>
      </c>
      <c r="K23" s="43">
        <f>IFERROR(J23/I23, "")</f>
        <v>-8.1275883560539219E-2</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3" activePane="bottomLeft" state="frozen"/>
      <selection pane="bottomLeft" activeCell="G17" sqref="F1:H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3" ht="19.5" customHeight="1" thickBot="1">
      <c r="A1" s="127" t="str" cm="1">
        <f t="array" ref="A1">portfolio</f>
        <v>CITI</v>
      </c>
      <c r="B1" s="127"/>
      <c r="C1" s="127"/>
      <c r="D1" s="74" t="s">
        <v>0</v>
      </c>
      <c r="E1" s="75" t="s">
        <v>1</v>
      </c>
      <c r="F1" s="128" t="s">
        <v>16</v>
      </c>
      <c r="G1" s="128"/>
      <c r="H1" s="128"/>
      <c r="I1" s="126" t="s">
        <v>17</v>
      </c>
      <c r="J1" s="126"/>
      <c r="K1" s="126"/>
    </row>
    <row r="2" spans="1:13" ht="19.5" customHeight="1">
      <c r="A2" s="129" t="s">
        <v>4</v>
      </c>
      <c r="B2" s="129"/>
      <c r="C2" s="6">
        <f>SUM(C4:C100)</f>
        <v>0</v>
      </c>
      <c r="D2" s="6">
        <f>SUM(D3:D22)</f>
        <v>0</v>
      </c>
      <c r="E2" s="68" t="e">
        <f>C2/D2</f>
        <v>#DIV/0!</v>
      </c>
      <c r="F2" s="6">
        <f>SUM(D4:D100)</f>
        <v>0</v>
      </c>
      <c r="G2" s="6">
        <f>C2-F2</f>
        <v>0</v>
      </c>
      <c r="H2" s="7">
        <f>IFERROR(G2/F2, 0)</f>
        <v>0</v>
      </c>
      <c r="I2" s="6">
        <f>SUM(G4:G100)</f>
        <v>0</v>
      </c>
      <c r="J2" s="8">
        <f>C2-I2</f>
        <v>0</v>
      </c>
      <c r="K2" s="7">
        <f>IFERROR(J2/I2, 0)</f>
        <v>0</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0</v>
      </c>
      <c r="D4" s="71">
        <f>SUM(Jul!D4,Aug!D4,Sep!D4)</f>
        <v>0</v>
      </c>
      <c r="E4" s="82" t="e">
        <f>C4/D4</f>
        <v>#DIV/0!</v>
      </c>
      <c r="F4" s="14">
        <f>SUM(Jul!F4, Aug!F4, Sep!G4)</f>
        <v>0</v>
      </c>
      <c r="G4" s="14">
        <f t="shared" ref="G4:G20" si="0">IF(AND(ISNUMBER(C4),ISNUMBER(F4)), C4-F4, "")</f>
        <v>0</v>
      </c>
      <c r="H4" s="15" t="str">
        <f>IFERROR(G4/F4, "")</f>
        <v/>
      </c>
      <c r="I4" s="16">
        <f>SUM(Jul!I4, Aug!K4, Sep!L4)</f>
        <v>0</v>
      </c>
      <c r="J4" s="16">
        <f>SUM(Jul!J4, Aug!J4, Sep!K4)</f>
        <v>0</v>
      </c>
      <c r="K4" s="17" t="str">
        <f>IFERROR(J4/I4, "")</f>
        <v/>
      </c>
    </row>
    <row r="5" spans="1:13" ht="15.6">
      <c r="A5" s="19" t="str">
        <v>CA: Antioch MC CUP - Citi</v>
      </c>
      <c r="B5" s="11" t="str">
        <v>CA</v>
      </c>
      <c r="C5" s="12">
        <f>SUM(Jul!C5, Aug!C5, Sep!C5)</f>
        <v>0</v>
      </c>
      <c r="D5" s="12"/>
      <c r="E5" s="80" t="e">
        <f t="shared" ref="E5:E22" si="1">C5/D5</f>
        <v>#DIV/0!</v>
      </c>
      <c r="F5" s="20">
        <f>SUM(Jul!F5, Aug!F5, Sep!G5)</f>
        <v>0</v>
      </c>
      <c r="G5" s="20">
        <f t="shared" si="0"/>
        <v>0</v>
      </c>
      <c r="H5" s="21" t="str">
        <f>IFERROR(G5/F5, "")</f>
        <v/>
      </c>
      <c r="I5" s="22">
        <f>SUM(Jul!I5, Aug!K5, Sep!L5)</f>
        <v>0</v>
      </c>
      <c r="J5" s="22">
        <f>SUM(Jul!J5, Aug!J5, Sep!K5)</f>
        <v>0</v>
      </c>
      <c r="K5" s="21" t="str">
        <f>IFERROR(J5/I5, "")</f>
        <v/>
      </c>
    </row>
    <row r="6" spans="1:13" ht="15.6">
      <c r="A6" s="13" t="str">
        <v>CA: Clovis - Citi</v>
      </c>
      <c r="B6" s="10" t="str">
        <v>CA</v>
      </c>
      <c r="C6" s="26">
        <f>SUM(Jul!C6, Aug!C6, Sep!C6)</f>
        <v>0</v>
      </c>
      <c r="D6" s="71">
        <f>SUM(Jul!D6,Aug!D6,Sep!D6)</f>
        <v>0</v>
      </c>
      <c r="E6" s="82" t="e">
        <f t="shared" si="1"/>
        <v>#DIV/0!</v>
      </c>
      <c r="F6" s="14">
        <f>SUM(Jul!F6, Aug!F6, Sep!G6)</f>
        <v>0</v>
      </c>
      <c r="G6" s="14">
        <f t="shared" si="0"/>
        <v>0</v>
      </c>
      <c r="H6" s="15" t="str">
        <f t="shared" ref="H6:H15" si="2">IFERROR(G6/F6, "")</f>
        <v/>
      </c>
      <c r="I6" s="16">
        <f>SUM(Jul!I6, Aug!K6, Sep!L6)</f>
        <v>0</v>
      </c>
      <c r="J6" s="16">
        <f>SUM(Jul!J6, Aug!J6, Sep!K6)</f>
        <v>0</v>
      </c>
      <c r="K6" s="17" t="str">
        <f t="shared" ref="K6:K15" si="3">IFERROR(J6/I6, "")</f>
        <v/>
      </c>
    </row>
    <row r="7" spans="1:13" ht="15.6">
      <c r="A7" s="19" t="str">
        <v>CA: Elk Grove MOB - Citi</v>
      </c>
      <c r="B7" s="11" t="str">
        <v>CA</v>
      </c>
      <c r="C7" s="12">
        <f>SUM(Jul!C7, Aug!C7, Sep!C7)</f>
        <v>0</v>
      </c>
      <c r="D7" s="12"/>
      <c r="E7" s="80" t="e">
        <f t="shared" si="1"/>
        <v>#DIV/0!</v>
      </c>
      <c r="F7" s="20">
        <f>SUM(Jul!F7, Aug!F7, Sep!G7)</f>
        <v>0</v>
      </c>
      <c r="G7" s="20">
        <f t="shared" si="0"/>
        <v>0</v>
      </c>
      <c r="H7" s="21" t="str">
        <f t="shared" si="2"/>
        <v/>
      </c>
      <c r="I7" s="22">
        <f>SUM(Jul!I7, Aug!K7, Sep!L7)</f>
        <v>0</v>
      </c>
      <c r="J7" s="22">
        <f>SUM(Jul!J7, Aug!J7, Sep!K7)</f>
        <v>0</v>
      </c>
      <c r="K7" s="21" t="str">
        <f t="shared" si="3"/>
        <v/>
      </c>
    </row>
    <row r="8" spans="1:13" ht="15.6">
      <c r="A8" s="13" t="str">
        <v>CA: Elk Grove Promenade - Citi</v>
      </c>
      <c r="B8" s="10" t="str">
        <v>CA</v>
      </c>
      <c r="C8" s="26">
        <f>SUM(Jul!C8, Aug!C8, Sep!C8)</f>
        <v>0</v>
      </c>
      <c r="D8" s="71">
        <f>SUM(Jul!D8,Aug!D8,Sep!D8)</f>
        <v>0</v>
      </c>
      <c r="E8" s="82" t="e">
        <f t="shared" si="1"/>
        <v>#DIV/0!</v>
      </c>
      <c r="F8" s="14">
        <f>SUM(Jul!F8, Aug!F8, Sep!G8)</f>
        <v>0</v>
      </c>
      <c r="G8" s="14">
        <f t="shared" si="0"/>
        <v>0</v>
      </c>
      <c r="H8" s="15" t="str">
        <f t="shared" si="2"/>
        <v/>
      </c>
      <c r="I8" s="16">
        <f>SUM(Jul!I8, Aug!K8, Sep!L8)</f>
        <v>0</v>
      </c>
      <c r="J8" s="16">
        <f>SUM(Jul!J8, Aug!J8, Sep!K8)</f>
        <v>0</v>
      </c>
      <c r="K8" s="17" t="str">
        <f t="shared" si="3"/>
        <v/>
      </c>
    </row>
    <row r="9" spans="1:13" ht="15.6">
      <c r="A9" s="19" t="str">
        <v>CA: Fresno Sequioa - Citi</v>
      </c>
      <c r="B9" s="11" t="str">
        <v>CA</v>
      </c>
      <c r="C9" s="12">
        <f>SUM(Jul!C9, Aug!C9, Sep!C9)</f>
        <v>0</v>
      </c>
      <c r="D9" s="12"/>
      <c r="E9" s="80" t="e">
        <f t="shared" si="1"/>
        <v>#DIV/0!</v>
      </c>
      <c r="F9" s="20">
        <f>SUM(Jul!F9, Aug!F9, Sep!G9)</f>
        <v>0</v>
      </c>
      <c r="G9" s="20">
        <f t="shared" si="0"/>
        <v>0</v>
      </c>
      <c r="H9" s="21" t="str">
        <f t="shared" si="2"/>
        <v/>
      </c>
      <c r="I9" s="22">
        <f>SUM(Jul!I9, Aug!K9, Sep!L9)</f>
        <v>0</v>
      </c>
      <c r="J9" s="22">
        <f>SUM(Jul!J9, Aug!J9, Sep!K9)</f>
        <v>0</v>
      </c>
      <c r="K9" s="21" t="str">
        <f t="shared" si="3"/>
        <v/>
      </c>
    </row>
    <row r="10" spans="1:13" ht="15.6">
      <c r="A10" s="13" t="str">
        <v>CA: Fresno MOB - Citi</v>
      </c>
      <c r="B10" s="10" t="str">
        <v>CA</v>
      </c>
      <c r="C10" s="26">
        <f>SUM(Jul!C10, Aug!C10, Sep!C10)</f>
        <v>0</v>
      </c>
      <c r="D10" s="71">
        <f>SUM(Jul!D10,Aug!D10,Sep!D10)</f>
        <v>0</v>
      </c>
      <c r="E10" s="82" t="e">
        <f t="shared" si="1"/>
        <v>#DIV/0!</v>
      </c>
      <c r="F10" s="14">
        <f>SUM(Jul!F10, Aug!F10, Sep!G10)</f>
        <v>0</v>
      </c>
      <c r="G10" s="14">
        <f t="shared" si="0"/>
        <v>0</v>
      </c>
      <c r="H10" s="15" t="str">
        <f t="shared" si="2"/>
        <v/>
      </c>
      <c r="I10" s="16">
        <f>SUM(Jul!I10, Aug!K10, Sep!L10)</f>
        <v>0</v>
      </c>
      <c r="J10" s="16">
        <f>SUM(Jul!J10, Aug!J10, Sep!K10)</f>
        <v>0</v>
      </c>
      <c r="K10" s="17" t="str">
        <f t="shared" si="3"/>
        <v/>
      </c>
    </row>
    <row r="11" spans="1:13" ht="15.6">
      <c r="A11" s="19" t="str">
        <v>CA: Modesto Bangs - Citi</v>
      </c>
      <c r="B11" s="11" t="str">
        <v>CA</v>
      </c>
      <c r="C11" s="12">
        <f>SUM(Jul!C11, Aug!C11, Sep!C11)</f>
        <v>0</v>
      </c>
      <c r="D11" s="12"/>
      <c r="E11" s="80" t="e">
        <f t="shared" si="1"/>
        <v>#DIV/0!</v>
      </c>
      <c r="F11" s="20">
        <f>SUM(Jul!F11, Aug!F11, Sep!G11)</f>
        <v>0</v>
      </c>
      <c r="G11" s="20">
        <f t="shared" si="0"/>
        <v>0</v>
      </c>
      <c r="H11" s="21" t="str">
        <f t="shared" si="2"/>
        <v/>
      </c>
      <c r="I11" s="22">
        <f>SUM(Jul!I11, Aug!K11, Sep!L11)</f>
        <v>0</v>
      </c>
      <c r="J11" s="22">
        <f>SUM(Jul!J11, Aug!J11, Sep!K11)</f>
        <v>0</v>
      </c>
      <c r="K11" s="21" t="str">
        <f t="shared" si="3"/>
        <v/>
      </c>
      <c r="M11" s="20"/>
    </row>
    <row r="12" spans="1:13" ht="15.6">
      <c r="A12" s="13" t="str">
        <v>CA: Napa Data Center - Citi</v>
      </c>
      <c r="B12" s="10" t="str">
        <v>CA</v>
      </c>
      <c r="C12" s="26">
        <f>SUM(Jul!C12, Aug!C12, Sep!C12)</f>
        <v>0</v>
      </c>
      <c r="D12" s="71">
        <f>SUM(Jul!D12,Aug!D12,Sep!D12)</f>
        <v>0</v>
      </c>
      <c r="E12" s="82" t="e">
        <f t="shared" si="1"/>
        <v>#DIV/0!</v>
      </c>
      <c r="F12" s="14">
        <f>SUM(Jul!F12, Aug!F12, Sep!G12)</f>
        <v>0</v>
      </c>
      <c r="G12" s="14">
        <f t="shared" si="0"/>
        <v>0</v>
      </c>
      <c r="H12" s="15" t="str">
        <f t="shared" si="2"/>
        <v/>
      </c>
      <c r="I12" s="16">
        <f>SUM(Jul!I12, Aug!K12, Sep!L12)</f>
        <v>0</v>
      </c>
      <c r="J12" s="16">
        <f>SUM(Jul!J12, Aug!J12, Sep!K12)</f>
        <v>0</v>
      </c>
      <c r="K12" s="17" t="str">
        <f t="shared" si="3"/>
        <v/>
      </c>
    </row>
    <row r="13" spans="1:13" ht="15.6">
      <c r="A13" s="19" t="str">
        <v>CA: Petaluma MOB - Citi</v>
      </c>
      <c r="B13" s="11" t="str">
        <v>CA</v>
      </c>
      <c r="C13" s="12">
        <f>SUM(Jul!C13, Aug!C13, Sep!C13)</f>
        <v>0</v>
      </c>
      <c r="D13" s="12"/>
      <c r="E13" s="80" t="e">
        <f t="shared" si="1"/>
        <v>#DIV/0!</v>
      </c>
      <c r="F13" s="20">
        <f>SUM(Jul!F13, Aug!F13, Sep!G13)</f>
        <v>0</v>
      </c>
      <c r="G13" s="20">
        <f t="shared" si="0"/>
        <v>0</v>
      </c>
      <c r="H13" s="21" t="str">
        <f t="shared" si="2"/>
        <v/>
      </c>
      <c r="I13" s="22">
        <f>SUM(Jul!I13, Aug!K13, Sep!L13)</f>
        <v>0</v>
      </c>
      <c r="J13" s="22">
        <f>SUM(Jul!J13, Aug!J13, Sep!K13)</f>
        <v>0</v>
      </c>
      <c r="K13" s="21" t="str">
        <f t="shared" si="3"/>
        <v/>
      </c>
    </row>
    <row r="14" spans="1:13" ht="15.6">
      <c r="A14" s="13" t="str">
        <v>CA: Pleasanton Tec Ctr - Citi</v>
      </c>
      <c r="B14" s="10" t="str">
        <v>CA</v>
      </c>
      <c r="C14" s="26">
        <f>SUM(Jul!C14, Aug!C14, Sep!C14)</f>
        <v>0</v>
      </c>
      <c r="D14" s="71">
        <f>SUM(Jul!D14,Aug!D14,Sep!D14)</f>
        <v>0</v>
      </c>
      <c r="E14" s="82" t="e">
        <f t="shared" si="1"/>
        <v>#DIV/0!</v>
      </c>
      <c r="F14" s="14">
        <f>SUM(Jul!F14, Aug!F14, Sep!G14)</f>
        <v>0</v>
      </c>
      <c r="G14" s="14">
        <f t="shared" si="0"/>
        <v>0</v>
      </c>
      <c r="H14" s="15" t="str">
        <f t="shared" si="2"/>
        <v/>
      </c>
      <c r="I14" s="16">
        <f>SUM(Jul!I14, Aug!K14, Sep!L14)</f>
        <v>0</v>
      </c>
      <c r="J14" s="16">
        <f>SUM(Jul!J14, Aug!J14, Sep!K14)</f>
        <v>0</v>
      </c>
      <c r="K14" s="17" t="str">
        <f t="shared" si="3"/>
        <v/>
      </c>
    </row>
    <row r="15" spans="1:13" ht="15.6">
      <c r="A15" s="19" t="str">
        <v>CA: Rancho Cordova - Citi</v>
      </c>
      <c r="B15" s="11" t="str">
        <v>CA</v>
      </c>
      <c r="C15" s="12">
        <f>SUM(Jul!C15, Aug!C15, Sep!C15)</f>
        <v>0</v>
      </c>
      <c r="D15" s="12"/>
      <c r="E15" s="80" t="e">
        <f t="shared" si="1"/>
        <v>#DIV/0!</v>
      </c>
      <c r="F15" s="20">
        <f>SUM(Jul!F15, Aug!F15, Sep!G15)</f>
        <v>0</v>
      </c>
      <c r="G15" s="20">
        <f t="shared" si="0"/>
        <v>0</v>
      </c>
      <c r="H15" s="21" t="str">
        <f t="shared" si="2"/>
        <v/>
      </c>
      <c r="I15" s="22">
        <f>SUM(Jul!I15, Aug!K15, Sep!L15)</f>
        <v>0</v>
      </c>
      <c r="J15" s="22">
        <f>SUM(Jul!J15, Aug!J15, Sep!K15)</f>
        <v>0</v>
      </c>
      <c r="K15" s="21" t="str">
        <f t="shared" si="3"/>
        <v/>
      </c>
    </row>
    <row r="16" spans="1:13" ht="15.6">
      <c r="A16" s="13" t="str">
        <v>CA: S Sacramento Wyndham - Citi</v>
      </c>
      <c r="B16" s="10" t="str">
        <v>CA</v>
      </c>
      <c r="C16" s="37">
        <f>SUM(Jul!C16, Aug!C16, Sep!C16)</f>
        <v>0</v>
      </c>
      <c r="D16" s="71">
        <f>SUM(Jul!D16,Aug!D16,Sep!D16)</f>
        <v>0</v>
      </c>
      <c r="E16" s="82" t="e">
        <f t="shared" si="1"/>
        <v>#DIV/0!</v>
      </c>
      <c r="F16" s="14">
        <f>SUM(Jul!F16, Aug!F16, Sep!G16)</f>
        <v>0</v>
      </c>
      <c r="G16" s="14">
        <f t="shared" si="0"/>
        <v>0</v>
      </c>
      <c r="H16" s="15" t="str">
        <f t="shared" ref="H16:H22" si="4">IFERROR(G16/F16, "")</f>
        <v/>
      </c>
      <c r="I16" s="16">
        <f>SUM(Jul!I16, Aug!K16, Sep!L16)</f>
        <v>0</v>
      </c>
      <c r="J16" s="16">
        <f>SUM(Jul!J16, Aug!J16, Sep!K16)</f>
        <v>0</v>
      </c>
      <c r="K16" s="17" t="str">
        <f t="shared" ref="K16:K22" si="5">IFERROR(J16/I16, "")</f>
        <v/>
      </c>
    </row>
    <row r="17" spans="1:11" ht="15.6">
      <c r="A17" s="19" t="str">
        <v>CA: Sacramento Point West - Citi</v>
      </c>
      <c r="B17" s="11" t="str">
        <v>CA</v>
      </c>
      <c r="C17" s="42">
        <f>SUM(Jul!C17, Aug!C17, Sep!C17)</f>
        <v>0</v>
      </c>
      <c r="D17" s="12"/>
      <c r="E17" s="80" t="e">
        <f t="shared" si="1"/>
        <v>#DIV/0!</v>
      </c>
      <c r="F17" s="20">
        <f>SUM(Jul!F17, Aug!F17, Sep!G17)</f>
        <v>0</v>
      </c>
      <c r="G17" s="20">
        <f t="shared" si="0"/>
        <v>0</v>
      </c>
      <c r="H17" s="21" t="str">
        <f t="shared" si="4"/>
        <v/>
      </c>
      <c r="I17" s="22">
        <f>SUM(Jul!I17, Aug!K17, Sep!L17)</f>
        <v>0</v>
      </c>
      <c r="J17" s="22">
        <f>SUM(Jul!J17, Aug!J17, Sep!K17)</f>
        <v>0</v>
      </c>
      <c r="K17" s="21" t="str">
        <f t="shared" si="5"/>
        <v/>
      </c>
    </row>
    <row r="18" spans="1:11" ht="12.75" customHeight="1">
      <c r="A18" s="13" t="str">
        <v>CA: San Jose FHC - Citi</v>
      </c>
      <c r="B18" s="10" t="str">
        <v>CA</v>
      </c>
      <c r="C18" s="37">
        <f>SUM(Jul!C18, Aug!C18, Sep!C18)</f>
        <v>0</v>
      </c>
      <c r="D18" s="71">
        <f>SUM(Jul!D18,Aug!D18,Sep!D18)</f>
        <v>0</v>
      </c>
      <c r="E18" s="82" t="e">
        <f t="shared" si="1"/>
        <v>#DIV/0!</v>
      </c>
      <c r="F18" s="14">
        <f>SUM(Jul!F18, Aug!F18, Sep!G18)</f>
        <v>0</v>
      </c>
      <c r="G18" s="14">
        <f t="shared" si="0"/>
        <v>0</v>
      </c>
      <c r="H18" s="15" t="str">
        <f t="shared" si="4"/>
        <v/>
      </c>
      <c r="I18" s="16">
        <f>SUM(Jul!I18, Aug!K18, Sep!L18)</f>
        <v>0</v>
      </c>
      <c r="J18" s="16">
        <f>SUM(Jul!J18, Aug!J18, Sep!K18)</f>
        <v>0</v>
      </c>
      <c r="K18" s="17" t="str">
        <f t="shared" si="5"/>
        <v/>
      </c>
    </row>
    <row r="19" spans="1:11" ht="15.6">
      <c r="A19" s="19" t="str">
        <v>CA: San Jose MOB - Citi</v>
      </c>
      <c r="B19" s="11" t="str">
        <v>CA</v>
      </c>
      <c r="C19" s="42">
        <f>SUM(Jul!C19, Aug!C19, Sep!C19)</f>
        <v>0</v>
      </c>
      <c r="D19" s="12"/>
      <c r="E19" s="80" t="e">
        <f t="shared" si="1"/>
        <v>#DIV/0!</v>
      </c>
      <c r="F19" s="20">
        <f>SUM(Jul!F19, Aug!F19, Sep!G19)</f>
        <v>0</v>
      </c>
      <c r="G19" s="20">
        <f t="shared" si="0"/>
        <v>0</v>
      </c>
      <c r="H19" s="21" t="str">
        <f t="shared" si="4"/>
        <v/>
      </c>
      <c r="I19" s="22">
        <f>SUM(Jul!I19, Aug!K19, Sep!L19)</f>
        <v>0</v>
      </c>
      <c r="J19" s="22">
        <f>SUM(Jul!J19, Aug!J19, Sep!K19)</f>
        <v>0</v>
      </c>
      <c r="K19" s="21" t="str">
        <f t="shared" si="5"/>
        <v/>
      </c>
    </row>
    <row r="20" spans="1:11" ht="15.6">
      <c r="A20" s="13" t="str">
        <v>CA: Selma - Citi</v>
      </c>
      <c r="B20" s="10" t="str">
        <v>CA</v>
      </c>
      <c r="C20" s="37">
        <f>SUM(Jul!C20, Aug!C20, Sep!C20)</f>
        <v>0</v>
      </c>
      <c r="D20" s="71">
        <f>SUM(Jul!D20,Aug!D20,Sep!D20)</f>
        <v>0</v>
      </c>
      <c r="E20" s="82" t="e">
        <f t="shared" si="1"/>
        <v>#DIV/0!</v>
      </c>
      <c r="F20" s="14">
        <f>SUM(Jul!F20, Aug!F20, Sep!G20)</f>
        <v>0</v>
      </c>
      <c r="G20" s="14">
        <f t="shared" si="0"/>
        <v>0</v>
      </c>
      <c r="H20" s="15" t="str">
        <f t="shared" si="4"/>
        <v/>
      </c>
      <c r="I20" s="16">
        <f>SUM(Jul!I20, Aug!K20, Sep!L20)</f>
        <v>0</v>
      </c>
      <c r="J20" s="16">
        <f>SUM(Jul!J20, Aug!J20, Sep!K20)</f>
        <v>0</v>
      </c>
      <c r="K20" s="17" t="str">
        <f t="shared" si="5"/>
        <v/>
      </c>
    </row>
    <row r="21" spans="1:11" ht="15.6">
      <c r="A21" s="19" t="str">
        <v>CA: Vacaville Hospital</v>
      </c>
      <c r="B21" s="11" t="str">
        <v>CA</v>
      </c>
      <c r="C21" s="42">
        <f>SUM(Jul!C21, Aug!C21, Sep!C21)</f>
        <v>0</v>
      </c>
      <c r="D21" s="12"/>
      <c r="E21" s="80" t="e">
        <f t="shared" si="1"/>
        <v>#DIV/0!</v>
      </c>
      <c r="F21" s="20">
        <f>SUM(Jul!F21, Aug!F21, Sep!G21)</f>
        <v>0</v>
      </c>
      <c r="G21" s="20">
        <f>SUM(Jul!G21, Aug!G21, Sep!H21)</f>
        <v>0</v>
      </c>
      <c r="H21" s="21" t="str">
        <f t="shared" si="4"/>
        <v/>
      </c>
      <c r="I21" s="22">
        <f>SUM(Jul!I21, Aug!K21, Sep!L21)</f>
        <v>0</v>
      </c>
      <c r="J21" s="22">
        <f>SUM(Jul!J21, Aug!J21, Sep!K21)</f>
        <v>0</v>
      </c>
      <c r="K21" s="21" t="str">
        <f t="shared" si="5"/>
        <v/>
      </c>
    </row>
    <row r="22" spans="1:11" ht="15.6">
      <c r="A22" s="13" t="str">
        <v>CA: Manteca - KP Manteca Hospital</v>
      </c>
      <c r="B22" s="10" t="str">
        <v>CA</v>
      </c>
      <c r="C22" s="37">
        <f>SUM(Jul!C22, Aug!C22, Sep!C22)</f>
        <v>0</v>
      </c>
      <c r="D22" s="71">
        <f>SUM(Jul!D22,Aug!D22,Sep!D22)</f>
        <v>0</v>
      </c>
      <c r="E22" s="82" t="e">
        <f t="shared" si="1"/>
        <v>#DIV/0!</v>
      </c>
      <c r="F22" s="14">
        <f>SUM(Jul!F22, Aug!F22, Sep!G22)</f>
        <v>0</v>
      </c>
      <c r="G22" s="14">
        <f>SUM(Jul!G22, Aug!G22, Sep!H22)</f>
        <v>0</v>
      </c>
      <c r="H22" s="15" t="str">
        <f t="shared" si="4"/>
        <v/>
      </c>
      <c r="I22" s="16">
        <f>SUM(Jul!I22, Aug!K22, Sep!L22)</f>
        <v>0</v>
      </c>
      <c r="J22" s="16">
        <f>SUM(Jul!J22, Aug!J22, Sep!K22)</f>
        <v>0</v>
      </c>
      <c r="K22" s="17" t="str">
        <f t="shared" si="5"/>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7" stopIfTrue="1" operator="lessThanOrEqual">
      <formula>-0.1</formula>
    </cfRule>
    <cfRule type="expression" dxfId="27"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N17" sqref="N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27" t="str" cm="1">
        <f t="array" ref="A1">portfolio</f>
        <v>CITI</v>
      </c>
      <c r="B1" s="127"/>
      <c r="C1" s="127"/>
      <c r="D1" s="74" t="s">
        <v>0</v>
      </c>
      <c r="E1" s="75" t="s">
        <v>1</v>
      </c>
      <c r="F1" s="128" t="s">
        <v>18</v>
      </c>
      <c r="G1" s="128"/>
      <c r="H1" s="128"/>
      <c r="I1" s="126" t="s">
        <v>19</v>
      </c>
      <c r="J1" s="126"/>
      <c r="K1" s="126"/>
    </row>
    <row r="2" spans="1:11" ht="19.5" customHeight="1">
      <c r="A2" s="129" t="s">
        <v>4</v>
      </c>
      <c r="B2" s="129"/>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e">
        <f t="shared" ref="E4:E22" si="0">C4/D4</f>
        <v>#DIV/0!</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80" t="e">
        <f t="shared" si="0"/>
        <v>#DIV/0!</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e">
        <f t="shared" si="0"/>
        <v>#DIV/0!</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80" t="e">
        <f t="shared" si="0"/>
        <v>#DIV/0!</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e">
        <f t="shared" si="0"/>
        <v>#DIV/0!</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80" t="e">
        <f t="shared" si="0"/>
        <v>#DIV/0!</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e">
        <f t="shared" si="0"/>
        <v>#DIV/0!</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80" t="e">
        <f t="shared" si="0"/>
        <v>#DIV/0!</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e">
        <f t="shared" si="0"/>
        <v>#DIV/0!</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80" t="e">
        <f t="shared" si="0"/>
        <v>#DIV/0!</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e">
        <f t="shared" si="0"/>
        <v>#DIV/0!</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80" t="e">
        <f t="shared" si="0"/>
        <v>#DIV/0!</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e">
        <f t="shared" si="0"/>
        <v>#DIV/0!</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80" t="e">
        <f t="shared" si="0"/>
        <v>#DIV/0!</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e">
        <f t="shared" si="0"/>
        <v>#DIV/0!</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80" t="e">
        <f t="shared" si="0"/>
        <v>#DIV/0!</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e">
        <f t="shared" si="0"/>
        <v>#DIV/0!</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80" t="e">
        <f t="shared" si="0"/>
        <v>#DIV/0!</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e">
        <f t="shared" si="0"/>
        <v>#DIV/0!</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6" activePane="bottomLeft" state="frozen"/>
      <selection pane="bottomLeft" activeCell="L6" sqref="L6"/>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27" t="str" cm="1">
        <f t="array" ref="A1">portfolio</f>
        <v>CITI</v>
      </c>
      <c r="B1" s="127"/>
      <c r="C1" s="127"/>
      <c r="D1" s="76" t="s">
        <v>0</v>
      </c>
      <c r="E1" s="76" t="s">
        <v>1</v>
      </c>
      <c r="F1" s="128" t="s">
        <v>20</v>
      </c>
      <c r="G1" s="128"/>
      <c r="H1" s="128"/>
      <c r="I1" s="126" t="s">
        <v>21</v>
      </c>
      <c r="J1" s="126"/>
      <c r="K1" s="126"/>
      <c r="L1" s="5"/>
      <c r="M1" s="5"/>
    </row>
    <row r="2" spans="1:14" ht="19.5" customHeight="1">
      <c r="A2" s="129" t="s">
        <v>4</v>
      </c>
      <c r="B2" s="129"/>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103"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4" t="s">
        <v>27</v>
      </c>
      <c r="N9" s="109"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103"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5" t="s">
        <v>32</v>
      </c>
      <c r="N12" s="109"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6" t="s">
        <v>35</v>
      </c>
      <c r="N13" s="109"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5"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7" t="s">
        <v>40</v>
      </c>
      <c r="N18" s="108"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6"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4" priority="2" stopIfTrue="1" operator="lessThanOrEqual">
      <formula>-0.1</formula>
    </cfRule>
    <cfRule type="expression" dxfId="23"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27" t="str" cm="1">
        <f t="array" ref="A1">portfolio</f>
        <v>CITI</v>
      </c>
      <c r="B1" s="127"/>
      <c r="C1" s="127"/>
      <c r="D1" s="76" t="s">
        <v>0</v>
      </c>
      <c r="E1" s="76" t="s">
        <v>1</v>
      </c>
      <c r="F1" s="128" t="s">
        <v>44</v>
      </c>
      <c r="G1" s="128"/>
      <c r="H1" s="128"/>
      <c r="I1" s="126" t="s">
        <v>45</v>
      </c>
      <c r="J1" s="126"/>
      <c r="K1" s="126"/>
      <c r="L1" s="5"/>
      <c r="M1" s="5"/>
    </row>
    <row r="2" spans="1:17" ht="19.5" customHeight="1">
      <c r="A2" s="129" t="s">
        <v>4</v>
      </c>
      <c r="B2" s="129"/>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103"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103"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6"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103"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5" t="s">
        <v>54</v>
      </c>
      <c r="N12" s="110"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11" t="s">
        <v>57</v>
      </c>
      <c r="N13" s="110" t="s">
        <v>36</v>
      </c>
      <c r="O13" s="110" t="s">
        <v>58</v>
      </c>
      <c r="P13" s="110" t="s">
        <v>59</v>
      </c>
      <c r="Q13" s="110"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4"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12" t="s">
        <v>64</v>
      </c>
      <c r="N18" s="110" t="s">
        <v>41</v>
      </c>
      <c r="O18" s="110"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13" t="s">
        <v>66</v>
      </c>
      <c r="N19" s="110" t="s">
        <v>67</v>
      </c>
      <c r="O19" s="110"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18" activePane="bottomLeft" state="frozen"/>
      <selection pane="bottomLeft" activeCell="J6" sqref="J6"/>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27" t="str" cm="1">
        <f t="array" ref="A1">portfolio</f>
        <v>CITI</v>
      </c>
      <c r="B1" s="127"/>
      <c r="C1" s="127"/>
      <c r="D1" s="76" t="s">
        <v>0</v>
      </c>
      <c r="E1" s="76" t="s">
        <v>1</v>
      </c>
      <c r="F1" s="76" t="s">
        <v>69</v>
      </c>
      <c r="G1" s="128" t="s">
        <v>70</v>
      </c>
      <c r="H1" s="128"/>
      <c r="I1" s="128"/>
      <c r="J1" s="126" t="s">
        <v>71</v>
      </c>
      <c r="K1" s="126"/>
      <c r="L1" s="126"/>
      <c r="M1" s="5"/>
      <c r="N1" s="5"/>
    </row>
    <row r="2" spans="1:17" ht="19.5" customHeight="1">
      <c r="A2" s="129" t="s">
        <v>4</v>
      </c>
      <c r="B2" s="129"/>
      <c r="C2" s="6">
        <f>SUM(C4:C100)</f>
        <v>1693756</v>
      </c>
      <c r="D2" s="6">
        <f>SUM(D4:D22)</f>
        <v>1858969.8000000003</v>
      </c>
      <c r="E2" s="7">
        <f>C2/D2</f>
        <v>0.91112615169972089</v>
      </c>
      <c r="F2" s="7">
        <f>AVERAGE(F4:F22)</f>
        <v>1.0049669812016757</v>
      </c>
      <c r="G2" s="6">
        <f>SUM(G4:G100)</f>
        <v>1884049.973</v>
      </c>
      <c r="H2" s="6">
        <f>C2-G2</f>
        <v>-190293.973</v>
      </c>
      <c r="I2" s="7">
        <f>IFERROR(H2/G2, 0)</f>
        <v>-0.10100261443542931</v>
      </c>
      <c r="J2" s="6">
        <f>SUM(J4:J100)</f>
        <v>1820418.8620000002</v>
      </c>
      <c r="K2" s="8">
        <f>C2-J2</f>
        <v>-126662.8620000002</v>
      </c>
      <c r="L2" s="7">
        <f>IFERROR(K2/J2, 0)</f>
        <v>-6.957896594239979E-2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103" t="s">
        <v>47</v>
      </c>
      <c r="O4" s="118"/>
      <c r="P4" s="118"/>
      <c r="Q4" s="118"/>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5">
        <f>IFERROR(H5/G5, "")</f>
        <v>1.1303272261427515E-2</v>
      </c>
      <c r="J5" s="22">
        <v>188025.07199999999</v>
      </c>
      <c r="K5" s="22">
        <f t="shared" si="2"/>
        <v>-4880.0719999999856</v>
      </c>
      <c r="L5" s="21">
        <f>K5/J5</f>
        <v>-2.5954368468477363E-2</v>
      </c>
      <c r="M5" s="11"/>
      <c r="N5" s="60"/>
      <c r="O5" s="118"/>
      <c r="P5" s="118"/>
      <c r="Q5" s="118"/>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103" t="s">
        <v>74</v>
      </c>
      <c r="O6" s="109" t="s">
        <v>75</v>
      </c>
      <c r="P6" s="118"/>
      <c r="Q6" s="118"/>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5">
        <f t="shared" si="3"/>
        <v>-4.5596653647299278E-2</v>
      </c>
      <c r="J7" s="22">
        <v>116896.07</v>
      </c>
      <c r="K7" s="22">
        <f t="shared" si="2"/>
        <v>-6692.070000000007</v>
      </c>
      <c r="L7" s="21">
        <f t="shared" si="4"/>
        <v>-5.7248032376109877E-2</v>
      </c>
      <c r="M7" s="11"/>
      <c r="N7" s="60"/>
      <c r="O7" s="118"/>
      <c r="P7" s="118"/>
      <c r="Q7" s="118"/>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103" t="s">
        <v>77</v>
      </c>
      <c r="O8" s="118"/>
      <c r="P8" s="118"/>
      <c r="Q8" s="118"/>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5">
        <f t="shared" si="3"/>
        <v>-7.6848332876229289E-2</v>
      </c>
      <c r="J9" s="22">
        <v>129295.12</v>
      </c>
      <c r="K9" s="22">
        <f t="shared" si="2"/>
        <v>-11487.119999999995</v>
      </c>
      <c r="L9" s="21">
        <f t="shared" si="4"/>
        <v>-8.884418839628283E-2</v>
      </c>
      <c r="M9" s="84" t="s">
        <v>78</v>
      </c>
      <c r="N9" s="104" t="s">
        <v>50</v>
      </c>
      <c r="O9" s="118"/>
      <c r="P9" s="118"/>
      <c r="Q9" s="118"/>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103" t="s">
        <v>80</v>
      </c>
      <c r="O10" s="109" t="s">
        <v>81</v>
      </c>
      <c r="P10" s="118"/>
      <c r="Q10" s="118"/>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5">
        <f t="shared" si="3"/>
        <v>-1.3347223126505632E-2</v>
      </c>
      <c r="J11" s="22">
        <v>31137.784</v>
      </c>
      <c r="K11" s="22">
        <f t="shared" si="2"/>
        <v>-829.78399999999965</v>
      </c>
      <c r="L11" s="21">
        <f t="shared" si="4"/>
        <v>-2.6648781429018831E-2</v>
      </c>
      <c r="M11" s="11"/>
      <c r="N11" s="60"/>
      <c r="O11" s="118"/>
      <c r="P11" s="118"/>
      <c r="Q11" s="118"/>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103" t="s">
        <v>83</v>
      </c>
      <c r="O12" s="109" t="s">
        <v>84</v>
      </c>
      <c r="P12" s="118"/>
      <c r="Q12" s="118"/>
    </row>
    <row r="13" spans="1:17" ht="77.25" customHeight="1">
      <c r="A13" s="32" t="str">
        <v>CA: Petaluma MOB - Citi</v>
      </c>
      <c r="B13" s="33" t="str">
        <v>CA</v>
      </c>
      <c r="C13" s="12">
        <v>60351.5</v>
      </c>
      <c r="D13" s="12">
        <v>32798.6</v>
      </c>
      <c r="E13" s="80">
        <f t="shared" si="0"/>
        <v>1.8400632953845593</v>
      </c>
      <c r="F13" s="80">
        <f>(SUM(C13,Feb!C13,Jan!C13))/(SUM(Jan!D13,Feb!D13,Mar!D13))</f>
        <v>1.1368925784164015</v>
      </c>
      <c r="G13" s="20">
        <v>79678</v>
      </c>
      <c r="H13" s="20">
        <f t="shared" si="1"/>
        <v>-19326.5</v>
      </c>
      <c r="I13" s="15">
        <f t="shared" si="3"/>
        <v>-0.24255754411506314</v>
      </c>
      <c r="J13" s="22">
        <v>80404.171000000002</v>
      </c>
      <c r="K13" s="22">
        <f t="shared" si="2"/>
        <v>-20052.671000000002</v>
      </c>
      <c r="L13" s="21">
        <f t="shared" si="4"/>
        <v>-0.24939839252866622</v>
      </c>
      <c r="M13" s="114" t="s">
        <v>85</v>
      </c>
      <c r="N13" s="104" t="s">
        <v>86</v>
      </c>
      <c r="O13" s="109" t="s">
        <v>87</v>
      </c>
      <c r="P13" s="118"/>
      <c r="Q13" s="118"/>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103" t="s">
        <v>89</v>
      </c>
      <c r="O14" s="118"/>
      <c r="P14" s="118"/>
      <c r="Q14" s="118"/>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5">
        <f t="shared" si="3"/>
        <v>-1.8158818731010676E-2</v>
      </c>
      <c r="J15" s="22">
        <v>173208.522</v>
      </c>
      <c r="K15" s="22">
        <f t="shared" si="2"/>
        <v>-7106.5219999999972</v>
      </c>
      <c r="L15" s="21">
        <f t="shared" si="4"/>
        <v>-4.1028708737552745E-2</v>
      </c>
      <c r="M15" s="84" t="s">
        <v>90</v>
      </c>
      <c r="N15" s="104" t="s">
        <v>91</v>
      </c>
      <c r="O15" s="118"/>
      <c r="P15" s="118"/>
      <c r="Q15" s="118"/>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8"/>
      <c r="P16" s="118"/>
      <c r="Q16" s="118"/>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5">
        <f t="shared" si="3"/>
        <v>-9.9178880405791328E-2</v>
      </c>
      <c r="J17" s="44">
        <v>190101.80499999999</v>
      </c>
      <c r="K17" s="44">
        <f t="shared" si="2"/>
        <v>-18191.804999999993</v>
      </c>
      <c r="L17" s="21">
        <f t="shared" si="4"/>
        <v>-9.5695067177294785E-2</v>
      </c>
      <c r="M17" s="84" t="s">
        <v>92</v>
      </c>
      <c r="N17" s="113" t="s">
        <v>93</v>
      </c>
      <c r="O17" s="109" t="s">
        <v>94</v>
      </c>
      <c r="P17" s="118"/>
      <c r="Q17" s="118"/>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12" t="s">
        <v>96</v>
      </c>
      <c r="O18" s="109" t="s">
        <v>97</v>
      </c>
      <c r="P18" s="118"/>
      <c r="Q18" s="118"/>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13" t="s">
        <v>99</v>
      </c>
      <c r="O19" s="109" t="s">
        <v>67</v>
      </c>
      <c r="P19" s="109" t="s">
        <v>100</v>
      </c>
      <c r="Q19" s="118"/>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8"/>
      <c r="P20" s="118"/>
      <c r="Q20" s="118"/>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4" t="s">
        <v>102</v>
      </c>
      <c r="O21" s="118"/>
      <c r="P21" s="118"/>
      <c r="Q21" s="118"/>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8"/>
      <c r="P22" s="118"/>
      <c r="Q22" s="118"/>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tabSelected="1" zoomScale="60" zoomScaleNormal="60" workbookViewId="0">
      <pane ySplit="2" topLeftCell="H23" activePane="bottomLeft" state="frozen"/>
      <selection pane="bottomLeft" activeCell="H23" sqref="H23"/>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27" t="str" cm="1">
        <f t="array" ref="A1">portfolio</f>
        <v>CITI</v>
      </c>
      <c r="B1" s="127"/>
      <c r="C1" s="127"/>
      <c r="D1" s="76" t="s">
        <v>0</v>
      </c>
      <c r="E1" s="76" t="s">
        <v>1</v>
      </c>
      <c r="F1" s="128" t="s">
        <v>103</v>
      </c>
      <c r="G1" s="128"/>
      <c r="H1" s="128"/>
      <c r="I1" s="126" t="s">
        <v>104</v>
      </c>
      <c r="J1" s="126"/>
      <c r="K1" s="126"/>
      <c r="L1" s="5"/>
      <c r="M1" s="5"/>
    </row>
    <row r="2" spans="1:13" ht="19.5" customHeight="1">
      <c r="A2" s="129" t="s">
        <v>4</v>
      </c>
      <c r="B2" s="129"/>
      <c r="C2" s="6">
        <f>SUM(C4:C100)</f>
        <v>2367366.7199999997</v>
      </c>
      <c r="D2" s="6">
        <f>SUM(D4:D22)</f>
        <v>2349739.64</v>
      </c>
      <c r="E2" s="7">
        <f>C2/D2</f>
        <v>1.0075017162326969</v>
      </c>
      <c r="F2" s="6">
        <f>SUM(F4:F100)</f>
        <v>2318877.102</v>
      </c>
      <c r="G2" s="6">
        <f>C2-F2</f>
        <v>48489.617999999784</v>
      </c>
      <c r="H2" s="7">
        <f>IFERROR(G2/F2, 0)</f>
        <v>2.0910818412143598E-2</v>
      </c>
      <c r="I2" s="6">
        <f>SUM(I4:I100)</f>
        <v>2530994.8750000005</v>
      </c>
      <c r="J2" s="8">
        <f>C2-I2</f>
        <v>-163628.15500000073</v>
      </c>
      <c r="K2" s="7">
        <f>IFERROR(J2/I2, 0)</f>
        <v>-6.4649737783447986E-2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19"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9"/>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102"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19" t="s">
        <v>114</v>
      </c>
    </row>
    <row r="13" spans="1:13" ht="129" customHeight="1">
      <c r="A13" s="32" t="str">
        <v>CA: Petaluma MOB - Citi</v>
      </c>
      <c r="B13" s="33" t="str">
        <v>CA</v>
      </c>
      <c r="C13" s="12">
        <v>15495.5</v>
      </c>
      <c r="D13" s="12">
        <v>105601.15</v>
      </c>
      <c r="E13" s="80">
        <f t="shared" si="0"/>
        <v>0.14673609141567115</v>
      </c>
      <c r="F13" s="20">
        <v>101621</v>
      </c>
      <c r="G13" s="20">
        <f t="shared" si="2"/>
        <v>-86125.5</v>
      </c>
      <c r="H13" s="21">
        <f t="shared" si="3"/>
        <v>-0.8475167534269491</v>
      </c>
      <c r="I13" s="22">
        <v>42822.349000000002</v>
      </c>
      <c r="J13" s="22">
        <f t="shared" si="4"/>
        <v>-27326.849000000002</v>
      </c>
      <c r="K13" s="21">
        <f t="shared" si="1"/>
        <v>-0.63814455858084762</v>
      </c>
      <c r="L13" s="85" t="s">
        <v>115</v>
      </c>
      <c r="M13" s="102"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19"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9"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102"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102"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102"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21" t="s">
        <v>133</v>
      </c>
      <c r="E23" s="80" t="str">
        <f>IFERROR(C23/D23, "")</f>
        <v/>
      </c>
      <c r="F23" s="20">
        <v>0</v>
      </c>
      <c r="G23" s="20">
        <f t="shared" si="2"/>
        <v>295635.71999999997</v>
      </c>
      <c r="H23" s="43" t="str">
        <f t="shared" si="5"/>
        <v/>
      </c>
      <c r="I23" s="120">
        <v>325782</v>
      </c>
      <c r="J23" s="22">
        <f t="shared" si="4"/>
        <v>-30146.280000000028</v>
      </c>
      <c r="K23" s="43">
        <f t="shared" si="6"/>
        <v>-9.2535130854375092E-2</v>
      </c>
      <c r="L23" s="84" t="s">
        <v>134</v>
      </c>
      <c r="M23" s="102" t="s">
        <v>135</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18" priority="1" stopIfTrue="1" operator="lessThanOrEqual">
      <formula>-0.1</formula>
    </cfRule>
    <cfRule type="expression" dxfId="17"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19" activePane="bottomLeft" state="frozen"/>
      <selection pane="bottomLeft" activeCell="G29" sqref="G29"/>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27" t="str" cm="1">
        <f t="array" ref="A1">portfolio</f>
        <v>CITI</v>
      </c>
      <c r="B1" s="127"/>
      <c r="C1" s="127"/>
      <c r="D1" s="76" t="s">
        <v>0</v>
      </c>
      <c r="E1" s="76" t="s">
        <v>1</v>
      </c>
      <c r="F1" s="128" t="s">
        <v>136</v>
      </c>
      <c r="G1" s="128"/>
      <c r="H1" s="128"/>
      <c r="I1" s="126" t="s">
        <v>137</v>
      </c>
      <c r="J1" s="126"/>
      <c r="K1" s="126"/>
      <c r="L1" s="5"/>
      <c r="M1" s="64"/>
    </row>
    <row r="2" spans="1:15" ht="19.5" customHeight="1">
      <c r="A2" s="129" t="s">
        <v>4</v>
      </c>
      <c r="B2" s="129"/>
      <c r="C2" s="6">
        <f>SUM(C4:C100)</f>
        <v>2973920.0500000003</v>
      </c>
      <c r="D2" s="6">
        <f>SUM(D4:D22)</f>
        <v>2778688.91</v>
      </c>
      <c r="E2" s="7">
        <f>C2/D2</f>
        <v>1.0702601645320562</v>
      </c>
      <c r="F2" s="6">
        <f>SUM(F4:F100)</f>
        <v>3147995.446</v>
      </c>
      <c r="G2" s="6">
        <f>C2-F2</f>
        <v>-174075.39599999972</v>
      </c>
      <c r="H2" s="7">
        <f>IFERROR(G2/F2, 0)</f>
        <v>-5.5297219766054173E-2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 t="shared" ref="G4:G23" si="0">IF(AND(ISNUMBER(C4),ISNUMBER(F4)), C4-F4, "")</f>
        <v>7780.5</v>
      </c>
      <c r="H4" s="15">
        <f>IFERROR(G4/F4, "")</f>
        <v>0.10555269155632732</v>
      </c>
      <c r="I4" s="16">
        <v>84914.724000000002</v>
      </c>
      <c r="J4" s="16">
        <f t="shared" ref="J4:J23" si="1">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2">C5/D5</f>
        <v>1.0601582087088823</v>
      </c>
      <c r="F5" s="20">
        <v>251808</v>
      </c>
      <c r="G5" s="20">
        <f t="shared" si="0"/>
        <v>17842</v>
      </c>
      <c r="H5" s="21">
        <f>IFERROR(G5/F5, "")</f>
        <v>7.0855572499682301E-2</v>
      </c>
      <c r="I5" s="22">
        <v>285700.70299999998</v>
      </c>
      <c r="J5" s="20">
        <f t="shared" si="1"/>
        <v>-16050.70299999998</v>
      </c>
      <c r="K5" s="21">
        <f t="shared" ref="K5:K15" si="3">IFERROR(J5/I5, "")</f>
        <v>-5.6180131275350695E-2</v>
      </c>
      <c r="L5" s="11"/>
      <c r="M5" s="19"/>
    </row>
    <row r="6" spans="1:15" ht="57.6">
      <c r="A6" s="30" t="str">
        <v>CA: Clovis - Citi</v>
      </c>
      <c r="B6" s="31" t="str">
        <v>CA</v>
      </c>
      <c r="C6" s="26">
        <v>110990</v>
      </c>
      <c r="D6" s="78">
        <v>108547</v>
      </c>
      <c r="E6" s="79">
        <f t="shared" si="2"/>
        <v>1.0225063797249119</v>
      </c>
      <c r="F6" s="14">
        <v>104799</v>
      </c>
      <c r="G6" s="14">
        <f t="shared" si="0"/>
        <v>6191</v>
      </c>
      <c r="H6" s="15">
        <f t="shared" ref="H6:H15" si="4">IFERROR(G6/F6, "")</f>
        <v>5.9074991173579901E-2</v>
      </c>
      <c r="I6" s="16">
        <v>7792.7129999999997</v>
      </c>
      <c r="J6" s="16">
        <f t="shared" si="1"/>
        <v>103197.287</v>
      </c>
      <c r="K6" s="17">
        <f t="shared" si="3"/>
        <v>13.242793235167264</v>
      </c>
      <c r="L6" s="18" t="s">
        <v>138</v>
      </c>
      <c r="M6" s="103" t="s">
        <v>139</v>
      </c>
    </row>
    <row r="7" spans="1:15" ht="15.6">
      <c r="A7" s="32" t="str">
        <v>CA: Elk Grove MOB - Citi</v>
      </c>
      <c r="B7" s="33" t="str">
        <v>CA</v>
      </c>
      <c r="C7" s="12">
        <v>174908.5</v>
      </c>
      <c r="D7" s="12">
        <v>181338.5</v>
      </c>
      <c r="E7" s="80">
        <f t="shared" si="2"/>
        <v>0.96454145148437864</v>
      </c>
      <c r="F7" s="20">
        <v>179543</v>
      </c>
      <c r="G7" s="20">
        <f t="shared" si="0"/>
        <v>-4634.5</v>
      </c>
      <c r="H7" s="21">
        <f t="shared" si="4"/>
        <v>-2.5812757946564333E-2</v>
      </c>
      <c r="I7" s="22">
        <v>190114.87</v>
      </c>
      <c r="J7" s="20">
        <f t="shared" si="1"/>
        <v>-15206.369999999995</v>
      </c>
      <c r="K7" s="21">
        <f t="shared" si="3"/>
        <v>-7.9985168966530587E-2</v>
      </c>
      <c r="L7" s="11"/>
      <c r="M7" s="11"/>
    </row>
    <row r="8" spans="1:15" ht="15.6">
      <c r="A8" s="30" t="str">
        <v>CA: Elk Grove Promenade - Citi</v>
      </c>
      <c r="B8" s="31" t="str">
        <v>CA</v>
      </c>
      <c r="C8" s="26">
        <v>92961.75</v>
      </c>
      <c r="D8" s="78">
        <v>95545</v>
      </c>
      <c r="E8" s="79">
        <f t="shared" si="2"/>
        <v>0.97296300172693495</v>
      </c>
      <c r="F8" s="14">
        <v>94599.133000000002</v>
      </c>
      <c r="G8" s="14">
        <f t="shared" si="0"/>
        <v>-1637.3830000000016</v>
      </c>
      <c r="H8" s="15">
        <f t="shared" si="4"/>
        <v>-1.7308647004196133E-2</v>
      </c>
      <c r="I8" s="16">
        <v>99352.21</v>
      </c>
      <c r="J8" s="16">
        <f t="shared" si="1"/>
        <v>-6390.4600000000064</v>
      </c>
      <c r="K8" s="17">
        <f t="shared" si="3"/>
        <v>-6.4321266733774779E-2</v>
      </c>
      <c r="L8" s="18"/>
      <c r="M8" s="18"/>
    </row>
    <row r="9" spans="1:15" ht="15.6">
      <c r="A9" s="32" t="str">
        <v>CA: Fresno Sequioa - Citi</v>
      </c>
      <c r="B9" s="33" t="str">
        <v>CA</v>
      </c>
      <c r="C9" s="12">
        <v>177350.5</v>
      </c>
      <c r="D9" s="12">
        <v>179936.42</v>
      </c>
      <c r="E9" s="80">
        <f t="shared" si="2"/>
        <v>0.98562870151579085</v>
      </c>
      <c r="F9" s="20">
        <v>178191</v>
      </c>
      <c r="G9" s="20">
        <f t="shared" si="0"/>
        <v>-840.5</v>
      </c>
      <c r="H9" s="21">
        <f t="shared" si="4"/>
        <v>-4.7168487746294709E-3</v>
      </c>
      <c r="I9" s="22">
        <v>193380.11499999999</v>
      </c>
      <c r="J9" s="20">
        <f t="shared" si="1"/>
        <v>-16029.614999999991</v>
      </c>
      <c r="K9" s="21">
        <f t="shared" si="3"/>
        <v>-8.2891744065825959E-2</v>
      </c>
      <c r="L9" s="11"/>
      <c r="M9" s="11"/>
    </row>
    <row r="10" spans="1:15" ht="28.9">
      <c r="A10" s="30" t="str">
        <v>CA: Fresno MOB - Citi</v>
      </c>
      <c r="B10" s="31" t="str">
        <v>CA</v>
      </c>
      <c r="C10" s="26">
        <v>64388.87</v>
      </c>
      <c r="D10" s="78">
        <v>72873.039999999994</v>
      </c>
      <c r="E10" s="79">
        <f t="shared" si="2"/>
        <v>0.88357601110095052</v>
      </c>
      <c r="F10" s="14">
        <v>72791</v>
      </c>
      <c r="G10" s="14">
        <f t="shared" si="0"/>
        <v>-8402.1299999999974</v>
      </c>
      <c r="H10" s="15">
        <f t="shared" si="4"/>
        <v>-0.11542814358917995</v>
      </c>
      <c r="I10" s="16">
        <v>70583.370999999999</v>
      </c>
      <c r="J10" s="16">
        <f t="shared" si="1"/>
        <v>-6194.5009999999966</v>
      </c>
      <c r="K10" s="17">
        <f t="shared" si="3"/>
        <v>-8.7761478549954725E-2</v>
      </c>
      <c r="L10" s="18" t="s">
        <v>140</v>
      </c>
      <c r="M10" s="103" t="s">
        <v>141</v>
      </c>
    </row>
    <row r="11" spans="1:15" ht="57.6">
      <c r="A11" s="32" t="str">
        <v>CA: Modesto Bangs - Citi</v>
      </c>
      <c r="B11" s="33" t="str">
        <v>CA</v>
      </c>
      <c r="C11" s="12">
        <v>47080.25</v>
      </c>
      <c r="D11" s="12">
        <v>52921.57</v>
      </c>
      <c r="E11" s="80">
        <f t="shared" si="2"/>
        <v>0.88962307807572605</v>
      </c>
      <c r="F11" s="20">
        <v>52663</v>
      </c>
      <c r="G11" s="20">
        <f t="shared" si="0"/>
        <v>-5582.75</v>
      </c>
      <c r="H11" s="21">
        <f t="shared" si="4"/>
        <v>-0.10600896264929836</v>
      </c>
      <c r="I11" s="22">
        <v>183.56299999999999</v>
      </c>
      <c r="J11" s="20">
        <f t="shared" si="1"/>
        <v>46896.686999999998</v>
      </c>
      <c r="K11" s="21">
        <f t="shared" si="3"/>
        <v>255.48006406519832</v>
      </c>
      <c r="L11" s="84" t="s">
        <v>142</v>
      </c>
      <c r="M11" s="104" t="s">
        <v>143</v>
      </c>
    </row>
    <row r="12" spans="1:15" ht="43.15">
      <c r="A12" s="30" t="str">
        <v>CA: Napa Data Center - Citi</v>
      </c>
      <c r="B12" s="31" t="str">
        <v>CA</v>
      </c>
      <c r="C12" s="26">
        <v>48683.25</v>
      </c>
      <c r="D12" s="78">
        <v>53542.49</v>
      </c>
      <c r="E12" s="79">
        <f t="shared" si="2"/>
        <v>0.90924516211330486</v>
      </c>
      <c r="F12" s="14">
        <v>51546</v>
      </c>
      <c r="G12" s="14">
        <f t="shared" si="0"/>
        <v>-2862.75</v>
      </c>
      <c r="H12" s="15">
        <f t="shared" si="4"/>
        <v>-5.5537772087067859E-2</v>
      </c>
      <c r="I12" s="16">
        <v>56772.614999999998</v>
      </c>
      <c r="J12" s="16">
        <f t="shared" si="1"/>
        <v>-8089.364999999998</v>
      </c>
      <c r="K12" s="17">
        <f t="shared" si="3"/>
        <v>-0.1424870952306847</v>
      </c>
      <c r="L12" s="18" t="s">
        <v>144</v>
      </c>
      <c r="M12" s="103" t="s">
        <v>145</v>
      </c>
    </row>
    <row r="13" spans="1:15" ht="126.75" customHeight="1">
      <c r="A13" s="32" t="str">
        <v>CA: Petaluma MOB - Citi</v>
      </c>
      <c r="B13" s="33" t="str">
        <v>CA</v>
      </c>
      <c r="C13" s="12">
        <v>105493.5</v>
      </c>
      <c r="D13" s="12">
        <v>123235.12</v>
      </c>
      <c r="E13" s="80">
        <f t="shared" si="2"/>
        <v>0.85603438370490492</v>
      </c>
      <c r="F13" s="20">
        <v>118590</v>
      </c>
      <c r="G13" s="20">
        <f t="shared" si="0"/>
        <v>-13096.5</v>
      </c>
      <c r="H13" s="21">
        <f t="shared" si="4"/>
        <v>-0.11043511257272957</v>
      </c>
      <c r="I13" s="22">
        <v>11916.177</v>
      </c>
      <c r="J13" s="20">
        <f t="shared" si="1"/>
        <v>93577.323000000004</v>
      </c>
      <c r="K13" s="21">
        <f t="shared" si="3"/>
        <v>7.8529651749885891</v>
      </c>
      <c r="L13" s="84" t="s">
        <v>146</v>
      </c>
      <c r="M13" s="113" t="s">
        <v>147</v>
      </c>
      <c r="N13" s="108" t="s">
        <v>148</v>
      </c>
    </row>
    <row r="14" spans="1:15" ht="121.5">
      <c r="A14" s="30" t="str">
        <v>CA: Pleasanton Tec Ctr - Citi</v>
      </c>
      <c r="B14" s="31" t="str">
        <v>CA</v>
      </c>
      <c r="C14" s="26">
        <v>146888</v>
      </c>
      <c r="D14" s="78">
        <v>167397.62</v>
      </c>
      <c r="E14" s="79">
        <f t="shared" si="2"/>
        <v>0.87747962008062008</v>
      </c>
      <c r="F14" s="14">
        <v>165841</v>
      </c>
      <c r="G14" s="14">
        <f t="shared" si="0"/>
        <v>-18953</v>
      </c>
      <c r="H14" s="15">
        <f t="shared" si="4"/>
        <v>-0.11428416374720364</v>
      </c>
      <c r="I14" s="16">
        <v>179634.96799999999</v>
      </c>
      <c r="J14" s="16">
        <f t="shared" si="1"/>
        <v>-32746.967999999993</v>
      </c>
      <c r="K14" s="17">
        <f t="shared" si="3"/>
        <v>-0.18229729080364795</v>
      </c>
      <c r="L14" s="18" t="s">
        <v>149</v>
      </c>
      <c r="M14" s="103" t="s">
        <v>150</v>
      </c>
      <c r="N14" s="108" t="s">
        <v>151</v>
      </c>
      <c r="O14" s="108" t="s">
        <v>152</v>
      </c>
    </row>
    <row r="15" spans="1:15" ht="15.6">
      <c r="A15" s="32" t="str">
        <v>CA: Rancho Cordova - Citi</v>
      </c>
      <c r="B15" s="33" t="str">
        <v>CA</v>
      </c>
      <c r="C15" s="12">
        <v>248219</v>
      </c>
      <c r="D15" s="12">
        <v>241187.82</v>
      </c>
      <c r="E15" s="80">
        <f t="shared" si="2"/>
        <v>1.0291523013060941</v>
      </c>
      <c r="F15" s="20">
        <v>239745</v>
      </c>
      <c r="G15" s="20">
        <f t="shared" si="0"/>
        <v>8474</v>
      </c>
      <c r="H15" s="21">
        <f t="shared" si="4"/>
        <v>3.5345888339694258E-2</v>
      </c>
      <c r="I15" s="22">
        <v>261974.247</v>
      </c>
      <c r="J15" s="20">
        <f t="shared" si="1"/>
        <v>-13755.247000000003</v>
      </c>
      <c r="K15" s="21">
        <f t="shared" si="3"/>
        <v>-5.2506103777444975E-2</v>
      </c>
      <c r="L15" s="11"/>
      <c r="M15" s="11"/>
    </row>
    <row r="16" spans="1:15" ht="15.6">
      <c r="A16" s="30" t="str">
        <v>CA: S Sacramento Wyndham - Citi</v>
      </c>
      <c r="B16" s="31" t="str">
        <v>CA</v>
      </c>
      <c r="C16" s="37">
        <v>138356.5</v>
      </c>
      <c r="D16" s="78">
        <v>157421.01999999999</v>
      </c>
      <c r="E16" s="79">
        <f t="shared" si="2"/>
        <v>0.87889469906877749</v>
      </c>
      <c r="F16" s="14">
        <v>156334</v>
      </c>
      <c r="G16" s="14">
        <f t="shared" si="0"/>
        <v>-17977.5</v>
      </c>
      <c r="H16" s="38">
        <f t="shared" ref="H16:H22" si="5">IFERROR(G16/F16, "")</f>
        <v>-0.11499417912930009</v>
      </c>
      <c r="I16" s="39">
        <v>152454.64799999999</v>
      </c>
      <c r="J16" s="39">
        <f t="shared" si="1"/>
        <v>-14098.147999999986</v>
      </c>
      <c r="K16" s="40">
        <f t="shared" ref="K16:K22" si="6">IFERROR(J16/I16, "")</f>
        <v>-9.2474373100123436E-2</v>
      </c>
      <c r="L16" s="41" t="s">
        <v>153</v>
      </c>
      <c r="M16" s="41"/>
    </row>
    <row r="17" spans="1:15" ht="15.6">
      <c r="A17" s="32" t="str">
        <v>CA: Sacramento Point West - Citi</v>
      </c>
      <c r="B17" s="33" t="str">
        <v>CA</v>
      </c>
      <c r="C17" s="42">
        <v>285798</v>
      </c>
      <c r="D17" s="12">
        <v>300484.09999999998</v>
      </c>
      <c r="E17" s="80">
        <f t="shared" si="2"/>
        <v>0.95112520096737241</v>
      </c>
      <c r="F17" s="20">
        <v>298182</v>
      </c>
      <c r="G17" s="20">
        <f t="shared" si="0"/>
        <v>-12384</v>
      </c>
      <c r="H17" s="43">
        <f t="shared" si="5"/>
        <v>-4.153168199287683E-2</v>
      </c>
      <c r="I17" s="44">
        <v>317297.674</v>
      </c>
      <c r="J17" s="20">
        <f t="shared" si="1"/>
        <v>-31499.673999999999</v>
      </c>
      <c r="K17" s="43">
        <f t="shared" si="6"/>
        <v>-9.9274834268088585E-2</v>
      </c>
      <c r="L17" s="11"/>
      <c r="M17" s="11"/>
    </row>
    <row r="18" spans="1:15" ht="51.75" customHeight="1">
      <c r="A18" s="30" t="str">
        <v>CA: San Jose FHC - Citi</v>
      </c>
      <c r="B18" s="31" t="str">
        <v>CA</v>
      </c>
      <c r="C18" s="37">
        <v>53378.5</v>
      </c>
      <c r="D18" s="78">
        <v>57715.5</v>
      </c>
      <c r="E18" s="79">
        <f t="shared" si="2"/>
        <v>0.92485554140568826</v>
      </c>
      <c r="F18" s="14">
        <v>59155</v>
      </c>
      <c r="G18" s="14">
        <f t="shared" si="0"/>
        <v>-5776.5</v>
      </c>
      <c r="H18" s="38">
        <f t="shared" si="5"/>
        <v>-9.7650240892570364E-2</v>
      </c>
      <c r="I18" s="39">
        <v>60806.864000000001</v>
      </c>
      <c r="J18" s="39">
        <f t="shared" si="1"/>
        <v>-7428.3640000000014</v>
      </c>
      <c r="K18" s="40">
        <f t="shared" si="6"/>
        <v>-0.12216324788596236</v>
      </c>
      <c r="L18" s="41" t="s">
        <v>123</v>
      </c>
      <c r="M18" s="112" t="s">
        <v>154</v>
      </c>
      <c r="N18" s="108" t="s">
        <v>155</v>
      </c>
    </row>
    <row r="19" spans="1:15" ht="63.75" customHeight="1">
      <c r="A19" s="32" t="str">
        <v>CA: San Jose MOB - Citi</v>
      </c>
      <c r="B19" s="33" t="str">
        <v>CA</v>
      </c>
      <c r="C19" s="42">
        <v>81782.75</v>
      </c>
      <c r="D19" s="12">
        <v>91386</v>
      </c>
      <c r="E19" s="80">
        <f t="shared" si="2"/>
        <v>0.89491552316547396</v>
      </c>
      <c r="F19" s="20">
        <v>92166</v>
      </c>
      <c r="G19" s="20">
        <f t="shared" si="0"/>
        <v>-10383.25</v>
      </c>
      <c r="H19" s="43">
        <f t="shared" si="5"/>
        <v>-0.11265813857604756</v>
      </c>
      <c r="I19" s="44">
        <v>101706.77499999999</v>
      </c>
      <c r="J19" s="20">
        <f t="shared" si="1"/>
        <v>-19924.024999999994</v>
      </c>
      <c r="K19" s="43">
        <f t="shared" si="6"/>
        <v>-0.1958967335263555</v>
      </c>
      <c r="L19" s="84" t="s">
        <v>156</v>
      </c>
      <c r="M19" s="111" t="s">
        <v>126</v>
      </c>
      <c r="N19" s="108" t="s">
        <v>157</v>
      </c>
    </row>
    <row r="20" spans="1:15" ht="28.9">
      <c r="A20" s="30" t="str">
        <v>CA: Selma - Citi</v>
      </c>
      <c r="B20" s="31" t="str">
        <v>CA</v>
      </c>
      <c r="C20" s="37">
        <v>49911.5</v>
      </c>
      <c r="D20" s="78">
        <v>55270.29</v>
      </c>
      <c r="E20" s="79">
        <f t="shared" si="2"/>
        <v>0.90304393192074806</v>
      </c>
      <c r="F20" s="14">
        <v>54770</v>
      </c>
      <c r="G20" s="14">
        <f t="shared" si="0"/>
        <v>-4858.5</v>
      </c>
      <c r="H20" s="38">
        <f t="shared" si="5"/>
        <v>-8.8707321526383054E-2</v>
      </c>
      <c r="I20" s="39">
        <v>58466.923999999999</v>
      </c>
      <c r="J20" s="39">
        <f t="shared" si="1"/>
        <v>-8555.4239999999991</v>
      </c>
      <c r="K20" s="40">
        <f t="shared" si="6"/>
        <v>-0.14632929893831936</v>
      </c>
      <c r="L20" s="41" t="s">
        <v>158</v>
      </c>
      <c r="M20" s="112" t="s">
        <v>159</v>
      </c>
    </row>
    <row r="21" spans="1:15" ht="121.5">
      <c r="A21" s="32" t="str">
        <v>CA: Vacaville Hospital</v>
      </c>
      <c r="B21" s="33" t="str">
        <v>CA</v>
      </c>
      <c r="C21" s="42">
        <v>344789</v>
      </c>
      <c r="D21" s="12">
        <v>384708.33</v>
      </c>
      <c r="E21" s="80">
        <f t="shared" si="2"/>
        <v>0.89623481768642754</v>
      </c>
      <c r="F21" s="20">
        <v>379954</v>
      </c>
      <c r="G21" s="20">
        <f t="shared" si="0"/>
        <v>-35165</v>
      </c>
      <c r="H21" s="43">
        <f t="shared" si="5"/>
        <v>-9.2550677187238459E-2</v>
      </c>
      <c r="I21" s="44">
        <v>454280.38799999998</v>
      </c>
      <c r="J21" s="20">
        <f t="shared" si="1"/>
        <v>-109491.38799999998</v>
      </c>
      <c r="K21" s="43">
        <f t="shared" si="6"/>
        <v>-0.24102160448097526</v>
      </c>
      <c r="L21" s="85" t="s">
        <v>160</v>
      </c>
      <c r="M21" s="113" t="s">
        <v>161</v>
      </c>
      <c r="N21" s="108" t="s">
        <v>162</v>
      </c>
      <c r="O21" s="108" t="s">
        <v>162</v>
      </c>
    </row>
    <row r="22" spans="1:15" ht="121.5">
      <c r="A22" s="30" t="str">
        <v>CA: Manteca - KP Manteca Hospital</v>
      </c>
      <c r="B22" s="31" t="str">
        <v>CA</v>
      </c>
      <c r="C22" s="37">
        <v>75256.25</v>
      </c>
      <c r="D22" s="78">
        <v>126381</v>
      </c>
      <c r="E22" s="79">
        <f t="shared" si="2"/>
        <v>0.59547123380887945</v>
      </c>
      <c r="F22" s="14">
        <v>117746.31299999999</v>
      </c>
      <c r="G22" s="14">
        <f t="shared" si="0"/>
        <v>-42490.062999999995</v>
      </c>
      <c r="H22" s="38">
        <f t="shared" si="5"/>
        <v>-0.36086109125132432</v>
      </c>
      <c r="I22" s="39">
        <v>83101.055999999997</v>
      </c>
      <c r="J22" s="39">
        <f t="shared" si="1"/>
        <v>-7844.8059999999969</v>
      </c>
      <c r="K22" s="40">
        <f t="shared" si="6"/>
        <v>-9.4400797987452739E-2</v>
      </c>
      <c r="L22" s="41" t="s">
        <v>163</v>
      </c>
      <c r="M22" s="112" t="s">
        <v>164</v>
      </c>
      <c r="N22" s="108" t="s">
        <v>165</v>
      </c>
      <c r="O22" s="108" t="s">
        <v>166</v>
      </c>
    </row>
    <row r="23" spans="1:15" ht="108.75" customHeight="1">
      <c r="A23" s="32" t="str">
        <v>Sacramento - KP South Sacramento HSP</v>
      </c>
      <c r="B23" s="33" t="str">
        <v>CA</v>
      </c>
      <c r="C23" s="42">
        <v>376541.43</v>
      </c>
      <c r="D23" s="12" t="s">
        <v>133</v>
      </c>
      <c r="E23" s="80"/>
      <c r="F23" s="20">
        <v>405860</v>
      </c>
      <c r="G23" s="20">
        <f t="shared" si="0"/>
        <v>-29318.570000000007</v>
      </c>
      <c r="H23" s="38">
        <f>IFERROR(G23/F23, "")</f>
        <v>-7.2238136303158743E-2</v>
      </c>
      <c r="I23" s="44">
        <v>405860</v>
      </c>
      <c r="J23" s="20">
        <f t="shared" si="1"/>
        <v>-29318.570000000007</v>
      </c>
      <c r="K23" s="43">
        <f>IFERROR(J23/I23, "")</f>
        <v>-7.2238136303158743E-2</v>
      </c>
      <c r="L23" s="85" t="s">
        <v>167</v>
      </c>
      <c r="M23" s="113" t="s">
        <v>168</v>
      </c>
      <c r="N23" s="108" t="s">
        <v>169</v>
      </c>
      <c r="O23" s="108" t="s">
        <v>170</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25"/>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50:H100 K4:K100 H4:H23">
    <cfRule type="cellIs" dxfId="16" priority="1" stopIfTrue="1" operator="lessThanOrEqual">
      <formula>-0.1</formula>
    </cfRule>
    <cfRule type="expression" dxfId="15"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50" zoomScaleNormal="50" workbookViewId="0">
      <pane ySplit="2" topLeftCell="A4" activePane="bottomLeft" state="frozen"/>
      <selection pane="bottomLeft" activeCell="E59" sqref="E4:E59"/>
      <selection activeCell="M45" sqref="M45"/>
    </sheetView>
  </sheetViews>
  <sheetFormatPr defaultRowHeight="14.25" customHeight="1"/>
  <cols>
    <col min="1" max="1" width="35.85546875" bestFit="1" customWidth="1"/>
    <col min="2" max="2" width="8.42578125" style="36" customWidth="1"/>
    <col min="3" max="3" width="11.7109375" customWidth="1"/>
    <col min="4" max="4" width="25.85546875" customWidth="1"/>
    <col min="5" max="5" width="28.85546875" customWidth="1"/>
    <col min="6" max="6" width="24.570312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4" ht="19.5" customHeight="1">
      <c r="A1" s="127" t="str" cm="1">
        <f t="array" ref="A1">portfolio</f>
        <v>CITI</v>
      </c>
      <c r="B1" s="127"/>
      <c r="C1" s="127"/>
      <c r="D1" s="76" t="s">
        <v>0</v>
      </c>
      <c r="E1" s="76" t="s">
        <v>1</v>
      </c>
      <c r="F1" s="76" t="s">
        <v>171</v>
      </c>
      <c r="G1" s="128" t="s">
        <v>172</v>
      </c>
      <c r="H1" s="128"/>
      <c r="I1" s="128"/>
      <c r="J1" s="126" t="s">
        <v>173</v>
      </c>
      <c r="K1" s="126"/>
      <c r="L1" s="126"/>
      <c r="M1" s="5"/>
      <c r="N1" s="5"/>
    </row>
    <row r="2" spans="1:14" ht="19.5" customHeight="1">
      <c r="A2" s="129" t="s">
        <v>4</v>
      </c>
      <c r="B2" s="129"/>
      <c r="C2" s="6">
        <f>SUM(C4:C100)</f>
        <v>0</v>
      </c>
      <c r="D2" s="6">
        <f>SUM(D4:D22)</f>
        <v>0</v>
      </c>
      <c r="E2" s="7" t="e">
        <f>C2/D2</f>
        <v>#DIV/0!</v>
      </c>
      <c r="F2" s="7">
        <v>0.89</v>
      </c>
      <c r="G2" s="6">
        <f>SUM(G4:G100)</f>
        <v>0</v>
      </c>
      <c r="H2" s="6">
        <f>C2-G2</f>
        <v>0</v>
      </c>
      <c r="I2" s="7">
        <f>IFERROR(H2/G2, 0)</f>
        <v>0</v>
      </c>
      <c r="J2" s="6">
        <f>SUM(J4:J100)</f>
        <v>0</v>
      </c>
      <c r="K2" s="8">
        <f>C2-J2</f>
        <v>0</v>
      </c>
      <c r="L2" s="7">
        <f>IFERROR(K2/J2, 0)</f>
        <v>0</v>
      </c>
      <c r="M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7"/>
      <c r="E3" s="83"/>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8"/>
      <c r="E4" s="79" t="e">
        <f>C4/D4</f>
        <v>#DIV/0!</v>
      </c>
      <c r="F4" s="79"/>
      <c r="G4" s="14"/>
      <c r="H4" s="14" t="str">
        <f>IF(AND(ISNUMBER(C4),ISNUMBER(G4)), C4-G4, "")</f>
        <v/>
      </c>
      <c r="I4" s="15"/>
      <c r="J4" s="16"/>
      <c r="K4" s="16" t="str">
        <f>IF(AND(ISNUMBER(C4),ISNUMBER(J4)), C4-J4, "")</f>
        <v/>
      </c>
      <c r="L4" s="17"/>
      <c r="M4" s="18"/>
      <c r="N4" s="18"/>
    </row>
    <row r="5" spans="1:14" ht="15.6">
      <c r="A5" s="32" t="str">
        <v>CA: Antioch MC CUP - Citi</v>
      </c>
      <c r="B5" s="33" t="str">
        <v>CA</v>
      </c>
      <c r="C5" s="12"/>
      <c r="D5" s="12"/>
      <c r="E5" s="80" t="e">
        <f t="shared" ref="E5:E22" si="0">C5/D5</f>
        <v>#DIV/0!</v>
      </c>
      <c r="F5" s="80"/>
      <c r="G5" s="20"/>
      <c r="H5" s="20" t="str">
        <f t="shared" ref="H5:H15" si="1">IF(AND(ISNUMBER(C5),ISNUMBER(G5)), C5-G5, "")</f>
        <v/>
      </c>
      <c r="I5" s="21"/>
      <c r="J5" s="22"/>
      <c r="K5" s="22" t="str">
        <f t="shared" ref="K5:K15" si="2">IF(AND(ISNUMBER(C5),ISNUMBER(J5)), C5-J5, "")</f>
        <v/>
      </c>
      <c r="L5" s="21"/>
      <c r="M5" s="11"/>
      <c r="N5" s="19"/>
    </row>
    <row r="6" spans="1:14" ht="15.6">
      <c r="A6" s="30" t="str">
        <v>CA: Clovis - Citi</v>
      </c>
      <c r="B6" s="31" t="str">
        <v>CA</v>
      </c>
      <c r="C6" s="26"/>
      <c r="D6" s="78"/>
      <c r="E6" s="79" t="e">
        <f t="shared" si="0"/>
        <v>#DIV/0!</v>
      </c>
      <c r="F6" s="79"/>
      <c r="G6" s="14"/>
      <c r="H6" s="14" t="str">
        <f t="shared" si="1"/>
        <v/>
      </c>
      <c r="I6" s="15"/>
      <c r="J6" s="16"/>
      <c r="K6" s="16" t="str">
        <f t="shared" si="2"/>
        <v/>
      </c>
      <c r="L6" s="17"/>
      <c r="M6" s="18"/>
      <c r="N6" s="18"/>
    </row>
    <row r="7" spans="1:14" ht="15.6">
      <c r="A7" s="32" t="str">
        <v>CA: Elk Grove MOB - Citi</v>
      </c>
      <c r="B7" s="33" t="str">
        <v>CA</v>
      </c>
      <c r="C7" s="12"/>
      <c r="D7" s="12"/>
      <c r="E7" s="80" t="e">
        <f t="shared" si="0"/>
        <v>#DIV/0!</v>
      </c>
      <c r="F7" s="80"/>
      <c r="G7" s="20"/>
      <c r="H7" s="20" t="str">
        <f t="shared" si="1"/>
        <v/>
      </c>
      <c r="I7" s="21"/>
      <c r="J7" s="22"/>
      <c r="K7" s="22" t="str">
        <f t="shared" si="2"/>
        <v/>
      </c>
      <c r="L7" s="21"/>
      <c r="M7" s="66"/>
      <c r="N7" s="66"/>
    </row>
    <row r="8" spans="1:14" ht="15.6">
      <c r="A8" s="30" t="str">
        <v>CA: Elk Grove Promenade - Citi</v>
      </c>
      <c r="B8" s="31" t="str">
        <v>CA</v>
      </c>
      <c r="C8" s="26"/>
      <c r="D8" s="78"/>
      <c r="E8" s="79" t="e">
        <f t="shared" si="0"/>
        <v>#DIV/0!</v>
      </c>
      <c r="F8" s="79"/>
      <c r="G8" s="14"/>
      <c r="H8" s="14" t="str">
        <f t="shared" si="1"/>
        <v/>
      </c>
      <c r="I8" s="15"/>
      <c r="J8" s="16"/>
      <c r="K8" s="16" t="str">
        <f t="shared" si="2"/>
        <v/>
      </c>
      <c r="L8" s="17"/>
      <c r="M8" s="58"/>
      <c r="N8" s="58"/>
    </row>
    <row r="9" spans="1:14" ht="15.6">
      <c r="A9" s="32" t="str">
        <v>CA: Fresno Sequioa - Citi</v>
      </c>
      <c r="B9" s="33" t="str">
        <v>CA</v>
      </c>
      <c r="C9" s="12"/>
      <c r="D9" s="12"/>
      <c r="E9" s="80" t="e">
        <f t="shared" si="0"/>
        <v>#DIV/0!</v>
      </c>
      <c r="F9" s="80"/>
      <c r="G9" s="20"/>
      <c r="H9" s="20" t="str">
        <f t="shared" si="1"/>
        <v/>
      </c>
      <c r="I9" s="21"/>
      <c r="J9" s="22"/>
      <c r="K9" s="22" t="str">
        <f t="shared" si="2"/>
        <v/>
      </c>
      <c r="L9" s="21"/>
      <c r="M9" s="59"/>
      <c r="N9" s="59"/>
    </row>
    <row r="10" spans="1:14" ht="15.6">
      <c r="A10" s="30" t="str">
        <v>CA: Fresno MOB - Citi</v>
      </c>
      <c r="B10" s="31" t="str">
        <v>CA</v>
      </c>
      <c r="C10" s="26"/>
      <c r="D10" s="78"/>
      <c r="E10" s="79" t="e">
        <f t="shared" si="0"/>
        <v>#DIV/0!</v>
      </c>
      <c r="F10" s="79"/>
      <c r="G10" s="14"/>
      <c r="H10" s="14" t="str">
        <f t="shared" si="1"/>
        <v/>
      </c>
      <c r="I10" s="15"/>
      <c r="J10" s="16"/>
      <c r="K10" s="16" t="str">
        <f t="shared" si="2"/>
        <v/>
      </c>
      <c r="L10" s="17"/>
      <c r="M10" s="58"/>
      <c r="N10" s="58"/>
    </row>
    <row r="11" spans="1:14" ht="15.6">
      <c r="A11" s="32" t="str">
        <v>CA: Modesto Bangs - Citi</v>
      </c>
      <c r="B11" s="33" t="str">
        <v>CA</v>
      </c>
      <c r="C11" s="12"/>
      <c r="D11" s="12"/>
      <c r="E11" s="80" t="e">
        <f t="shared" si="0"/>
        <v>#DIV/0!</v>
      </c>
      <c r="F11" s="80"/>
      <c r="G11" s="20"/>
      <c r="H11" s="20" t="str">
        <f t="shared" si="1"/>
        <v/>
      </c>
      <c r="I11" s="21"/>
      <c r="J11" s="22"/>
      <c r="K11" s="22" t="str">
        <f t="shared" si="2"/>
        <v/>
      </c>
      <c r="L11" s="21"/>
      <c r="M11" s="59"/>
      <c r="N11" s="59"/>
    </row>
    <row r="12" spans="1:14" ht="15.6">
      <c r="A12" s="30" t="str">
        <v>CA: Napa Data Center - Citi</v>
      </c>
      <c r="B12" s="31" t="str">
        <v>CA</v>
      </c>
      <c r="C12" s="26"/>
      <c r="D12" s="78"/>
      <c r="E12" s="79" t="e">
        <f t="shared" si="0"/>
        <v>#DIV/0!</v>
      </c>
      <c r="F12" s="79"/>
      <c r="G12" s="14"/>
      <c r="H12" s="14" t="str">
        <f t="shared" si="1"/>
        <v/>
      </c>
      <c r="I12" s="15"/>
      <c r="J12" s="16"/>
      <c r="K12" s="16" t="str">
        <f t="shared" si="2"/>
        <v/>
      </c>
      <c r="L12" s="17"/>
      <c r="M12" s="58"/>
      <c r="N12" s="58"/>
    </row>
    <row r="13" spans="1:14" ht="37.5" customHeight="1">
      <c r="A13" s="32" t="str">
        <v>CA: Petaluma MOB - Citi</v>
      </c>
      <c r="B13" s="33" t="str">
        <v>CA</v>
      </c>
      <c r="C13" s="12"/>
      <c r="D13" s="12"/>
      <c r="E13" s="80" t="e">
        <f t="shared" si="0"/>
        <v>#DIV/0!</v>
      </c>
      <c r="F13" s="80"/>
      <c r="G13" s="20"/>
      <c r="H13" s="20" t="str">
        <f t="shared" si="1"/>
        <v/>
      </c>
      <c r="I13" s="21"/>
      <c r="J13" s="22"/>
      <c r="K13" s="22" t="str">
        <f t="shared" si="2"/>
        <v/>
      </c>
      <c r="L13" s="21"/>
      <c r="M13" s="66"/>
      <c r="N13" s="66"/>
    </row>
    <row r="14" spans="1:14" ht="15.6">
      <c r="A14" s="30" t="str">
        <v>CA: Pleasanton Tec Ctr - Citi</v>
      </c>
      <c r="B14" s="31" t="str">
        <v>CA</v>
      </c>
      <c r="C14" s="26"/>
      <c r="D14" s="78"/>
      <c r="E14" s="79" t="e">
        <f t="shared" si="0"/>
        <v>#DIV/0!</v>
      </c>
      <c r="F14" s="79"/>
      <c r="G14" s="14"/>
      <c r="H14" s="14" t="str">
        <f t="shared" si="1"/>
        <v/>
      </c>
      <c r="I14" s="15"/>
      <c r="J14" s="16"/>
      <c r="K14" s="16" t="str">
        <f t="shared" si="2"/>
        <v/>
      </c>
      <c r="L14" s="17"/>
      <c r="M14" s="58"/>
      <c r="N14" s="58"/>
    </row>
    <row r="15" spans="1:14" ht="15.6">
      <c r="A15" s="32" t="str">
        <v>CA: Rancho Cordova - Citi</v>
      </c>
      <c r="B15" s="33" t="str">
        <v>CA</v>
      </c>
      <c r="C15" s="12"/>
      <c r="D15" s="12"/>
      <c r="E15" s="80" t="e">
        <f t="shared" si="0"/>
        <v>#DIV/0!</v>
      </c>
      <c r="F15" s="80"/>
      <c r="G15" s="20"/>
      <c r="H15" s="20" t="str">
        <f t="shared" si="1"/>
        <v/>
      </c>
      <c r="I15" s="21"/>
      <c r="J15" s="22"/>
      <c r="K15" s="22" t="str">
        <f t="shared" si="2"/>
        <v/>
      </c>
      <c r="L15" s="21"/>
      <c r="M15" s="59"/>
      <c r="N15" s="59"/>
    </row>
    <row r="16" spans="1:14" ht="15.6">
      <c r="A16" s="30" t="str">
        <v>CA: S Sacramento Wyndham - Citi</v>
      </c>
      <c r="B16" s="31" t="str">
        <v>CA</v>
      </c>
      <c r="C16" s="37"/>
      <c r="D16" s="78"/>
      <c r="E16" s="79" t="e">
        <f t="shared" si="0"/>
        <v>#DIV/0!</v>
      </c>
      <c r="F16" s="79"/>
      <c r="G16" s="14"/>
      <c r="H16" s="14" t="str">
        <f t="shared" ref="H16:H21" si="3">IF(AND(ISNUMBER(C16),ISNUMBER(G16)), C16-G16, "")</f>
        <v/>
      </c>
      <c r="I16" s="38"/>
      <c r="J16" s="39"/>
      <c r="K16" s="39" t="str">
        <f t="shared" ref="K16:K21" si="4">IF(AND(ISNUMBER(C16),ISNUMBER(J16)), C16-J16, "")</f>
        <v/>
      </c>
      <c r="L16" s="40"/>
      <c r="M16" s="67"/>
      <c r="N16" s="67"/>
    </row>
    <row r="17" spans="1:14" ht="15.6">
      <c r="A17" s="32" t="str">
        <v>CA: Sacramento Point West - Citi</v>
      </c>
      <c r="B17" s="33" t="str">
        <v>CA</v>
      </c>
      <c r="C17" s="42"/>
      <c r="D17" s="12"/>
      <c r="E17" s="80" t="e">
        <f t="shared" si="0"/>
        <v>#DIV/0!</v>
      </c>
      <c r="F17" s="80"/>
      <c r="G17" s="20"/>
      <c r="H17" s="20" t="str">
        <f t="shared" si="3"/>
        <v/>
      </c>
      <c r="I17" s="43"/>
      <c r="J17" s="44"/>
      <c r="K17" s="44" t="str">
        <f t="shared" si="4"/>
        <v/>
      </c>
      <c r="L17" s="43"/>
      <c r="M17" s="59"/>
      <c r="N17" s="59"/>
    </row>
    <row r="18" spans="1:14" ht="12.75" customHeight="1">
      <c r="A18" s="30" t="str">
        <v>CA: San Jose FHC - Citi</v>
      </c>
      <c r="B18" s="31" t="str">
        <v>CA</v>
      </c>
      <c r="C18" s="37"/>
      <c r="D18" s="78"/>
      <c r="E18" s="79" t="e">
        <f t="shared" si="0"/>
        <v>#DIV/0!</v>
      </c>
      <c r="F18" s="79"/>
      <c r="G18" s="14"/>
      <c r="H18" s="14" t="str">
        <f t="shared" si="3"/>
        <v/>
      </c>
      <c r="I18" s="38"/>
      <c r="J18" s="39"/>
      <c r="K18" s="39" t="str">
        <f t="shared" si="4"/>
        <v/>
      </c>
      <c r="L18" s="40"/>
      <c r="M18" s="41"/>
      <c r="N18" s="41"/>
    </row>
    <row r="19" spans="1:14" ht="15.6">
      <c r="A19" s="32" t="str">
        <v>CA: San Jose MOB - Citi</v>
      </c>
      <c r="B19" s="33" t="str">
        <v>CA</v>
      </c>
      <c r="C19" s="65"/>
      <c r="D19" s="12"/>
      <c r="E19" s="80" t="e">
        <f t="shared" si="0"/>
        <v>#DIV/0!</v>
      </c>
      <c r="F19" s="80"/>
      <c r="G19" s="20"/>
      <c r="H19" s="20" t="str">
        <f t="shared" si="3"/>
        <v/>
      </c>
      <c r="I19" s="43"/>
      <c r="J19" s="44"/>
      <c r="K19" s="44" t="str">
        <f t="shared" si="4"/>
        <v/>
      </c>
      <c r="L19" s="43"/>
      <c r="M19" s="11"/>
      <c r="N19" s="19"/>
    </row>
    <row r="20" spans="1:14" ht="15.6">
      <c r="A20" s="30" t="str">
        <v>CA: Selma - Citi</v>
      </c>
      <c r="B20" s="31" t="str">
        <v>CA</v>
      </c>
      <c r="C20" s="37"/>
      <c r="D20" s="78"/>
      <c r="E20" s="79" t="e">
        <f t="shared" si="0"/>
        <v>#DIV/0!</v>
      </c>
      <c r="F20" s="79"/>
      <c r="G20" s="14"/>
      <c r="H20" s="14" t="str">
        <f t="shared" si="3"/>
        <v/>
      </c>
      <c r="I20" s="38"/>
      <c r="J20" s="39"/>
      <c r="K20" s="39" t="str">
        <f t="shared" si="4"/>
        <v/>
      </c>
      <c r="L20" s="40"/>
      <c r="M20" s="41"/>
      <c r="N20" s="41"/>
    </row>
    <row r="21" spans="1:14" ht="15.6">
      <c r="A21" s="32" t="str">
        <v>CA: Vacaville Hospital</v>
      </c>
      <c r="B21" s="33" t="str">
        <v>CA</v>
      </c>
      <c r="C21" s="42"/>
      <c r="D21" s="12"/>
      <c r="E21" s="80" t="e">
        <f t="shared" si="0"/>
        <v>#DIV/0!</v>
      </c>
      <c r="F21" s="80"/>
      <c r="G21" s="20"/>
      <c r="H21" s="20" t="str">
        <f t="shared" si="3"/>
        <v/>
      </c>
      <c r="I21" s="43"/>
      <c r="J21" s="44"/>
      <c r="K21" s="44" t="str">
        <f t="shared" si="4"/>
        <v/>
      </c>
      <c r="L21" s="43"/>
      <c r="M21" s="11"/>
      <c r="N21" s="19"/>
    </row>
    <row r="22" spans="1:14" ht="15.6">
      <c r="A22" s="30" t="str">
        <v>CA: Manteca - KP Manteca Hospital</v>
      </c>
      <c r="B22" s="31" t="str">
        <v>CA</v>
      </c>
      <c r="C22" s="37"/>
      <c r="D22" s="78"/>
      <c r="E22" s="79" t="e">
        <f t="shared" si="0"/>
        <v>#DIV/0!</v>
      </c>
      <c r="F22" s="79"/>
      <c r="G22" s="14"/>
      <c r="H22" s="14" t="str">
        <f>IF(AND(ISNUMBER(C22),ISNUMBER(G22)), C22-G22, "")</f>
        <v/>
      </c>
      <c r="I22" s="38"/>
      <c r="J22" s="39"/>
      <c r="K22" s="39" t="str">
        <f>IF(AND(ISNUMBER(C22),ISNUMBER(J22)), C22-J22, "")</f>
        <v/>
      </c>
      <c r="L22" s="40"/>
      <c r="M22" s="41"/>
      <c r="N22" s="41"/>
    </row>
    <row r="23" spans="1:14" ht="14.45">
      <c r="A23" s="23" t="str">
        <v>Sacramento - KP South Sacramento HSP</v>
      </c>
      <c r="B23" s="35" t="str">
        <v>CA</v>
      </c>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2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4" priority="1" stopIfTrue="1" operator="lessThanOrEqual">
      <formula>-0.1</formula>
    </cfRule>
    <cfRule type="expression" dxfId="13" priority="2">
      <formula>AND(ISNUMBER(I2), I2&gt;=0.1)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42"/>
  <sheetViews>
    <sheetView zoomScale="50" zoomScaleNormal="50" workbookViewId="0">
      <pane ySplit="2" topLeftCell="A3" activePane="bottomLeft" state="frozen"/>
      <selection pane="bottomLeft" activeCell="L49" sqref="E1:L49"/>
      <selection activeCell="M45" sqref="M45"/>
    </sheetView>
  </sheetViews>
  <sheetFormatPr defaultRowHeight="13.9"/>
  <cols>
    <col min="1" max="1" width="35.85546875" bestFit="1" customWidth="1"/>
    <col min="2" max="2" width="8.42578125" style="36" customWidth="1"/>
    <col min="3" max="3" width="11.7109375" customWidth="1"/>
    <col min="4" max="4" width="22.7109375" bestFit="1" customWidth="1"/>
    <col min="5" max="5" width="22.71093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s>
  <sheetData>
    <row r="1" spans="1:13" ht="19.5" customHeight="1" thickBot="1">
      <c r="A1" s="127" t="str" cm="1">
        <f t="array" ref="A1">portfolio</f>
        <v>CITI</v>
      </c>
      <c r="B1" s="127"/>
      <c r="C1" s="127"/>
      <c r="D1" s="74" t="s">
        <v>0</v>
      </c>
      <c r="E1" s="75" t="s">
        <v>1</v>
      </c>
      <c r="F1" s="128" t="s">
        <v>174</v>
      </c>
      <c r="G1" s="128"/>
      <c r="H1" s="128"/>
      <c r="I1" s="126" t="s">
        <v>175</v>
      </c>
      <c r="J1" s="126"/>
      <c r="K1" s="126"/>
      <c r="L1" s="5"/>
      <c r="M1" s="5"/>
    </row>
    <row r="2" spans="1:13" ht="19.5" customHeight="1">
      <c r="A2" s="129" t="s">
        <v>4</v>
      </c>
      <c r="B2" s="129"/>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C4/D4</f>
        <v>#DIV/0!</v>
      </c>
      <c r="F4" s="14"/>
      <c r="G4" s="14"/>
      <c r="H4" s="15" t="str">
        <f t="shared" ref="H4:H22" si="0">IFERROR(G4/F4, "")</f>
        <v/>
      </c>
      <c r="I4" s="16"/>
      <c r="J4" s="16"/>
      <c r="K4" s="17" t="str">
        <f>IFERROR(J4/I4, "")</f>
        <v/>
      </c>
      <c r="L4" s="18"/>
      <c r="M4" s="18"/>
    </row>
    <row r="5" spans="1:13" ht="15.6">
      <c r="A5" s="32" t="str">
        <v>CA: Antioch MC CUP - Citi</v>
      </c>
      <c r="B5" s="33" t="str">
        <v>CA</v>
      </c>
      <c r="C5" s="12"/>
      <c r="D5" s="12"/>
      <c r="E5" s="80" t="e">
        <f t="shared" ref="E5:E22" si="1">C5/D5</f>
        <v>#DIV/0!</v>
      </c>
      <c r="F5" s="20"/>
      <c r="G5" s="20"/>
      <c r="H5" s="21" t="str">
        <f t="shared" si="0"/>
        <v/>
      </c>
      <c r="I5" s="22"/>
      <c r="J5" s="22"/>
      <c r="K5" s="21" t="str">
        <f t="shared" ref="K5:K15" si="2">IFERROR(J5/I5, "")</f>
        <v/>
      </c>
      <c r="L5" s="11"/>
      <c r="M5" s="19"/>
    </row>
    <row r="6" spans="1:13" ht="15.6">
      <c r="A6" s="30" t="str">
        <v>CA: Clovis - Citi</v>
      </c>
      <c r="B6" s="31" t="str">
        <v>CA</v>
      </c>
      <c r="C6" s="26"/>
      <c r="D6" s="71"/>
      <c r="E6" s="82" t="e">
        <f t="shared" si="1"/>
        <v>#DIV/0!</v>
      </c>
      <c r="F6" s="14"/>
      <c r="G6" s="14"/>
      <c r="H6" s="15" t="str">
        <f t="shared" si="0"/>
        <v/>
      </c>
      <c r="I6" s="16"/>
      <c r="J6" s="16"/>
      <c r="K6" s="17" t="str">
        <f t="shared" si="2"/>
        <v/>
      </c>
      <c r="L6" s="18"/>
      <c r="M6" s="18"/>
    </row>
    <row r="7" spans="1:13" ht="15.6">
      <c r="A7" s="32" t="str">
        <v>CA: Elk Grove MOB - Citi</v>
      </c>
      <c r="B7" s="33" t="str">
        <v>CA</v>
      </c>
      <c r="C7" s="12"/>
      <c r="D7" s="12"/>
      <c r="E7" s="80" t="e">
        <f t="shared" si="1"/>
        <v>#DIV/0!</v>
      </c>
      <c r="F7" s="20"/>
      <c r="G7" s="20"/>
      <c r="H7" s="21" t="str">
        <f t="shared" si="0"/>
        <v/>
      </c>
      <c r="I7" s="22"/>
      <c r="J7" s="22"/>
      <c r="K7" s="21" t="str">
        <f t="shared" si="2"/>
        <v/>
      </c>
      <c r="L7" s="84"/>
      <c r="M7" s="84"/>
    </row>
    <row r="8" spans="1:13" ht="15.6">
      <c r="A8" s="30" t="str">
        <v>CA: Elk Grove Promenade - Citi</v>
      </c>
      <c r="B8" s="31" t="str">
        <v>CA</v>
      </c>
      <c r="C8" s="26"/>
      <c r="D8" s="71"/>
      <c r="E8" s="82" t="e">
        <f t="shared" si="1"/>
        <v>#DIV/0!</v>
      </c>
      <c r="F8" s="14"/>
      <c r="G8" s="14"/>
      <c r="H8" s="15" t="str">
        <f t="shared" si="0"/>
        <v/>
      </c>
      <c r="I8" s="16"/>
      <c r="J8" s="16"/>
      <c r="K8" s="17" t="str">
        <f t="shared" si="2"/>
        <v/>
      </c>
      <c r="L8" s="18"/>
      <c r="M8" s="18"/>
    </row>
    <row r="9" spans="1:13" ht="15.6">
      <c r="A9" s="32" t="str">
        <v>CA: Fresno Sequioa - Citi</v>
      </c>
      <c r="B9" s="33" t="str">
        <v>CA</v>
      </c>
      <c r="C9" s="12"/>
      <c r="D9" s="12"/>
      <c r="E9" s="80" t="e">
        <f t="shared" si="1"/>
        <v>#DIV/0!</v>
      </c>
      <c r="F9" s="20"/>
      <c r="G9" s="20"/>
      <c r="H9" s="21" t="str">
        <f t="shared" si="0"/>
        <v/>
      </c>
      <c r="I9" s="22"/>
      <c r="J9" s="22"/>
      <c r="K9" s="21" t="str">
        <f t="shared" si="2"/>
        <v/>
      </c>
      <c r="L9" s="11"/>
      <c r="M9" s="19"/>
    </row>
    <row r="10" spans="1:13" ht="15.6">
      <c r="A10" s="30" t="str">
        <v>CA: Fresno MOB - Citi</v>
      </c>
      <c r="B10" s="31" t="str">
        <v>CA</v>
      </c>
      <c r="C10" s="26"/>
      <c r="D10" s="71"/>
      <c r="E10" s="82" t="e">
        <f t="shared" si="1"/>
        <v>#DIV/0!</v>
      </c>
      <c r="F10" s="14"/>
      <c r="G10" s="14"/>
      <c r="H10" s="15" t="str">
        <f t="shared" si="0"/>
        <v/>
      </c>
      <c r="I10" s="16"/>
      <c r="J10" s="16"/>
      <c r="K10" s="17" t="str">
        <f t="shared" si="2"/>
        <v/>
      </c>
      <c r="L10" s="18"/>
      <c r="M10" s="18"/>
    </row>
    <row r="11" spans="1:13" ht="15.6">
      <c r="A11" s="32" t="str">
        <v>CA: Modesto Bangs - Citi</v>
      </c>
      <c r="B11" s="33" t="str">
        <v>CA</v>
      </c>
      <c r="C11" s="12"/>
      <c r="D11" s="12"/>
      <c r="E11" s="80" t="e">
        <f t="shared" si="1"/>
        <v>#DIV/0!</v>
      </c>
      <c r="F11" s="20"/>
      <c r="G11" s="20"/>
      <c r="H11" s="21" t="str">
        <f t="shared" si="0"/>
        <v/>
      </c>
      <c r="I11" s="22"/>
      <c r="J11" s="22"/>
      <c r="K11" s="21" t="str">
        <f t="shared" si="2"/>
        <v/>
      </c>
      <c r="L11" s="84"/>
      <c r="M11" s="84"/>
    </row>
    <row r="12" spans="1:13" ht="15.6">
      <c r="A12" s="30" t="str">
        <v>CA: Napa Data Center - Citi</v>
      </c>
      <c r="B12" s="31" t="str">
        <v>CA</v>
      </c>
      <c r="C12" s="26"/>
      <c r="D12" s="71"/>
      <c r="E12" s="82" t="e">
        <f t="shared" si="1"/>
        <v>#DIV/0!</v>
      </c>
      <c r="F12" s="14"/>
      <c r="G12" s="14"/>
      <c r="H12" s="15" t="str">
        <f t="shared" si="0"/>
        <v/>
      </c>
      <c r="I12" s="16"/>
      <c r="J12" s="16"/>
      <c r="K12" s="17" t="str">
        <f t="shared" si="2"/>
        <v/>
      </c>
      <c r="L12" s="18"/>
      <c r="M12" s="18"/>
    </row>
    <row r="13" spans="1:13" ht="49.5" customHeight="1">
      <c r="A13" s="32" t="str">
        <v>CA: Petaluma MOB - Citi</v>
      </c>
      <c r="B13" s="33" t="str">
        <v>CA</v>
      </c>
      <c r="C13" s="12"/>
      <c r="D13" s="12"/>
      <c r="E13" s="80" t="e">
        <f t="shared" si="1"/>
        <v>#DIV/0!</v>
      </c>
      <c r="F13" s="20"/>
      <c r="G13" s="20"/>
      <c r="H13" s="21" t="str">
        <f t="shared" si="0"/>
        <v/>
      </c>
      <c r="I13" s="22"/>
      <c r="J13" s="22"/>
      <c r="K13" s="21" t="str">
        <f t="shared" si="2"/>
        <v/>
      </c>
      <c r="L13" s="84"/>
      <c r="M13" s="84"/>
    </row>
    <row r="14" spans="1:13" ht="15.6">
      <c r="A14" s="30" t="str">
        <v>CA: Pleasanton Tec Ctr - Citi</v>
      </c>
      <c r="B14" s="31" t="str">
        <v>CA</v>
      </c>
      <c r="C14" s="26"/>
      <c r="D14" s="71"/>
      <c r="E14" s="82" t="e">
        <f t="shared" si="1"/>
        <v>#DIV/0!</v>
      </c>
      <c r="F14" s="14"/>
      <c r="G14" s="14"/>
      <c r="H14" s="15" t="str">
        <f t="shared" si="0"/>
        <v/>
      </c>
      <c r="I14" s="16"/>
      <c r="J14" s="16"/>
      <c r="K14" s="17" t="str">
        <f t="shared" si="2"/>
        <v/>
      </c>
      <c r="L14" s="18"/>
      <c r="M14" s="18"/>
    </row>
    <row r="15" spans="1:13" ht="15.6">
      <c r="A15" s="32" t="str">
        <v>CA: Rancho Cordova - Citi</v>
      </c>
      <c r="B15" s="33" t="str">
        <v>CA</v>
      </c>
      <c r="C15" s="12"/>
      <c r="D15" s="12"/>
      <c r="E15" s="80" t="e">
        <f t="shared" si="1"/>
        <v>#DIV/0!</v>
      </c>
      <c r="F15" s="20"/>
      <c r="G15" s="20"/>
      <c r="H15" s="21" t="str">
        <f t="shared" si="0"/>
        <v/>
      </c>
      <c r="I15" s="22"/>
      <c r="J15" s="22"/>
      <c r="K15" s="21" t="str">
        <f t="shared" si="2"/>
        <v/>
      </c>
      <c r="L15" s="11"/>
      <c r="M15" s="19"/>
    </row>
    <row r="16" spans="1:13" ht="15.6">
      <c r="A16" s="30" t="str">
        <v>CA: S Sacramento Wyndham - Citi</v>
      </c>
      <c r="B16" s="31" t="str">
        <v>CA</v>
      </c>
      <c r="C16" s="37"/>
      <c r="D16" s="72"/>
      <c r="E16" s="82" t="e">
        <f t="shared" si="1"/>
        <v>#DIV/0!</v>
      </c>
      <c r="F16" s="14"/>
      <c r="G16" s="14"/>
      <c r="H16" s="38" t="str">
        <f t="shared" si="0"/>
        <v/>
      </c>
      <c r="I16" s="39"/>
      <c r="J16" s="39"/>
      <c r="K16" s="40" t="str">
        <f t="shared" ref="K16:K22" si="3">IFERROR(J16/I16, "")</f>
        <v/>
      </c>
      <c r="L16" s="41"/>
      <c r="M16" s="41"/>
    </row>
    <row r="17" spans="1:13" ht="15.6">
      <c r="A17" s="32" t="str">
        <v>CA: Sacramento Point West - Citi</v>
      </c>
      <c r="B17" s="33" t="str">
        <v>CA</v>
      </c>
      <c r="C17" s="42"/>
      <c r="D17" s="42"/>
      <c r="E17" s="80" t="e">
        <f t="shared" si="1"/>
        <v>#DIV/0!</v>
      </c>
      <c r="F17" s="20"/>
      <c r="G17" s="20"/>
      <c r="H17" s="43" t="str">
        <f t="shared" si="0"/>
        <v/>
      </c>
      <c r="I17" s="44"/>
      <c r="J17" s="44"/>
      <c r="K17" s="43" t="str">
        <f t="shared" si="3"/>
        <v/>
      </c>
      <c r="L17" s="57"/>
      <c r="M17" s="57"/>
    </row>
    <row r="18" spans="1:13" ht="12.75" customHeight="1">
      <c r="A18" s="30" t="str">
        <v>CA: San Jose FHC - Citi</v>
      </c>
      <c r="B18" s="31" t="str">
        <v>CA</v>
      </c>
      <c r="C18" s="37"/>
      <c r="D18" s="72"/>
      <c r="E18" s="82" t="e">
        <f t="shared" si="1"/>
        <v>#DIV/0!</v>
      </c>
      <c r="F18" s="14"/>
      <c r="G18" s="14"/>
      <c r="H18" s="38" t="str">
        <f t="shared" si="0"/>
        <v/>
      </c>
      <c r="I18" s="39"/>
      <c r="J18" s="39"/>
      <c r="K18" s="40" t="str">
        <f t="shared" si="3"/>
        <v/>
      </c>
      <c r="L18" s="41"/>
      <c r="M18" s="41"/>
    </row>
    <row r="19" spans="1:13" ht="15.6">
      <c r="A19" s="32" t="str">
        <v>CA: San Jose MOB - Citi</v>
      </c>
      <c r="B19" s="33" t="str">
        <v>CA</v>
      </c>
      <c r="C19" s="42"/>
      <c r="D19" s="42"/>
      <c r="E19" s="80" t="e">
        <f t="shared" si="1"/>
        <v>#DIV/0!</v>
      </c>
      <c r="F19" s="20"/>
      <c r="G19" s="20"/>
      <c r="H19" s="43" t="str">
        <f t="shared" si="0"/>
        <v/>
      </c>
      <c r="I19" s="44"/>
      <c r="J19" s="44"/>
      <c r="K19" s="43" t="str">
        <f t="shared" si="3"/>
        <v/>
      </c>
      <c r="L19" s="11"/>
      <c r="M19" s="19"/>
    </row>
    <row r="20" spans="1:13" ht="15.6">
      <c r="A20" s="30" t="str">
        <v>CA: Selma - Citi</v>
      </c>
      <c r="B20" s="31" t="str">
        <v>CA</v>
      </c>
      <c r="C20" s="37"/>
      <c r="D20" s="72"/>
      <c r="E20" s="82" t="e">
        <f t="shared" si="1"/>
        <v>#DIV/0!</v>
      </c>
      <c r="F20" s="14"/>
      <c r="G20" s="14"/>
      <c r="H20" s="38" t="str">
        <f t="shared" si="0"/>
        <v/>
      </c>
      <c r="I20" s="39"/>
      <c r="J20" s="39"/>
      <c r="K20" s="40" t="str">
        <f t="shared" si="3"/>
        <v/>
      </c>
      <c r="L20" s="41"/>
      <c r="M20" s="41"/>
    </row>
    <row r="21" spans="1:13" ht="15.6">
      <c r="A21" s="32" t="str">
        <v>CA: Vacaville Hospital</v>
      </c>
      <c r="B21" s="33" t="str">
        <v>CA</v>
      </c>
      <c r="C21" s="42"/>
      <c r="D21" s="42"/>
      <c r="E21" s="80" t="e">
        <f t="shared" si="1"/>
        <v>#DIV/0!</v>
      </c>
      <c r="F21" s="20"/>
      <c r="G21" s="20"/>
      <c r="H21" s="43" t="str">
        <f t="shared" si="0"/>
        <v/>
      </c>
      <c r="I21" s="44"/>
      <c r="J21" s="44"/>
      <c r="K21" s="43" t="str">
        <f t="shared" si="3"/>
        <v/>
      </c>
      <c r="L21" s="11"/>
      <c r="M21" s="19"/>
    </row>
    <row r="22" spans="1:13" ht="15.6">
      <c r="A22" s="30" t="str">
        <v>CA: Manteca - KP Manteca Hospital</v>
      </c>
      <c r="B22" s="31" t="str">
        <v>CA</v>
      </c>
      <c r="C22" s="37"/>
      <c r="D22" s="72"/>
      <c r="E22" s="82" t="e">
        <f t="shared" si="1"/>
        <v>#DIV/0!</v>
      </c>
      <c r="F22" s="14"/>
      <c r="G22" s="14"/>
      <c r="H22" s="38" t="str">
        <f t="shared" si="0"/>
        <v/>
      </c>
      <c r="I22" s="39"/>
      <c r="J22" s="39"/>
      <c r="K22" s="40" t="str">
        <f t="shared" si="3"/>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H4:H100 K4:K100">
    <cfRule type="cellIs" dxfId="12" priority="1" stopIfTrue="1" operator="lessThanOrEqual">
      <formula>-0.1</formula>
    </cfRule>
    <cfRule type="expression" dxfId="11" priority="2">
      <formula>AND(ISNUMBER(H2), H2&gt;=0.1)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J32" sqref="J32"/>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27" t="str" cm="1">
        <f t="array" ref="A1">portfolio</f>
        <v>CITI</v>
      </c>
      <c r="B1" s="127"/>
      <c r="C1" s="127"/>
      <c r="D1" s="74" t="s">
        <v>0</v>
      </c>
      <c r="E1" s="75" t="s">
        <v>1</v>
      </c>
      <c r="F1" s="130" t="s">
        <v>176</v>
      </c>
      <c r="G1" s="131"/>
      <c r="H1" s="132"/>
      <c r="I1" s="126" t="s">
        <v>177</v>
      </c>
      <c r="J1" s="126"/>
      <c r="K1" s="126"/>
      <c r="L1" s="5"/>
      <c r="M1" s="5"/>
    </row>
    <row r="2" spans="1:13" ht="19.5" customHeight="1">
      <c r="A2" s="129" t="s">
        <v>4</v>
      </c>
      <c r="B2" s="129"/>
      <c r="C2" s="6">
        <f>SUM(C4:C81)</f>
        <v>0</v>
      </c>
      <c r="D2" s="6">
        <f>SUM(D3:D22)</f>
        <v>0</v>
      </c>
      <c r="E2" s="68"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ustomHeight="1">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ustomHeight="1">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ustomHeight="1">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80" t="e">
        <f t="shared" si="0"/>
        <v>#DIV/0!</v>
      </c>
      <c r="F7" s="20"/>
      <c r="G7" s="20"/>
      <c r="H7" s="21" t="str">
        <f t="shared" si="2"/>
        <v/>
      </c>
      <c r="I7" s="22"/>
      <c r="J7" s="22"/>
      <c r="K7" s="21" t="str">
        <f t="shared" si="1"/>
        <v/>
      </c>
      <c r="L7" s="84"/>
      <c r="M7" s="84"/>
    </row>
    <row r="8" spans="1:13" ht="15.6" customHeight="1">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ustomHeight="1">
      <c r="A9" s="32" t="str">
        <v>CA: Fresno Sequioa - Citi</v>
      </c>
      <c r="B9" s="33" t="str">
        <v>CA</v>
      </c>
      <c r="C9" s="12"/>
      <c r="D9" s="12"/>
      <c r="E9" s="80" t="e">
        <f t="shared" si="0"/>
        <v>#DIV/0!</v>
      </c>
      <c r="F9" s="20"/>
      <c r="G9" s="20"/>
      <c r="H9" s="21" t="str">
        <f t="shared" si="2"/>
        <v/>
      </c>
      <c r="I9" s="22"/>
      <c r="J9" s="22"/>
      <c r="K9" s="21" t="str">
        <f t="shared" si="1"/>
        <v/>
      </c>
      <c r="L9" s="11"/>
      <c r="M9" s="19"/>
    </row>
    <row r="10" spans="1:13" ht="15.6" customHeight="1">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ustomHeight="1">
      <c r="A11" s="32" t="str">
        <v>CA: Modesto Bangs - Citi</v>
      </c>
      <c r="B11" s="33" t="str">
        <v>CA</v>
      </c>
      <c r="C11" s="12"/>
      <c r="D11" s="12"/>
      <c r="E11" s="80" t="e">
        <f t="shared" si="0"/>
        <v>#DIV/0!</v>
      </c>
      <c r="F11" s="20"/>
      <c r="G11" s="20"/>
      <c r="H11" s="21" t="str">
        <f t="shared" si="2"/>
        <v/>
      </c>
      <c r="I11" s="22"/>
      <c r="J11" s="22"/>
      <c r="K11" s="21" t="str">
        <f t="shared" si="1"/>
        <v/>
      </c>
      <c r="L11" s="84"/>
      <c r="M11" s="57"/>
    </row>
    <row r="12" spans="1:13" ht="46.5" customHeight="1">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ustomHeight="1">
      <c r="A13" s="32" t="str">
        <v>CA: Petaluma MOB - Citi</v>
      </c>
      <c r="B13" s="33" t="str">
        <v>CA</v>
      </c>
      <c r="C13" s="12"/>
      <c r="D13" s="12"/>
      <c r="E13" s="80" t="e">
        <f t="shared" si="0"/>
        <v>#DIV/0!</v>
      </c>
      <c r="F13" s="20"/>
      <c r="G13" s="20"/>
      <c r="H13" s="21" t="str">
        <f t="shared" si="2"/>
        <v/>
      </c>
      <c r="I13" s="22"/>
      <c r="J13" s="22"/>
      <c r="K13" s="21" t="str">
        <f t="shared" si="1"/>
        <v/>
      </c>
      <c r="L13" s="57"/>
      <c r="M13" s="57"/>
    </row>
    <row r="14" spans="1:13" ht="15.6" customHeight="1">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32.25" customHeight="1">
      <c r="A15" s="32" t="str">
        <v>CA: Rancho Cordova - Citi</v>
      </c>
      <c r="B15" s="33" t="str">
        <v>CA</v>
      </c>
      <c r="C15" s="12"/>
      <c r="D15" s="12"/>
      <c r="E15" s="80" t="e">
        <f t="shared" si="0"/>
        <v>#DIV/0!</v>
      </c>
      <c r="F15" s="20"/>
      <c r="G15" s="20"/>
      <c r="H15" s="21" t="str">
        <f t="shared" si="2"/>
        <v/>
      </c>
      <c r="I15" s="22"/>
      <c r="J15" s="22"/>
      <c r="K15" s="21" t="str">
        <f t="shared" si="1"/>
        <v/>
      </c>
    </row>
    <row r="16" spans="1:13" ht="15.6" customHeight="1">
      <c r="A16" s="30" t="str">
        <v>CA: S Sacramento Wyndham - Citi</v>
      </c>
      <c r="B16" s="31" t="str">
        <v>CA</v>
      </c>
      <c r="C16" s="37"/>
      <c r="D16" s="72"/>
      <c r="E16" s="82" t="e">
        <f t="shared" si="0"/>
        <v>#DIV/0!</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80" t="e">
        <f t="shared" si="0"/>
        <v>#DIV/0!</v>
      </c>
      <c r="F17" s="20"/>
      <c r="G17" s="20"/>
      <c r="H17" s="43" t="str">
        <f t="shared" si="3"/>
        <v/>
      </c>
      <c r="I17" s="44"/>
      <c r="J17" s="44"/>
      <c r="K17" s="43" t="str">
        <f t="shared" si="4"/>
        <v/>
      </c>
      <c r="L17" s="84"/>
      <c r="M17" s="57"/>
    </row>
    <row r="18" spans="1:13" ht="12.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ustomHeight="1">
      <c r="A19" s="32" t="str">
        <v>CA: San Jose MOB - Citi</v>
      </c>
      <c r="B19" s="33" t="str">
        <v>CA</v>
      </c>
      <c r="C19" s="42"/>
      <c r="D19" s="42"/>
      <c r="E19" s="80" t="e">
        <f t="shared" si="0"/>
        <v>#DIV/0!</v>
      </c>
      <c r="F19" s="20"/>
      <c r="G19" s="20"/>
      <c r="H19" s="43" t="str">
        <f t="shared" si="3"/>
        <v/>
      </c>
      <c r="I19" s="44"/>
      <c r="J19" s="44"/>
      <c r="K19" s="43" t="str">
        <f t="shared" si="4"/>
        <v/>
      </c>
      <c r="L19" s="11"/>
      <c r="M19" s="19"/>
    </row>
    <row r="20" spans="1:13" ht="15.6"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ustomHeight="1">
      <c r="A21" s="32" t="str">
        <v>CA: Vacaville Hospital</v>
      </c>
      <c r="B21" s="33" t="str">
        <v>CA</v>
      </c>
      <c r="C21" s="42"/>
      <c r="D21" s="42"/>
      <c r="E21" s="80" t="e">
        <f t="shared" si="0"/>
        <v>#DIV/0!</v>
      </c>
      <c r="F21" s="20"/>
      <c r="G21" s="20"/>
      <c r="H21" s="43" t="str">
        <f t="shared" si="3"/>
        <v/>
      </c>
      <c r="I21" s="44"/>
      <c r="J21" s="44"/>
      <c r="K21" s="43" t="str">
        <f>IFERROR(J21/I21, "")</f>
        <v/>
      </c>
      <c r="L21" s="57"/>
      <c r="M21" s="57"/>
    </row>
    <row r="22" spans="1:13" ht="15.6" customHeight="1">
      <c r="A22" s="30" t="str">
        <v>CA: Manteca - KP Manteca Hospital</v>
      </c>
      <c r="B22" s="31" t="str">
        <v>CA</v>
      </c>
      <c r="C22" s="37"/>
      <c r="D22" s="72"/>
      <c r="E22" s="82" t="e">
        <f t="shared" si="0"/>
        <v>#DIV/0!</v>
      </c>
      <c r="F22" s="14"/>
      <c r="G22" s="14"/>
      <c r="H22" s="38" t="str">
        <f t="shared" si="3"/>
        <v/>
      </c>
      <c r="I22" s="39"/>
      <c r="J22" s="39"/>
      <c r="K22" s="40" t="str">
        <f>IFERROR(J22/I22, "")</f>
        <v/>
      </c>
      <c r="L22" s="41"/>
      <c r="M22" s="41"/>
    </row>
    <row r="23" spans="1:13" ht="14.45" customHeight="1">
      <c r="A23" s="23" t="str">
        <v>Sacramento - KP South Sacramento HSP</v>
      </c>
      <c r="B23" s="35" t="str">
        <v>CA</v>
      </c>
      <c r="C23" s="23"/>
      <c r="D23" s="23"/>
      <c r="E23" s="23"/>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3"/>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27" t="str" cm="1">
        <f t="array" ref="A1">portfolio</f>
        <v>CITI</v>
      </c>
      <c r="B1" s="127"/>
      <c r="C1" s="127"/>
      <c r="D1" s="74" t="s">
        <v>0</v>
      </c>
      <c r="E1" s="75" t="s">
        <v>1</v>
      </c>
      <c r="F1" s="76" t="s">
        <v>178</v>
      </c>
      <c r="G1" s="128" t="s">
        <v>179</v>
      </c>
      <c r="H1" s="128"/>
      <c r="I1" s="128"/>
      <c r="J1" s="126" t="s">
        <v>180</v>
      </c>
      <c r="K1" s="126"/>
      <c r="L1" s="126"/>
      <c r="M1" s="5"/>
      <c r="N1" s="5"/>
    </row>
    <row r="2" spans="1:14" ht="19.5" customHeight="1">
      <c r="A2" s="129" t="s">
        <v>4</v>
      </c>
      <c r="B2" s="129"/>
      <c r="C2" s="6">
        <f>SUM(C4:C100)</f>
        <v>0</v>
      </c>
      <c r="D2" s="6">
        <f>SUM(D3:D22)</f>
        <v>0</v>
      </c>
      <c r="E2" s="68" t="e">
        <f>C2/D2</f>
        <v>#DIV/0!</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1"/>
      <c r="E4" s="82" t="e">
        <f t="shared" ref="E4:E22" si="0">C4/D4</f>
        <v>#DIV/0!</v>
      </c>
      <c r="F4" s="79"/>
      <c r="G4" s="14"/>
      <c r="H4" s="14" t="str">
        <f t="shared" ref="H4:H22" si="1">IF(AND(ISNUMBER(C4),ISNUMBER(G4)), C4-G4, "")</f>
        <v/>
      </c>
      <c r="I4" s="15"/>
      <c r="J4" s="16"/>
      <c r="K4" s="16" t="str">
        <f t="shared" ref="K4:K22" si="2">IF(AND(ISNUMBER(C4),ISNUMBER(J4)), C4-J4, "")</f>
        <v/>
      </c>
      <c r="L4" s="17"/>
      <c r="M4" s="18"/>
      <c r="N4" s="18"/>
    </row>
    <row r="5" spans="1:14" ht="39.6" customHeight="1">
      <c r="A5" s="32" t="str">
        <v>CA: Antioch MC CUP - Citi</v>
      </c>
      <c r="B5" s="33" t="str">
        <v>CA</v>
      </c>
      <c r="C5" s="12"/>
      <c r="D5" s="12"/>
      <c r="E5" s="80" t="e">
        <f t="shared" si="0"/>
        <v>#DIV/0!</v>
      </c>
      <c r="F5" s="80"/>
      <c r="G5" s="20"/>
      <c r="H5" s="20" t="str">
        <f t="shared" si="1"/>
        <v/>
      </c>
      <c r="I5" s="21"/>
      <c r="J5" s="22"/>
      <c r="K5" s="22" t="str">
        <f t="shared" si="2"/>
        <v/>
      </c>
      <c r="L5" s="21"/>
      <c r="M5" s="84"/>
      <c r="N5" s="86"/>
    </row>
    <row r="6" spans="1:14" ht="15.6">
      <c r="A6" s="30" t="str">
        <v>CA: Clovis - Citi</v>
      </c>
      <c r="B6" s="31" t="str">
        <v>CA</v>
      </c>
      <c r="C6" s="26"/>
      <c r="D6" s="71"/>
      <c r="E6" s="82" t="e">
        <f t="shared" si="0"/>
        <v>#DIV/0!</v>
      </c>
      <c r="F6" s="79"/>
      <c r="G6" s="14"/>
      <c r="H6" s="14" t="str">
        <f t="shared" si="1"/>
        <v/>
      </c>
      <c r="I6" s="15"/>
      <c r="J6" s="16"/>
      <c r="K6" s="16" t="str">
        <f t="shared" si="2"/>
        <v/>
      </c>
      <c r="L6" s="17"/>
      <c r="M6" s="18"/>
      <c r="N6" s="18"/>
    </row>
    <row r="7" spans="1:14" ht="15.6">
      <c r="A7" s="32" t="str">
        <v>CA: Elk Grove MOB - Citi</v>
      </c>
      <c r="B7" s="33" t="str">
        <v>CA</v>
      </c>
      <c r="C7" s="12"/>
      <c r="D7" s="12"/>
      <c r="E7" s="80" t="e">
        <f t="shared" si="0"/>
        <v>#DIV/0!</v>
      </c>
      <c r="F7" s="80"/>
      <c r="G7" s="20"/>
      <c r="H7" s="20" t="str">
        <f t="shared" si="1"/>
        <v/>
      </c>
      <c r="I7" s="21"/>
      <c r="J7" s="22"/>
      <c r="K7" s="22" t="str">
        <f t="shared" si="2"/>
        <v/>
      </c>
      <c r="L7" s="21"/>
      <c r="M7" s="85"/>
      <c r="N7" s="94"/>
    </row>
    <row r="8" spans="1:14" ht="15.6">
      <c r="A8" s="30" t="str">
        <v>CA: Elk Grove Promenade - Citi</v>
      </c>
      <c r="B8" s="31" t="str">
        <v>CA</v>
      </c>
      <c r="C8" s="26"/>
      <c r="D8" s="71"/>
      <c r="E8" s="82" t="e">
        <f t="shared" si="0"/>
        <v>#DIV/0!</v>
      </c>
      <c r="F8" s="79"/>
      <c r="G8" s="14"/>
      <c r="H8" s="14" t="str">
        <f t="shared" si="1"/>
        <v/>
      </c>
      <c r="I8" s="15"/>
      <c r="J8" s="16"/>
      <c r="K8" s="16" t="str">
        <f t="shared" si="2"/>
        <v/>
      </c>
      <c r="L8" s="17"/>
      <c r="M8" s="18"/>
      <c r="N8" s="18"/>
    </row>
    <row r="9" spans="1:14" ht="15.6">
      <c r="A9" s="32" t="str">
        <v>CA: Fresno Sequioa - Citi</v>
      </c>
      <c r="B9" s="33" t="str">
        <v>CA</v>
      </c>
      <c r="C9" s="12"/>
      <c r="D9" s="12"/>
      <c r="E9" s="80" t="e">
        <f t="shared" si="0"/>
        <v>#DIV/0!</v>
      </c>
      <c r="F9" s="80"/>
      <c r="G9" s="20"/>
      <c r="H9" s="20" t="str">
        <f t="shared" si="1"/>
        <v/>
      </c>
      <c r="I9" s="21"/>
      <c r="J9" s="22"/>
      <c r="K9" s="22" t="str">
        <f t="shared" si="2"/>
        <v/>
      </c>
      <c r="L9" s="21"/>
      <c r="M9" s="61"/>
      <c r="N9" s="62"/>
    </row>
    <row r="10" spans="1:14" ht="15.6">
      <c r="A10" s="30" t="str">
        <v>CA: Fresno MOB - Citi</v>
      </c>
      <c r="B10" s="31" t="str">
        <v>CA</v>
      </c>
      <c r="C10" s="26"/>
      <c r="D10" s="71"/>
      <c r="E10" s="82" t="e">
        <f t="shared" si="0"/>
        <v>#DIV/0!</v>
      </c>
      <c r="F10" s="79"/>
      <c r="G10" s="14"/>
      <c r="H10" s="14" t="str">
        <f t="shared" si="1"/>
        <v/>
      </c>
      <c r="I10" s="15"/>
      <c r="J10" s="16"/>
      <c r="K10" s="16" t="str">
        <f t="shared" si="2"/>
        <v/>
      </c>
      <c r="L10" s="17"/>
      <c r="M10" s="18"/>
      <c r="N10" s="18"/>
    </row>
    <row r="11" spans="1:14" ht="15.6">
      <c r="A11" s="32" t="str">
        <v>CA: Modesto Bangs - Citi</v>
      </c>
      <c r="B11" s="33" t="str">
        <v>CA</v>
      </c>
      <c r="C11" s="12"/>
      <c r="D11" s="12"/>
      <c r="E11" s="80" t="e">
        <f t="shared" si="0"/>
        <v>#DIV/0!</v>
      </c>
      <c r="F11" s="80"/>
      <c r="G11" s="20"/>
      <c r="H11" s="20" t="str">
        <f t="shared" si="1"/>
        <v/>
      </c>
      <c r="I11" s="21"/>
      <c r="J11" s="22"/>
      <c r="K11" s="22" t="str">
        <f t="shared" si="2"/>
        <v/>
      </c>
      <c r="L11" s="21"/>
      <c r="M11" s="84"/>
      <c r="N11" s="87"/>
    </row>
    <row r="12" spans="1:14" ht="15.6">
      <c r="A12" s="30" t="str">
        <v>CA: Napa Data Center - Citi</v>
      </c>
      <c r="B12" s="31" t="str">
        <v>CA</v>
      </c>
      <c r="C12" s="26"/>
      <c r="D12" s="71"/>
      <c r="E12" s="82" t="e">
        <f t="shared" si="0"/>
        <v>#DIV/0!</v>
      </c>
      <c r="F12" s="79"/>
      <c r="G12" s="14"/>
      <c r="H12" s="14" t="str">
        <f t="shared" si="1"/>
        <v/>
      </c>
      <c r="I12" s="15"/>
      <c r="J12" s="16"/>
      <c r="K12" s="16" t="str">
        <f t="shared" si="2"/>
        <v/>
      </c>
      <c r="L12" s="17"/>
      <c r="M12" s="18"/>
      <c r="N12" s="18"/>
    </row>
    <row r="13" spans="1:14" ht="15.6">
      <c r="A13" s="32" t="str">
        <v>CA: Petaluma MOB - Citi</v>
      </c>
      <c r="B13" s="33" t="str">
        <v>CA</v>
      </c>
      <c r="C13" s="12"/>
      <c r="D13" s="12"/>
      <c r="E13" s="80" t="e">
        <f t="shared" si="0"/>
        <v>#DIV/0!</v>
      </c>
      <c r="F13" s="80"/>
      <c r="G13" s="20"/>
      <c r="H13" s="20" t="str">
        <f t="shared" si="1"/>
        <v/>
      </c>
      <c r="I13" s="21"/>
      <c r="J13" s="22"/>
      <c r="K13" s="22" t="str">
        <f t="shared" si="2"/>
        <v/>
      </c>
      <c r="L13" s="21"/>
      <c r="M13" s="61"/>
      <c r="N13" s="62"/>
    </row>
    <row r="14" spans="1:14" ht="15.6">
      <c r="A14" s="30" t="str">
        <v>CA: Pleasanton Tec Ctr - Citi</v>
      </c>
      <c r="B14" s="31" t="str">
        <v>CA</v>
      </c>
      <c r="C14" s="26"/>
      <c r="D14" s="71"/>
      <c r="E14" s="82" t="e">
        <f t="shared" si="0"/>
        <v>#DIV/0!</v>
      </c>
      <c r="F14" s="79"/>
      <c r="G14" s="14"/>
      <c r="H14" s="14" t="str">
        <f t="shared" si="1"/>
        <v/>
      </c>
      <c r="I14" s="15"/>
      <c r="J14" s="16"/>
      <c r="K14" s="16" t="str">
        <f t="shared" si="2"/>
        <v/>
      </c>
      <c r="L14" s="17"/>
      <c r="M14" s="18"/>
      <c r="N14" s="18"/>
    </row>
    <row r="15" spans="1:14" ht="15.6">
      <c r="A15" s="32" t="str">
        <v>CA: Rancho Cordova - Citi</v>
      </c>
      <c r="B15" s="33" t="str">
        <v>CA</v>
      </c>
      <c r="C15" s="12"/>
      <c r="D15" s="12"/>
      <c r="E15" s="80" t="e">
        <f t="shared" si="0"/>
        <v>#DIV/0!</v>
      </c>
      <c r="F15" s="80"/>
      <c r="G15" s="20"/>
      <c r="H15" s="20" t="str">
        <f t="shared" si="1"/>
        <v/>
      </c>
      <c r="I15" s="21"/>
      <c r="J15" s="22"/>
      <c r="K15" s="22" t="str">
        <f t="shared" si="2"/>
        <v/>
      </c>
      <c r="L15" s="21"/>
      <c r="M15" s="11"/>
      <c r="N15" s="19"/>
    </row>
    <row r="16" spans="1:14" ht="15.6">
      <c r="A16" s="30" t="str">
        <v>CA: S Sacramento Wyndham - Citi</v>
      </c>
      <c r="B16" s="31" t="str">
        <v>CA</v>
      </c>
      <c r="C16" s="37"/>
      <c r="D16" s="72"/>
      <c r="E16" s="82" t="e">
        <f t="shared" si="0"/>
        <v>#DIV/0!</v>
      </c>
      <c r="F16" s="79"/>
      <c r="G16" s="14"/>
      <c r="H16" s="14" t="str">
        <f t="shared" si="1"/>
        <v/>
      </c>
      <c r="I16" s="38"/>
      <c r="J16" s="39"/>
      <c r="K16" s="39" t="str">
        <f t="shared" si="2"/>
        <v/>
      </c>
      <c r="L16" s="40"/>
      <c r="M16" s="41"/>
      <c r="N16" s="41"/>
    </row>
    <row r="17" spans="1:14" ht="15.6">
      <c r="A17" s="32" t="str">
        <v>CA: Sacramento Point West - Citi</v>
      </c>
      <c r="B17" s="33" t="str">
        <v>CA</v>
      </c>
      <c r="C17" s="42"/>
      <c r="D17" s="42"/>
      <c r="E17" s="80" t="e">
        <f t="shared" si="0"/>
        <v>#DIV/0!</v>
      </c>
      <c r="F17" s="80"/>
      <c r="G17" s="20"/>
      <c r="H17" s="20" t="str">
        <f t="shared" si="1"/>
        <v/>
      </c>
      <c r="I17" s="43"/>
      <c r="J17" s="44"/>
      <c r="K17" s="44" t="str">
        <f t="shared" si="2"/>
        <v/>
      </c>
      <c r="L17" s="43"/>
      <c r="M17" s="85"/>
      <c r="N17" s="60"/>
    </row>
    <row r="18" spans="1:14" ht="12.75" customHeight="1">
      <c r="A18" s="30" t="str">
        <v>CA: San Jose FHC - Citi</v>
      </c>
      <c r="B18" s="31" t="str">
        <v>CA</v>
      </c>
      <c r="C18" s="37"/>
      <c r="D18" s="72"/>
      <c r="E18" s="82" t="e">
        <f t="shared" si="0"/>
        <v>#DIV/0!</v>
      </c>
      <c r="F18" s="79"/>
      <c r="G18" s="14"/>
      <c r="H18" s="14" t="str">
        <f t="shared" si="1"/>
        <v/>
      </c>
      <c r="I18" s="38"/>
      <c r="J18" s="39"/>
      <c r="K18" s="39" t="str">
        <f t="shared" si="2"/>
        <v/>
      </c>
      <c r="L18" s="40"/>
      <c r="M18" s="41"/>
      <c r="N18" s="41"/>
    </row>
    <row r="19" spans="1:14" ht="15.6">
      <c r="A19" s="32" t="str">
        <v>CA: San Jose MOB - Citi</v>
      </c>
      <c r="B19" s="33" t="str">
        <v>CA</v>
      </c>
      <c r="C19" s="42"/>
      <c r="D19" s="42"/>
      <c r="E19" s="80" t="e">
        <f t="shared" si="0"/>
        <v>#DIV/0!</v>
      </c>
      <c r="F19" s="80"/>
      <c r="G19" s="20"/>
      <c r="H19" s="20" t="str">
        <f t="shared" si="1"/>
        <v/>
      </c>
      <c r="I19" s="43"/>
      <c r="J19" s="44"/>
      <c r="K19" s="44" t="str">
        <f t="shared" si="2"/>
        <v/>
      </c>
      <c r="L19" s="43"/>
      <c r="M19" s="11"/>
      <c r="N19" s="19"/>
    </row>
    <row r="20" spans="1:14" ht="15.6">
      <c r="A20" s="30" t="str">
        <v>CA: Selma - Citi</v>
      </c>
      <c r="B20" s="31" t="str">
        <v>CA</v>
      </c>
      <c r="C20" s="37"/>
      <c r="D20" s="72"/>
      <c r="E20" s="82" t="e">
        <f t="shared" si="0"/>
        <v>#DIV/0!</v>
      </c>
      <c r="F20" s="79"/>
      <c r="G20" s="14"/>
      <c r="H20" s="14" t="str">
        <f t="shared" si="1"/>
        <v/>
      </c>
      <c r="I20" s="38"/>
      <c r="J20" s="39"/>
      <c r="K20" s="39" t="str">
        <f t="shared" si="2"/>
        <v/>
      </c>
      <c r="L20" s="40"/>
      <c r="M20" s="41"/>
      <c r="N20" s="41"/>
    </row>
    <row r="21" spans="1:14" ht="15.6">
      <c r="A21" s="32" t="str">
        <v>CA: Vacaville Hospital</v>
      </c>
      <c r="B21" s="33" t="str">
        <v>CA</v>
      </c>
      <c r="C21" s="42"/>
      <c r="D21" s="42"/>
      <c r="E21" s="80" t="e">
        <f t="shared" si="0"/>
        <v>#DIV/0!</v>
      </c>
      <c r="F21" s="80"/>
      <c r="G21" s="20"/>
      <c r="H21" s="20" t="str">
        <f t="shared" si="1"/>
        <v/>
      </c>
      <c r="I21" s="43"/>
      <c r="J21" s="44"/>
      <c r="K21" s="44" t="str">
        <f t="shared" si="2"/>
        <v/>
      </c>
      <c r="L21" s="43"/>
      <c r="M21" s="61"/>
      <c r="N21" s="62"/>
    </row>
    <row r="22" spans="1:14" ht="15.6">
      <c r="A22" s="30" t="str">
        <v>CA: Manteca - KP Manteca Hospital</v>
      </c>
      <c r="B22" s="31" t="str">
        <v>CA</v>
      </c>
      <c r="C22" s="37"/>
      <c r="D22" s="72"/>
      <c r="E22" s="82" t="e">
        <f t="shared" si="0"/>
        <v>#DIV/0!</v>
      </c>
      <c r="F22" s="79"/>
      <c r="G22" s="14"/>
      <c r="H22" s="14" t="str">
        <f t="shared" si="1"/>
        <v/>
      </c>
      <c r="I22" s="38"/>
      <c r="J22" s="39"/>
      <c r="K22" s="39" t="str">
        <f t="shared" si="2"/>
        <v/>
      </c>
      <c r="L22" s="40"/>
      <c r="M22" s="41"/>
      <c r="N22" s="41"/>
    </row>
    <row r="23" spans="1:14" ht="14.45">
      <c r="A23" s="23" t="str">
        <v>Sacramento - KP South Sacramento HSP</v>
      </c>
      <c r="B23" s="35" t="str">
        <v>CA</v>
      </c>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27" t="str" cm="1">
        <f t="array" ref="A1">portfolio</f>
        <v>CITI</v>
      </c>
      <c r="B1" s="127"/>
      <c r="C1" s="127"/>
      <c r="D1" s="74" t="s">
        <v>0</v>
      </c>
      <c r="E1" s="75" t="s">
        <v>1</v>
      </c>
      <c r="F1" s="128" t="s">
        <v>181</v>
      </c>
      <c r="G1" s="128"/>
      <c r="H1" s="128"/>
      <c r="I1" s="126" t="s">
        <v>182</v>
      </c>
      <c r="J1" s="126"/>
      <c r="K1" s="126"/>
      <c r="L1" s="88"/>
      <c r="M1" s="5"/>
    </row>
    <row r="2" spans="1:13" ht="19.5" customHeight="1">
      <c r="A2" s="129" t="s">
        <v>4</v>
      </c>
      <c r="B2" s="129"/>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ht="14.45">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27" t="str" cm="1">
        <f t="array" ref="A1">portfolio</f>
        <v>CITI</v>
      </c>
      <c r="B1" s="127"/>
      <c r="C1" s="127"/>
      <c r="D1" s="74" t="s">
        <v>0</v>
      </c>
      <c r="E1" s="75" t="s">
        <v>1</v>
      </c>
      <c r="F1" s="128" t="s">
        <v>183</v>
      </c>
      <c r="G1" s="128"/>
      <c r="H1" s="128"/>
      <c r="I1" s="126" t="s">
        <v>184</v>
      </c>
      <c r="J1" s="126"/>
      <c r="K1" s="126"/>
      <c r="L1" s="5"/>
      <c r="M1" s="5"/>
    </row>
    <row r="2" spans="1:13" ht="19.5" customHeight="1">
      <c r="A2" s="129" t="s">
        <v>4</v>
      </c>
      <c r="B2" s="129"/>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I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27" t="str" cm="1">
        <f t="array" ref="A1">portfolio</f>
        <v>CITI</v>
      </c>
      <c r="B1" s="127"/>
      <c r="C1" s="127"/>
      <c r="D1" s="74" t="s">
        <v>0</v>
      </c>
      <c r="E1" s="75" t="s">
        <v>1</v>
      </c>
      <c r="F1" s="128" t="s">
        <v>185</v>
      </c>
      <c r="G1" s="128"/>
      <c r="H1" s="128"/>
      <c r="I1" s="126" t="s">
        <v>186</v>
      </c>
      <c r="J1" s="126"/>
      <c r="K1" s="126"/>
      <c r="L1" s="5"/>
      <c r="M1" s="5"/>
    </row>
    <row r="2" spans="1:13" ht="19.5" customHeight="1">
      <c r="A2" s="129" t="s">
        <v>4</v>
      </c>
      <c r="B2" s="129"/>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98"/>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102"/>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100"/>
      <c r="M19" s="101"/>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9"/>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22" activePane="bottomLeft" state="frozen"/>
      <selection pane="bottomLeft" activeCell="B36" sqref="A23:B36"/>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187</v>
      </c>
      <c r="B1" t="s">
        <v>188</v>
      </c>
    </row>
    <row r="3" spans="1:6" ht="13.15">
      <c r="A3" t="s">
        <v>189</v>
      </c>
      <c r="B3" t="s">
        <v>5</v>
      </c>
      <c r="C3" t="s">
        <v>6</v>
      </c>
      <c r="D3" t="s">
        <v>190</v>
      </c>
      <c r="E3" s="2" t="s">
        <v>191</v>
      </c>
    </row>
    <row r="4" spans="1:6" ht="14.45">
      <c r="A4" t="s">
        <v>192</v>
      </c>
      <c r="B4" t="s">
        <v>193</v>
      </c>
      <c r="C4" s="4" t="s">
        <v>194</v>
      </c>
      <c r="F4" s="3"/>
    </row>
    <row r="5" spans="1:6" ht="14.45">
      <c r="A5" t="s">
        <v>195</v>
      </c>
      <c r="B5" t="s">
        <v>196</v>
      </c>
      <c r="C5" s="4" t="s">
        <v>194</v>
      </c>
      <c r="F5" s="3"/>
    </row>
    <row r="6" spans="1:6" ht="14.45">
      <c r="A6" t="s">
        <v>197</v>
      </c>
      <c r="B6" t="s">
        <v>198</v>
      </c>
      <c r="C6" s="4" t="s">
        <v>194</v>
      </c>
      <c r="F6" s="3"/>
    </row>
    <row r="7" spans="1:6" ht="12.75" customHeight="1">
      <c r="A7" t="s">
        <v>199</v>
      </c>
      <c r="B7" t="s">
        <v>200</v>
      </c>
      <c r="C7" s="4" t="s">
        <v>194</v>
      </c>
    </row>
    <row r="8" spans="1:6" ht="12.75" customHeight="1">
      <c r="A8" t="s">
        <v>201</v>
      </c>
      <c r="B8" t="s">
        <v>202</v>
      </c>
      <c r="C8" s="4" t="s">
        <v>194</v>
      </c>
    </row>
    <row r="9" spans="1:6" ht="12.75" customHeight="1">
      <c r="A9" t="s">
        <v>203</v>
      </c>
      <c r="B9" t="s">
        <v>204</v>
      </c>
      <c r="C9" s="4" t="s">
        <v>194</v>
      </c>
    </row>
    <row r="10" spans="1:6" ht="12.75" customHeight="1">
      <c r="A10" t="s">
        <v>205</v>
      </c>
      <c r="B10" t="s">
        <v>206</v>
      </c>
      <c r="C10" s="4" t="s">
        <v>194</v>
      </c>
    </row>
    <row r="11" spans="1:6" ht="12.75" customHeight="1">
      <c r="A11" t="s">
        <v>207</v>
      </c>
      <c r="B11" t="s">
        <v>208</v>
      </c>
      <c r="C11" s="4" t="s">
        <v>194</v>
      </c>
    </row>
    <row r="12" spans="1:6" ht="12.75" customHeight="1">
      <c r="A12" t="s">
        <v>209</v>
      </c>
      <c r="B12" t="s">
        <v>210</v>
      </c>
      <c r="C12" s="4" t="s">
        <v>194</v>
      </c>
    </row>
    <row r="13" spans="1:6" ht="12.75" customHeight="1">
      <c r="A13" t="s">
        <v>211</v>
      </c>
      <c r="B13" t="s">
        <v>212</v>
      </c>
      <c r="C13" s="4" t="s">
        <v>194</v>
      </c>
    </row>
    <row r="14" spans="1:6" ht="12.75" customHeight="1">
      <c r="A14" t="s">
        <v>213</v>
      </c>
      <c r="B14" t="s">
        <v>214</v>
      </c>
      <c r="C14" s="4" t="s">
        <v>194</v>
      </c>
    </row>
    <row r="15" spans="1:6" ht="12.75" customHeight="1">
      <c r="A15" t="s">
        <v>215</v>
      </c>
      <c r="B15" t="s">
        <v>216</v>
      </c>
      <c r="C15" s="4" t="s">
        <v>194</v>
      </c>
    </row>
    <row r="16" spans="1:6" ht="12.75" customHeight="1">
      <c r="A16" t="s">
        <v>217</v>
      </c>
      <c r="B16" t="s">
        <v>218</v>
      </c>
      <c r="C16" s="4" t="s">
        <v>194</v>
      </c>
    </row>
    <row r="17" spans="1:3" ht="12.75" customHeight="1">
      <c r="A17" t="s">
        <v>219</v>
      </c>
      <c r="B17" t="s">
        <v>220</v>
      </c>
      <c r="C17" s="4" t="s">
        <v>194</v>
      </c>
    </row>
    <row r="18" spans="1:3" ht="12.75" customHeight="1">
      <c r="A18" t="s">
        <v>221</v>
      </c>
      <c r="B18" t="s">
        <v>222</v>
      </c>
      <c r="C18" s="4" t="s">
        <v>194</v>
      </c>
    </row>
    <row r="19" spans="1:3" ht="12.75" customHeight="1">
      <c r="A19" t="s">
        <v>223</v>
      </c>
      <c r="B19" t="s">
        <v>224</v>
      </c>
      <c r="C19" s="4" t="s">
        <v>194</v>
      </c>
    </row>
    <row r="20" spans="1:3" ht="12.75" customHeight="1">
      <c r="A20" t="s">
        <v>225</v>
      </c>
      <c r="B20" t="s">
        <v>226</v>
      </c>
      <c r="C20" s="4" t="s">
        <v>194</v>
      </c>
    </row>
    <row r="21" spans="1:3" ht="12.75" customHeight="1">
      <c r="A21" t="s">
        <v>227</v>
      </c>
      <c r="B21" t="s">
        <v>228</v>
      </c>
      <c r="C21" s="4" t="s">
        <v>194</v>
      </c>
    </row>
    <row r="22" spans="1:3" ht="12.75" customHeight="1">
      <c r="A22" s="56" t="s">
        <v>229</v>
      </c>
      <c r="B22" t="s">
        <v>230</v>
      </c>
      <c r="C22" s="4" t="s">
        <v>194</v>
      </c>
    </row>
    <row r="23" spans="1:3" ht="12.75" customHeight="1">
      <c r="A23" t="s">
        <v>231</v>
      </c>
      <c r="B23" t="s">
        <v>232</v>
      </c>
      <c r="C23" s="4" t="s">
        <v>194</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7946C510-7D04-49D8-9B25-EEC04582A1CA}"/>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F3EAD0E0-75C0-4552-B8E2-59A3D29CAC47}"/>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2025-06-10T07:57:37Z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