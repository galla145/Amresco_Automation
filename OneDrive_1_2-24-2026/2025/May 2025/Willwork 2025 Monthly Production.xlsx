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jayasrigarapati_amgsol_com/Documents/Microsoft Teams Chat Files/"/>
    </mc:Choice>
  </mc:AlternateContent>
  <xr:revisionPtr revIDLastSave="8" documentId="13_ncr:1_{2B0387D1-B7A2-4076-939E-954FD15A1E84}" xr6:coauthVersionLast="47" xr6:coauthVersionMax="47" xr10:uidLastSave="{702ADBF4-E876-4BCD-8C42-2087263185CA}"/>
  <bookViews>
    <workbookView xWindow="-98" yWindow="-98" windowWidth="21795" windowHeight="12975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0" l="1"/>
  <c r="G4" i="30"/>
  <c r="G2" i="30" s="1"/>
  <c r="G4" i="29"/>
  <c r="D4" i="29"/>
  <c r="H4" i="19"/>
  <c r="G4" i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I4" i="19"/>
  <c r="E4" i="19"/>
  <c r="F4" i="19" s="1"/>
  <c r="G2" i="19"/>
  <c r="D2" i="19"/>
  <c r="C2" i="19"/>
  <c r="A1" i="19" a="1"/>
  <c r="A1" i="19" s="1"/>
  <c r="H5" i="20"/>
  <c r="I5" i="20" s="1"/>
  <c r="E5" i="20"/>
  <c r="F5" i="20" s="1"/>
  <c r="I4" i="20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2" i="20" l="1"/>
  <c r="F2" i="20" s="1"/>
  <c r="E4" i="18"/>
  <c r="F4" i="18" s="1"/>
  <c r="G4" i="34"/>
  <c r="G2" i="34" s="1"/>
  <c r="H2" i="33"/>
  <c r="I2" i="33" s="1"/>
  <c r="C4" i="34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<sst xmlns="http://schemas.openxmlformats.org/spreadsheetml/2006/main" count="245" uniqueCount="56">
  <si>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</si>
  <si>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</si>
  <si>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</si>
  <si>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</si>
  <si>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</si>
  <si>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</si>
  <si>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</si>
  <si>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</si>
  <si>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</si>
  <si>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</si>
  <si>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</si>
  <si>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</si>
  <si>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</si>
  <si>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</si>
  <si>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</si>
  <si>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</si>
  <si>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</si>
  <si>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</si>
  <si>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</si>
  <si>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</si>
  <si>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</si>
  <si>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</si>
  <si>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</si>
  <si>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</si>
  <si>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</si>
  <si>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</si>
  <si>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</si>
  <si>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NA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</si>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</sst>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3" sqref="G3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36109.705027000004</v>
      </c>
      <c r="D2" s="6">
        <f>SUM(D4:D60)</f>
        <v>0</v>
      </c>
      <c r="E2" s="6">
        <f>C2-D2</f>
        <v>36109.705027000004</v>
      </c>
      <c r="F2" s="7">
        <f>IFERROR(E2/D2, 0)</f>
        <v>0</v>
      </c>
      <c r="G2" s="6">
        <f>SUM(G4:G60)</f>
        <v>23157.713</v>
      </c>
      <c r="H2" s="8">
        <f>C2-G2</f>
        <v>12951.992027000004</v>
      </c>
      <c r="I2" s="7">
        <f>IFERROR(H2/G2, 0)</f>
        <v>0.55929495399653684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36109.705027000004</v>
      </c>
      <c r="D4" s="14">
        <f>SUM('1st Qtr'!D4, '2nd Qtr'!D4, '3rd Qtr'!D4, '4th Qtr'!D4)</f>
        <v>0</v>
      </c>
      <c r="E4" s="14">
        <f>IF(AND(ISNUMBER(C4),ISNUMBER(D4)), C4-D4, "")</f>
        <v>36109.705027000004</v>
      </c>
      <c r="F4" s="15" t="str">
        <f>IFERROR(E4/D4, "")</f>
        <v/>
      </c>
      <c r="G4" s="16">
        <f>SUM('1st Qtr'!G4,'2nd Qtr'!G4,'3rd Qtr'!G4,'4th Qtr'!G4)</f>
        <v>23157.713</v>
      </c>
      <c r="H4" s="16">
        <f>SUM('1st Qtr'!H4, '2nd Qtr'!H4, '3rd Qtr'!H4, '4th Qtr'!H4)</f>
        <v>12951.992027</v>
      </c>
      <c r="I4" s="17">
        <f>IFERROR(H4/G4, "")</f>
        <v>0.55929495399653673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16193.530027000001</v>
      </c>
      <c r="D2" s="6">
        <f>SUM(D4:D68)</f>
        <v>0</v>
      </c>
      <c r="E2" s="6">
        <f>C2-D2</f>
        <v>16193.530027000001</v>
      </c>
      <c r="F2" s="7">
        <f>IFERROR(E2/D2, 0)</f>
        <v>0</v>
      </c>
      <c r="G2" s="6">
        <f>SUM(G4:G68)</f>
        <v>10699.763999999999</v>
      </c>
      <c r="H2" s="8">
        <f>C2-G2</f>
        <v>5493.7660270000015</v>
      </c>
      <c r="I2" s="7">
        <f>IFERROR(H2/G2, 0)</f>
        <v>0.51344740192400518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16193.530027000001</v>
      </c>
      <c r="D4" s="14">
        <f>SUM(Jan!D4, Feb!D4, Mar!D4)</f>
        <v>0</v>
      </c>
      <c r="E4" s="14">
        <f>IF(AND(ISNUMBER(C4),ISNUMBER(D4)), C4-D4, "")</f>
        <v>16193.530027000001</v>
      </c>
      <c r="F4" s="15" t="str">
        <f>IFERROR(E4/D4, "")</f>
        <v/>
      </c>
      <c r="G4" s="16">
        <f>SUM(Jan!G4, Feb!G4, Mar!G4)</f>
        <v>10699.763999999999</v>
      </c>
      <c r="H4" s="16">
        <f>SUM(Jan!H4, Feb!H4, Mar!H4)</f>
        <v>5493.7660270000006</v>
      </c>
      <c r="I4" s="17">
        <f>IFERROR(H4/G4, "")</f>
        <v>0.51344740192400518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2" sqref="G12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19916.174999999999</v>
      </c>
      <c r="D2" s="6">
        <f>SUM(D4:D90)</f>
        <v>0</v>
      </c>
      <c r="E2" s="6">
        <f>C2-D2</f>
        <v>19916.174999999999</v>
      </c>
      <c r="F2" s="7">
        <f>IFERROR(E2/D2, 0)</f>
        <v>0</v>
      </c>
      <c r="G2" s="6">
        <f>SUM(G4:G90)</f>
        <v>12457.949000000001</v>
      </c>
      <c r="H2" s="8">
        <f>C2-G2</f>
        <v>7458.2259999999987</v>
      </c>
      <c r="I2" s="7">
        <f>IFERROR(H2/G2, 0)</f>
        <v>0.59867206070597967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19916.174999999999</v>
      </c>
      <c r="D4" s="14">
        <f>SUM(Apr!D4, May!D4, Jun!D4)</f>
        <v>0</v>
      </c>
      <c r="E4" s="14">
        <f>IF(AND(ISNUMBER(C4),ISNUMBER(D4)), C4-D4, "")</f>
        <v>19916.174999999999</v>
      </c>
      <c r="F4" s="15" t="str">
        <f>IFERROR(E4/D4, "")</f>
        <v/>
      </c>
      <c r="G4" s="16">
        <f>SUM(Apr!G4+May!G4+Jun!G4)</f>
        <v>12457.949000000001</v>
      </c>
      <c r="H4" s="16">
        <f>SUM(Apr!H4, May!H4, Jun!H4)</f>
        <v>7458.2259999999997</v>
      </c>
      <c r="I4" s="17">
        <f>IFERROR(H4/G4, "")</f>
        <v>0.59867206070597967</v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4" activePane="bottomLeft" state="frozen"/>
      <selection pane="bottomLeft" activeCell="G5" sqref="G5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17" sqref="E17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3291.35</v>
      </c>
      <c r="D2" s="6">
        <f>SUM(D4:D89)</f>
        <v>0</v>
      </c>
      <c r="E2" s="6">
        <f>C2-D2</f>
        <v>3291.35</v>
      </c>
      <c r="F2" s="7">
        <f>IFERROR(E2/D2, 0)</f>
        <v>0</v>
      </c>
      <c r="G2" s="6">
        <f>SUM(G4:G89)</f>
        <v>2331.9609999999998</v>
      </c>
      <c r="H2" s="8">
        <f>C2-G2</f>
        <v>959.38900000000012</v>
      </c>
      <c r="I2" s="7">
        <f>IFERROR(H2/G2, 0)</f>
        <v>0.41140868136302461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3291.35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2331.9609999999998</v>
      </c>
      <c r="H4" s="16">
        <f>IF(AND(ISNUMBER(C4),ISNUMBER(G4)), C4-G4, "")</f>
        <v>959.38900000000012</v>
      </c>
      <c r="I4" s="17">
        <f>IFERROR(H4/G4, "")</f>
        <v>0.41140868136302461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D11" sqref="D11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23</v>
      </c>
      <c r="E1" s="45"/>
      <c r="F1" s="45"/>
      <c r="G1" s="43" t="s">
        <v>24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4379.2150000000001</v>
      </c>
      <c r="D2" s="6">
        <f>SUM(D4:D85)</f>
        <v>0</v>
      </c>
      <c r="E2" s="6">
        <f>C2-D2</f>
        <v>4379.2150000000001</v>
      </c>
      <c r="F2" s="7">
        <f>IFERROR(E2/D2, 0)</f>
        <v>0</v>
      </c>
      <c r="G2" s="6">
        <f>SUM(G4:G85)</f>
        <v>3160.8029999999999</v>
      </c>
      <c r="H2" s="8">
        <f>C2-G2</f>
        <v>1218.4120000000003</v>
      </c>
      <c r="I2" s="7">
        <f>IFERROR(H2/G2, 0)</f>
        <v>0.385475463038981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4379.2150000000001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3160.8029999999999</v>
      </c>
      <c r="H4" s="16">
        <f>IF(AND(ISNUMBER(C4),ISNUMBER(G4)), C4-G4, "")</f>
        <v>1218.4120000000003</v>
      </c>
      <c r="I4" s="17">
        <f>IFERROR(H4/G4, "")</f>
        <v>0.385475463038981</v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6" sqref="J6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8522.9650270000002</v>
      </c>
      <c r="D2" s="6">
        <f>SUM(D4:D90)</f>
        <v>0</v>
      </c>
      <c r="E2" s="6">
        <f>C2-D2</f>
        <v>8522.9650270000002</v>
      </c>
      <c r="F2" s="7">
        <f>IFERROR(E2/D2, 0)</f>
        <v>0</v>
      </c>
      <c r="G2" s="6">
        <f>SUM(G4:G90)</f>
        <v>5207</v>
      </c>
      <c r="H2" s="8">
        <f>C2-G2</f>
        <v>3315.9650270000002</v>
      </c>
      <c r="I2" s="7">
        <f>IFERROR(H2/G2, 0)</f>
        <v>0.63682831323218747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8522.9650270000002</v>
      </c>
      <c r="D4" s="14" t="s">
        <v>27</v>
      </c>
      <c r="E4" s="14" t="str">
        <f>IF(AND(ISNUMBER(C4),ISNUMBER(D4)), C4-D4, "")</f>
        <v/>
      </c>
      <c r="F4" s="15" t="str">
        <f>IFERROR(E4/D4, "")</f>
        <v/>
      </c>
      <c r="G4" s="16">
        <v>5207</v>
      </c>
      <c r="H4" s="16">
        <f>IF(AND(ISNUMBER(C4),ISNUMBER(G4)), C4-G4, "")</f>
        <v>3315.9650270000002</v>
      </c>
      <c r="I4" s="17">
        <f>IFERROR(H4/G4, "")</f>
        <v>0.63682831323218747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H23" sqref="H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9886.7999999999993</v>
      </c>
      <c r="D2" s="6">
        <f>SUM(D4:D90)</f>
        <v>0</v>
      </c>
      <c r="E2" s="6">
        <f>C2-D2</f>
        <v>9886.7999999999993</v>
      </c>
      <c r="F2" s="7">
        <f>IFERROR(E2/D2, 0)</f>
        <v>0</v>
      </c>
      <c r="G2" s="6">
        <f>SUM(G4:G90)</f>
        <v>5698.9949999999999</v>
      </c>
      <c r="H2" s="8">
        <f>C2-G2</f>
        <v>4187.8049999999994</v>
      </c>
      <c r="I2" s="7">
        <f>IFERROR(H2/G2, 0)</f>
        <v>0.73483219409738021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9886.7999999999993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5698.9949999999999</v>
      </c>
      <c r="H4" s="16">
        <f>IF(AND(ISNUMBER(C4),ISNUMBER(G4)), C4-G4, "")</f>
        <v>4187.8049999999994</v>
      </c>
      <c r="I4" s="17">
        <f>IFERROR(H4/G4, "")</f>
        <v>0.73483219409738021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abSelected="1" zoomScale="90" zoomScaleNormal="90" workbookViewId="0">
      <pane ySplit="2" topLeftCell="A3" activePane="bottomLeft" state="frozen"/>
      <selection pane="bottomLeft" activeCell="E6" sqref="E6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10029.375</v>
      </c>
      <c r="D2" s="6">
        <f>SUM(D4:D90)</f>
        <v>0</v>
      </c>
      <c r="E2" s="6">
        <f>C2-D2</f>
        <v>10029.375</v>
      </c>
      <c r="F2" s="7">
        <f>IFERROR(E2/D2, 0)</f>
        <v>0</v>
      </c>
      <c r="G2" s="6">
        <f>SUM(G4:G90)</f>
        <v>6758.9539999999997</v>
      </c>
      <c r="H2" s="8">
        <f>C2-G2</f>
        <v>3270.4210000000003</v>
      </c>
      <c r="I2" s="7">
        <f>IFERROR(H2/G2, 0)</f>
        <v>0.48386495898625742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10029.375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6758.9539999999997</v>
      </c>
      <c r="H4" s="16">
        <f>IF(AND(ISNUMBER(C4),ISNUMBER(G4)), C4-G4, "")</f>
        <v>3270.4210000000003</v>
      </c>
      <c r="I4" s="17">
        <f>IFERROR(H4/G4, "")</f>
        <v>0.48386495898625742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B1" workbookViewId="0">
      <pane ySplit="2" topLeftCell="A11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0" sqref="B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3" spans="1:7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25">
      <c r="A4" t="s">
        <v>51</v>
      </c>
      <c r="B4" t="s">
        <v>52</v>
      </c>
      <c r="C4" s="4" t="s">
        <v>53</v>
      </c>
      <c r="D4" t="s">
        <v>54</v>
      </c>
      <c r="E4" t="s">
        <v>55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8CEB345E-841A-422D-B73A-0505D2B73A60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2025-06-17T06:21:51Z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