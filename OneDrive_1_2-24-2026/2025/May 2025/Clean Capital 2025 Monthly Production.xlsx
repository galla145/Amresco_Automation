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1"/>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33" documentId="13_ncr:1_{AEE6210B-DCD0-4332-9718-AFDF3058D495}" xr6:coauthVersionLast="47" xr6:coauthVersionMax="47" xr10:uidLastSave="{CD1AF431-5310-4DEF-9963-3AC61145C604}"/>
  <bookViews>
    <workbookView xWindow="-108" yWindow="-108" windowWidth="23256" windowHeight="13896" tabRatio="86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2" i="20" l="1"/>
  <c r="H23" i="20"/>
  <c r="F47" i="20"/>
  <c r="H6" i="20"/>
  <c r="I6" i="20" s="1"/>
  <c r="H7" i="20"/>
  <c r="I7" i="20" s="1"/>
  <c r="H8" i="20"/>
  <c r="I8" i="20" s="1"/>
  <c r="H9" i="20"/>
  <c r="I9" i="20" s="1"/>
  <c r="H10" i="20"/>
  <c r="I10" i="20" s="1"/>
  <c r="H11" i="20"/>
  <c r="I11" i="20" s="1"/>
  <c r="H12" i="20"/>
  <c r="I12" i="20" s="1"/>
  <c r="H13" i="20"/>
  <c r="I13" i="20" s="1"/>
  <c r="H14" i="20"/>
  <c r="I14" i="20" s="1"/>
  <c r="H15" i="20"/>
  <c r="I15" i="20" s="1"/>
  <c r="H16" i="20"/>
  <c r="I16" i="20" s="1"/>
  <c r="H17" i="20"/>
  <c r="I17" i="20" s="1"/>
  <c r="H18" i="20"/>
  <c r="I18" i="20" s="1"/>
  <c r="H19" i="20"/>
  <c r="I19" i="20" s="1"/>
  <c r="H20" i="20"/>
  <c r="I20" i="20" s="1"/>
  <c r="H21" i="20"/>
  <c r="I21" i="20" s="1"/>
  <c r="I22" i="20"/>
  <c r="I23" i="20"/>
  <c r="H24" i="20"/>
  <c r="I24" i="20" s="1"/>
  <c r="H25" i="20"/>
  <c r="I25" i="20" s="1"/>
  <c r="H26" i="20"/>
  <c r="I26" i="20" s="1"/>
  <c r="H27" i="20"/>
  <c r="I27" i="20" s="1"/>
  <c r="H28" i="20"/>
  <c r="I28" i="20" s="1"/>
  <c r="H29" i="20"/>
  <c r="I29" i="20" s="1"/>
  <c r="H30" i="20"/>
  <c r="I30" i="20" s="1"/>
  <c r="H31" i="20"/>
  <c r="I31" i="20" s="1"/>
  <c r="H32" i="20"/>
  <c r="I32" i="20" s="1"/>
  <c r="H33" i="20"/>
  <c r="I33" i="20" s="1"/>
  <c r="H34" i="20"/>
  <c r="I34" i="20" s="1"/>
  <c r="H35" i="20"/>
  <c r="I35" i="20" s="1"/>
  <c r="H36" i="20"/>
  <c r="I36" i="20" s="1"/>
  <c r="H37" i="20"/>
  <c r="I37" i="20" s="1"/>
  <c r="H38" i="20"/>
  <c r="I38" i="20" s="1"/>
  <c r="H39" i="20"/>
  <c r="I39" i="20" s="1"/>
  <c r="H40" i="20"/>
  <c r="I40" i="20" s="1"/>
  <c r="H41" i="20"/>
  <c r="I41" i="20" s="1"/>
  <c r="H42" i="20"/>
  <c r="I42" i="20" s="1"/>
  <c r="H43" i="20"/>
  <c r="I43" i="20" s="1"/>
  <c r="H44" i="20"/>
  <c r="I44" i="20" s="1"/>
  <c r="H45" i="20"/>
  <c r="I45" i="20" s="1"/>
  <c r="H46" i="20"/>
  <c r="I46" i="20" s="1"/>
  <c r="E6" i="20"/>
  <c r="F6" i="20" s="1"/>
  <c r="E7" i="20"/>
  <c r="F7" i="20" s="1"/>
  <c r="E8" i="20"/>
  <c r="F8" i="20" s="1"/>
  <c r="E9" i="20"/>
  <c r="F9" i="20" s="1"/>
  <c r="E10" i="20"/>
  <c r="F10" i="20" s="1"/>
  <c r="E11" i="20"/>
  <c r="F11" i="20" s="1"/>
  <c r="E12" i="20"/>
  <c r="F12" i="20" s="1"/>
  <c r="E13" i="20"/>
  <c r="F13" i="20" s="1"/>
  <c r="E14" i="20"/>
  <c r="F14" i="20" s="1"/>
  <c r="E15" i="20"/>
  <c r="F15" i="20" s="1"/>
  <c r="E16" i="20"/>
  <c r="F16" i="20" s="1"/>
  <c r="E17" i="20"/>
  <c r="F17" i="20" s="1"/>
  <c r="E18" i="20"/>
  <c r="F18" i="20" s="1"/>
  <c r="E19" i="20"/>
  <c r="F19" i="20" s="1"/>
  <c r="E20" i="20"/>
  <c r="F20" i="20" s="1"/>
  <c r="E21" i="20"/>
  <c r="F21" i="20" s="1"/>
  <c r="E22" i="20"/>
  <c r="F22" i="20" s="1"/>
  <c r="E23" i="20"/>
  <c r="F23" i="20" s="1"/>
  <c r="E24" i="20"/>
  <c r="F24" i="20" s="1"/>
  <c r="E25" i="20"/>
  <c r="F25" i="20" s="1"/>
  <c r="E26" i="20"/>
  <c r="F26" i="20" s="1"/>
  <c r="E27" i="20"/>
  <c r="F27" i="20" s="1"/>
  <c r="E28" i="20"/>
  <c r="F28" i="20" s="1"/>
  <c r="E29" i="20"/>
  <c r="F29" i="20" s="1"/>
  <c r="E30" i="20"/>
  <c r="F30" i="20" s="1"/>
  <c r="E31" i="20"/>
  <c r="F31" i="20" s="1"/>
  <c r="E32" i="20"/>
  <c r="F32" i="20" s="1"/>
  <c r="E33" i="20"/>
  <c r="F33" i="20" s="1"/>
  <c r="E34" i="20"/>
  <c r="F34" i="20" s="1"/>
  <c r="E35" i="20"/>
  <c r="F35" i="20" s="1"/>
  <c r="E36" i="20"/>
  <c r="F36" i="20" s="1"/>
  <c r="E37" i="20"/>
  <c r="F37" i="20" s="1"/>
  <c r="E38" i="20"/>
  <c r="F38" i="20" s="1"/>
  <c r="E39" i="20"/>
  <c r="F39" i="20" s="1"/>
  <c r="E40" i="20"/>
  <c r="F40" i="20" s="1"/>
  <c r="E41" i="20"/>
  <c r="F41" i="20" s="1"/>
  <c r="E42" i="20"/>
  <c r="F42" i="20" s="1"/>
  <c r="E43" i="20"/>
  <c r="F43" i="20" s="1"/>
  <c r="E44" i="20"/>
  <c r="F44" i="20" s="1"/>
  <c r="E45" i="20"/>
  <c r="F45" i="20" s="1"/>
  <c r="E46" i="20"/>
  <c r="F46" i="20" s="1"/>
  <c r="G18" i="18"/>
  <c r="G19" i="18"/>
  <c r="G20" i="18"/>
  <c r="G21" i="18"/>
  <c r="G22" i="18"/>
  <c r="G23" i="18"/>
  <c r="G24" i="18"/>
  <c r="G17" i="18"/>
  <c r="G5" i="18"/>
  <c r="G6" i="18"/>
  <c r="G7" i="18"/>
  <c r="G8" i="18"/>
  <c r="G4" i="18"/>
  <c r="H13" i="21"/>
  <c r="H14" i="21"/>
  <c r="H15" i="21"/>
  <c r="H16" i="21"/>
  <c r="H17" i="21"/>
  <c r="I17" i="21" s="1"/>
  <c r="H18" i="21"/>
  <c r="I18" i="21" s="1"/>
  <c r="H19" i="21"/>
  <c r="I19" i="21" s="1"/>
  <c r="H20" i="21"/>
  <c r="I20" i="21" s="1"/>
  <c r="H21" i="21"/>
  <c r="I21" i="21" s="1"/>
  <c r="H22" i="21"/>
  <c r="H22" i="18" s="1"/>
  <c r="I22" i="18" s="1"/>
  <c r="H23" i="21"/>
  <c r="H23" i="18" s="1"/>
  <c r="I23" i="18" s="1"/>
  <c r="H24" i="21"/>
  <c r="H24" i="18" s="1"/>
  <c r="I24" i="18" s="1"/>
  <c r="I13" i="21"/>
  <c r="I14" i="21"/>
  <c r="I15" i="21"/>
  <c r="I16" i="21"/>
  <c r="H17" i="4"/>
  <c r="H18" i="4"/>
  <c r="H19" i="4"/>
  <c r="H20" i="4"/>
  <c r="H21" i="4"/>
  <c r="H22" i="4"/>
  <c r="H23" i="4"/>
  <c r="I8" i="30"/>
  <c r="I9" i="30"/>
  <c r="I10" i="30"/>
  <c r="I11" i="30"/>
  <c r="I12" i="30"/>
  <c r="I13" i="30"/>
  <c r="I14" i="30"/>
  <c r="I15" i="30"/>
  <c r="I16" i="30"/>
  <c r="I17" i="30"/>
  <c r="I18" i="30"/>
  <c r="I19" i="30"/>
  <c r="I20" i="30"/>
  <c r="I21" i="30"/>
  <c r="I22" i="30"/>
  <c r="I23" i="30"/>
  <c r="I24" i="30"/>
  <c r="H8" i="30"/>
  <c r="H9" i="30"/>
  <c r="H10" i="30"/>
  <c r="H11" i="30"/>
  <c r="H12" i="30"/>
  <c r="H13" i="30"/>
  <c r="H14" i="30"/>
  <c r="H15" i="30"/>
  <c r="H16" i="30"/>
  <c r="H17" i="30"/>
  <c r="H18" i="30"/>
  <c r="H19" i="30"/>
  <c r="H20" i="30"/>
  <c r="H21" i="30"/>
  <c r="H22" i="30"/>
  <c r="H23" i="30"/>
  <c r="H24" i="30"/>
  <c r="G8" i="30"/>
  <c r="G9" i="30"/>
  <c r="G10" i="30"/>
  <c r="G11" i="30"/>
  <c r="G12" i="30"/>
  <c r="G13" i="30"/>
  <c r="G14" i="30"/>
  <c r="G15" i="30"/>
  <c r="G16" i="30"/>
  <c r="G17" i="30"/>
  <c r="G18" i="30"/>
  <c r="G19" i="30"/>
  <c r="G20" i="30"/>
  <c r="G21" i="30"/>
  <c r="G22" i="30"/>
  <c r="G23" i="30"/>
  <c r="G24" i="30"/>
  <c r="F8" i="30"/>
  <c r="F9" i="30"/>
  <c r="F10" i="30"/>
  <c r="F11" i="30"/>
  <c r="F12" i="30"/>
  <c r="F13" i="30"/>
  <c r="F14" i="30"/>
  <c r="F15" i="30"/>
  <c r="F16" i="30"/>
  <c r="F17" i="30"/>
  <c r="F18" i="30"/>
  <c r="F19" i="30"/>
  <c r="F20" i="30"/>
  <c r="F21" i="30"/>
  <c r="F22" i="30"/>
  <c r="F23" i="30"/>
  <c r="F24" i="30"/>
  <c r="E8" i="30"/>
  <c r="E9" i="30"/>
  <c r="E10" i="30"/>
  <c r="E11" i="30"/>
  <c r="E12" i="30"/>
  <c r="E13" i="30"/>
  <c r="E14" i="30"/>
  <c r="E15" i="30"/>
  <c r="E16" i="30"/>
  <c r="E17" i="30"/>
  <c r="E18" i="30"/>
  <c r="E19" i="30"/>
  <c r="E20" i="30"/>
  <c r="E21" i="30"/>
  <c r="E22" i="30"/>
  <c r="E23" i="30"/>
  <c r="E24" i="30"/>
  <c r="D8" i="30"/>
  <c r="D9" i="30"/>
  <c r="D10" i="30"/>
  <c r="D11" i="30"/>
  <c r="D12" i="30"/>
  <c r="D13" i="30"/>
  <c r="D14" i="30"/>
  <c r="D15" i="30"/>
  <c r="D16" i="30"/>
  <c r="D17" i="30"/>
  <c r="D18" i="30"/>
  <c r="D19" i="30"/>
  <c r="D20" i="30"/>
  <c r="D21" i="30"/>
  <c r="D22" i="30"/>
  <c r="D23" i="30"/>
  <c r="D24" i="30"/>
  <c r="C8" i="30"/>
  <c r="C9" i="30"/>
  <c r="C10" i="30"/>
  <c r="C11" i="30"/>
  <c r="C12" i="30"/>
  <c r="C13" i="30"/>
  <c r="C14" i="30"/>
  <c r="C15" i="30"/>
  <c r="C16" i="30"/>
  <c r="C17" i="30"/>
  <c r="C18" i="30"/>
  <c r="C19" i="30"/>
  <c r="C20" i="30"/>
  <c r="C21" i="30"/>
  <c r="C22" i="30"/>
  <c r="C23" i="30"/>
  <c r="C24" i="30"/>
  <c r="C8" i="29"/>
  <c r="C9" i="29"/>
  <c r="C10" i="29"/>
  <c r="C11" i="29"/>
  <c r="C12" i="29"/>
  <c r="C13" i="29"/>
  <c r="C14" i="29"/>
  <c r="C15" i="29"/>
  <c r="C16" i="29"/>
  <c r="C17" i="29"/>
  <c r="C18" i="29"/>
  <c r="C19" i="29"/>
  <c r="C20" i="29"/>
  <c r="C21" i="29"/>
  <c r="C22" i="29"/>
  <c r="C23" i="29"/>
  <c r="C24" i="29"/>
  <c r="I8" i="29"/>
  <c r="I9" i="29"/>
  <c r="I10" i="29"/>
  <c r="I11" i="29"/>
  <c r="I12" i="29"/>
  <c r="I13" i="29"/>
  <c r="I14" i="29"/>
  <c r="I15" i="29"/>
  <c r="I16" i="29"/>
  <c r="I17" i="29"/>
  <c r="I18" i="29"/>
  <c r="I19" i="29"/>
  <c r="I20" i="29"/>
  <c r="I21" i="29"/>
  <c r="I22" i="29"/>
  <c r="I23" i="29"/>
  <c r="I24" i="29"/>
  <c r="H8" i="29"/>
  <c r="H9" i="29"/>
  <c r="H10" i="29"/>
  <c r="H11" i="29"/>
  <c r="H12" i="29"/>
  <c r="H13" i="29"/>
  <c r="H14" i="29"/>
  <c r="H15" i="29"/>
  <c r="H16" i="29"/>
  <c r="H17" i="29"/>
  <c r="H18" i="29"/>
  <c r="H19" i="29"/>
  <c r="H20" i="29"/>
  <c r="H21" i="29"/>
  <c r="H22" i="29"/>
  <c r="H23" i="29"/>
  <c r="H24" i="29"/>
  <c r="G8" i="29"/>
  <c r="G9" i="29"/>
  <c r="G10" i="29"/>
  <c r="G11" i="29"/>
  <c r="G12" i="29"/>
  <c r="G13" i="29"/>
  <c r="G14" i="29"/>
  <c r="G15" i="29"/>
  <c r="G16" i="29"/>
  <c r="G17" i="29"/>
  <c r="G18" i="29"/>
  <c r="G19" i="29"/>
  <c r="G20" i="29"/>
  <c r="G21" i="29"/>
  <c r="G22" i="29"/>
  <c r="G23" i="29"/>
  <c r="G24" i="29"/>
  <c r="E8" i="29"/>
  <c r="F8" i="29" s="1"/>
  <c r="E9" i="29"/>
  <c r="F9" i="29" s="1"/>
  <c r="E10" i="29"/>
  <c r="F10" i="29" s="1"/>
  <c r="E11" i="29"/>
  <c r="F11" i="29" s="1"/>
  <c r="E12" i="29"/>
  <c r="F12" i="29" s="1"/>
  <c r="E13" i="29"/>
  <c r="F13" i="29" s="1"/>
  <c r="E14" i="29"/>
  <c r="F14" i="29" s="1"/>
  <c r="E15" i="29"/>
  <c r="F15" i="29" s="1"/>
  <c r="E16" i="29"/>
  <c r="F16" i="29" s="1"/>
  <c r="E17" i="29"/>
  <c r="F17" i="29" s="1"/>
  <c r="E18" i="29"/>
  <c r="F18" i="29" s="1"/>
  <c r="E19" i="29"/>
  <c r="F19" i="29" s="1"/>
  <c r="E20" i="29"/>
  <c r="F20" i="29" s="1"/>
  <c r="E21" i="29"/>
  <c r="F21" i="29" s="1"/>
  <c r="E22" i="29"/>
  <c r="F22" i="29" s="1"/>
  <c r="E23" i="29"/>
  <c r="F23" i="29" s="1"/>
  <c r="E24" i="29"/>
  <c r="F24" i="29" s="1"/>
  <c r="D8" i="29"/>
  <c r="D9" i="29"/>
  <c r="D10" i="29"/>
  <c r="D11" i="29"/>
  <c r="D12" i="29"/>
  <c r="D13" i="29"/>
  <c r="D14" i="29"/>
  <c r="D15" i="29"/>
  <c r="D16" i="29"/>
  <c r="D17" i="29"/>
  <c r="D18" i="29"/>
  <c r="D19" i="29"/>
  <c r="D20" i="29"/>
  <c r="D21" i="29"/>
  <c r="D22" i="29"/>
  <c r="D23" i="29"/>
  <c r="D24" i="29"/>
  <c r="H13" i="18"/>
  <c r="H14" i="18"/>
  <c r="H15" i="18"/>
  <c r="H16" i="18"/>
  <c r="H17" i="18"/>
  <c r="I17" i="18" s="1"/>
  <c r="H18" i="18"/>
  <c r="I18" i="18" s="1"/>
  <c r="H21" i="18"/>
  <c r="I21" i="18" s="1"/>
  <c r="G9" i="18"/>
  <c r="G10" i="18"/>
  <c r="G11" i="18"/>
  <c r="G12" i="18"/>
  <c r="G13" i="18"/>
  <c r="G14" i="18"/>
  <c r="G15" i="18"/>
  <c r="G16" i="18"/>
  <c r="D24" i="18"/>
  <c r="D8" i="18"/>
  <c r="D9" i="18"/>
  <c r="D10" i="18"/>
  <c r="D11" i="18"/>
  <c r="D12" i="18"/>
  <c r="D13" i="18"/>
  <c r="D14" i="18"/>
  <c r="D15" i="18"/>
  <c r="D16" i="18"/>
  <c r="D17" i="18"/>
  <c r="D18" i="18"/>
  <c r="D19" i="18"/>
  <c r="D20" i="18"/>
  <c r="D21" i="18"/>
  <c r="D22" i="18"/>
  <c r="D23" i="18"/>
  <c r="C8" i="18"/>
  <c r="C9" i="18"/>
  <c r="E9" i="18" s="1"/>
  <c r="F9" i="18" s="1"/>
  <c r="C10" i="18"/>
  <c r="E10" i="18" s="1"/>
  <c r="F10" i="18" s="1"/>
  <c r="C11" i="18"/>
  <c r="E11" i="18" s="1"/>
  <c r="F11" i="18" s="1"/>
  <c r="C12" i="18"/>
  <c r="C13" i="18"/>
  <c r="C14" i="18"/>
  <c r="E14" i="18" s="1"/>
  <c r="F14" i="18" s="1"/>
  <c r="C15" i="18"/>
  <c r="E15" i="18" s="1"/>
  <c r="F15" i="18" s="1"/>
  <c r="C16" i="18"/>
  <c r="C17" i="18"/>
  <c r="E17" i="18" s="1"/>
  <c r="F17" i="18" s="1"/>
  <c r="C18" i="18"/>
  <c r="E18" i="18" s="1"/>
  <c r="F18" i="18" s="1"/>
  <c r="C19" i="18"/>
  <c r="E19" i="18" s="1"/>
  <c r="F19" i="18" s="1"/>
  <c r="C20" i="18"/>
  <c r="E20" i="18" s="1"/>
  <c r="F20" i="18" s="1"/>
  <c r="C21" i="18"/>
  <c r="E21" i="18" s="1"/>
  <c r="F21" i="18" s="1"/>
  <c r="C22" i="18"/>
  <c r="C23" i="18"/>
  <c r="C24" i="18"/>
  <c r="H8" i="1"/>
  <c r="H9" i="1"/>
  <c r="H10" i="1"/>
  <c r="H11" i="1"/>
  <c r="H12" i="1"/>
  <c r="H13" i="1"/>
  <c r="H14" i="1"/>
  <c r="H15" i="1"/>
  <c r="H16" i="1"/>
  <c r="H17" i="1"/>
  <c r="H18" i="1"/>
  <c r="G8" i="1"/>
  <c r="G9" i="1"/>
  <c r="G10" i="1"/>
  <c r="G11" i="1"/>
  <c r="G12" i="1"/>
  <c r="G13" i="1"/>
  <c r="G14" i="1"/>
  <c r="G14" i="34" s="1"/>
  <c r="G15" i="1"/>
  <c r="G16" i="1"/>
  <c r="G17" i="1"/>
  <c r="G18" i="1"/>
  <c r="G19" i="1"/>
  <c r="G20" i="1"/>
  <c r="G21" i="1"/>
  <c r="G22" i="1"/>
  <c r="G23" i="1"/>
  <c r="G24" i="1"/>
  <c r="D8" i="1"/>
  <c r="D9" i="1"/>
  <c r="D10" i="1"/>
  <c r="D11" i="1"/>
  <c r="D12" i="1"/>
  <c r="D13" i="1"/>
  <c r="D14" i="1"/>
  <c r="D15" i="1"/>
  <c r="D16" i="1"/>
  <c r="D17" i="1"/>
  <c r="D18" i="1"/>
  <c r="D19" i="1"/>
  <c r="D20" i="1"/>
  <c r="D20" i="34" s="1"/>
  <c r="D21" i="1"/>
  <c r="D22" i="1"/>
  <c r="D23" i="1"/>
  <c r="D24" i="1"/>
  <c r="C8" i="1"/>
  <c r="C9" i="1"/>
  <c r="C10" i="1"/>
  <c r="C11" i="1"/>
  <c r="C12" i="1"/>
  <c r="C13" i="1"/>
  <c r="C14" i="1"/>
  <c r="C15" i="1"/>
  <c r="C16" i="1"/>
  <c r="C17" i="1"/>
  <c r="C18" i="1"/>
  <c r="C19" i="1"/>
  <c r="C20" i="1"/>
  <c r="C21" i="1"/>
  <c r="C22" i="1"/>
  <c r="C23" i="1"/>
  <c r="C24" i="1"/>
  <c r="E7" i="3"/>
  <c r="F7" i="3"/>
  <c r="H7" i="3"/>
  <c r="I7" i="3"/>
  <c r="E12" i="4"/>
  <c r="F12" i="4" s="1"/>
  <c r="H12" i="4"/>
  <c r="I12" i="4" s="1"/>
  <c r="E13" i="4"/>
  <c r="F13" i="4" s="1"/>
  <c r="H13" i="4"/>
  <c r="I13" i="4" s="1"/>
  <c r="E14" i="4"/>
  <c r="F14" i="4"/>
  <c r="H14" i="4"/>
  <c r="I14" i="4" s="1"/>
  <c r="E15" i="4"/>
  <c r="F15" i="4" s="1"/>
  <c r="H15" i="4"/>
  <c r="I15" i="4" s="1"/>
  <c r="E16" i="4"/>
  <c r="F16" i="4" s="1"/>
  <c r="H16" i="4"/>
  <c r="I16" i="4" s="1"/>
  <c r="E17" i="4"/>
  <c r="F17" i="4"/>
  <c r="I17" i="4"/>
  <c r="E18" i="4"/>
  <c r="F18" i="4" s="1"/>
  <c r="I18" i="4"/>
  <c r="E19" i="4"/>
  <c r="F19" i="4" s="1"/>
  <c r="E20" i="4"/>
  <c r="F20" i="4"/>
  <c r="H20" i="1"/>
  <c r="I20" i="4"/>
  <c r="E21" i="4"/>
  <c r="F21" i="4" s="1"/>
  <c r="E22" i="4"/>
  <c r="F22" i="4" s="1"/>
  <c r="H22" i="1"/>
  <c r="I22" i="4"/>
  <c r="E23" i="4"/>
  <c r="F23" i="4"/>
  <c r="H23" i="1"/>
  <c r="I23" i="4"/>
  <c r="E24" i="4"/>
  <c r="F24" i="4" s="1"/>
  <c r="H24" i="4"/>
  <c r="D4" i="18"/>
  <c r="D5" i="18"/>
  <c r="D6" i="18"/>
  <c r="D7" i="18"/>
  <c r="C4" i="18"/>
  <c r="C5" i="18"/>
  <c r="C6" i="18"/>
  <c r="C7" i="18"/>
  <c r="H5" i="33"/>
  <c r="I5" i="33" s="1"/>
  <c r="H6" i="33"/>
  <c r="I6" i="33" s="1"/>
  <c r="H7" i="33"/>
  <c r="I7" i="33" s="1"/>
  <c r="H8" i="33"/>
  <c r="I8" i="33" s="1"/>
  <c r="H9" i="33"/>
  <c r="I9" i="33" s="1"/>
  <c r="H10" i="33"/>
  <c r="I10" i="33" s="1"/>
  <c r="H11" i="33"/>
  <c r="I11" i="33" s="1"/>
  <c r="H12" i="33"/>
  <c r="I12" i="33" s="1"/>
  <c r="E5" i="33"/>
  <c r="F5" i="33" s="1"/>
  <c r="E6" i="33"/>
  <c r="F6" i="33" s="1"/>
  <c r="E7" i="33"/>
  <c r="F7" i="33" s="1"/>
  <c r="E8" i="33"/>
  <c r="F8" i="33" s="1"/>
  <c r="E9" i="33"/>
  <c r="F9" i="33" s="1"/>
  <c r="E10" i="33"/>
  <c r="F10" i="33" s="1"/>
  <c r="E11" i="33"/>
  <c r="F11" i="33" s="1"/>
  <c r="E12" i="33"/>
  <c r="F12" i="33" s="1"/>
  <c r="I14" i="18" l="1"/>
  <c r="G13" i="34"/>
  <c r="I13" i="18"/>
  <c r="G12" i="34"/>
  <c r="E23" i="18"/>
  <c r="F23" i="18" s="1"/>
  <c r="G17" i="34"/>
  <c r="G22" i="34"/>
  <c r="D18" i="34"/>
  <c r="G2" i="18"/>
  <c r="I16" i="18"/>
  <c r="G8" i="34"/>
  <c r="E24" i="18"/>
  <c r="F24" i="18" s="1"/>
  <c r="E8" i="18"/>
  <c r="F8" i="18" s="1"/>
  <c r="G20" i="34"/>
  <c r="G24" i="34"/>
  <c r="H20" i="18"/>
  <c r="I20" i="18" s="1"/>
  <c r="G18" i="34"/>
  <c r="E22" i="18"/>
  <c r="F22" i="18" s="1"/>
  <c r="D8" i="34"/>
  <c r="E13" i="18"/>
  <c r="F13" i="18" s="1"/>
  <c r="E12" i="18"/>
  <c r="F12" i="18" s="1"/>
  <c r="E16" i="18"/>
  <c r="F16" i="18" s="1"/>
  <c r="H19" i="18"/>
  <c r="I19" i="18" s="1"/>
  <c r="I24" i="21"/>
  <c r="I23" i="21"/>
  <c r="I22" i="21"/>
  <c r="D24" i="34"/>
  <c r="D22" i="34"/>
  <c r="G23" i="34"/>
  <c r="D23" i="34"/>
  <c r="D21" i="34"/>
  <c r="G21" i="34"/>
  <c r="D19" i="34"/>
  <c r="G19" i="34"/>
  <c r="I15" i="18"/>
  <c r="G15" i="34"/>
  <c r="G16" i="34"/>
  <c r="D17" i="34"/>
  <c r="C14" i="34"/>
  <c r="C16" i="34"/>
  <c r="C15" i="34"/>
  <c r="C13" i="34"/>
  <c r="G9" i="34"/>
  <c r="C9" i="34"/>
  <c r="C12" i="34"/>
  <c r="G11" i="34"/>
  <c r="C11" i="34"/>
  <c r="G10" i="34"/>
  <c r="C10" i="34"/>
  <c r="C24" i="34"/>
  <c r="E24" i="1"/>
  <c r="F24" i="1" s="1"/>
  <c r="C23" i="34"/>
  <c r="E23" i="1"/>
  <c r="F23" i="1" s="1"/>
  <c r="C22" i="34"/>
  <c r="E22" i="1"/>
  <c r="F22" i="1" s="1"/>
  <c r="C21" i="34"/>
  <c r="E21" i="1"/>
  <c r="F21" i="1" s="1"/>
  <c r="C20" i="34"/>
  <c r="E20" i="34" s="1"/>
  <c r="F20" i="34" s="1"/>
  <c r="E20" i="1"/>
  <c r="F20" i="1" s="1"/>
  <c r="C19" i="34"/>
  <c r="E19" i="1"/>
  <c r="F19" i="1" s="1"/>
  <c r="C18" i="34"/>
  <c r="E18" i="1"/>
  <c r="F18" i="1" s="1"/>
  <c r="C17" i="34"/>
  <c r="E17" i="1"/>
  <c r="F17" i="1" s="1"/>
  <c r="H16" i="34"/>
  <c r="I16" i="34" s="1"/>
  <c r="I16" i="1"/>
  <c r="H15" i="34"/>
  <c r="I15" i="1"/>
  <c r="H14" i="34"/>
  <c r="I14" i="34" s="1"/>
  <c r="I14" i="1"/>
  <c r="H13" i="34"/>
  <c r="I13" i="1"/>
  <c r="I12" i="1"/>
  <c r="C8" i="34"/>
  <c r="E8" i="34" s="1"/>
  <c r="F8" i="34" s="1"/>
  <c r="E8" i="1"/>
  <c r="F8" i="1" s="1"/>
  <c r="I11" i="1"/>
  <c r="I10" i="1"/>
  <c r="I9" i="1"/>
  <c r="I8" i="1"/>
  <c r="H18" i="34"/>
  <c r="I18" i="34" s="1"/>
  <c r="I18" i="1"/>
  <c r="H17" i="34"/>
  <c r="I17" i="34" s="1"/>
  <c r="I17" i="1"/>
  <c r="H22" i="34"/>
  <c r="I22" i="34" s="1"/>
  <c r="I22" i="1"/>
  <c r="I21" i="4"/>
  <c r="H21" i="1"/>
  <c r="I20" i="1"/>
  <c r="I19" i="4"/>
  <c r="H19" i="1"/>
  <c r="I24" i="4"/>
  <c r="H24" i="1"/>
  <c r="H23" i="34"/>
  <c r="I23" i="1"/>
  <c r="D16" i="34"/>
  <c r="E16" i="1"/>
  <c r="F16" i="1" s="1"/>
  <c r="D15" i="34"/>
  <c r="E15" i="1"/>
  <c r="F15" i="1" s="1"/>
  <c r="D14" i="34"/>
  <c r="E14" i="1"/>
  <c r="F14" i="1" s="1"/>
  <c r="D13" i="34"/>
  <c r="E13" i="1"/>
  <c r="F13" i="1" s="1"/>
  <c r="D12" i="34"/>
  <c r="E12" i="1"/>
  <c r="F12" i="1" s="1"/>
  <c r="D11" i="34"/>
  <c r="E11" i="1"/>
  <c r="F11" i="1" s="1"/>
  <c r="D10" i="34"/>
  <c r="E10" i="1"/>
  <c r="F10" i="1" s="1"/>
  <c r="D9" i="34"/>
  <c r="E9" i="34" s="1"/>
  <c r="F9" i="34" s="1"/>
  <c r="E9" i="1"/>
  <c r="F9" i="1" s="1"/>
  <c r="G6" i="30"/>
  <c r="G7" i="30"/>
  <c r="G5" i="30"/>
  <c r="G4" i="30"/>
  <c r="E5" i="28"/>
  <c r="F5" i="28" s="1"/>
  <c r="E5" i="27"/>
  <c r="G5" i="29"/>
  <c r="G6" i="29"/>
  <c r="G7" i="29"/>
  <c r="G4" i="29"/>
  <c r="E12" i="19"/>
  <c r="E5" i="20"/>
  <c r="E4" i="4"/>
  <c r="F4" i="4"/>
  <c r="H4" i="4"/>
  <c r="I4" i="4"/>
  <c r="E5" i="4"/>
  <c r="F5" i="4"/>
  <c r="H5" i="4"/>
  <c r="I5" i="4"/>
  <c r="E6" i="4"/>
  <c r="F6" i="4"/>
  <c r="H6" i="4"/>
  <c r="I6" i="4"/>
  <c r="E7" i="4"/>
  <c r="F7" i="4"/>
  <c r="H7" i="4"/>
  <c r="I7" i="4"/>
  <c r="E8" i="4"/>
  <c r="F8" i="4"/>
  <c r="H8" i="4"/>
  <c r="I8" i="4"/>
  <c r="E9" i="4"/>
  <c r="F9" i="4" s="1"/>
  <c r="H9" i="4"/>
  <c r="I9" i="4" s="1"/>
  <c r="E10" i="4"/>
  <c r="F10" i="4"/>
  <c r="H10" i="4"/>
  <c r="I10" i="4" s="1"/>
  <c r="E11" i="4"/>
  <c r="F11" i="4" s="1"/>
  <c r="H11" i="4"/>
  <c r="I11" i="4" s="1"/>
  <c r="I13" i="34" l="1"/>
  <c r="E13" i="34"/>
  <c r="F13" i="34" s="1"/>
  <c r="E12" i="34"/>
  <c r="F12" i="34" s="1"/>
  <c r="E11" i="34"/>
  <c r="F11" i="34" s="1"/>
  <c r="E10" i="34"/>
  <c r="F10" i="34" s="1"/>
  <c r="I15" i="34"/>
  <c r="H20" i="34"/>
  <c r="I20" i="34" s="1"/>
  <c r="E18" i="34"/>
  <c r="F18" i="34" s="1"/>
  <c r="I23" i="34"/>
  <c r="E19" i="34"/>
  <c r="F19" i="34" s="1"/>
  <c r="E21" i="34"/>
  <c r="F21" i="34" s="1"/>
  <c r="E23" i="34"/>
  <c r="F23" i="34" s="1"/>
  <c r="E24" i="34"/>
  <c r="F24" i="34" s="1"/>
  <c r="E14" i="34"/>
  <c r="F14" i="34" s="1"/>
  <c r="E22" i="34"/>
  <c r="F22" i="34" s="1"/>
  <c r="E17" i="34"/>
  <c r="F17" i="34" s="1"/>
  <c r="E16" i="34"/>
  <c r="F16" i="34" s="1"/>
  <c r="E15" i="34"/>
  <c r="F15" i="34" s="1"/>
  <c r="H21" i="34"/>
  <c r="I21" i="34" s="1"/>
  <c r="I21" i="1"/>
  <c r="H19" i="34"/>
  <c r="I19" i="34" s="1"/>
  <c r="I19" i="1"/>
  <c r="H24" i="34"/>
  <c r="I24" i="34" s="1"/>
  <c r="I24" i="1"/>
  <c r="E7" i="72"/>
  <c r="F7" i="72" s="1"/>
  <c r="E6" i="72"/>
  <c r="F6" i="72" s="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E6" i="3"/>
  <c r="F6" i="3" s="1"/>
  <c r="H6" i="3"/>
  <c r="I6" i="3" s="1"/>
  <c r="G6" i="1"/>
  <c r="G6" i="34" s="1"/>
  <c r="G7" i="1"/>
  <c r="G7" i="34" s="1"/>
  <c r="G5" i="1"/>
  <c r="G5" i="34" s="1"/>
  <c r="G4" i="1"/>
  <c r="G4" i="34" s="1"/>
  <c r="B4" i="34" a="1"/>
  <c r="B4" i="34" s="1"/>
  <c r="A4" i="34" a="1"/>
  <c r="A4" i="34" s="1"/>
  <c r="A1" i="34" a="1"/>
  <c r="A1" i="34" s="1"/>
  <c r="D7" i="30"/>
  <c r="C7" i="30"/>
  <c r="D6" i="30"/>
  <c r="C6" i="30"/>
  <c r="D5" i="30"/>
  <c r="C5" i="30"/>
  <c r="D4" i="30"/>
  <c r="C4" i="30"/>
  <c r="D7" i="29"/>
  <c r="C7" i="29"/>
  <c r="D6" i="29"/>
  <c r="C6" i="29"/>
  <c r="D5" i="29"/>
  <c r="C5" i="29"/>
  <c r="D4" i="29"/>
  <c r="C4" i="29"/>
  <c r="B4" i="30" a="1"/>
  <c r="B4" i="30" s="1"/>
  <c r="G2" i="30"/>
  <c r="A1" i="30" a="1"/>
  <c r="A1" i="30" s="1"/>
  <c r="B4" i="29" a="1"/>
  <c r="B4" i="29" s="1"/>
  <c r="A4" i="29" a="1"/>
  <c r="A4" i="29" s="1"/>
  <c r="G2" i="29"/>
  <c r="A1" i="29" a="1"/>
  <c r="A1" i="29" s="1"/>
  <c r="B4" i="18" a="1"/>
  <c r="B4" i="18" s="1"/>
  <c r="A4" i="18" a="1"/>
  <c r="A4" i="18" s="1"/>
  <c r="A1" i="18" a="1"/>
  <c r="A1" i="18" s="1"/>
  <c r="C7" i="1"/>
  <c r="C6" i="1"/>
  <c r="C5" i="1"/>
  <c r="C4" i="1"/>
  <c r="D6" i="1"/>
  <c r="D7" i="1"/>
  <c r="D5" i="1"/>
  <c r="D4" i="1"/>
  <c r="B4" i="1" a="1"/>
  <c r="B4" i="1" s="1"/>
  <c r="A4" i="1" a="1"/>
  <c r="A4" i="1" s="1"/>
  <c r="A1" i="1" a="1"/>
  <c r="A1" i="1" s="1"/>
  <c r="H4" i="33"/>
  <c r="I4" i="33" s="1"/>
  <c r="E4" i="33"/>
  <c r="F4" i="33" s="1"/>
  <c r="G2" i="33"/>
  <c r="D2" i="33"/>
  <c r="C2" i="33"/>
  <c r="A1" i="33" a="1"/>
  <c r="A1" i="33"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H4" i="32"/>
  <c r="I4" i="32" s="1"/>
  <c r="E4" i="32"/>
  <c r="F4" i="32" s="1"/>
  <c r="G2" i="32"/>
  <c r="D2" i="32"/>
  <c r="C2" i="32"/>
  <c r="A1" i="32" a="1"/>
  <c r="A1" i="32"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H4" i="28"/>
  <c r="I4" i="28" s="1"/>
  <c r="E4" i="28"/>
  <c r="F4" i="28" s="1"/>
  <c r="B4" i="28" a="1"/>
  <c r="B4" i="28" s="1"/>
  <c r="A4" i="28" a="1"/>
  <c r="A4" i="28" s="1"/>
  <c r="G2" i="28"/>
  <c r="D2" i="28"/>
  <c r="C2" i="28"/>
  <c r="A1" i="28" a="1"/>
  <c r="A1" i="28" s="1"/>
  <c r="H12" i="27"/>
  <c r="I12" i="27" s="1"/>
  <c r="E12" i="27"/>
  <c r="F12" i="27" s="1"/>
  <c r="H11" i="27"/>
  <c r="I11" i="27" s="1"/>
  <c r="E11" i="27"/>
  <c r="F11" i="27" s="1"/>
  <c r="H10" i="27"/>
  <c r="E10" i="27"/>
  <c r="F10" i="27" s="1"/>
  <c r="H9" i="27"/>
  <c r="I9" i="27" s="1"/>
  <c r="E9" i="27"/>
  <c r="F9" i="27" s="1"/>
  <c r="H8" i="27"/>
  <c r="I8" i="27" s="1"/>
  <c r="E8" i="27"/>
  <c r="F8" i="27" s="1"/>
  <c r="H7" i="27"/>
  <c r="I7" i="27" s="1"/>
  <c r="E7" i="27"/>
  <c r="F7" i="27" s="1"/>
  <c r="H6" i="27"/>
  <c r="I6" i="27" s="1"/>
  <c r="E6" i="27"/>
  <c r="F6" i="27" s="1"/>
  <c r="H5" i="27"/>
  <c r="I5" i="27" s="1"/>
  <c r="F5" i="27"/>
  <c r="H4" i="27"/>
  <c r="I4" i="27" s="1"/>
  <c r="E4" i="27"/>
  <c r="F4" i="27" s="1"/>
  <c r="G2" i="27"/>
  <c r="D2" i="27"/>
  <c r="C2" i="27"/>
  <c r="A1" i="27" a="1"/>
  <c r="A1" i="27" s="1"/>
  <c r="H12" i="26"/>
  <c r="E12" i="26"/>
  <c r="F12" i="26" s="1"/>
  <c r="H11" i="26"/>
  <c r="I11" i="26" s="1"/>
  <c r="E11" i="26"/>
  <c r="F11" i="26" s="1"/>
  <c r="H10" i="26"/>
  <c r="I10" i="26" s="1"/>
  <c r="E10" i="26"/>
  <c r="F10" i="26" s="1"/>
  <c r="H9" i="26"/>
  <c r="E9" i="26"/>
  <c r="F9" i="26" s="1"/>
  <c r="H8" i="26"/>
  <c r="I8" i="26" s="1"/>
  <c r="E8" i="26"/>
  <c r="F8" i="26" s="1"/>
  <c r="H7" i="26"/>
  <c r="E7" i="26"/>
  <c r="F7" i="26" s="1"/>
  <c r="H6" i="26"/>
  <c r="E6" i="26"/>
  <c r="F6" i="26" s="1"/>
  <c r="H5" i="26"/>
  <c r="I5" i="26" s="1"/>
  <c r="E5" i="26"/>
  <c r="F5" i="26" s="1"/>
  <c r="H4" i="26"/>
  <c r="I4" i="26" s="1"/>
  <c r="E4" i="26"/>
  <c r="F4" i="26" s="1"/>
  <c r="G2" i="26"/>
  <c r="D2" i="26"/>
  <c r="C2" i="26"/>
  <c r="A1" i="26" a="1"/>
  <c r="A1" i="26" s="1"/>
  <c r="H12" i="19"/>
  <c r="I12" i="19" s="1"/>
  <c r="F12" i="19"/>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5" i="20"/>
  <c r="I5" i="20" s="1"/>
  <c r="F5" i="20"/>
  <c r="H4" i="20"/>
  <c r="I4" i="20" s="1"/>
  <c r="E4" i="20"/>
  <c r="F4" i="20" s="1"/>
  <c r="G2" i="20"/>
  <c r="D2" i="20"/>
  <c r="C2" i="20"/>
  <c r="A1" i="20" a="1"/>
  <c r="A1" i="20" s="1"/>
  <c r="H12" i="21"/>
  <c r="E12" i="21"/>
  <c r="F12" i="21" s="1"/>
  <c r="H11" i="21"/>
  <c r="E11" i="21"/>
  <c r="F11" i="21" s="1"/>
  <c r="H10" i="21"/>
  <c r="E10" i="21"/>
  <c r="F10" i="21" s="1"/>
  <c r="H9" i="21"/>
  <c r="E9" i="21"/>
  <c r="F9" i="21" s="1"/>
  <c r="H8" i="21"/>
  <c r="E8" i="21"/>
  <c r="F8" i="21" s="1"/>
  <c r="H7" i="21"/>
  <c r="I7" i="21" s="1"/>
  <c r="E7" i="21"/>
  <c r="F7" i="21" s="1"/>
  <c r="H6" i="21"/>
  <c r="I6" i="21" s="1"/>
  <c r="E6" i="21"/>
  <c r="F6" i="21" s="1"/>
  <c r="H5" i="21"/>
  <c r="I5" i="21" s="1"/>
  <c r="E5" i="21"/>
  <c r="F5" i="21" s="1"/>
  <c r="H4" i="21"/>
  <c r="I4" i="21" s="1"/>
  <c r="E4" i="21"/>
  <c r="F4" i="21" s="1"/>
  <c r="G2" i="21"/>
  <c r="D2" i="21"/>
  <c r="C2" i="21"/>
  <c r="A1" i="21" a="1"/>
  <c r="A1" i="21" s="1"/>
  <c r="G2" i="4"/>
  <c r="D2" i="4"/>
  <c r="C2" i="4"/>
  <c r="J2" i="4" s="1"/>
  <c r="A1" i="4" a="1"/>
  <c r="A1" i="4" s="1"/>
  <c r="G2" i="3"/>
  <c r="D2" i="3"/>
  <c r="C2" i="3"/>
  <c r="J2" i="3" s="1"/>
  <c r="A1" i="3" a="1"/>
  <c r="A1" i="3" s="1"/>
  <c r="H6" i="72"/>
  <c r="I6" i="72" s="1"/>
  <c r="H7" i="72"/>
  <c r="I7" i="72" s="1"/>
  <c r="H5" i="72"/>
  <c r="I5" i="72" s="1"/>
  <c r="H4" i="72"/>
  <c r="I4" i="72" s="1"/>
  <c r="G2" i="72"/>
  <c r="D2" i="72"/>
  <c r="C2" i="72"/>
  <c r="J2" i="72" s="1"/>
  <c r="A1" i="72" a="1"/>
  <c r="A1" i="72" s="1"/>
  <c r="I8" i="21" l="1"/>
  <c r="H8" i="18"/>
  <c r="I9" i="21"/>
  <c r="H9" i="18"/>
  <c r="I12" i="21"/>
  <c r="H12" i="18"/>
  <c r="I11" i="21"/>
  <c r="H11" i="18"/>
  <c r="I10" i="21"/>
  <c r="H10" i="18"/>
  <c r="C5" i="34"/>
  <c r="D5" i="34"/>
  <c r="C6" i="34"/>
  <c r="D6" i="34"/>
  <c r="C7" i="34"/>
  <c r="D7" i="34"/>
  <c r="H6" i="29"/>
  <c r="I6" i="29" s="1"/>
  <c r="E7" i="18"/>
  <c r="F7" i="18" s="1"/>
  <c r="D4" i="34"/>
  <c r="D2" i="18"/>
  <c r="H6" i="30"/>
  <c r="H7" i="29"/>
  <c r="I7" i="29" s="1"/>
  <c r="E4" i="18"/>
  <c r="F4" i="18" s="1"/>
  <c r="E4" i="30"/>
  <c r="F4" i="30" s="1"/>
  <c r="D2" i="29"/>
  <c r="I10" i="27"/>
  <c r="E5" i="18"/>
  <c r="F5" i="18" s="1"/>
  <c r="E5" i="29"/>
  <c r="F5" i="29" s="1"/>
  <c r="E5" i="30"/>
  <c r="F5" i="30" s="1"/>
  <c r="E6" i="18"/>
  <c r="F6" i="18" s="1"/>
  <c r="E6" i="29"/>
  <c r="F6" i="29" s="1"/>
  <c r="E6" i="30"/>
  <c r="F6"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H2" i="3"/>
  <c r="I2" i="3" s="1"/>
  <c r="E7" i="1"/>
  <c r="F7" i="1" s="1"/>
  <c r="G2" i="1"/>
  <c r="E5" i="1"/>
  <c r="F5" i="1" s="1"/>
  <c r="E6" i="1"/>
  <c r="F6" i="1" s="1"/>
  <c r="H4" i="30"/>
  <c r="I4" i="30" s="1"/>
  <c r="E7" i="30"/>
  <c r="F7" i="30" s="1"/>
  <c r="H7" i="30"/>
  <c r="H5" i="30"/>
  <c r="E7" i="29"/>
  <c r="F7" i="29" s="1"/>
  <c r="I6" i="26"/>
  <c r="I9" i="26"/>
  <c r="I12" i="26"/>
  <c r="H4" i="29"/>
  <c r="I4" i="29" s="1"/>
  <c r="H5" i="29"/>
  <c r="I5" i="29" s="1"/>
  <c r="I7" i="26"/>
  <c r="H6" i="18"/>
  <c r="I6" i="18" s="1"/>
  <c r="H4" i="18"/>
  <c r="I4" i="18" s="1"/>
  <c r="H7" i="18"/>
  <c r="I7" i="18" s="1"/>
  <c r="C4" i="34"/>
  <c r="H5" i="18"/>
  <c r="I5" i="18" s="1"/>
  <c r="C2" i="29"/>
  <c r="C2" i="30"/>
  <c r="E4" i="29"/>
  <c r="F4" i="29" s="1"/>
  <c r="C2" i="18"/>
  <c r="H7" i="1"/>
  <c r="I7" i="1" s="1"/>
  <c r="H4" i="1"/>
  <c r="H5" i="1"/>
  <c r="I5" i="1" s="1"/>
  <c r="H6" i="1"/>
  <c r="I6" i="1" s="1"/>
  <c r="C2" i="1"/>
  <c r="E2" i="3"/>
  <c r="F2" i="3" s="1"/>
  <c r="E4" i="1"/>
  <c r="F4" i="1" s="1"/>
  <c r="D2" i="1"/>
  <c r="E2" i="33"/>
  <c r="F2" i="33" s="1"/>
  <c r="E2" i="32"/>
  <c r="F2" i="32" s="1"/>
  <c r="E2" i="31"/>
  <c r="F2" i="31" s="1"/>
  <c r="E2" i="27"/>
  <c r="F2" i="27" s="1"/>
  <c r="E2" i="26"/>
  <c r="F2" i="26" s="1"/>
  <c r="E2" i="19"/>
  <c r="F2" i="19" s="1"/>
  <c r="E2" i="21"/>
  <c r="F2" i="21" s="1"/>
  <c r="E2" i="4"/>
  <c r="F2" i="4" s="1"/>
  <c r="H2" i="72"/>
  <c r="I8" i="18" l="1"/>
  <c r="H8" i="34"/>
  <c r="I8" i="34" s="1"/>
  <c r="I9" i="18"/>
  <c r="H9" i="34"/>
  <c r="I9" i="34" s="1"/>
  <c r="I12" i="18"/>
  <c r="H12" i="34"/>
  <c r="I12" i="34" s="1"/>
  <c r="I11" i="18"/>
  <c r="H11" i="34"/>
  <c r="I11" i="34" s="1"/>
  <c r="I10" i="18"/>
  <c r="H10" i="34"/>
  <c r="I10" i="34" s="1"/>
  <c r="E5" i="34"/>
  <c r="F5" i="34" s="1"/>
  <c r="E7" i="34"/>
  <c r="F7" i="34" s="1"/>
  <c r="E6" i="34"/>
  <c r="F6" i="34" s="1"/>
  <c r="D2" i="34"/>
  <c r="I5" i="30"/>
  <c r="H5" i="34"/>
  <c r="I5" i="34" s="1"/>
  <c r="I7" i="30"/>
  <c r="H7" i="34"/>
  <c r="I7" i="34" s="1"/>
  <c r="I6" i="30"/>
  <c r="H6" i="34"/>
  <c r="I6" i="34" s="1"/>
  <c r="E2" i="29"/>
  <c r="F2" i="29" s="1"/>
  <c r="E4" i="34"/>
  <c r="F4" i="34"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<sst xmlns="http://schemas.openxmlformats.org/spreadsheetml/2006/main" count="726" uniqueCount="326">
  <si>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</si>
  <si>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</si>
  <si>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</si>
  <si>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</si>
  <si>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</si>
  <si>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</si>
  <si>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</si>
  <si>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</si>
  <si>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</si>
  <si>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</si>
  <si>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</si>
  <si>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</si>
  <si>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</si>
  <si>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</si>
  <si>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</si>
  <si>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</si>
  <si>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</si>
  <si>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</si>
  <si>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</si>
  <si>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</si>
  <si>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Notes1</t>
  </si>
  <si>
    <t>Service Requests</t>
  </si>
  <si>
    <t>1. Inverter 2 is offline from 01/01 due to several isolation errors.</t>
  </si>
  <si>
    <t>1.	SR095368</t>
  </si>
  <si>
    <t xml:space="preserve">1. Inverters D, I, and O were offline due to arc faults, while inverters L and Q had been offline since 12/08/23, and Inverter P had been offline since 06/14/24. On 01/17, a technician visited the site, troubleshot all inverters, and brought them back online except for inverter K, which remained out of service due to a non-functional LED screen. Inverter K has been RMA’d.
</t>
  </si>
  <si>
    <t>1.SR095501</t>
  </si>
  <si>
    <t>1. Site started derated at 12:30pm and later was offline at 15:00 on 01/29 through out the month.</t>
  </si>
  <si>
    <t>1.SR096179</t>
  </si>
  <si>
    <t>February Actual v. Expected</t>
  </si>
  <si>
    <t>February Actual v. Forecasted</t>
  </si>
  <si>
    <t>1. Inverter 2 is offline from 01/01 due to several isolation errors.
2. Inverter 1 tripped offline since 02/25 due to insulation faults.</t>
  </si>
  <si>
    <t>1.SR095368
2.SR097850</t>
  </si>
  <si>
    <t>SR097850</t>
  </si>
  <si>
    <t>1.Inverters L, N, P, and Q were offline, and Inverter I was reporting an ARC fault. On 02/20 upon the technician's arrival, it was found that Inverters L, P, and Q were offline, Inverter I was offline and reporting an ARC fault, while Inverter N was also reporting an ARC fault. The fault was cleared, and the inverters L, Q, I and N was power-cycled and they are  back online. But Inverters N and P are out of warranty required additional troubleshoot.
2.Inverter K has been RMA’d, On 02/04, the technician brought Inverter K back online by updating its software.</t>
  </si>
  <si>
    <t>1.SR096409, 	SR097783
2.SR095501</t>
  </si>
  <si>
    <t>SR097783</t>
  </si>
  <si>
    <t>SR095501</t>
  </si>
  <si>
    <t>1.The site has been offline since 01/29. On 02/03, upon the technician's arrival, it was found that DC strings CB1, string 10, and CB6, string 7, each had no open-circuit string voltage, even without the fuse. After isolating these strings, the inverter was re-energized, and the site was brought back online at 02:45 PM on 02/03.</t>
  </si>
  <si>
    <t>1.SR096179, 	SR096262</t>
  </si>
  <si>
    <t>SR096262</t>
  </si>
  <si>
    <t>March Actual v. Expected</t>
  </si>
  <si>
    <t>March Actual v. Forecasted</t>
  </si>
  <si>
    <t>Notes</t>
  </si>
  <si>
    <t>N/A</t>
  </si>
  <si>
    <t>1. Inverter 2 is offline from 01/01 due to several isolation errors.
2. Inverter 1 tripped offline on 02/25 due to insulation faults and came back online at 02:35 on 03/01. It has also gone offline multiple times throughout the month.</t>
  </si>
  <si>
    <t>1.Inverter L tripped offline due to Arc fault detected from 09:50AM on 03/02 through out the month.
2.Inverter I tripped offline due to an arc fault from 17:10 on 03/09 through out the month.
3.Site was offline between 9AM to 10:30Am on 03/07 due to grid fault. Again site was offline from 15:30 to 15:40 on 03/19 due to Grid undervoltage. 
4.Inverter P was offline and Inverter N was offline and lost communication  on multiple days through out the month. Inverters N and P require manufacturer diagnostics, but their warranties have expired—repair and shipping costs not covered. Client is considering replacing AE inverters with another brand and is seeking recommendations.</t>
  </si>
  <si>
    <t>1.SR097975
2.SR097975
3.SR098262 &amp; SR098783
4.SR097783 &amp; SR098428</t>
  </si>
  <si>
    <t>SR097975</t>
  </si>
  <si>
    <t>SR098262</t>
  </si>
  <si>
    <t>SR098783</t>
  </si>
  <si>
    <t>SR098428</t>
  </si>
  <si>
    <t>1. The inverter was tripping on and off. Upon the technician's arrival, it was found that DC strings—CB1 String 10 and CB6 String 7—had no open-circuit voltage and a broken module, even with the fuses removed. After isolating these strings, the inverter was re-energized, and the affected modules are currently pending replacement.</t>
  </si>
  <si>
    <t>1. SR096262,	  SR099066</t>
  </si>
  <si>
    <t>SR099066</t>
  </si>
  <si>
    <t>1. Inverter 13 is underperforming by approximately 10 kW compared to its peers.</t>
  </si>
  <si>
    <t>1. SR098870</t>
  </si>
  <si>
    <t>1.Site has not started for the production on 03/13, technician found that the SEL realy was opened and later closed the relay the site was back online at 16:20 on 03/13.
2. Site was offline on 03/15 due to heavy stroms later technician was able to close the relay on 03/17 at 14:15.</t>
  </si>
  <si>
    <t>1.SR098497
2.SR098613</t>
  </si>
  <si>
    <t>SR098613</t>
  </si>
  <si>
    <t>1.Inverter 6 is down a string from 07/30/24.
2.Site has not started for the production on 03/13, technician found that the SEL realy was opened and later closed the relay the site was back online at 14:45 on 03/13.
3.Site was offline on 03/15 due to heavy stroms later technician was able to close the relay on 03/17 at 13:15.</t>
  </si>
  <si>
    <t>1.SR098046
2.SR098496
3.SR098614</t>
  </si>
  <si>
    <t>SR098496</t>
  </si>
  <si>
    <t>SR098614</t>
  </si>
  <si>
    <t>1. Inverter 3 has been down a string since 09/09/21. Additionally, Inverter 3 tripped offline at 15:00 CDT on 03/31 and is reporting a permanent fault on the power module. After a technician checked in, it was confirmed that the inverter powerhead has been RMA’d.</t>
  </si>
  <si>
    <t>1. SR098047, SR099230</t>
  </si>
  <si>
    <t>SR099230</t>
  </si>
  <si>
    <t>1. Site was offline at 09:45am on 03/30 till end of the month due to recloser open</t>
  </si>
  <si>
    <t>1.SR099167</t>
  </si>
  <si>
    <t>1. Inverters B4, C2, C5 are each down 1 string.
2.Site is offline with multiple grid under frequency alerts at 09:30 on 03/30 later has reenegized the site at 12:00 on 03/31.</t>
  </si>
  <si>
    <t>1.SR098048
2.SR099150</t>
  </si>
  <si>
    <t>SR099150</t>
  </si>
  <si>
    <t>1. The college inverter 18 is offline due to an Isolation Error.</t>
  </si>
  <si>
    <t>1. SR098818</t>
  </si>
  <si>
    <t>1. Meter A Inverters 1 through 4 went offline on 03/20 due to a power unit issue. Additionally, Meter A Inverter 12 went offline on 03/31 and is reporting an electric arc detection.</t>
  </si>
  <si>
    <t>1. SR098819</t>
  </si>
  <si>
    <t>1.Inverters 12 and 15 were offline at 07:00 AM on 03/04, and inverter 15 later self-resolved at 05:50 PM on 03/27.
Inverter 9 has been offline since 11/25/24.
Inverter 18 has been offline since 04/27/24.
2.Inverter 5 is offline multiple days in a month.</t>
  </si>
  <si>
    <t>1. SR098076
2. SR098231</t>
  </si>
  <si>
    <t>SR098231</t>
  </si>
  <si>
    <t>1. Inverter 1 has been offline since the site began operations.
2. Inverter 7 is offline from 12/09/24.</t>
  </si>
  <si>
    <t>1. SR098015
2. SR098016</t>
  </si>
  <si>
    <t>SR098016</t>
  </si>
  <si>
    <t>April Actual v. Expected</t>
  </si>
  <si>
    <t>April Actual v. Forecasted</t>
  </si>
  <si>
    <t>1.Inverter 1 was offline on multiple days of the month due to Insulation Fault.
2.Inverter 2 is offline from 01/01 due to Isolation fault.
3.Inverter 12 was significantly affected by shading, resulting in a 6 kW reduction in output. This issue is more likely to occur on high irradiance days throughout the month.</t>
  </si>
  <si>
    <t>1.SR097850
2.SR095368
3.SR099290</t>
  </si>
  <si>
    <t>SR095368</t>
  </si>
  <si>
    <t>SR099290</t>
  </si>
  <si>
    <t>1.Inverter L tripped offline due to Arc fault detected from 09:50AM on 03/02 and back online at 11:20AM on 04/03 after technician reset code.
2.Inverter I tripped offline at 17:10 on 03/09 due to an arc fault and back online at 11:30AM on 04/03 after technician reset code. again tripped offline from 9:00 to 16:00 on 04/08 due to arc fault. 
3. Alll inverters tripped offline from 9:00 to 16:00 on 04/08 due to grid fault.
4.Inverter P was offline and Inverter N was offline and lost communication  on multiple days through out the month. Inverters N and P require manufacturer diagnostics, but their warranties have expired—repair and shipping costs not covered. Client is considering replacing AE inverters with another brand and is seeking recommendations.</t>
  </si>
  <si>
    <t>1.SR097975
2.SR097975 &amp; SR099501
3.SR099508
4.SR097783</t>
  </si>
  <si>
    <t>SR099501</t>
  </si>
  <si>
    <t>SR099508</t>
  </si>
  <si>
    <t>1.On 03/14, Technicians identified failed modules on CB1 String 10 and CB6 String 7 causing inverter shutdown. They isolated the faulty strings, restored DC voltage, and brought the inverter back online. Site is now producing normally; module procurement and replacement are pending.</t>
  </si>
  <si>
    <t>1.SR096262 &amp; SR099066</t>
  </si>
  <si>
    <t>1. Inverter 13 is underperforming by approximately 10 kW compared to its peers.
2.The weather station has experienced intermittent communication over a period of 2-3 days Since 04/05, due to an RS485 failure outside the PowerDash enclosure. While the gateway and Acuvim meter remain online, the inverters and weather station have lost connection. Additional troubleshooting is required</t>
  </si>
  <si>
    <t>1.SR098870
2.SR099461</t>
  </si>
  <si>
    <t>SR099461</t>
  </si>
  <si>
    <t xml:space="preserve">1.Site remained offline from 10:15 CDT on 04/26 to 08:30 CDT on 04/29.Site came back online after technician has  reset the main breaker </t>
  </si>
  <si>
    <t>1.SR100445</t>
  </si>
  <si>
    <t xml:space="preserve">1.The site remained offline from 07:15 on 04/22 to 12:30 on 04/23. On 04/23, a technician reset the SEL relay and tripped breaker, that the issue could be due to poor utility power quality—harmonics or capacitor banks may need adjustment
2. Meter communications have been intermittent, with frequent losses in connectivity lasting between 45 minutes to 2 hours before self-resolving. This issue has persisted throughout the month and is affecting the accuracy of forecasted values
3.Site remained offline from 06:30 to 16:30 on 04/29.Site was back online after technician has closed in the Main Breaker </t>
  </si>
  <si>
    <t>1.SR100131
2.SR100417
3.SR100617</t>
  </si>
  <si>
    <t>SR100417</t>
  </si>
  <si>
    <t>SR100617</t>
  </si>
  <si>
    <t>1.Site remained offline from 12:47 on 04/05 to 12:45 on 04/07.Site came back online after the technician has reset the SEL relay and  main breaker.
2.Site remained offline from 06:30 to 17:30 on 04/29.Site was back online after technician has closed in the Main Breaker 
3. Inverter 6 is down 2 strings from 07/30/24.</t>
  </si>
  <si>
    <t>1.SR099457
2.SR100618
3.SR098046,PM13355</t>
  </si>
  <si>
    <t>SR100618</t>
  </si>
  <si>
    <t>SR098046</t>
  </si>
  <si>
    <t xml:space="preserve">1.Inverter 3 is down a string since 09/09/21.Issue got resolved on 04/23 after the inverter replacement.
2.Inverter 3 tripped offline at 15:00CDT on 03/31 and powerhead being  RMAD from 04/03. On 04/23,Inverter 3 is producing as expected after inverter replcament done by technician.
</t>
  </si>
  <si>
    <t>1.SR098047,PM13645
2.SR099230</t>
  </si>
  <si>
    <t>1.The site was offline from 04/01 to 15:00 on 04/03. Heavy snow in that area may have caused  the outage. The site came back online after the technician reset the breaker on 04/03.
2.Site was offline from 19:15 on 04/14 to 11:45 on 04/15 due to utility outage.Site was back online after technician has reset the main breaker.
3.Site was offline from 22:45 on 04/28 to 11:45 on 04/29.After tecnician reset main breaker.
4.Weather Station (Wind, Amb, Mod1, POA) (POA) is intermittently reading irradiance greater than 0W/m2 during night hours. Intermittently reading 0 W/m2 during the day on 3/28/25.Issue persisted throughout the month</t>
  </si>
  <si>
    <t>1.SR099167
2.SR099789
3.SR100621
4.SR099110</t>
  </si>
  <si>
    <t>SR099789</t>
  </si>
  <si>
    <t>SR100621</t>
  </si>
  <si>
    <t>SR099110</t>
  </si>
  <si>
    <t>1. Inverters B4, C2, C5 are each down 1 string and investigating on PM event.</t>
  </si>
  <si>
    <t>1. SR098048</t>
  </si>
  <si>
    <t>1. College Inverter 18 tripped offline at 18:00 on 04/02 due to an isolation error. Additionally, Inverter 45 tripped offline at 06:00 on 04/04 due to an isolation fault. Both inverters were back online at 07:00 on 04/08. 
2. Inverter 18 tripped offline at 06:00 on 04/12 due to an "isolation error" and later self-resolved, and back online at 12:00 on 04/13. It tripped offline again from 06:00 to 12:00 on 04/13 due to "isolation fault" and later self-resolved.</t>
  </si>
  <si>
    <t>1. SR098818
2. SR099746</t>
  </si>
  <si>
    <t>SR099746</t>
  </si>
  <si>
    <t>1. Meter A Inverters 1 through 4 went offline on 03/20 due to a power unit issue in Inverter 2. Inverters 1, 3, and 4 also reported electric arc detection. Additionally, Meter A Inverter 12 went offline on 03/31 and reported an electric arc detection. After a technician arrived and reset the inverters, A1, A3, A4, and A12 came back online at 13:00 on 04/04. Inverter A2 remains offline and requires further troubleshooting. However, Inverter A12 went offline again at 11:00 on 04/08 and has reporting electric arc detection and continued throughout the month.
2. Meter A is completely offline. Admin inverters 01 and 02 are also offline on 04/22.</t>
  </si>
  <si>
    <t>1. SR098819, SR099691, 
2. SR101068</t>
  </si>
  <si>
    <t>SR099691</t>
  </si>
  <si>
    <t>SR101068</t>
  </si>
  <si>
    <t>1.Inverter 15 went offline at 07:00 on 04/03 and came back online at 11:10 on 04/05. The inverter has been tripping multiple times throughout the month.
Inverter 8 was offline from  07:00 to 17:20 on 04/04 later self-resolved.The inverter has been tripping multiple times throughout the month.
Inverter 12 has been offline since 03/04/25.
Inverter 9 has been offline since 11/25/24.
Inverter 18 has been offline since 04/27/24.
2.Inverter 5 went offline from 07:00 to 17:20 on 04/01. It tripped offline again at 07:00  on 04/03 and  back online at 07:00  on 04/09. It tripped offline once at 07:00  on 04/10 and was back online at 19:10 on 04/17.
3.Inverter 3 went offline from 06:30 to 02:45 on 04/06. It tripped offline again at 07:00 on 04/12 and later self-resolved and back online at 11:15 on 04/13.
Inverters 3, 4, 5, 6, 7, 8, 9, 11, 12, 13, 15, 17, and 18 went offline at 07:00 on 04/13. Later, Inverters 3 and 13 back online on the same day. Additionally, multiple inverters are tripping on and off intermittently through out the month.</t>
  </si>
  <si>
    <t>1. SR098076
2. SR098231
3. SR099730</t>
  </si>
  <si>
    <t>SR099730</t>
  </si>
  <si>
    <t xml:space="preserve">1. Inverter 1 has been offline since the site began operations.
2. Inverter 7 is offline from 12/09/24.
3. Inverter 4 is derating by 4 kW on high irradiance days. It's possible due to inverter fan fault.
4. The meter stopped communicating since 12/09/24. </t>
  </si>
  <si>
    <t>1. SR098015
2. SR098016
3. SR099500
4. SR098016</t>
  </si>
  <si>
    <t>SR099500</t>
  </si>
  <si>
    <t>May Actual v. Expected</t>
  </si>
  <si>
    <t>May Actual v. Forecasted</t>
  </si>
  <si>
    <t>1. Inverter 2 back online at 16:10 on 05/12.
2. Inverter 1 has been producing as expected from 05/01.
3. Inverter 12 was significantly affected by shading, resulting in a 6 kW reduction in output. This issue is more likely to occur on high irradiance days throughout the month.
4. Inverter 5 tripped offline at 14:00 on 05/12/25 due to "GridV.OutLim" and back online at 16:10 the same day.</t>
  </si>
  <si>
    <t>1. SR095368
2. SR097850
3. SR099290
4. SR101343</t>
  </si>
  <si>
    <t>SR101343</t>
  </si>
  <si>
    <t>1. Inverter I has been offline from at 06:04 on 05/12 due to an  "ARC fault detected" and remained offline throught the month.
2. Inverter L tripped offline at 12:20 on 05/13 due to an "ARC fault detected" and remained offline throught the month.
3. Inverter Q tripped offline at 10:10 on 05/18 due to an "ARC fault detected" and remained offline throught the month.
4. Inverter P was offline and Inverter N was offline and lost communication  on multiple days through out the month addtionaly Inverter N tripped offline at 12:10 on 05/19 due to "Actual AC power deviation" and lost communication nextday. Inverters N and P require manufacturer diagnostics, but their warranties have expired—repair and shipping costs not covered. Client is considering replacing AE inverters with another brand and is seeking recommendations.
5. Weather station jumps from 0 to 1200 W/m^2 at sunrise and stays high all day. Inverter production seems to reflect cloud cover on some days, but the irradiance sensor always reports very sunny conditions</t>
  </si>
  <si>
    <t>1. SR101243
2. SR101243
3. SR101243
4. SR101243
5. SR101245</t>
  </si>
  <si>
    <t>SR101243</t>
  </si>
  <si>
    <t>SR101245</t>
  </si>
  <si>
    <t>1. SR096262 &amp; SR099066</t>
  </si>
  <si>
    <t>1. Inverter 13 is underperforming by approximately 10 kW compared to its peers.
2. The weather station has experienced intermittent communication over a period of 2-3 days Since 04/05, due to an RS485 failure outside the PowerDash enclosure. While the gateway and Acuvim meter remain online, the inverters and weather station have lost connection. Additional troubleshooting is required</t>
  </si>
  <si>
    <t xml:space="preserve">1. Site was taken offline from 12:45 to 13:30 on 05/08 to work on Annual Preventative Maintenance Inspection.
2. Inverter 3.5 tripped offline at 14:15 on 05/11 due to "Grid Line Voltage Out of Range - GridV.OutLim." On 05/15, the technician found the breaker in the combiner panel for 3.5 had tripped. The inverter was inspected and tested for ground faults before resetting. Breaker was reset at 15:15 the same day.
3. Inverter 2.6 has been derating since 05/09 during periods of high irradiance, possibly due to a fan fault. On 05/15, the technician contacted CPS to check for any resettable settings. no immediate issue found, but they noted the complaint and and inverter has been producing as expected since 05/16.
</t>
  </si>
  <si>
    <t>1. PM13816
2. SR101286
3. SR101468</t>
  </si>
  <si>
    <t>SR101468</t>
  </si>
  <si>
    <t>1. Site was offline from 06:00 to 10:00 on 05/02 due to an "Loss of Main - GridV.OutLim".
2. Site was offline on 05/11 due to "Loss of Main - GridV.OutLim." On 05/12, technician found nuisance tripping; GFCI study recommended to evaluate possible adjustments on main breaker. Main breaker and SEL relay were reset, and site came back online at 09:45 the same day.
3. Site tripped offline at 14:30 on 05/15 and came back online at 09:45 on 05/16 after the technician re-energized the breaker.</t>
  </si>
  <si>
    <t>1. SR100903
2. SR101277
3. SR101563</t>
  </si>
  <si>
    <t>SR101277</t>
  </si>
  <si>
    <t>SR101563</t>
  </si>
  <si>
    <t>1. Site was offline from 05:45 on 05/02 and came back online at 13:15 the same day after the technician resetting the main breaker.
2. Site was offline on 05/11 due to "Loss of Main - GridV.OutLim." On 05/12, technician found nuisance tripping; GFCI study recommended to evaluate possible adjustments on main breaker. Main breaker and SEL relay were reset, and site came back online at 10:30 the same day.
3. Site tripped offline at 14:30 on 05/15 and came back online at 09:00 on 05/16 after the technician re-energized the breaker.
4. Inverter 6 tripped offline on 05/17 due to "Insulation Resistance Low - IsolationErr." On 05/21, the technician inspected a ground fault on Inverter 6 and noted Inverter 5 was also offline; after troubleshooting with Chint, RMA ticket #14530 was submitted for Inverter 5. A grounded negative wire was found in string 7 of Inverter 6. Due to lack of array diagrams and rain, the technician isolated string 7, and Inverter 6 was restarted and back online at 13:45 the same day.
5. Inverter 12 underperforming by about 10kW compared to peers on 05/22 and the issue self resolved on 05/23.
6. Inverter 9 derating at 40kW due to an "External Fan Err - ExtFanerr" from 05/30.</t>
  </si>
  <si>
    <t>1. SR100902
2. SR101276
3. SR101564
4. SR101628
5. SR101867
6. SR102209</t>
  </si>
  <si>
    <t>SR101276</t>
  </si>
  <si>
    <t>SR101564</t>
  </si>
  <si>
    <t>SR101628</t>
  </si>
  <si>
    <t>SR101867</t>
  </si>
  <si>
    <t>SR102209</t>
  </si>
  <si>
    <t xml:space="preserve">1. Inverters 6 and 7 derating during high irradiance from 5/4. The total kW down is approximately 16 kW. 
2. Weather station intermittently reports irradiance at night, no irradiance during the day, or excessively high values (2,400 W/m²). The issue has worsened throughout the month.
</t>
  </si>
  <si>
    <t>1. SR101470
2. SR099110</t>
  </si>
  <si>
    <t xml:space="preserve">1. Inverters C1 to C6 stopped communicating and tripped offline at 09:15 on 05/25. On 05/27, the technician re-energized Pad C at 12:00 after de-energizing Pad A at 10:45 and Pad B at 12:00 to perform tracker work. On 05/28, mechanical work continued in the hall; Pads A and B remained offline and required further troubleshooting. On 05/29, the technician inspected the trackers and re-energized Pads A and B at 14:45. An additional visit is needed to address stuck trackers.
</t>
  </si>
  <si>
    <t>1. SR101919, SR102140</t>
  </si>
  <si>
    <t>SR102140</t>
  </si>
  <si>
    <t xml:space="preserve">1. Site was offline from 10:45 to 18:15 on 05/16 due to a brife outage.
</t>
  </si>
  <si>
    <t>1. SR101596</t>
  </si>
  <si>
    <t>1. Inverter 4 (DAS Inverter 18) went offline on 05/04 due to "Insulation Resistance Low," came back online on 05/07, and went offline again on 05/09 and 05/14. On 05/15, the technician inspected the array, found a defective MC4 connector, replaced it, and brought the inverter back online at 11:00. 
2. Inverter 17 (DAS 45) tripped offline at 15:00 on 05/01. On 05/15, the technician diagnosed an isolation fault caused by string #1, isolated the string, and re-energized the inverter at 14:00 without string #1. Further troubleshooting is required for string #1.</t>
  </si>
  <si>
    <t>1. SR099746
2. SR099746, SR100930</t>
  </si>
  <si>
    <t>SR100930</t>
  </si>
  <si>
    <t>1. Inverter A2 has been offline since 03/24, and Inverter A12 has been intermittently tripping on and off on multiple days. Inverter A12 &amp; A8 came back online at 14:00 on 05/23 after the technician performed a reset inhibition on all inverters but expect Inverter A2 remain all inverters back online. A site visit is required to address Inverter A2 and to contact SMA to initiate the RMA process.
2. Inverter A11 tripped offline at 14:00 on 05/11 and came back online at 14:00 on 05/23 after the technician performed a reset inhibition.</t>
  </si>
  <si>
    <t>1. SR101068
2. SR101068</t>
  </si>
  <si>
    <t>1. Inverter 5 is offline on 05/06 and back online at 16:25 on 05/07, again offline on 05/14 and back online at 16:50 on 05/18, offlline again on 05/22 and back online at 16:19 on 05/26, and offline on 05/29 and remained offline throught the month.
2. Inverter 12 went offline on 05/12 and  back online at 18:00 on 05/11 the issue self resoved, and went offline again on 05/14. On 05/15, Inverters 7, 8, and 17 were offline, while Inverters 6, 11, 13, and 15 had delayed production starts. Inverter 8 was restored on 05/16, followed by Inverters 7 and 8 on 05/17, Inverter 17 on 05/18, and Inverter 12 on 05/20. However, Inverters 7 and 12 went offline again on 05/23, with Inverter 12 also tripping offline on 05/25. Both Inverters 7 and 12 were brought back online on 05/26, though Inverter 12 went offline again later that day. Additionally, Inverter 9 has remained offline since 11/25/2024, and Inverter 18 has been offline since 04/27/2024.</t>
  </si>
  <si>
    <t>1. SR098231
2. SR099730, 	SR098076</t>
  </si>
  <si>
    <t>SR098076</t>
  </si>
  <si>
    <t>1. Inverter 2 had been offline since 05/05 due to an "Operating state error (1392)" and came back online at 09:45 on 05/12 after the technician vacuumed the fan and power-cycled the inverter. The remaining work will be completed during the PM event.
2. Inverter 2 went offline again on 05/27 due to an "Operating State: Error (1392)." On 05/28, the technician updated the firmware and brought it back online at 17:30 the same day.</t>
  </si>
  <si>
    <t>1. SR101017, 	SR101372
2. SR102011</t>
  </si>
  <si>
    <t>SR101372</t>
  </si>
  <si>
    <t>SR102011</t>
  </si>
  <si>
    <t>1. Inverter 1 has not communicated since 04/26 and appears to be offline. A quote for inverter parts is pending from Bold.</t>
  </si>
  <si>
    <t>1. SR100843</t>
  </si>
  <si>
    <t>1. Combiner Box 2 has one string down, according to the drawing</t>
  </si>
  <si>
    <t>1. SR101040</t>
  </si>
  <si>
    <t>1. Meter is capturing 3 or 4 kW more than the inverter is producing on high irradiance days. Possible issue with meter calibration. Issue has been present for many years</t>
  </si>
  <si>
    <t>1. SR102137</t>
  </si>
  <si>
    <t>1.  Site tripped offline from 08:30 to 09:55 on 05/25 due to a brife outage.</t>
  </si>
  <si>
    <t>1. SR101917</t>
  </si>
  <si>
    <t>1. Site was not communicating due the DC transformer is no longer working but the site was online. A new DC transformer will need to be replaced.</t>
  </si>
  <si>
    <t>1.	SR100833</t>
  </si>
  <si>
    <t>1. Two of the combiner boxes appear to be offline, with peak production at ~35kW. Based on drawings provided, combiner 1, along with one of the other two combiner boxes are offline. On 05/22 technician found two Combiners had fuses open, closed the fuses and also he found that filters are filthy, and fans are not operating. Bold renewables informed technician to shut down Inverter or it may lead to a damage of heat sink. Inverter will remain offline.</t>
  </si>
  <si>
    <t>1. SR100883</t>
  </si>
  <si>
    <t>1. Meter is not capturing inverter production and reporting 0kW from 07:00 on 05/26 to End of the month.
2. Site produced at about half rated capacity from 04/24 to 12:00 on 05/20 it is most likely that combiner box #1 (47% of modules) is offline, or combiner boxes 2 and 3 are both offline.</t>
  </si>
  <si>
    <t>1. SR101936
2. SR100884</t>
  </si>
  <si>
    <t>SR100884</t>
  </si>
  <si>
    <t>1. Meter captured half of inverter production from 07:00 on 05/01 to 19:00 on 05/07 due to Power Factor reading intermittently goes to -0.33.</t>
  </si>
  <si>
    <t>1. SR100857</t>
  </si>
  <si>
    <t>1.  Inverter 2 underperforming by approximately 70 kW. When looking at previous years during the same time frame this trend is relevant. inverter 1 is underperforming by approximately 120 kW. When looking at previous years during the same time frame this trend is relevant maybe due to weather.</t>
  </si>
  <si>
    <t>1. SR101963</t>
  </si>
  <si>
    <t xml:space="preserve">1. Multiple modules that are burned and broken and need to be replaced. </t>
  </si>
  <si>
    <t>1. SR101818, SR101668</t>
  </si>
  <si>
    <t>SR101668</t>
  </si>
  <si>
    <t>1.Inverter 1's DC contactor needs to be replaced. It remained offline for the entire month, except on 05/08 when a technician was able to temporarily bring it back online through troubleshooting. However, it went offline again on 05/09.
2. The POA sensor has been reporting 0 W/m² for the entire month and needs to be replaced.</t>
  </si>
  <si>
    <t>1. SR100834
2. SR101034</t>
  </si>
  <si>
    <t>SR101034</t>
  </si>
  <si>
    <t>1. The weather station was not communicating for the entire month. The client stated that the weather station is not needed, as they use satellite data. The data logger was replaced with a power logger, which is now visible on Bilbo Booster.</t>
  </si>
  <si>
    <t>1. 	SR100915</t>
  </si>
  <si>
    <t xml:space="preserve">1. The inverter was underproducing by 100 kW and intermittently derating by 75 kW during peak hours. On 05/20, a technician took the inverter offline from 08:00 to 10:00 and contacted Solectria for further troubleshooting. They recommended replacing all three fans and the inverter display. </t>
  </si>
  <si>
    <t>1. SR101100</t>
  </si>
  <si>
    <t xml:space="preserve">1. Inverter B1 tripped offline on 05/02 at 16:00 and back online on 05/03 at 14:00. Inverter B1 started late at 12:00 on 05/04 and inverter B1 was offline from 07:00 on  05/06 to 07:00 on 05/08. Inverter C1 was offline for whole month.
2. Weather station reading erroneous value at 1237.22 W/m2. AlsoEnergy mentioned it is a hardware issue either with the wiring of the sensor to the logger or with the sensor itself. </t>
  </si>
  <si>
    <t>1. SR100906
2. SR101057</t>
  </si>
  <si>
    <t>SR101057</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</si>
  <si>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</si>
  <si>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</si>
  <si>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</si>
  <si>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</si>
  <si>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</si>
  <si>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</si>
  <si>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</si>
  <si>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</si>
  <si>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</si>
  <si>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</si>
  <si>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</si>
  <si>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</si>
  <si>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</si>
  <si>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</si>
  <si>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</si>
  <si>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Clean Capital</t>
  </si>
  <si>
    <t>Site DAS Name</t>
  </si>
  <si>
    <t>Update</t>
  </si>
  <si>
    <t>DAS</t>
  </si>
  <si>
    <t>Cotting School</t>
  </si>
  <si>
    <t>Lexington - Cotting School</t>
  </si>
  <si>
    <t>MA</t>
  </si>
  <si>
    <t>IGS SolarLog</t>
  </si>
  <si>
    <t>2.01) KSI Solar Whiteman, LLC</t>
  </si>
  <si>
    <t>Pacoima - Whiteman Airport</t>
  </si>
  <si>
    <t>CA</t>
  </si>
  <si>
    <t>Advanced Energy SiteLink</t>
  </si>
  <si>
    <t>Hyannis - Sturgis Charter School</t>
  </si>
  <si>
    <t>PowerTrack</t>
  </si>
  <si>
    <t>Tony Kent Arena</t>
  </si>
  <si>
    <t>South Dennis - Tony Kent Arena</t>
  </si>
  <si>
    <t>Coraopolis - Felician Sisters</t>
  </si>
  <si>
    <t xml:space="preserve"> Caropolis - Felician Sisters</t>
  </si>
  <si>
    <t>PA</t>
  </si>
  <si>
    <t>Powerdash</t>
  </si>
  <si>
    <t>Eastlake - Gohman</t>
  </si>
  <si>
    <t>Clear Lake - Eastlake Gohman</t>
  </si>
  <si>
    <t>MN</t>
  </si>
  <si>
    <t>AF</t>
  </si>
  <si>
    <t>Eastlake - Brenda Luhman CSG</t>
  </si>
  <si>
    <t>Zumbrota - Eastlake Brenda Luhman</t>
  </si>
  <si>
    <t>Eastlake - Carlson</t>
  </si>
  <si>
    <t>Cokato - Eastlake Carlson</t>
  </si>
  <si>
    <t>Eastlake - Cornillie 2</t>
  </si>
  <si>
    <t>North Branch - Cornille 2</t>
  </si>
  <si>
    <t>Eastlake - Hammer CSG 1</t>
  </si>
  <si>
    <t>Clear Lake - Eastlake Hammer</t>
  </si>
  <si>
    <t>Paynesville - Eastlake Hertzberg</t>
  </si>
  <si>
    <t>Eastlake - Hertzberg CSG 1</t>
  </si>
  <si>
    <t>Eastlake - Laurel Village</t>
  </si>
  <si>
    <t>Cokato - Eastlake Laurel Village</t>
  </si>
  <si>
    <t>Eastlake - Paulson CSG</t>
  </si>
  <si>
    <t>St. Peter - Eastlake Paulson</t>
  </si>
  <si>
    <t>Lodi - Felician Sisters Rooftop</t>
  </si>
  <si>
    <t>Felician Sisters Convent</t>
  </si>
  <si>
    <t>NJ</t>
  </si>
  <si>
    <t>Power Dash</t>
  </si>
  <si>
    <t>Augusta - Sussex County Fair Grounds</t>
  </si>
  <si>
    <t>Sussex County Fairgrounds</t>
  </si>
  <si>
    <t xml:space="preserve"> Staten Island - Gateway Church</t>
  </si>
  <si>
    <t>Gateway Church</t>
  </si>
  <si>
    <t>SolrenView</t>
  </si>
  <si>
    <t>Beaver Falls - FSNA</t>
  </si>
  <si>
    <t>Beaver Falls - Felician Sisters</t>
  </si>
  <si>
    <t>Montessori Center of Our Lady</t>
  </si>
  <si>
    <t>Livonia - Felician Sisters Ground</t>
  </si>
  <si>
    <t>MI</t>
  </si>
  <si>
    <t>Madonna University</t>
  </si>
  <si>
    <t>Livonia - Felician Sisters Roof</t>
  </si>
  <si>
    <t>Monmouth Worship Ctr</t>
  </si>
  <si>
    <t>Trinity Solar Monitoring</t>
  </si>
  <si>
    <t>Senior Citizens United Comm. Serv.</t>
  </si>
  <si>
    <t xml:space="preserve"> Audubon - Senior Citizens United</t>
  </si>
  <si>
    <t>PG&amp;E - Enerparc CA1</t>
  </si>
  <si>
    <t>Hollister - PG&amp;E (Enerparc)</t>
  </si>
  <si>
    <t>AEF</t>
  </si>
  <si>
    <t>Also Energy</t>
  </si>
  <si>
    <t>Kit Carson Electric Co-Op - Blue Sky One</t>
  </si>
  <si>
    <t>Taos County - Kit Carson Electric Co-Op</t>
  </si>
  <si>
    <t>NM</t>
  </si>
  <si>
    <t>Adams County - Adams City High School</t>
  </si>
  <si>
    <t>Commerce City - Adams City HS</t>
  </si>
  <si>
    <t>CO</t>
  </si>
  <si>
    <t>Adams County - Adams City Middle School</t>
  </si>
  <si>
    <t>Commerce City - Adams City MS</t>
  </si>
  <si>
    <t>Adams County - Adams Central Elementary School</t>
  </si>
  <si>
    <t>Commerce City - Central ES</t>
  </si>
  <si>
    <t>Adams County - Dupont Elementary School</t>
  </si>
  <si>
    <t>Commerce City - Dupont ES</t>
  </si>
  <si>
    <t>Adams County - Educational Support Services</t>
  </si>
  <si>
    <t>Commerce City - Educational Support Services</t>
  </si>
  <si>
    <t>Adams County - Hanson Elementary School</t>
  </si>
  <si>
    <t>Commerce City - Hanson ES</t>
  </si>
  <si>
    <t>Adams County -Kemp Elementary School</t>
  </si>
  <si>
    <t>Commerce City - Kemp ES</t>
  </si>
  <si>
    <t>Adams County - Lester Arnold High School</t>
  </si>
  <si>
    <t>Commerce City -  Lester Arnold HS</t>
  </si>
  <si>
    <t>Adams County - Monaco Elementary School</t>
  </si>
  <si>
    <t>Commerce City - Monaco ES</t>
  </si>
  <si>
    <t>Sheridan School Dist. - Northgate / Old Fort Logan</t>
  </si>
  <si>
    <t>Denver - Northgate / Old Fort Logan ES</t>
  </si>
  <si>
    <t>Sheridan School Dist. - Sheridan High School</t>
  </si>
  <si>
    <t>Denver - Sheridan High School</t>
  </si>
  <si>
    <t>Sheridan School Dist. - Alice Terry Elementary</t>
  </si>
  <si>
    <t>Englewood -  Alice Terry Elementary</t>
  </si>
  <si>
    <t>Sheridan School Dist. - Sheridan Middle School</t>
  </si>
  <si>
    <t>Englewood - Sheridan Middle School</t>
  </si>
  <si>
    <t>NIPSCO (Goshen) - MR Realty</t>
  </si>
  <si>
    <t>Goshen - NIPSCO</t>
  </si>
  <si>
    <t>IN</t>
  </si>
  <si>
    <t>City of Alamogordo - Effluent</t>
  </si>
  <si>
    <t>Alamogordo - City of Alamogordo - Effluent</t>
  </si>
  <si>
    <t>City of Alamogordo - WWTP</t>
  </si>
  <si>
    <t>Alamogordo - City of Alamogordo - WWTP</t>
  </si>
  <si>
    <t>City of Deming - Bilbo Booster</t>
  </si>
  <si>
    <t>Deming - Bilbo Booster</t>
  </si>
  <si>
    <t>City of Deming - Bilbo Well</t>
  </si>
  <si>
    <t>Deming - Bilbo Well</t>
  </si>
  <si>
    <t>City of Deming - WWTP</t>
  </si>
  <si>
    <t>Deming - WWTP</t>
  </si>
  <si>
    <t>WalMart Truth or Consequences</t>
  </si>
  <si>
    <t>Truth or Consequences - Walmart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</si>
</sst>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9">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sz val="11"/>
      <color rgb="FF000000"/>
      <name val="Calibri"/>
      <family val="2"/>
      <scheme val="minor"/>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8" fillId="0" borderId="0" applyNumberFormat="0" applyFill="0" applyBorder="0" applyAlignment="0" applyProtection="0"/>
  </cellStyleXfs>
  <cellXfs count="102">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3" fillId="0" borderId="0" xfId="0" applyFont="1"/>
    <xf numFmtId="9" fontId="32" fillId="0" borderId="0" xfId="2" applyFont="1" applyAlignment="1">
      <alignment horizont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0" fontId="0" fillId="0" borderId="0" xfId="0" applyAlignment="1">
      <alignment horizontal="center" wrapText="1"/>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25" fillId="42" borderId="11" xfId="0" applyFont="1" applyFill="1" applyBorder="1" applyAlignment="1">
      <alignment horizontal="center" vertical="center"/>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164" fontId="29" fillId="44" borderId="1" xfId="1" applyNumberFormat="1"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 borderId="1" xfId="2" applyFont="1" applyFill="1" applyBorder="1" applyAlignment="1">
      <alignment horizontal="center" vertical="center"/>
    </xf>
    <xf numFmtId="3" fontId="31" fillId="4" borderId="1" xfId="1" applyNumberFormat="1" applyFont="1" applyFill="1" applyBorder="1" applyAlignment="1">
      <alignment vertical="center"/>
    </xf>
    <xf numFmtId="9" fontId="31" fillId="37" borderId="1" xfId="2"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64" fontId="29" fillId="0" borderId="1" xfId="1" applyNumberFormat="1"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0" fontId="35" fillId="40" borderId="1" xfId="0" applyFont="1" applyFill="1" applyBorder="1" applyAlignment="1">
      <alignment horizontal="center"/>
    </xf>
    <xf numFmtId="0" fontId="29" fillId="40"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0" fontId="28" fillId="0" borderId="1" xfId="0" applyFont="1" applyBorder="1" applyAlignment="1">
      <alignment horizontal="left" vertical="center"/>
    </xf>
    <xf numFmtId="0" fontId="28" fillId="40" borderId="1" xfId="0" applyFont="1" applyFill="1" applyBorder="1" applyAlignment="1">
      <alignment horizontal="left"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31" fillId="38" borderId="1" xfId="2" applyNumberFormat="1" applyFont="1" applyFill="1" applyBorder="1" applyAlignment="1">
      <alignment vertical="top" wrapText="1"/>
    </xf>
    <xf numFmtId="49" fontId="29" fillId="0" borderId="1" xfId="0" applyNumberFormat="1" applyFont="1" applyBorder="1" applyAlignment="1">
      <alignment vertical="center" wrapText="1"/>
    </xf>
    <xf numFmtId="49" fontId="28" fillId="0" borderId="1" xfId="0" applyNumberFormat="1" applyFont="1" applyBorder="1" applyAlignment="1">
      <alignment vertical="center" wrapText="1"/>
    </xf>
    <xf numFmtId="14" fontId="0" fillId="0" borderId="0" xfId="0" applyNumberFormat="1"/>
    <xf numFmtId="49" fontId="31" fillId="38" borderId="1" xfId="2" applyNumberFormat="1" applyFont="1" applyFill="1" applyBorder="1" applyAlignment="1">
      <alignment horizontal="left" wrapText="1"/>
    </xf>
    <xf numFmtId="49" fontId="29" fillId="0" borderId="1" xfId="0" applyNumberFormat="1" applyFont="1" applyBorder="1" applyAlignment="1">
      <alignment horizontal="left" wrapText="1"/>
    </xf>
    <xf numFmtId="49" fontId="28" fillId="0" borderId="1" xfId="0" applyNumberFormat="1" applyFont="1" applyBorder="1" applyAlignment="1">
      <alignment horizontal="left" wrapText="1"/>
    </xf>
    <xf numFmtId="3" fontId="31" fillId="0" borderId="1" xfId="1" applyNumberFormat="1" applyFont="1" applyFill="1" applyBorder="1" applyAlignment="1">
      <alignment horizontal="right" vertical="center" wrapText="1"/>
    </xf>
    <xf numFmtId="49" fontId="36" fillId="38" borderId="1" xfId="2" applyNumberFormat="1" applyFont="1" applyFill="1" applyBorder="1" applyAlignment="1">
      <alignment horizontal="left" vertical="top" wrapText="1"/>
    </xf>
    <xf numFmtId="3" fontId="37" fillId="0" borderId="0" xfId="0" applyNumberFormat="1" applyFont="1" applyAlignment="1">
      <alignment vertical="center"/>
    </xf>
    <xf numFmtId="49" fontId="28" fillId="0" borderId="1" xfId="0" applyNumberFormat="1" applyFont="1" applyBorder="1" applyAlignment="1">
      <alignment horizontal="left" vertical="top" wrapText="1"/>
    </xf>
    <xf numFmtId="49" fontId="29" fillId="0" borderId="1" xfId="0" applyNumberFormat="1" applyFont="1" applyBorder="1" applyAlignment="1">
      <alignment horizontal="left" vertical="top" wrapText="1"/>
    </xf>
    <xf numFmtId="164" fontId="29" fillId="0" borderId="1" xfId="1" applyNumberFormat="1" applyFont="1" applyBorder="1" applyAlignment="1">
      <alignment horizontal="center" vertical="center" wrapText="1"/>
    </xf>
    <xf numFmtId="49" fontId="31" fillId="38" borderId="1" xfId="2" applyNumberFormat="1" applyFont="1" applyFill="1" applyBorder="1" applyAlignment="1">
      <alignment horizontal="left" vertical="top" wrapText="1"/>
    </xf>
    <xf numFmtId="49" fontId="1" fillId="0" borderId="1" xfId="0" applyNumberFormat="1" applyFont="1" applyBorder="1" applyAlignment="1">
      <alignment horizontal="left" vertical="center" wrapText="1"/>
    </xf>
    <xf numFmtId="49" fontId="1" fillId="0" borderId="1" xfId="0" applyNumberFormat="1" applyFont="1" applyBorder="1" applyAlignment="1">
      <alignment horizontal="left" vertical="top" wrapText="1"/>
    </xf>
    <xf numFmtId="49" fontId="24" fillId="0" borderId="1" xfId="0" applyNumberFormat="1" applyFont="1" applyBorder="1" applyAlignment="1">
      <alignment horizontal="left" vertical="top" wrapText="1"/>
    </xf>
    <xf numFmtId="0" fontId="23" fillId="0" borderId="0" xfId="43" applyFont="1" applyAlignment="1">
      <alignment horizontal="left" wrapText="1"/>
    </xf>
    <xf numFmtId="0" fontId="23" fillId="0" borderId="0" xfId="43" applyFont="1"/>
    <xf numFmtId="49" fontId="29" fillId="0" borderId="1" xfId="0" applyNumberFormat="1" applyFont="1" applyBorder="1" applyAlignment="1">
      <alignment vertical="top" wrapText="1"/>
    </xf>
    <xf numFmtId="49" fontId="38" fillId="38" borderId="1" xfId="45" applyNumberFormat="1" applyFill="1" applyBorder="1" applyAlignment="1">
      <alignment vertical="top" wrapText="1"/>
    </xf>
    <xf numFmtId="49" fontId="38" fillId="0" borderId="1" xfId="45" applyNumberFormat="1" applyBorder="1" applyAlignment="1">
      <alignment vertical="top" wrapText="1"/>
    </xf>
    <xf numFmtId="49" fontId="38" fillId="0" borderId="1" xfId="45" applyNumberFormat="1" applyBorder="1" applyAlignment="1">
      <alignment vertical="center" wrapText="1"/>
    </xf>
    <xf numFmtId="0" fontId="3" fillId="0" borderId="0" xfId="0" applyFont="1"/>
    <xf numFmtId="9" fontId="31" fillId="0" borderId="1" xfId="2" applyFont="1" applyBorder="1" applyAlignment="1">
      <alignment horizontal="center" vertical="center"/>
    </xf>
    <xf numFmtId="3" fontId="31" fillId="0" borderId="1" xfId="1" applyNumberFormat="1" applyFont="1" applyBorder="1" applyAlignment="1">
      <alignment vertical="center"/>
    </xf>
    <xf numFmtId="3" fontId="31" fillId="4" borderId="1" xfId="1" applyNumberFormat="1" applyFont="1" applyFill="1" applyBorder="1" applyAlignment="1">
      <alignment horizontal="right" vertical="center"/>
    </xf>
    <xf numFmtId="3" fontId="31" fillId="0" borderId="1" xfId="1" applyNumberFormat="1" applyFont="1" applyFill="1" applyBorder="1" applyAlignment="1">
      <alignment horizontal="right" vertical="center"/>
    </xf>
    <xf numFmtId="49" fontId="38" fillId="0" borderId="1" xfId="45" applyNumberFormat="1" applyBorder="1" applyAlignment="1">
      <alignment horizontal="left" vertical="top" wrapText="1"/>
    </xf>
    <xf numFmtId="0" fontId="38" fillId="0" borderId="0" xfId="45" applyAlignment="1">
      <alignment horizontal="left" vertical="top"/>
    </xf>
    <xf numFmtId="0" fontId="0" fillId="0" borderId="0" xfId="0" applyAlignment="1">
      <alignment horizontal="left" vertical="top"/>
    </xf>
    <xf numFmtId="49" fontId="38" fillId="38" borderId="1" xfId="45" applyNumberFormat="1" applyFill="1" applyBorder="1" applyAlignment="1">
      <alignment horizontal="left" vertical="top" wrapText="1"/>
    </xf>
    <xf numFmtId="49" fontId="38" fillId="38" borderId="1" xfId="45" applyNumberFormat="1" applyFill="1" applyBorder="1" applyAlignment="1">
      <alignment horizontal="left" wrapText="1"/>
    </xf>
    <xf numFmtId="49" fontId="38" fillId="0" borderId="1" xfId="45" applyNumberFormat="1" applyBorder="1" applyAlignment="1">
      <alignment horizontal="left" wrapText="1"/>
    </xf>
    <xf numFmtId="14" fontId="0" fillId="0" borderId="0" xfId="0" applyNumberFormat="1" applyAlignment="1">
      <alignment horizontal="left" vertical="top"/>
    </xf>
    <xf numFmtId="14" fontId="38" fillId="0" borderId="0" xfId="45" applyNumberFormat="1" applyAlignment="1">
      <alignment horizontal="left" vertical="top"/>
    </xf>
    <xf numFmtId="3" fontId="31" fillId="0" borderId="1" xfId="1" applyNumberFormat="1" applyFont="1" applyFill="1" applyBorder="1" applyAlignment="1">
      <alignment horizontal="right"/>
    </xf>
    <xf numFmtId="3" fontId="31" fillId="4" borderId="1" xfId="1" applyNumberFormat="1" applyFont="1" applyFill="1" applyBorder="1" applyAlignment="1">
      <alignment horizontal="right"/>
    </xf>
    <xf numFmtId="0" fontId="35" fillId="40" borderId="1" xfId="0" applyFont="1" applyFill="1" applyBorder="1" applyAlignment="1">
      <alignment horizontal="center" vertical="center"/>
    </xf>
    <xf numFmtId="49" fontId="29" fillId="0" borderId="1" xfId="0" applyNumberFormat="1" applyFont="1" applyBorder="1" applyAlignment="1">
      <alignment horizontal="left" vertical="center" wrapText="1"/>
    </xf>
    <xf numFmtId="49" fontId="28" fillId="0" borderId="1" xfId="0" applyNumberFormat="1" applyFont="1" applyBorder="1" applyAlignment="1">
      <alignment horizontal="left" vertical="center" wrapText="1"/>
    </xf>
    <xf numFmtId="49" fontId="38" fillId="0" borderId="1" xfId="45" applyNumberFormat="1" applyBorder="1" applyAlignment="1">
      <alignment horizontal="left" vertical="center" wrapText="1"/>
    </xf>
    <xf numFmtId="9" fontId="31" fillId="0" borderId="0" xfId="2" applyFont="1" applyFill="1" applyBorder="1" applyAlignment="1">
      <alignment horizontal="center" vertical="center"/>
    </xf>
    <xf numFmtId="9" fontId="31" fillId="3" borderId="12" xfId="2" applyFont="1" applyFill="1" applyBorder="1" applyAlignment="1">
      <alignment horizontal="center" vertical="center"/>
    </xf>
    <xf numFmtId="3" fontId="31" fillId="3" borderId="13" xfId="0" applyNumberFormat="1" applyFont="1" applyFill="1" applyBorder="1" applyAlignment="1">
      <alignment horizontal="right" vertical="center"/>
    </xf>
    <xf numFmtId="3" fontId="31" fillId="4" borderId="14" xfId="1" applyNumberFormat="1" applyFont="1" applyFill="1" applyBorder="1" applyAlignment="1">
      <alignment vertical="center"/>
    </xf>
    <xf numFmtId="9" fontId="31" fillId="0" borderId="11" xfId="2" applyFont="1" applyFill="1" applyBorder="1" applyAlignment="1">
      <alignment horizontal="center" vertical="center"/>
    </xf>
    <xf numFmtId="0" fontId="33" fillId="0" borderId="0" xfId="0" applyFont="1" applyAlignment="1">
      <alignment horizontal="left" vertical="top"/>
    </xf>
    <xf numFmtId="0" fontId="38" fillId="0" borderId="0" xfId="45" applyAlignment="1">
      <alignment vertical="top"/>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6" totalsRowShown="0">
  <autoFilter ref="A3:E46" xr:uid="{C9C95D9E-67ED-41E0-9F41-9C3DA4ACF4CD}"/>
  <sortState xmlns:xlrd2="http://schemas.microsoft.com/office/spreadsheetml/2017/richdata2" ref="A4:D5">
    <sortCondition ref="C3:C5"/>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https://us3.assetplanner.com/service_request?ID=096179" TargetMode="External"/><Relationship Id="rId2" Type="http://schemas.openxmlformats.org/officeDocument/2006/relationships/hyperlink" Target="https://us3.assetplanner.com/service_request?ID=095501" TargetMode="External"/><Relationship Id="rId1" Type="http://schemas.openxmlformats.org/officeDocument/2006/relationships/hyperlink" Target="https://us3.assetplanner.com/service_request?ID=095368" TargetMode="External"/><Relationship Id="rId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6409" TargetMode="External"/><Relationship Id="rId7" Type="http://schemas.openxmlformats.org/officeDocument/2006/relationships/hyperlink" Target="https://us3.assetplanner.com/service_request?ID=096262" TargetMode="External"/><Relationship Id="rId2" Type="http://schemas.openxmlformats.org/officeDocument/2006/relationships/hyperlink" Target="https://us3.assetplanner.com/service_request?ID=097850" TargetMode="External"/><Relationship Id="rId1" Type="http://schemas.openxmlformats.org/officeDocument/2006/relationships/hyperlink" Target="https://us3.assetplanner.com/service_request?ID=095368" TargetMode="External"/><Relationship Id="rId6" Type="http://schemas.openxmlformats.org/officeDocument/2006/relationships/hyperlink" Target="https://us3.assetplanner.com/service_request?ID=096179" TargetMode="External"/><Relationship Id="rId5" Type="http://schemas.openxmlformats.org/officeDocument/2006/relationships/hyperlink" Target="https://us3.assetplanner.com/service_request?ID=095501" TargetMode="External"/><Relationship Id="rId4" Type="http://schemas.openxmlformats.org/officeDocument/2006/relationships/hyperlink" Target="https://us3.assetplanner.com/service_request?ID=097783"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428" TargetMode="External"/><Relationship Id="rId13" Type="http://schemas.openxmlformats.org/officeDocument/2006/relationships/hyperlink" Target="https://us3.assetplanner.com/service_request?ID=098613" TargetMode="External"/><Relationship Id="rId18" Type="http://schemas.openxmlformats.org/officeDocument/2006/relationships/hyperlink" Target="https://us3.assetplanner.com/service_request?ID=099230" TargetMode="External"/><Relationship Id="rId26" Type="http://schemas.openxmlformats.org/officeDocument/2006/relationships/hyperlink" Target="https://us3.assetplanner.com/service_request?ID=098015" TargetMode="External"/><Relationship Id="rId3" Type="http://schemas.openxmlformats.org/officeDocument/2006/relationships/hyperlink" Target="https://us3.assetplanner.com/service_request?ID=097975" TargetMode="External"/><Relationship Id="rId21" Type="http://schemas.openxmlformats.org/officeDocument/2006/relationships/hyperlink" Target="https://us3.assetplanner.com/service_request?ID=099150" TargetMode="External"/><Relationship Id="rId7" Type="http://schemas.openxmlformats.org/officeDocument/2006/relationships/hyperlink" Target="https://us3.assetplanner.com/service_request?ID=097783" TargetMode="External"/><Relationship Id="rId12" Type="http://schemas.openxmlformats.org/officeDocument/2006/relationships/hyperlink" Target="https://us3.assetplanner.com/service_request?ID=098497" TargetMode="External"/><Relationship Id="rId17" Type="http://schemas.openxmlformats.org/officeDocument/2006/relationships/hyperlink" Target="https://us3.assetplanner.com/service_request?ID=098047" TargetMode="External"/><Relationship Id="rId25" Type="http://schemas.openxmlformats.org/officeDocument/2006/relationships/hyperlink" Target="https://us3.assetplanner.com/service_request?ID=098231" TargetMode="External"/><Relationship Id="rId2" Type="http://schemas.openxmlformats.org/officeDocument/2006/relationships/hyperlink" Target="https://us3.assetplanner.com/service_request?ID=097850" TargetMode="External"/><Relationship Id="rId16" Type="http://schemas.openxmlformats.org/officeDocument/2006/relationships/hyperlink" Target="https://us3.assetplanner.com/service_request?ID=098614" TargetMode="External"/><Relationship Id="rId20" Type="http://schemas.openxmlformats.org/officeDocument/2006/relationships/hyperlink" Target="https://us3.assetplanner.com/service_request?ID=098048" TargetMode="External"/><Relationship Id="rId1" Type="http://schemas.openxmlformats.org/officeDocument/2006/relationships/hyperlink" Target="https://us3.assetplanner.com/service_request?ID=095368" TargetMode="External"/><Relationship Id="rId6" Type="http://schemas.openxmlformats.org/officeDocument/2006/relationships/hyperlink" Target="https://us3.assetplanner.com/service_request?ID=098783" TargetMode="External"/><Relationship Id="rId11" Type="http://schemas.openxmlformats.org/officeDocument/2006/relationships/hyperlink" Target="https://us3.assetplanner.com/service_request?ID=098870" TargetMode="External"/><Relationship Id="rId24" Type="http://schemas.openxmlformats.org/officeDocument/2006/relationships/hyperlink" Target="https://us3.assetplanner.com/service_request?ID=098076" TargetMode="External"/><Relationship Id="rId5" Type="http://schemas.openxmlformats.org/officeDocument/2006/relationships/hyperlink" Target="https://us3.assetplanner.com/service_request?ID=098262" TargetMode="External"/><Relationship Id="rId15" Type="http://schemas.openxmlformats.org/officeDocument/2006/relationships/hyperlink" Target="https://us3.assetplanner.com/service_request?ID=098496" TargetMode="External"/><Relationship Id="rId23" Type="http://schemas.openxmlformats.org/officeDocument/2006/relationships/hyperlink" Target="https://us3.assetplanner.com/service_request?ID=098819" TargetMode="External"/><Relationship Id="rId10" Type="http://schemas.openxmlformats.org/officeDocument/2006/relationships/hyperlink" Target="https://us3.assetplanner.com/service_request?ID=099066" TargetMode="External"/><Relationship Id="rId19" Type="http://schemas.openxmlformats.org/officeDocument/2006/relationships/hyperlink" Target="https://us3.assetplanner.com/service_request?ID=099167" TargetMode="External"/><Relationship Id="rId4" Type="http://schemas.openxmlformats.org/officeDocument/2006/relationships/hyperlink" Target="https://us3.assetplanner.com/service_request?ID=097975" TargetMode="External"/><Relationship Id="rId9" Type="http://schemas.openxmlformats.org/officeDocument/2006/relationships/hyperlink" Target="https://us3.assetplanner.com/service_request?ID=096262" TargetMode="External"/><Relationship Id="rId14" Type="http://schemas.openxmlformats.org/officeDocument/2006/relationships/hyperlink" Target="https://us3.assetplanner.com/service_request?ID=098046" TargetMode="External"/><Relationship Id="rId22" Type="http://schemas.openxmlformats.org/officeDocument/2006/relationships/hyperlink" Target="https://us3.assetplanner.com/service_request?ID=098818" TargetMode="External"/><Relationship Id="rId27" Type="http://schemas.openxmlformats.org/officeDocument/2006/relationships/hyperlink" Target="https://us3.assetplanner.com/service_request?ID=098016"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us3.assetplanner.com/service_request?ID=100445" TargetMode="External"/><Relationship Id="rId18" Type="http://schemas.openxmlformats.org/officeDocument/2006/relationships/hyperlink" Target="https://us3.assetplanner.com/service_request?ID=100618" TargetMode="External"/><Relationship Id="rId26" Type="http://schemas.openxmlformats.org/officeDocument/2006/relationships/hyperlink" Target="https://us3.assetplanner.com/service_request?ID=098048" TargetMode="External"/><Relationship Id="rId21" Type="http://schemas.openxmlformats.org/officeDocument/2006/relationships/hyperlink" Target="https://us3.assetplanner.com/service_request?ID=099230" TargetMode="External"/><Relationship Id="rId34" Type="http://schemas.openxmlformats.org/officeDocument/2006/relationships/hyperlink" Target="https://us3.assetplanner.com/service_request?ID=099730" TargetMode="External"/><Relationship Id="rId7" Type="http://schemas.openxmlformats.org/officeDocument/2006/relationships/hyperlink" Target="https://us3.assetplanner.com/service_request?ID=099508" TargetMode="External"/><Relationship Id="rId12" Type="http://schemas.openxmlformats.org/officeDocument/2006/relationships/hyperlink" Target="https://us3.assetplanner.com/service_request?ID=099461" TargetMode="External"/><Relationship Id="rId17" Type="http://schemas.openxmlformats.org/officeDocument/2006/relationships/hyperlink" Target="https://us3.assetplanner.com/service_request?ID=099457" TargetMode="External"/><Relationship Id="rId25" Type="http://schemas.openxmlformats.org/officeDocument/2006/relationships/hyperlink" Target="https://us3.assetplanner.com/service_request?ID=099110" TargetMode="External"/><Relationship Id="rId33" Type="http://schemas.openxmlformats.org/officeDocument/2006/relationships/hyperlink" Target="https://us3.assetplanner.com/service_request?ID=098231" TargetMode="External"/><Relationship Id="rId38" Type="http://schemas.openxmlformats.org/officeDocument/2006/relationships/hyperlink" Target="https://us3.assetplanner.com/service_request?ID=098016" TargetMode="External"/><Relationship Id="rId2" Type="http://schemas.openxmlformats.org/officeDocument/2006/relationships/hyperlink" Target="https://us3.assetplanner.com/service_request?ID=095368" TargetMode="External"/><Relationship Id="rId16" Type="http://schemas.openxmlformats.org/officeDocument/2006/relationships/hyperlink" Target="https://us3.assetplanner.com/service_request?ID=100617" TargetMode="External"/><Relationship Id="rId20" Type="http://schemas.openxmlformats.org/officeDocument/2006/relationships/hyperlink" Target="https://us3.assetplanner.com/service_request?ID=098047" TargetMode="External"/><Relationship Id="rId29" Type="http://schemas.openxmlformats.org/officeDocument/2006/relationships/hyperlink" Target="https://us3.assetplanner.com/service_request?ID=098819" TargetMode="External"/><Relationship Id="rId1" Type="http://schemas.openxmlformats.org/officeDocument/2006/relationships/hyperlink" Target="https://us3.assetplanner.com/service_request?ID=097850" TargetMode="External"/><Relationship Id="rId6" Type="http://schemas.openxmlformats.org/officeDocument/2006/relationships/hyperlink" Target="https://us3.assetplanner.com/service_request?ID=099501" TargetMode="External"/><Relationship Id="rId11" Type="http://schemas.openxmlformats.org/officeDocument/2006/relationships/hyperlink" Target="https://us3.assetplanner.com/service_request?ID=098870" TargetMode="External"/><Relationship Id="rId24" Type="http://schemas.openxmlformats.org/officeDocument/2006/relationships/hyperlink" Target="https://us3.assetplanner.com/service_request?ID=100621" TargetMode="External"/><Relationship Id="rId32" Type="http://schemas.openxmlformats.org/officeDocument/2006/relationships/hyperlink" Target="https://us3.assetplanner.com/service_request?ID=098076" TargetMode="External"/><Relationship Id="rId37" Type="http://schemas.openxmlformats.org/officeDocument/2006/relationships/hyperlink" Target="https://us3.assetplanner.com/service_request?ID=099500" TargetMode="External"/><Relationship Id="rId5" Type="http://schemas.openxmlformats.org/officeDocument/2006/relationships/hyperlink" Target="https://us3.assetplanner.com/service_request?ID=097975" TargetMode="External"/><Relationship Id="rId15" Type="http://schemas.openxmlformats.org/officeDocument/2006/relationships/hyperlink" Target="https://us3.assetplanner.com/service_request?ID=100417" TargetMode="External"/><Relationship Id="rId23" Type="http://schemas.openxmlformats.org/officeDocument/2006/relationships/hyperlink" Target="https://us3.assetplanner.com/service_request?ID=099789" TargetMode="External"/><Relationship Id="rId28" Type="http://schemas.openxmlformats.org/officeDocument/2006/relationships/hyperlink" Target="https://us3.assetplanner.com/service_request?ID=099746" TargetMode="External"/><Relationship Id="rId36" Type="http://schemas.openxmlformats.org/officeDocument/2006/relationships/hyperlink" Target="https://us3.assetplanner.com/service_request?ID=098016" TargetMode="External"/><Relationship Id="rId10" Type="http://schemas.openxmlformats.org/officeDocument/2006/relationships/hyperlink" Target="https://us3.assetplanner.com/service_request?ID=099066" TargetMode="External"/><Relationship Id="rId19" Type="http://schemas.openxmlformats.org/officeDocument/2006/relationships/hyperlink" Target="https://us3.assetplanner.com/service_request?ID=098046" TargetMode="External"/><Relationship Id="rId31" Type="http://schemas.openxmlformats.org/officeDocument/2006/relationships/hyperlink" Target="https://us3.assetplanner.com/service_request?ID=101068" TargetMode="External"/><Relationship Id="rId4" Type="http://schemas.openxmlformats.org/officeDocument/2006/relationships/hyperlink" Target="https://us3.assetplanner.com/service_request?ID=097975" TargetMode="External"/><Relationship Id="rId9" Type="http://schemas.openxmlformats.org/officeDocument/2006/relationships/hyperlink" Target="https://us3.assetplanner.com/service_request?ID=096262" TargetMode="External"/><Relationship Id="rId14" Type="http://schemas.openxmlformats.org/officeDocument/2006/relationships/hyperlink" Target="https://us3.assetplanner.com/service_request?ID=100131" TargetMode="External"/><Relationship Id="rId22" Type="http://schemas.openxmlformats.org/officeDocument/2006/relationships/hyperlink" Target="https://us3.assetplanner.com/service_request?ID=099167" TargetMode="External"/><Relationship Id="rId27" Type="http://schemas.openxmlformats.org/officeDocument/2006/relationships/hyperlink" Target="https://us3.assetplanner.com/service_request?ID=098818" TargetMode="External"/><Relationship Id="rId30" Type="http://schemas.openxmlformats.org/officeDocument/2006/relationships/hyperlink" Target="https://us3.assetplanner.com/service_request?ID=099691" TargetMode="External"/><Relationship Id="rId35" Type="http://schemas.openxmlformats.org/officeDocument/2006/relationships/hyperlink" Target="https://us3.assetplanner.com/service_request?ID=098015" TargetMode="External"/><Relationship Id="rId8" Type="http://schemas.openxmlformats.org/officeDocument/2006/relationships/hyperlink" Target="https://us3.assetplanner.com/service_request?ID=097783" TargetMode="External"/><Relationship Id="rId3" Type="http://schemas.openxmlformats.org/officeDocument/2006/relationships/hyperlink" Target="https://us3.assetplanner.com/service_request?ID=099290"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us3.assetplanner.com/service_request?ID=099461" TargetMode="External"/><Relationship Id="rId18" Type="http://schemas.openxmlformats.org/officeDocument/2006/relationships/hyperlink" Target="https://us3.assetplanner.com/service_request?ID=101563" TargetMode="External"/><Relationship Id="rId26" Type="http://schemas.openxmlformats.org/officeDocument/2006/relationships/hyperlink" Target="https://us3.assetplanner.com/service_request?ID=099110" TargetMode="External"/><Relationship Id="rId39" Type="http://schemas.openxmlformats.org/officeDocument/2006/relationships/hyperlink" Target="https://us3.assetplanner.com/service_request?ID=098016" TargetMode="External"/><Relationship Id="rId21" Type="http://schemas.openxmlformats.org/officeDocument/2006/relationships/hyperlink" Target="https://us3.assetplanner.com/service_request?ID=101564" TargetMode="External"/><Relationship Id="rId34" Type="http://schemas.openxmlformats.org/officeDocument/2006/relationships/hyperlink" Target="https://us3.assetplanner.com/service_request?ID=101068" TargetMode="External"/><Relationship Id="rId42" Type="http://schemas.openxmlformats.org/officeDocument/2006/relationships/hyperlink" Target="https://us3.assetplanner.com/service_request?ID=101017" TargetMode="External"/><Relationship Id="rId47" Type="http://schemas.openxmlformats.org/officeDocument/2006/relationships/hyperlink" Target="https://us3.assetplanner.com/service_request?ID=102137" TargetMode="External"/><Relationship Id="rId50" Type="http://schemas.openxmlformats.org/officeDocument/2006/relationships/hyperlink" Target="https://us3.assetplanner.com/service_request?ID=100883" TargetMode="External"/><Relationship Id="rId55" Type="http://schemas.openxmlformats.org/officeDocument/2006/relationships/hyperlink" Target="https://us3.assetplanner.com/service_request?ID=101818" TargetMode="External"/><Relationship Id="rId7" Type="http://schemas.openxmlformats.org/officeDocument/2006/relationships/hyperlink" Target="https://us3.assetplanner.com/service_request?ID=101243" TargetMode="External"/><Relationship Id="rId2" Type="http://schemas.openxmlformats.org/officeDocument/2006/relationships/hyperlink" Target="https://us3.assetplanner.com/service_request?ID=097850" TargetMode="External"/><Relationship Id="rId16" Type="http://schemas.openxmlformats.org/officeDocument/2006/relationships/hyperlink" Target="https://us3.assetplanner.com/service_request?ID=100903" TargetMode="External"/><Relationship Id="rId29" Type="http://schemas.openxmlformats.org/officeDocument/2006/relationships/hyperlink" Target="https://us3.assetplanner.com/service_request?ID=101596" TargetMode="External"/><Relationship Id="rId11" Type="http://schemas.openxmlformats.org/officeDocument/2006/relationships/hyperlink" Target="https://us3.assetplanner.com/service_request?ID=099066" TargetMode="External"/><Relationship Id="rId24" Type="http://schemas.openxmlformats.org/officeDocument/2006/relationships/hyperlink" Target="https://us3.assetplanner.com/service_request?ID=102209" TargetMode="External"/><Relationship Id="rId32" Type="http://schemas.openxmlformats.org/officeDocument/2006/relationships/hyperlink" Target="https://us3.assetplanner.com/service_request?ID=100930" TargetMode="External"/><Relationship Id="rId37" Type="http://schemas.openxmlformats.org/officeDocument/2006/relationships/hyperlink" Target="https://us3.assetplanner.com/service_request?ID=098076" TargetMode="External"/><Relationship Id="rId40" Type="http://schemas.openxmlformats.org/officeDocument/2006/relationships/hyperlink" Target="https://us3.assetplanner.com/service_request?ID=099500" TargetMode="External"/><Relationship Id="rId45" Type="http://schemas.openxmlformats.org/officeDocument/2006/relationships/hyperlink" Target="https://us3.assetplanner.com/service_request?ID=100843" TargetMode="External"/><Relationship Id="rId53" Type="http://schemas.openxmlformats.org/officeDocument/2006/relationships/hyperlink" Target="https://us3.assetplanner.com/service_request?ID=100857" TargetMode="External"/><Relationship Id="rId58" Type="http://schemas.openxmlformats.org/officeDocument/2006/relationships/hyperlink" Target="https://us3.assetplanner.com/service_request?ID=101034" TargetMode="External"/><Relationship Id="rId5" Type="http://schemas.openxmlformats.org/officeDocument/2006/relationships/hyperlink" Target="https://us3.assetplanner.com/service_request?ID=101243" TargetMode="External"/><Relationship Id="rId61" Type="http://schemas.openxmlformats.org/officeDocument/2006/relationships/hyperlink" Target="https://us3.assetplanner.com/service_request?ID=100906" TargetMode="External"/><Relationship Id="rId19" Type="http://schemas.openxmlformats.org/officeDocument/2006/relationships/hyperlink" Target="https://us3.assetplanner.com/service_request?ID=100902" TargetMode="External"/><Relationship Id="rId14" Type="http://schemas.openxmlformats.org/officeDocument/2006/relationships/hyperlink" Target="https://us3.assetplanner.com/service_request?ID=101286" TargetMode="External"/><Relationship Id="rId22" Type="http://schemas.openxmlformats.org/officeDocument/2006/relationships/hyperlink" Target="https://us3.assetplanner.com/service_request?ID=101628" TargetMode="External"/><Relationship Id="rId27" Type="http://schemas.openxmlformats.org/officeDocument/2006/relationships/hyperlink" Target="https://us3.assetplanner.com/service_request?ID=101919" TargetMode="External"/><Relationship Id="rId30" Type="http://schemas.openxmlformats.org/officeDocument/2006/relationships/hyperlink" Target="https://us3.assetplanner.com/service_request?ID=099746" TargetMode="External"/><Relationship Id="rId35" Type="http://schemas.openxmlformats.org/officeDocument/2006/relationships/hyperlink" Target="https://us3.assetplanner.com/service_request?ID=098231" TargetMode="External"/><Relationship Id="rId43" Type="http://schemas.openxmlformats.org/officeDocument/2006/relationships/hyperlink" Target="https://us3.assetplanner.com/service_request?ID=101372" TargetMode="External"/><Relationship Id="rId48" Type="http://schemas.openxmlformats.org/officeDocument/2006/relationships/hyperlink" Target="https://us3.assetplanner.com/service_request?ID=101917" TargetMode="External"/><Relationship Id="rId56" Type="http://schemas.openxmlformats.org/officeDocument/2006/relationships/hyperlink" Target="https://us3.assetplanner.com/service_request?ID=101668" TargetMode="External"/><Relationship Id="rId8" Type="http://schemas.openxmlformats.org/officeDocument/2006/relationships/hyperlink" Target="https://us3.assetplanner.com/service_request?ID=101243" TargetMode="External"/><Relationship Id="rId51" Type="http://schemas.openxmlformats.org/officeDocument/2006/relationships/hyperlink" Target="https://us3.assetplanner.com/service_request?ID=101936" TargetMode="External"/><Relationship Id="rId3" Type="http://schemas.openxmlformats.org/officeDocument/2006/relationships/hyperlink" Target="https://us3.assetplanner.com/service_request?ID=099290" TargetMode="External"/><Relationship Id="rId12" Type="http://schemas.openxmlformats.org/officeDocument/2006/relationships/hyperlink" Target="https://us3.assetplanner.com/service_request?ID=098870" TargetMode="External"/><Relationship Id="rId17" Type="http://schemas.openxmlformats.org/officeDocument/2006/relationships/hyperlink" Target="https://us3.assetplanner.com/service_request?ID=101277" TargetMode="External"/><Relationship Id="rId25" Type="http://schemas.openxmlformats.org/officeDocument/2006/relationships/hyperlink" Target="https://us3.assetplanner.com/service_request?ID=101470" TargetMode="External"/><Relationship Id="rId33" Type="http://schemas.openxmlformats.org/officeDocument/2006/relationships/hyperlink" Target="https://us3.assetplanner.com/service_request?ID=101068" TargetMode="External"/><Relationship Id="rId38" Type="http://schemas.openxmlformats.org/officeDocument/2006/relationships/hyperlink" Target="https://us3.assetplanner.com/service_request?ID=098015" TargetMode="External"/><Relationship Id="rId46" Type="http://schemas.openxmlformats.org/officeDocument/2006/relationships/hyperlink" Target="https://us3.assetplanner.com/service_request?ID=101040" TargetMode="External"/><Relationship Id="rId59" Type="http://schemas.openxmlformats.org/officeDocument/2006/relationships/hyperlink" Target="https://us3.assetplanner.com/service_request?ID=100915" TargetMode="External"/><Relationship Id="rId20" Type="http://schemas.openxmlformats.org/officeDocument/2006/relationships/hyperlink" Target="https://us3.assetplanner.com/service_request?ID=101276" TargetMode="External"/><Relationship Id="rId41" Type="http://schemas.openxmlformats.org/officeDocument/2006/relationships/hyperlink" Target="https://us3.assetplanner.com/service_request?ID=098016" TargetMode="External"/><Relationship Id="rId54" Type="http://schemas.openxmlformats.org/officeDocument/2006/relationships/hyperlink" Target="https://us3.assetplanner.com/service_request?ID=101963" TargetMode="External"/><Relationship Id="rId62" Type="http://schemas.openxmlformats.org/officeDocument/2006/relationships/hyperlink" Target="https://us3.assetplanner.com/service_request?ID=101057" TargetMode="External"/><Relationship Id="rId1" Type="http://schemas.openxmlformats.org/officeDocument/2006/relationships/hyperlink" Target="https://us3.assetplanner.com/service_request?ID=095368" TargetMode="External"/><Relationship Id="rId6" Type="http://schemas.openxmlformats.org/officeDocument/2006/relationships/hyperlink" Target="https://us3.assetplanner.com/service_request?ID=101243" TargetMode="External"/><Relationship Id="rId15" Type="http://schemas.openxmlformats.org/officeDocument/2006/relationships/hyperlink" Target="https://us3.assetplanner.com/service_request?ID=101468" TargetMode="External"/><Relationship Id="rId23" Type="http://schemas.openxmlformats.org/officeDocument/2006/relationships/hyperlink" Target="https://us3.assetplanner.com/service_request?ID=101867" TargetMode="External"/><Relationship Id="rId28" Type="http://schemas.openxmlformats.org/officeDocument/2006/relationships/hyperlink" Target="https://us3.assetplanner.com/service_request?ID=102140" TargetMode="External"/><Relationship Id="rId36" Type="http://schemas.openxmlformats.org/officeDocument/2006/relationships/hyperlink" Target="https://us3.assetplanner.com/service_request?ID=099730" TargetMode="External"/><Relationship Id="rId49" Type="http://schemas.openxmlformats.org/officeDocument/2006/relationships/hyperlink" Target="https://us3.assetplanner.com/service_request?ID=100833" TargetMode="External"/><Relationship Id="rId57" Type="http://schemas.openxmlformats.org/officeDocument/2006/relationships/hyperlink" Target="https://us3.assetplanner.com/service_request?ID=100834" TargetMode="External"/><Relationship Id="rId10" Type="http://schemas.openxmlformats.org/officeDocument/2006/relationships/hyperlink" Target="https://us3.assetplanner.com/service_request?ID=096262" TargetMode="External"/><Relationship Id="rId31" Type="http://schemas.openxmlformats.org/officeDocument/2006/relationships/hyperlink" Target="https://us3.assetplanner.com/service_request?ID=099746" TargetMode="External"/><Relationship Id="rId44" Type="http://schemas.openxmlformats.org/officeDocument/2006/relationships/hyperlink" Target="https://us3.assetplanner.com/service_request?ID=102011" TargetMode="External"/><Relationship Id="rId52" Type="http://schemas.openxmlformats.org/officeDocument/2006/relationships/hyperlink" Target="https://us3.assetplanner.com/service_request?ID=100884" TargetMode="External"/><Relationship Id="rId60" Type="http://schemas.openxmlformats.org/officeDocument/2006/relationships/hyperlink" Target="https://us3.assetplanner.com/service_request?ID=101100" TargetMode="External"/><Relationship Id="rId4" Type="http://schemas.openxmlformats.org/officeDocument/2006/relationships/hyperlink" Target="https://us3.assetplanner.com/service_request?ID=101343" TargetMode="External"/><Relationship Id="rId9" Type="http://schemas.openxmlformats.org/officeDocument/2006/relationships/hyperlink" Target="https://us3.assetplanner.com/service_request?ID=101245"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13"/>
  <sheetViews>
    <sheetView tabSelected="1" workbookViewId="0">
      <pane xSplit="2" ySplit="3" topLeftCell="C4" activePane="bottomRight" state="frozen"/>
      <selection pane="bottomRight" activeCell="F19" sqref="F19"/>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9" t="str" cm="1">
        <f t="array" ref="A1">portfolio</f>
        <v>Clean Capital</v>
      </c>
      <c r="B1" s="99"/>
      <c r="C1" s="99"/>
      <c r="D1" s="100" t="s">
        <v>0</v>
      </c>
      <c r="E1" s="100"/>
      <c r="F1" s="100"/>
      <c r="G1" s="98" t="s">
        <v>1</v>
      </c>
      <c r="H1" s="98"/>
      <c r="I1" s="98"/>
    </row>
    <row r="2" spans="1:9" ht="19.5" customHeight="1">
      <c r="A2" s="101" t="s">
        <v>2</v>
      </c>
      <c r="B2" s="101"/>
      <c r="C2" s="5">
        <f>SUM(C4:C71)</f>
        <v>5637894.8687971998</v>
      </c>
      <c r="D2" s="5">
        <f>SUM(D4:D71)</f>
        <v>0</v>
      </c>
      <c r="E2" s="5">
        <f>C2-D2</f>
        <v>5637894.8687971998</v>
      </c>
      <c r="F2" s="6">
        <f>IFERROR(E2/D2, 0)</f>
        <v>0</v>
      </c>
      <c r="G2" s="5">
        <f>SUM(G4:G71)</f>
        <v>4966149.0999999996</v>
      </c>
      <c r="H2" s="7">
        <f>C2-G2</f>
        <v>671745.76879720017</v>
      </c>
      <c r="I2" s="6">
        <f>IFERROR(H2/G2, 0)</f>
        <v>0.13526492162653761</v>
      </c>
    </row>
    <row r="3" spans="1:9" ht="14.25" customHeight="1">
      <c r="A3" s="12" t="s">
        <v>3</v>
      </c>
      <c r="B3" s="12" t="s">
        <v>4</v>
      </c>
      <c r="C3" s="19" t="s">
        <v>5</v>
      </c>
      <c r="D3" s="20" t="s">
        <v>6</v>
      </c>
      <c r="E3" s="20" t="s">
        <v>7</v>
      </c>
      <c r="F3" s="21" t="s">
        <v>8</v>
      </c>
      <c r="G3" s="22" t="s">
        <v>9</v>
      </c>
      <c r="H3" s="23" t="s">
        <v>7</v>
      </c>
      <c r="I3" s="24" t="s">
        <v>8</v>
      </c>
    </row>
    <row r="4" spans="1:9" ht="15.6">
      <c r="A4" s="26" t="str" cm="1">
        <f t="array" ref="A4:A46">Sites[Site]</f>
        <v>Lexington - Cotting School</v>
      </c>
      <c r="B4" s="27" t="str" cm="1">
        <f t="array" ref="B4:B46">Sites[State]</f>
        <v>MA</v>
      </c>
      <c r="C4" s="28">
        <f>SUM('1st Qtr'!C4, '2nd Qtr'!C4, '3rd Qtr'!C4, '4th Qtr'!C4)</f>
        <v>84239.687999999995</v>
      </c>
      <c r="D4" s="29">
        <f>SUM('1st Qtr'!D4, '2nd Qtr'!D4, '3rd Qtr'!D4, '4th Qtr'!D4)</f>
        <v>0</v>
      </c>
      <c r="E4" s="29">
        <f>IF(AND(ISNUMBER(C4),ISNUMBER(D4)), C4-D4, "")</f>
        <v>84239.687999999995</v>
      </c>
      <c r="F4" s="30" t="str">
        <f>IFERROR(E4/D4, "")</f>
        <v/>
      </c>
      <c r="G4" s="31">
        <f>SUM('1st Qtr'!G4, '2nd Qtr'!G4, '3rd Qtr'!G4, '4th Qtr'!G4)</f>
        <v>0</v>
      </c>
      <c r="H4" s="31">
        <f>SUM('1st Qtr'!H4, '2nd Qtr'!H4, '3rd Qtr'!H4, '4th Qtr'!H4)</f>
        <v>18073.600000000002</v>
      </c>
      <c r="I4" s="32" t="str">
        <f>IFERROR(H4/G4, "")</f>
        <v/>
      </c>
    </row>
    <row r="5" spans="1:9" ht="15.6">
      <c r="A5" s="33" t="str">
        <v>Pacoima - Whiteman Airport</v>
      </c>
      <c r="B5" s="34" t="str">
        <v>CA</v>
      </c>
      <c r="C5" s="35">
        <f>SUM('1st Qtr'!C5, '2nd Qtr'!C5, '3rd Qtr'!C5, '4th Qtr'!C5)</f>
        <v>98202.5</v>
      </c>
      <c r="D5" s="35">
        <f>SUM('1st Qtr'!D5, '2nd Qtr'!D5, '3rd Qtr'!D5, '4th Qtr'!D5)</f>
        <v>0</v>
      </c>
      <c r="E5" s="36">
        <f t="shared" ref="E5:E7" si="0">IF(AND(ISNUMBER(C5),ISNUMBER(D5)), C5-D5, "")</f>
        <v>98202.5</v>
      </c>
      <c r="F5" s="37" t="str">
        <f>IFERROR(E5/D5, "")</f>
        <v/>
      </c>
      <c r="G5" s="38">
        <f>SUM('1st Qtr'!G5, '2nd Qtr'!G5, '3rd Qtr'!G5, '4th Qtr'!G5)</f>
        <v>170488.7</v>
      </c>
      <c r="H5" s="38">
        <f>SUM('1st Qtr'!H5, '2nd Qtr'!H5, '3rd Qtr'!H5, '4th Qtr'!H5)</f>
        <v>-72286.2</v>
      </c>
      <c r="I5" s="37">
        <f>IFERROR(H5/G5, "")</f>
        <v>-0.42399408289229723</v>
      </c>
    </row>
    <row r="6" spans="1:9" ht="15.6">
      <c r="A6" s="26" t="str">
        <v>Hyannis - Sturgis Charter School</v>
      </c>
      <c r="B6" s="27" t="str">
        <v>MA</v>
      </c>
      <c r="C6" s="28">
        <f>SUM('1st Qtr'!C6, '2nd Qtr'!C6, '3rd Qtr'!C6, '4th Qtr'!C6)</f>
        <v>124432.99962156249</v>
      </c>
      <c r="D6" s="29">
        <f>SUM('1st Qtr'!D6, '2nd Qtr'!D6, '3rd Qtr'!D6, '4th Qtr'!D6)</f>
        <v>0</v>
      </c>
      <c r="E6" s="29">
        <f t="shared" si="0"/>
        <v>124432.99962156249</v>
      </c>
      <c r="F6" s="30" t="str">
        <f t="shared" ref="F6:F7" si="1">IFERROR(E6/D6, "")</f>
        <v/>
      </c>
      <c r="G6" s="31">
        <f>SUM('1st Qtr'!G6, '2nd Qtr'!G6, '3rd Qtr'!G6, '4th Qtr'!G6)</f>
        <v>117960</v>
      </c>
      <c r="H6" s="31">
        <f>SUM('1st Qtr'!H6, '2nd Qtr'!H6, '3rd Qtr'!H6, '4th Qtr'!H6)</f>
        <v>6472.9996215624888</v>
      </c>
      <c r="I6" s="32">
        <f t="shared" ref="I6:I7" si="2">IFERROR(H6/G6, "")</f>
        <v>5.4874530532065861E-2</v>
      </c>
    </row>
    <row r="7" spans="1:9" ht="15.6">
      <c r="A7" s="33" t="str">
        <v>South Dennis - Tony Kent Arena</v>
      </c>
      <c r="B7" s="34" t="str">
        <v>MA</v>
      </c>
      <c r="C7" s="35">
        <f>SUM('1st Qtr'!C7, '2nd Qtr'!C7, '3rd Qtr'!C7, '4th Qtr'!C7)</f>
        <v>138595.5</v>
      </c>
      <c r="D7" s="35">
        <f>SUM('1st Qtr'!D7, '2nd Qtr'!D7, '3rd Qtr'!D7, '4th Qtr'!D7)</f>
        <v>0</v>
      </c>
      <c r="E7" s="36">
        <f t="shared" si="0"/>
        <v>138595.5</v>
      </c>
      <c r="F7" s="37" t="str">
        <f t="shared" si="1"/>
        <v/>
      </c>
      <c r="G7" s="38">
        <f>SUM('1st Qtr'!G7, '2nd Qtr'!G7, '3rd Qtr'!G7, '4th Qtr'!G7)</f>
        <v>0</v>
      </c>
      <c r="H7" s="38">
        <f>SUM('1st Qtr'!H7, '2nd Qtr'!H7, '3rd Qtr'!H7, '4th Qtr'!H7)</f>
        <v>30999.119999999999</v>
      </c>
      <c r="I7" s="37" t="str">
        <f t="shared" si="2"/>
        <v/>
      </c>
    </row>
    <row r="8" spans="1:9" ht="15.6">
      <c r="A8" s="26" t="str">
        <v xml:space="preserve"> Caropolis - Felician Sisters</v>
      </c>
      <c r="B8" s="27" t="str">
        <v>PA</v>
      </c>
      <c r="C8" s="28">
        <f>SUM('1st Qtr'!C8, '2nd Qtr'!C8, '3rd Qtr'!C8, '4th Qtr'!C8)</f>
        <v>164012.70000000001</v>
      </c>
      <c r="D8" s="29">
        <f>SUM('1st Qtr'!D8, '2nd Qtr'!D8, '3rd Qtr'!D8, '4th Qtr'!D8)</f>
        <v>0</v>
      </c>
      <c r="E8" s="29">
        <f t="shared" ref="E8:E24" si="3">IF(AND(ISNUMBER(C8),ISNUMBER(D8)), C8-D8, "")</f>
        <v>164012.70000000001</v>
      </c>
      <c r="F8" s="30" t="str">
        <f t="shared" ref="F8:F24" si="4">IFERROR(E8/D8, "")</f>
        <v/>
      </c>
      <c r="G8" s="31">
        <f>SUM('1st Qtr'!G8, '2nd Qtr'!G8, '3rd Qtr'!G8, '4th Qtr'!G8)</f>
        <v>0</v>
      </c>
      <c r="H8" s="31">
        <f>SUM('1st Qtr'!H8, '2nd Qtr'!H8, '3rd Qtr'!H8, '4th Qtr'!H8)</f>
        <v>0</v>
      </c>
      <c r="I8" s="32" t="str">
        <f t="shared" ref="I8:I24" si="5">IFERROR(H8/G8, "")</f>
        <v/>
      </c>
    </row>
    <row r="9" spans="1:9" ht="15.6">
      <c r="A9" s="33" t="str">
        <v>Clear Lake - Eastlake Gohman</v>
      </c>
      <c r="B9" s="34" t="str">
        <v>MN</v>
      </c>
      <c r="C9" s="35">
        <f>SUM('1st Qtr'!C9, '2nd Qtr'!C9, '3rd Qtr'!C9, '4th Qtr'!C9)</f>
        <v>540064</v>
      </c>
      <c r="D9" s="35">
        <f>SUM('1st Qtr'!D9, '2nd Qtr'!D9, '3rd Qtr'!D9, '4th Qtr'!D9)</f>
        <v>0</v>
      </c>
      <c r="E9" s="36">
        <f t="shared" si="3"/>
        <v>540064</v>
      </c>
      <c r="F9" s="73" t="str">
        <f t="shared" si="4"/>
        <v/>
      </c>
      <c r="G9" s="74">
        <f>SUM('1st Qtr'!G9, '2nd Qtr'!G9, '3rd Qtr'!G9, '4th Qtr'!G9)</f>
        <v>531645.69999999995</v>
      </c>
      <c r="H9" s="74">
        <f>SUM('1st Qtr'!H9, '2nd Qtr'!H9, '3rd Qtr'!H9, '4th Qtr'!H9)</f>
        <v>8418.3000000000175</v>
      </c>
      <c r="I9" s="73">
        <f t="shared" si="5"/>
        <v>1.5834417545369066E-2</v>
      </c>
    </row>
    <row r="10" spans="1:9" ht="15.6">
      <c r="A10" s="26" t="str">
        <v>Zumbrota - Eastlake Brenda Luhman</v>
      </c>
      <c r="B10" s="27" t="str">
        <v>MN</v>
      </c>
      <c r="C10" s="28">
        <f>SUM('1st Qtr'!C10, '2nd Qtr'!C10, '3rd Qtr'!C10, '4th Qtr'!C10)</f>
        <v>555798.12690000003</v>
      </c>
      <c r="D10" s="29">
        <f>SUM('1st Qtr'!D10, '2nd Qtr'!D10, '3rd Qtr'!D10, '4th Qtr'!D10)</f>
        <v>0</v>
      </c>
      <c r="E10" s="29">
        <f t="shared" si="3"/>
        <v>555798.12690000003</v>
      </c>
      <c r="F10" s="30" t="str">
        <f t="shared" si="4"/>
        <v/>
      </c>
      <c r="G10" s="31">
        <f>SUM('1st Qtr'!G10, '2nd Qtr'!G10, '3rd Qtr'!G10, '4th Qtr'!G10)</f>
        <v>533398.1</v>
      </c>
      <c r="H10" s="31">
        <f>SUM('1st Qtr'!H10, '2nd Qtr'!H10, '3rd Qtr'!H10, '4th Qtr'!H10)</f>
        <v>22400.026899999997</v>
      </c>
      <c r="I10" s="32">
        <f t="shared" si="5"/>
        <v>4.1994950675677316E-2</v>
      </c>
    </row>
    <row r="11" spans="1:9" ht="15.6">
      <c r="A11" s="33" t="str">
        <v>Cokato - Eastlake Carlson</v>
      </c>
      <c r="B11" s="34" t="str">
        <v>MN</v>
      </c>
      <c r="C11" s="35">
        <f>SUM('1st Qtr'!C11, '2nd Qtr'!C11, '3rd Qtr'!C11, '4th Qtr'!C11)</f>
        <v>490863.48420000001</v>
      </c>
      <c r="D11" s="35">
        <f>SUM('1st Qtr'!D11, '2nd Qtr'!D11, '3rd Qtr'!D11, '4th Qtr'!D11)</f>
        <v>0</v>
      </c>
      <c r="E11" s="36">
        <f t="shared" si="3"/>
        <v>490863.48420000001</v>
      </c>
      <c r="F11" s="73" t="str">
        <f t="shared" si="4"/>
        <v/>
      </c>
      <c r="G11" s="74">
        <f>SUM('1st Qtr'!G11, '2nd Qtr'!G11, '3rd Qtr'!G11, '4th Qtr'!G11)</f>
        <v>583776.6</v>
      </c>
      <c r="H11" s="74">
        <f>SUM('1st Qtr'!H11, '2nd Qtr'!H11, '3rd Qtr'!H11, '4th Qtr'!H11)</f>
        <v>-92913.1158</v>
      </c>
      <c r="I11" s="73">
        <f t="shared" si="5"/>
        <v>-0.1591586846749253</v>
      </c>
    </row>
    <row r="12" spans="1:9" ht="15.6">
      <c r="A12" s="26" t="str">
        <v>North Branch - Cornille 2</v>
      </c>
      <c r="B12" s="27" t="str">
        <v>MN</v>
      </c>
      <c r="C12" s="28">
        <f>SUM('1st Qtr'!C12, '2nd Qtr'!C12, '3rd Qtr'!C12, '4th Qtr'!C12)</f>
        <v>475685</v>
      </c>
      <c r="D12" s="29">
        <f>SUM('1st Qtr'!D12, '2nd Qtr'!D12, '3rd Qtr'!D12, '4th Qtr'!D12)</f>
        <v>0</v>
      </c>
      <c r="E12" s="29">
        <f t="shared" si="3"/>
        <v>475685</v>
      </c>
      <c r="F12" s="30" t="str">
        <f t="shared" si="4"/>
        <v/>
      </c>
      <c r="G12" s="31">
        <f>SUM('1st Qtr'!G12, '2nd Qtr'!G12, '3rd Qtr'!G12, '4th Qtr'!G12)</f>
        <v>539908</v>
      </c>
      <c r="H12" s="31">
        <f>SUM('1st Qtr'!H12, '2nd Qtr'!H12, '3rd Qtr'!H12, '4th Qtr'!H12)</f>
        <v>-64223</v>
      </c>
      <c r="I12" s="32">
        <f t="shared" si="5"/>
        <v>-0.1189517473347311</v>
      </c>
    </row>
    <row r="13" spans="1:9" ht="15.6">
      <c r="A13" s="33" t="str">
        <v>Clear Lake - Eastlake Hammer</v>
      </c>
      <c r="B13" s="34" t="str">
        <v>MN</v>
      </c>
      <c r="C13" s="35">
        <f>SUM('1st Qtr'!C13, '2nd Qtr'!C13, '3rd Qtr'!C13, '4th Qtr'!C13)</f>
        <v>649977.99999999802</v>
      </c>
      <c r="D13" s="35">
        <f>SUM('1st Qtr'!D13, '2nd Qtr'!D13, '3rd Qtr'!D13, '4th Qtr'!D13)</f>
        <v>0</v>
      </c>
      <c r="E13" s="36">
        <f t="shared" si="3"/>
        <v>649977.99999999802</v>
      </c>
      <c r="F13" s="73" t="str">
        <f t="shared" si="4"/>
        <v/>
      </c>
      <c r="G13" s="74">
        <f>SUM('1st Qtr'!G13, '2nd Qtr'!G13, '3rd Qtr'!G13, '4th Qtr'!G13)</f>
        <v>637643.69999999995</v>
      </c>
      <c r="H13" s="74">
        <f>SUM('1st Qtr'!H13, '2nd Qtr'!H13, '3rd Qtr'!H13, '4th Qtr'!H13)</f>
        <v>12334.299999998009</v>
      </c>
      <c r="I13" s="73">
        <f t="shared" si="5"/>
        <v>1.9343561302335475E-2</v>
      </c>
    </row>
    <row r="14" spans="1:9" ht="15.6">
      <c r="A14" s="26" t="str">
        <v>Eastlake - Hertzberg CSG 1</v>
      </c>
      <c r="B14" s="27" t="str">
        <v>MN</v>
      </c>
      <c r="C14" s="28">
        <f>SUM('1st Qtr'!C14, '2nd Qtr'!C14, '3rd Qtr'!C14, '4th Qtr'!C14)</f>
        <v>635408.00002617203</v>
      </c>
      <c r="D14" s="29">
        <f>SUM('1st Qtr'!D14, '2nd Qtr'!D14, '3rd Qtr'!D14, '4th Qtr'!D14)</f>
        <v>0</v>
      </c>
      <c r="E14" s="29">
        <f t="shared" si="3"/>
        <v>635408.00002617203</v>
      </c>
      <c r="F14" s="30" t="str">
        <f t="shared" si="4"/>
        <v/>
      </c>
      <c r="G14" s="31">
        <f>SUM('1st Qtr'!G14, '2nd Qtr'!G14, '3rd Qtr'!G14, '4th Qtr'!G14)</f>
        <v>638992.5</v>
      </c>
      <c r="H14" s="31">
        <f>SUM('1st Qtr'!H14, '2nd Qtr'!H14, '3rd Qtr'!H14, '4th Qtr'!H14)</f>
        <v>-3584.4999738280312</v>
      </c>
      <c r="I14" s="32">
        <f t="shared" si="5"/>
        <v>-5.6096119654425224E-3</v>
      </c>
    </row>
    <row r="15" spans="1:9" ht="15.6">
      <c r="A15" s="33" t="str">
        <v>Cokato - Eastlake Laurel Village</v>
      </c>
      <c r="B15" s="34" t="str">
        <v>MN</v>
      </c>
      <c r="C15" s="35">
        <f>SUM('1st Qtr'!C15, '2nd Qtr'!C15, '3rd Qtr'!C15, '4th Qtr'!C15)</f>
        <v>648210.1189</v>
      </c>
      <c r="D15" s="35">
        <f>SUM('1st Qtr'!D15, '2nd Qtr'!D15, '3rd Qtr'!D15, '4th Qtr'!D15)</f>
        <v>0</v>
      </c>
      <c r="E15" s="36">
        <f t="shared" si="3"/>
        <v>648210.1189</v>
      </c>
      <c r="F15" s="73" t="str">
        <f t="shared" si="4"/>
        <v/>
      </c>
      <c r="G15" s="74">
        <f>SUM('1st Qtr'!G15, '2nd Qtr'!G15, '3rd Qtr'!G15, '4th Qtr'!G15)</f>
        <v>649972.69999999995</v>
      </c>
      <c r="H15" s="74">
        <f>SUM('1st Qtr'!H15, '2nd Qtr'!H15, '3rd Qtr'!H15, '4th Qtr'!H15)</f>
        <v>-1762.5811000000103</v>
      </c>
      <c r="I15" s="73">
        <f t="shared" si="5"/>
        <v>-2.7117771254085142E-3</v>
      </c>
    </row>
    <row r="16" spans="1:9" ht="15.6">
      <c r="A16" s="26" t="str">
        <v>St. Peter - Eastlake Paulson</v>
      </c>
      <c r="B16" s="27" t="str">
        <v>MN</v>
      </c>
      <c r="C16" s="28">
        <f>SUM('1st Qtr'!C16, '2nd Qtr'!C16, '3rd Qtr'!C16, '4th Qtr'!C16)</f>
        <v>540489.25614946696</v>
      </c>
      <c r="D16" s="29">
        <f>SUM('1st Qtr'!D16, '2nd Qtr'!D16, '3rd Qtr'!D16, '4th Qtr'!D16)</f>
        <v>0</v>
      </c>
      <c r="E16" s="29">
        <f t="shared" si="3"/>
        <v>540489.25614946696</v>
      </c>
      <c r="F16" s="30" t="str">
        <f t="shared" si="4"/>
        <v/>
      </c>
      <c r="G16" s="31">
        <f>SUM('1st Qtr'!G16, '2nd Qtr'!G16, '3rd Qtr'!G16, '4th Qtr'!G16)</f>
        <v>562363.1</v>
      </c>
      <c r="H16" s="31">
        <f>SUM('1st Qtr'!H16, '2nd Qtr'!H16, '3rd Qtr'!H16, '4th Qtr'!H16)</f>
        <v>-21873.843850533012</v>
      </c>
      <c r="I16" s="32">
        <f t="shared" si="5"/>
        <v>-3.8896300007118204E-2</v>
      </c>
    </row>
    <row r="17" spans="1:9" ht="15.6">
      <c r="A17" s="33" t="str">
        <v>Felician Sisters Convent</v>
      </c>
      <c r="B17" s="34" t="str">
        <v>NJ</v>
      </c>
      <c r="C17" s="35">
        <f>SUM('1st Qtr'!C17, '2nd Qtr'!C17, '3rd Qtr'!C17, '4th Qtr'!C17)</f>
        <v>74986.399999999994</v>
      </c>
      <c r="D17" s="35">
        <f>SUM('1st Qtr'!D17, '2nd Qtr'!D17, '3rd Qtr'!D17, '4th Qtr'!D17)</f>
        <v>0</v>
      </c>
      <c r="E17" s="36">
        <f t="shared" si="3"/>
        <v>74986.399999999994</v>
      </c>
      <c r="F17" s="73" t="str">
        <f t="shared" si="4"/>
        <v/>
      </c>
      <c r="G17" s="74">
        <f>SUM('1st Qtr'!G17, '2nd Qtr'!G17, '3rd Qtr'!G17, '4th Qtr'!G17)</f>
        <v>0</v>
      </c>
      <c r="H17" s="74">
        <f>SUM('1st Qtr'!H17, '2nd Qtr'!H17, '3rd Qtr'!H17, '4th Qtr'!H17)</f>
        <v>0</v>
      </c>
      <c r="I17" s="73" t="str">
        <f t="shared" si="5"/>
        <v/>
      </c>
    </row>
    <row r="18" spans="1:9" ht="15.6">
      <c r="A18" s="26" t="str">
        <v>Sussex County Fairgrounds</v>
      </c>
      <c r="B18" s="27" t="str">
        <v>NJ</v>
      </c>
      <c r="C18" s="28">
        <f>SUM('1st Qtr'!C18, '2nd Qtr'!C18, '3rd Qtr'!C18, '4th Qtr'!C18)</f>
        <v>116017.84</v>
      </c>
      <c r="D18" s="29">
        <f>SUM('1st Qtr'!D18, '2nd Qtr'!D18, '3rd Qtr'!D18, '4th Qtr'!D18)</f>
        <v>0</v>
      </c>
      <c r="E18" s="29">
        <f t="shared" si="3"/>
        <v>116017.84</v>
      </c>
      <c r="F18" s="30" t="str">
        <f t="shared" si="4"/>
        <v/>
      </c>
      <c r="G18" s="31">
        <f>SUM('1st Qtr'!G18, '2nd Qtr'!G18, '3rd Qtr'!G18, '4th Qtr'!G18)</f>
        <v>0</v>
      </c>
      <c r="H18" s="31">
        <f>SUM('1st Qtr'!H18, '2nd Qtr'!H18, '3rd Qtr'!H18, '4th Qtr'!H18)</f>
        <v>0</v>
      </c>
      <c r="I18" s="32" t="str">
        <f t="shared" si="5"/>
        <v/>
      </c>
    </row>
    <row r="19" spans="1:9" ht="15.6">
      <c r="A19" s="33" t="str">
        <v>Gateway Church</v>
      </c>
      <c r="B19" s="34" t="str">
        <v>NJ</v>
      </c>
      <c r="C19" s="35">
        <f>SUM('1st Qtr'!C19, '2nd Qtr'!C19, '3rd Qtr'!C19, '4th Qtr'!C19)</f>
        <v>79024</v>
      </c>
      <c r="D19" s="35">
        <f>SUM('1st Qtr'!D19, '2nd Qtr'!D19, '3rd Qtr'!D19, '4th Qtr'!D19)</f>
        <v>0</v>
      </c>
      <c r="E19" s="36">
        <f t="shared" si="3"/>
        <v>79024</v>
      </c>
      <c r="F19" s="73" t="str">
        <f t="shared" si="4"/>
        <v/>
      </c>
      <c r="G19" s="74">
        <f>SUM('1st Qtr'!G19, '2nd Qtr'!G19, '3rd Qtr'!G19, '4th Qtr'!G19)</f>
        <v>0</v>
      </c>
      <c r="H19" s="74">
        <f>SUM('1st Qtr'!H19, '2nd Qtr'!H19, '3rd Qtr'!H19, '4th Qtr'!H19)</f>
        <v>0</v>
      </c>
      <c r="I19" s="73" t="str">
        <f t="shared" si="5"/>
        <v/>
      </c>
    </row>
    <row r="20" spans="1:9" ht="15.6">
      <c r="A20" s="26" t="str">
        <v>Beaver Falls - Felician Sisters</v>
      </c>
      <c r="B20" s="27" t="str">
        <v>PA</v>
      </c>
      <c r="C20" s="28">
        <f>SUM('1st Qtr'!C20, '2nd Qtr'!C20, '3rd Qtr'!C20, '4th Qtr'!C20)</f>
        <v>115627</v>
      </c>
      <c r="D20" s="29">
        <f>SUM('1st Qtr'!D20, '2nd Qtr'!D20, '3rd Qtr'!D20, '4th Qtr'!D20)</f>
        <v>0</v>
      </c>
      <c r="E20" s="29">
        <f t="shared" si="3"/>
        <v>115627</v>
      </c>
      <c r="F20" s="30" t="str">
        <f t="shared" si="4"/>
        <v/>
      </c>
      <c r="G20" s="31">
        <f>SUM('1st Qtr'!G20, '2nd Qtr'!G20, '3rd Qtr'!G20, '4th Qtr'!G20)</f>
        <v>0</v>
      </c>
      <c r="H20" s="31">
        <f>SUM('1st Qtr'!H20, '2nd Qtr'!H20, '3rd Qtr'!H20, '4th Qtr'!H20)</f>
        <v>0</v>
      </c>
      <c r="I20" s="32" t="str">
        <f t="shared" si="5"/>
        <v/>
      </c>
    </row>
    <row r="21" spans="1:9" ht="15.6">
      <c r="A21" s="33" t="str">
        <v>Livonia - Felician Sisters Ground</v>
      </c>
      <c r="B21" s="34" t="str">
        <v>MI</v>
      </c>
      <c r="C21" s="35">
        <f>SUM('1st Qtr'!C21, '2nd Qtr'!C21, '3rd Qtr'!C21, '4th Qtr'!C21)</f>
        <v>0</v>
      </c>
      <c r="D21" s="35">
        <f>SUM('1st Qtr'!D21, '2nd Qtr'!D21, '3rd Qtr'!D21, '4th Qtr'!D21)</f>
        <v>0</v>
      </c>
      <c r="E21" s="36">
        <f t="shared" si="3"/>
        <v>0</v>
      </c>
      <c r="F21" s="73" t="str">
        <f t="shared" si="4"/>
        <v/>
      </c>
      <c r="G21" s="74">
        <f>SUM('1st Qtr'!G21, '2nd Qtr'!G21, '3rd Qtr'!G21, '4th Qtr'!G21)</f>
        <v>0</v>
      </c>
      <c r="H21" s="74">
        <f>SUM('1st Qtr'!H21, '2nd Qtr'!H21, '3rd Qtr'!H21, '4th Qtr'!H21)</f>
        <v>0</v>
      </c>
      <c r="I21" s="73" t="str">
        <f t="shared" si="5"/>
        <v/>
      </c>
    </row>
    <row r="22" spans="1:9" ht="15.6">
      <c r="A22" s="26" t="str">
        <v>Livonia - Felician Sisters Roof</v>
      </c>
      <c r="B22" s="27" t="str">
        <v>MI</v>
      </c>
      <c r="C22" s="28">
        <f>SUM('1st Qtr'!C22, '2nd Qtr'!C22, '3rd Qtr'!C22, '4th Qtr'!C22)</f>
        <v>45042</v>
      </c>
      <c r="D22" s="29">
        <f>SUM('1st Qtr'!D22, '2nd Qtr'!D22, '3rd Qtr'!D22, '4th Qtr'!D22)</f>
        <v>0</v>
      </c>
      <c r="E22" s="29">
        <f t="shared" si="3"/>
        <v>45042</v>
      </c>
      <c r="F22" s="30" t="str">
        <f t="shared" si="4"/>
        <v/>
      </c>
      <c r="G22" s="31">
        <f>SUM('1st Qtr'!G22, '2nd Qtr'!G22, '3rd Qtr'!G22, '4th Qtr'!G22)</f>
        <v>0</v>
      </c>
      <c r="H22" s="31">
        <f>SUM('1st Qtr'!H22, '2nd Qtr'!H22, '3rd Qtr'!H22, '4th Qtr'!H22)</f>
        <v>0</v>
      </c>
      <c r="I22" s="32" t="str">
        <f t="shared" si="5"/>
        <v/>
      </c>
    </row>
    <row r="23" spans="1:9" ht="15.6">
      <c r="A23" s="33" t="str">
        <v>Monmouth Worship Ctr</v>
      </c>
      <c r="B23" s="34" t="str">
        <v>NJ</v>
      </c>
      <c r="C23" s="35">
        <f>SUM('1st Qtr'!C23, '2nd Qtr'!C23, '3rd Qtr'!C23, '4th Qtr'!C23)</f>
        <v>35495.280000000028</v>
      </c>
      <c r="D23" s="35">
        <f>SUM('1st Qtr'!D23, '2nd Qtr'!D23, '3rd Qtr'!D23, '4th Qtr'!D23)</f>
        <v>0</v>
      </c>
      <c r="E23" s="36">
        <f t="shared" si="3"/>
        <v>35495.280000000028</v>
      </c>
      <c r="F23" s="73" t="str">
        <f t="shared" si="4"/>
        <v/>
      </c>
      <c r="G23" s="74">
        <f>SUM('1st Qtr'!G23, '2nd Qtr'!G23, '3rd Qtr'!G23, '4th Qtr'!G23)</f>
        <v>0</v>
      </c>
      <c r="H23" s="74">
        <f>SUM('1st Qtr'!H23, '2nd Qtr'!H23, '3rd Qtr'!H23, '4th Qtr'!H23)</f>
        <v>0</v>
      </c>
      <c r="I23" s="73" t="str">
        <f t="shared" si="5"/>
        <v/>
      </c>
    </row>
    <row r="24" spans="1:9" ht="15.6">
      <c r="A24" s="26" t="str">
        <v xml:space="preserve"> Audubon - Senior Citizens United</v>
      </c>
      <c r="B24" s="27" t="str">
        <v>NJ</v>
      </c>
      <c r="C24" s="28">
        <f>SUM('1st Qtr'!C24, '2nd Qtr'!C24, '3rd Qtr'!C24, '4th Qtr'!C24)</f>
        <v>25722.975000000002</v>
      </c>
      <c r="D24" s="29">
        <f>SUM('1st Qtr'!D24, '2nd Qtr'!D24, '3rd Qtr'!D24, '4th Qtr'!D24)</f>
        <v>0</v>
      </c>
      <c r="E24" s="29">
        <f t="shared" si="3"/>
        <v>25722.975000000002</v>
      </c>
      <c r="F24" s="30" t="str">
        <f t="shared" si="4"/>
        <v/>
      </c>
      <c r="G24" s="31">
        <f>SUM('1st Qtr'!G24, '2nd Qtr'!G24, '3rd Qtr'!G24, '4th Qtr'!G24)</f>
        <v>0</v>
      </c>
      <c r="H24" s="31">
        <f>SUM('1st Qtr'!H24, '2nd Qtr'!H24, '3rd Qtr'!H24, '4th Qtr'!H24)</f>
        <v>0</v>
      </c>
      <c r="I24" s="32" t="str">
        <f t="shared" si="5"/>
        <v/>
      </c>
    </row>
    <row r="25" spans="1:9" ht="13.9">
      <c r="A25" s="8" t="str">
        <v>Hollister - PG&amp;E (Enerparc)</v>
      </c>
      <c r="B25" s="8" t="str">
        <v>CA</v>
      </c>
      <c r="C25" s="8"/>
      <c r="D25" s="8"/>
      <c r="E25" s="8"/>
      <c r="F25" s="9"/>
      <c r="G25" s="8"/>
      <c r="H25" s="8"/>
      <c r="I25" s="9"/>
    </row>
    <row r="26" spans="1:9" ht="13.9">
      <c r="A26" s="8" t="str">
        <v>Taos County - Kit Carson Electric Co-Op</v>
      </c>
      <c r="B26" s="8" t="str">
        <v>NM</v>
      </c>
      <c r="C26" s="8"/>
      <c r="D26" s="8"/>
      <c r="E26" s="8"/>
      <c r="F26" s="9"/>
      <c r="G26" s="8"/>
      <c r="H26" s="8"/>
      <c r="I26" s="9"/>
    </row>
    <row r="27" spans="1:9" ht="13.9">
      <c r="A27" s="8" t="str">
        <v>Commerce City - Adams City HS</v>
      </c>
      <c r="B27" s="8" t="str">
        <v>CO</v>
      </c>
      <c r="C27" s="8"/>
      <c r="D27" s="8"/>
      <c r="E27" s="8"/>
      <c r="F27" s="9"/>
      <c r="G27" s="8"/>
      <c r="H27" s="8"/>
      <c r="I27" s="9"/>
    </row>
    <row r="28" spans="1:9" ht="13.9">
      <c r="A28" s="8" t="str">
        <v>Commerce City - Adams City MS</v>
      </c>
      <c r="B28" s="8" t="str">
        <v>CO</v>
      </c>
      <c r="C28" s="8"/>
      <c r="D28" s="8"/>
      <c r="E28" s="8"/>
      <c r="F28" s="9"/>
      <c r="G28" s="8"/>
      <c r="H28" s="8"/>
      <c r="I28" s="9"/>
    </row>
    <row r="29" spans="1:9" ht="13.9">
      <c r="A29" s="8" t="str">
        <v>Commerce City - Central ES</v>
      </c>
      <c r="B29" s="8" t="str">
        <v>CO</v>
      </c>
      <c r="C29" s="8"/>
      <c r="D29" s="8"/>
      <c r="E29" s="8"/>
      <c r="F29" s="9"/>
      <c r="G29" s="8"/>
      <c r="H29" s="8"/>
      <c r="I29" s="9"/>
    </row>
    <row r="30" spans="1:9" ht="13.9">
      <c r="A30" s="8" t="str">
        <v>Commerce City - Dupont ES</v>
      </c>
      <c r="B30" s="8" t="str">
        <v>CO</v>
      </c>
      <c r="C30" s="8"/>
      <c r="D30" s="8"/>
      <c r="E30" s="8"/>
      <c r="F30" s="9"/>
      <c r="G30" s="8"/>
      <c r="H30" s="8"/>
      <c r="I30" s="9"/>
    </row>
    <row r="31" spans="1:9" ht="13.9">
      <c r="A31" s="8" t="str">
        <v>Commerce City - Educational Support Services</v>
      </c>
      <c r="B31" s="8" t="str">
        <v>CO</v>
      </c>
      <c r="C31" s="8"/>
      <c r="D31" s="8"/>
      <c r="E31" s="8"/>
      <c r="F31" s="9"/>
      <c r="G31" s="8"/>
      <c r="H31" s="8"/>
      <c r="I31" s="9"/>
    </row>
    <row r="32" spans="1:9" ht="13.9">
      <c r="A32" s="8" t="str">
        <v>Commerce City - Hanson ES</v>
      </c>
      <c r="B32" s="8" t="str">
        <v>CO</v>
      </c>
      <c r="C32" s="8"/>
      <c r="D32" s="8"/>
      <c r="E32" s="8"/>
      <c r="F32" s="9"/>
      <c r="G32" s="8"/>
      <c r="H32" s="8"/>
      <c r="I32" s="9"/>
    </row>
    <row r="33" spans="1:9" ht="13.9">
      <c r="A33" s="8" t="str">
        <v>Commerce City - Kemp ES</v>
      </c>
      <c r="B33" s="8" t="str">
        <v>CO</v>
      </c>
      <c r="C33" s="8"/>
      <c r="D33" s="8"/>
      <c r="E33" s="8"/>
      <c r="F33" s="9"/>
      <c r="G33" s="8"/>
      <c r="H33" s="8"/>
      <c r="I33" s="9"/>
    </row>
    <row r="34" spans="1:9" ht="13.9">
      <c r="A34" s="8" t="str">
        <v>Commerce City -  Lester Arnold HS</v>
      </c>
      <c r="B34" s="8" t="str">
        <v>CO</v>
      </c>
      <c r="C34" s="8"/>
      <c r="D34" s="8"/>
      <c r="E34" s="8"/>
      <c r="F34" s="9"/>
      <c r="G34" s="8"/>
      <c r="H34" s="8"/>
      <c r="I34" s="9"/>
    </row>
    <row r="35" spans="1:9" ht="13.9">
      <c r="A35" s="8" t="str">
        <v>Commerce City - Monaco ES</v>
      </c>
      <c r="B35" s="8" t="str">
        <v>CO</v>
      </c>
      <c r="C35" s="8"/>
      <c r="D35" s="8"/>
      <c r="E35" s="8"/>
      <c r="F35" s="9"/>
      <c r="G35" s="8"/>
      <c r="H35" s="8"/>
      <c r="I35" s="9"/>
    </row>
    <row r="36" spans="1:9" ht="13.9">
      <c r="A36" s="8" t="str">
        <v>Denver - Northgate / Old Fort Logan ES</v>
      </c>
      <c r="B36" s="8" t="str">
        <v>CO</v>
      </c>
      <c r="C36" s="8"/>
      <c r="D36" s="8"/>
      <c r="E36" s="8"/>
      <c r="F36" s="9"/>
      <c r="G36" s="8"/>
      <c r="H36" s="8"/>
      <c r="I36" s="9"/>
    </row>
    <row r="37" spans="1:9" ht="13.9">
      <c r="A37" s="8" t="str">
        <v>Denver - Sheridan High School</v>
      </c>
      <c r="B37" s="8" t="str">
        <v>CO</v>
      </c>
      <c r="C37" s="8"/>
      <c r="D37" s="8"/>
      <c r="E37" s="8"/>
      <c r="F37" s="9"/>
      <c r="G37" s="8"/>
      <c r="H37" s="8"/>
      <c r="I37" s="9"/>
    </row>
    <row r="38" spans="1:9" ht="13.9">
      <c r="A38" s="8" t="str">
        <v>Englewood -  Alice Terry Elementary</v>
      </c>
      <c r="B38" s="8" t="str">
        <v>CO</v>
      </c>
      <c r="C38" s="8"/>
      <c r="D38" s="8"/>
      <c r="E38" s="8"/>
      <c r="F38" s="9"/>
      <c r="G38" s="8"/>
      <c r="H38" s="8"/>
      <c r="I38" s="9"/>
    </row>
    <row r="39" spans="1:9" ht="13.9">
      <c r="A39" s="8" t="str">
        <v>Englewood - Sheridan Middle School</v>
      </c>
      <c r="B39" s="8" t="str">
        <v>CO</v>
      </c>
      <c r="C39" s="8"/>
      <c r="D39" s="8"/>
      <c r="E39" s="8"/>
      <c r="F39" s="9"/>
      <c r="G39" s="8"/>
      <c r="H39" s="8"/>
      <c r="I39" s="9"/>
    </row>
    <row r="40" spans="1:9" ht="13.9">
      <c r="A40" s="8" t="str">
        <v>Goshen - NIPSCO</v>
      </c>
      <c r="B40" s="8" t="str">
        <v>IN</v>
      </c>
      <c r="C40" s="8"/>
      <c r="D40" s="8"/>
      <c r="E40" s="8"/>
      <c r="F40" s="9"/>
      <c r="G40" s="8"/>
      <c r="H40" s="8"/>
      <c r="I40" s="9"/>
    </row>
    <row r="41" spans="1:9" ht="13.9">
      <c r="A41" s="8" t="str">
        <v>Alamogordo - City of Alamogordo - Effluent</v>
      </c>
      <c r="B41" s="8" t="str">
        <v>NM</v>
      </c>
      <c r="C41" s="8"/>
      <c r="D41" s="8"/>
      <c r="E41" s="8"/>
      <c r="F41" s="9"/>
      <c r="G41" s="8"/>
      <c r="H41" s="8"/>
      <c r="I41" s="9"/>
    </row>
    <row r="42" spans="1:9" ht="13.9">
      <c r="A42" s="8" t="str">
        <v>Alamogordo - City of Alamogordo - WWTP</v>
      </c>
      <c r="B42" s="8" t="str">
        <v>NM</v>
      </c>
      <c r="C42" s="8"/>
      <c r="D42" s="8"/>
      <c r="E42" s="8"/>
      <c r="F42" s="9"/>
      <c r="G42" s="8"/>
      <c r="H42" s="8"/>
      <c r="I42" s="9"/>
    </row>
    <row r="43" spans="1:9" ht="13.9">
      <c r="A43" s="8" t="str">
        <v>Deming - Bilbo Booster</v>
      </c>
      <c r="B43" s="8" t="str">
        <v>NM</v>
      </c>
      <c r="C43" s="8"/>
      <c r="D43" s="8"/>
      <c r="E43" s="8"/>
      <c r="F43" s="9"/>
      <c r="G43" s="8"/>
      <c r="H43" s="8"/>
      <c r="I43" s="9"/>
    </row>
    <row r="44" spans="1:9" ht="13.9">
      <c r="A44" s="8" t="str">
        <v>Deming - Bilbo Well</v>
      </c>
      <c r="B44" s="8" t="str">
        <v>NM</v>
      </c>
      <c r="C44" s="8"/>
      <c r="D44" s="8"/>
      <c r="E44" s="8"/>
      <c r="F44" s="9"/>
      <c r="G44" s="8"/>
      <c r="H44" s="8"/>
      <c r="I44" s="9"/>
    </row>
    <row r="45" spans="1:9" ht="13.9">
      <c r="A45" s="8" t="str">
        <v>Deming - WWTP</v>
      </c>
      <c r="B45" s="8" t="str">
        <v>NM</v>
      </c>
      <c r="C45" s="8"/>
      <c r="D45" s="8"/>
      <c r="E45" s="8"/>
      <c r="F45" s="9"/>
      <c r="G45" s="8"/>
      <c r="H45" s="8"/>
      <c r="I45" s="9"/>
    </row>
    <row r="46" spans="1:9" ht="13.9">
      <c r="A46" s="8" t="str">
        <v>Truth or Consequences - Walmart</v>
      </c>
      <c r="B46" s="8" t="str">
        <v>NM</v>
      </c>
      <c r="C46" s="8"/>
      <c r="D46" s="8"/>
      <c r="E46" s="8"/>
      <c r="F46" s="9"/>
      <c r="G46" s="8"/>
      <c r="H46" s="8"/>
      <c r="I46" s="9"/>
    </row>
    <row r="47" spans="1:9" ht="13.9">
      <c r="A47" s="8"/>
      <c r="B47" s="8"/>
      <c r="C47" s="8"/>
      <c r="D47" s="8"/>
      <c r="E47" s="8"/>
      <c r="F47" s="9"/>
      <c r="G47" s="8"/>
      <c r="H47" s="8"/>
      <c r="I47" s="9"/>
    </row>
    <row r="48" spans="1:9" ht="13.9">
      <c r="A48" s="8"/>
      <c r="B48" s="8"/>
      <c r="C48" s="8"/>
      <c r="D48" s="8"/>
      <c r="E48" s="8"/>
      <c r="F48" s="9"/>
      <c r="G48" s="8"/>
      <c r="H48" s="8"/>
      <c r="I48" s="9"/>
    </row>
    <row r="49" spans="1:9" ht="13.9">
      <c r="A49" s="8"/>
      <c r="B49" s="8"/>
      <c r="C49" s="8"/>
      <c r="D49" s="8"/>
      <c r="E49" s="8"/>
      <c r="F49" s="9"/>
      <c r="G49" s="8"/>
      <c r="H49" s="8"/>
      <c r="I49" s="9"/>
    </row>
    <row r="50" spans="1:9" ht="13.9">
      <c r="A50" s="8"/>
      <c r="B50" s="8"/>
      <c r="C50" s="8"/>
      <c r="D50" s="8"/>
      <c r="E50" s="8"/>
      <c r="F50" s="9"/>
      <c r="G50" s="8"/>
      <c r="H50" s="8"/>
      <c r="I50" s="9"/>
    </row>
    <row r="51" spans="1:9" ht="13.9">
      <c r="A51" s="8"/>
      <c r="B51" s="8"/>
      <c r="C51" s="8"/>
      <c r="D51" s="8"/>
      <c r="E51" s="8"/>
      <c r="F51" s="9"/>
      <c r="G51" s="8"/>
      <c r="H51" s="8"/>
      <c r="I51" s="9"/>
    </row>
    <row r="52" spans="1:9" ht="13.9">
      <c r="A52" s="8"/>
      <c r="B52" s="8"/>
      <c r="C52" s="8"/>
      <c r="D52" s="8"/>
      <c r="E52" s="8"/>
      <c r="F52" s="9"/>
      <c r="G52" s="8"/>
      <c r="H52" s="8"/>
      <c r="I52" s="9"/>
    </row>
    <row r="53" spans="1:9" ht="13.9">
      <c r="A53" s="8"/>
      <c r="B53" s="8"/>
      <c r="C53" s="8"/>
      <c r="D53" s="8"/>
      <c r="E53" s="8"/>
      <c r="F53" s="9"/>
      <c r="G53" s="8"/>
      <c r="H53" s="8"/>
      <c r="I53" s="9"/>
    </row>
    <row r="54" spans="1:9" ht="13.9">
      <c r="A54" s="8"/>
      <c r="B54" s="8"/>
      <c r="C54" s="8"/>
      <c r="D54" s="8"/>
      <c r="E54" s="8"/>
      <c r="F54" s="9"/>
      <c r="G54" s="8"/>
      <c r="H54" s="8"/>
      <c r="I54" s="9"/>
    </row>
    <row r="55" spans="1:9" ht="13.9">
      <c r="A55" s="8"/>
      <c r="B55" s="8"/>
      <c r="C55" s="8"/>
      <c r="D55" s="8"/>
      <c r="E55" s="8"/>
      <c r="F55" s="9"/>
      <c r="G55" s="8"/>
      <c r="H55" s="8"/>
      <c r="I55" s="9"/>
    </row>
    <row r="56" spans="1:9" ht="13.9">
      <c r="A56" s="8"/>
      <c r="B56" s="8"/>
      <c r="C56" s="8"/>
      <c r="D56" s="8"/>
      <c r="E56" s="8"/>
      <c r="F56" s="9"/>
      <c r="G56" s="8"/>
      <c r="H56" s="8"/>
      <c r="I56" s="9"/>
    </row>
    <row r="57" spans="1:9" ht="13.9">
      <c r="A57" s="8"/>
      <c r="B57" s="8"/>
      <c r="C57" s="8"/>
      <c r="D57" s="8"/>
      <c r="E57" s="8"/>
      <c r="F57" s="9"/>
      <c r="G57" s="8"/>
      <c r="H57" s="8"/>
      <c r="I57" s="9"/>
    </row>
    <row r="58" spans="1:9" ht="13.9">
      <c r="A58" s="8"/>
      <c r="B58" s="8"/>
      <c r="C58" s="8"/>
      <c r="D58" s="8"/>
      <c r="E58" s="8"/>
      <c r="F58" s="9"/>
      <c r="G58" s="8"/>
      <c r="H58" s="8"/>
      <c r="I58" s="9"/>
    </row>
    <row r="59" spans="1:9" ht="13.9">
      <c r="A59" s="8"/>
      <c r="B59" s="8"/>
      <c r="C59" s="8"/>
      <c r="D59" s="8"/>
      <c r="E59" s="8"/>
      <c r="F59" s="9"/>
      <c r="G59" s="8"/>
      <c r="H59" s="8"/>
      <c r="I59" s="9"/>
    </row>
    <row r="60" spans="1:9" ht="13.9">
      <c r="A60" s="8"/>
      <c r="B60" s="8"/>
      <c r="C60" s="8"/>
      <c r="D60" s="8"/>
      <c r="E60" s="8"/>
      <c r="F60" s="9"/>
      <c r="G60" s="8"/>
      <c r="H60" s="8"/>
      <c r="I60" s="9"/>
    </row>
    <row r="61" spans="1:9" ht="13.9">
      <c r="A61" s="8"/>
      <c r="B61" s="8"/>
      <c r="C61" s="8"/>
      <c r="D61" s="8"/>
      <c r="E61" s="8"/>
      <c r="F61" s="9"/>
      <c r="G61" s="8"/>
      <c r="H61" s="8"/>
      <c r="I61" s="9"/>
    </row>
    <row r="62" spans="1:9" ht="13.9">
      <c r="A62" s="8"/>
      <c r="B62" s="8"/>
      <c r="C62" s="8"/>
      <c r="D62" s="8"/>
      <c r="E62" s="8"/>
      <c r="F62" s="9"/>
      <c r="G62" s="8"/>
      <c r="H62" s="8"/>
      <c r="I62" s="9"/>
    </row>
    <row r="63" spans="1:9" ht="13.9">
      <c r="A63" s="8"/>
      <c r="B63" s="8"/>
      <c r="C63" s="8"/>
      <c r="D63" s="8"/>
      <c r="E63" s="8"/>
      <c r="F63" s="9"/>
      <c r="G63" s="8"/>
      <c r="H63" s="8"/>
      <c r="I63" s="9"/>
    </row>
    <row r="64" spans="1:9" ht="13.9">
      <c r="A64" s="8"/>
      <c r="B64" s="8"/>
      <c r="C64" s="8"/>
      <c r="D64" s="8"/>
      <c r="E64" s="8"/>
      <c r="F64" s="9"/>
      <c r="G64" s="8"/>
      <c r="H64" s="8"/>
      <c r="I64" s="9"/>
    </row>
    <row r="65" spans="1:9" ht="13.9">
      <c r="A65" s="8"/>
      <c r="B65" s="8"/>
      <c r="C65" s="8"/>
      <c r="D65" s="8"/>
      <c r="E65" s="8"/>
      <c r="F65" s="9"/>
      <c r="G65" s="8"/>
      <c r="H65" s="8"/>
      <c r="I65" s="9"/>
    </row>
    <row r="66" spans="1:9" ht="13.9">
      <c r="A66" s="8"/>
      <c r="B66" s="8"/>
      <c r="C66" s="8"/>
      <c r="D66" s="8"/>
      <c r="E66" s="8"/>
      <c r="F66" s="9"/>
      <c r="G66" s="8"/>
      <c r="H66" s="8"/>
      <c r="I66" s="9"/>
    </row>
    <row r="67" spans="1:9" ht="13.9">
      <c r="A67" s="8"/>
      <c r="B67" s="8"/>
      <c r="C67" s="8"/>
      <c r="D67" s="8"/>
      <c r="E67" s="8"/>
      <c r="F67" s="9"/>
      <c r="G67" s="8"/>
      <c r="H67" s="8"/>
      <c r="I67" s="9"/>
    </row>
    <row r="68" spans="1:9" ht="13.9">
      <c r="A68" s="8"/>
      <c r="B68" s="8"/>
      <c r="C68" s="8"/>
      <c r="D68" s="8"/>
      <c r="E68" s="8"/>
      <c r="F68" s="9"/>
      <c r="G68" s="8"/>
      <c r="H68" s="8"/>
      <c r="I68" s="9"/>
    </row>
    <row r="69" spans="1:9" ht="13.9">
      <c r="A69" s="8"/>
      <c r="B69" s="8"/>
      <c r="C69" s="8"/>
      <c r="D69" s="8"/>
      <c r="E69" s="8"/>
      <c r="F69" s="9"/>
      <c r="G69" s="8"/>
      <c r="H69" s="8"/>
      <c r="I69" s="9"/>
    </row>
    <row r="70" spans="1:9" ht="13.9">
      <c r="A70" s="8"/>
      <c r="B70" s="8"/>
      <c r="C70" s="8"/>
      <c r="D70" s="8"/>
      <c r="E70" s="8"/>
      <c r="F70" s="9"/>
      <c r="G70" s="8"/>
      <c r="H70" s="8"/>
      <c r="I70" s="9"/>
    </row>
    <row r="71" spans="1:9" ht="13.9">
      <c r="A71" s="8"/>
      <c r="B71" s="8"/>
      <c r="C71" s="8"/>
      <c r="D71" s="8"/>
      <c r="E71" s="8"/>
      <c r="F71" s="9"/>
      <c r="G71" s="8"/>
      <c r="H71" s="8"/>
      <c r="I71" s="9"/>
    </row>
    <row r="72" spans="1:9" ht="13.9">
      <c r="A72" s="8"/>
      <c r="B72" s="8"/>
      <c r="C72" s="8"/>
      <c r="D72" s="8"/>
      <c r="E72" s="8"/>
      <c r="F72" s="9"/>
      <c r="G72" s="8"/>
      <c r="H72" s="8"/>
      <c r="I72" s="9"/>
    </row>
    <row r="73" spans="1:9" ht="13.9">
      <c r="A73" s="8"/>
      <c r="B73" s="8"/>
      <c r="C73" s="8"/>
      <c r="D73" s="8"/>
      <c r="E73" s="8"/>
      <c r="F73" s="9"/>
      <c r="G73" s="8"/>
      <c r="H73" s="8"/>
      <c r="I73" s="9"/>
    </row>
    <row r="74" spans="1:9" ht="13.9">
      <c r="A74" s="8"/>
      <c r="B74" s="8"/>
      <c r="C74" s="8"/>
      <c r="D74" s="8"/>
      <c r="E74" s="8"/>
      <c r="F74" s="9"/>
      <c r="G74" s="8"/>
      <c r="H74" s="8"/>
      <c r="I74" s="9"/>
    </row>
    <row r="75" spans="1:9" ht="13.9">
      <c r="A75" s="8"/>
      <c r="B75" s="8"/>
      <c r="C75" s="8"/>
      <c r="D75" s="8"/>
      <c r="E75" s="8"/>
      <c r="F75" s="9"/>
      <c r="G75" s="8"/>
      <c r="H75" s="8"/>
      <c r="I75" s="9"/>
    </row>
    <row r="76" spans="1:9" ht="13.9">
      <c r="A76" s="8"/>
      <c r="B76" s="8"/>
      <c r="C76" s="8"/>
      <c r="D76" s="8"/>
      <c r="E76" s="8"/>
      <c r="F76" s="9"/>
      <c r="G76" s="8"/>
      <c r="H76" s="8"/>
      <c r="I76" s="9"/>
    </row>
    <row r="77" spans="1:9" ht="13.9">
      <c r="A77" s="8"/>
      <c r="B77" s="8"/>
      <c r="C77" s="8"/>
      <c r="D77" s="8"/>
      <c r="E77" s="8"/>
      <c r="F77" s="9"/>
      <c r="G77" s="8"/>
      <c r="H77" s="8"/>
      <c r="I77" s="9"/>
    </row>
    <row r="78" spans="1:9" ht="13.9">
      <c r="A78" s="8"/>
      <c r="B78" s="8"/>
      <c r="C78" s="8"/>
      <c r="D78" s="8"/>
      <c r="E78" s="8"/>
      <c r="F78" s="9"/>
      <c r="G78" s="8"/>
      <c r="H78" s="8"/>
      <c r="I78" s="9"/>
    </row>
    <row r="79" spans="1:9" ht="13.9">
      <c r="A79" s="8"/>
      <c r="B79" s="8"/>
      <c r="C79" s="8"/>
      <c r="D79" s="8"/>
      <c r="E79" s="8"/>
      <c r="F79" s="9"/>
      <c r="G79" s="8"/>
      <c r="H79" s="8"/>
      <c r="I79" s="9"/>
    </row>
    <row r="80" spans="1:9" ht="13.9">
      <c r="A80" s="8"/>
      <c r="B80" s="8"/>
      <c r="C80" s="8"/>
      <c r="D80" s="8"/>
      <c r="E80" s="8"/>
      <c r="F80" s="9"/>
      <c r="G80" s="8"/>
      <c r="H80" s="8"/>
      <c r="I80" s="9"/>
    </row>
    <row r="81" spans="1:9" ht="13.9">
      <c r="A81" s="8"/>
      <c r="B81" s="8"/>
      <c r="C81" s="8"/>
      <c r="D81" s="8"/>
      <c r="E81" s="8"/>
      <c r="F81" s="9"/>
      <c r="G81" s="8"/>
      <c r="H81" s="8"/>
      <c r="I81" s="9"/>
    </row>
    <row r="82" spans="1:9" ht="13.9">
      <c r="A82" s="8"/>
      <c r="B82" s="8"/>
      <c r="C82" s="8"/>
      <c r="D82" s="8"/>
      <c r="E82" s="8"/>
      <c r="F82" s="9"/>
      <c r="G82" s="8"/>
      <c r="H82" s="8"/>
      <c r="I82" s="9"/>
    </row>
    <row r="83" spans="1:9" ht="13.9">
      <c r="A83" s="8"/>
      <c r="B83" s="8"/>
      <c r="C83" s="8"/>
      <c r="D83" s="8"/>
      <c r="E83" s="8"/>
      <c r="F83" s="9"/>
      <c r="G83" s="8"/>
      <c r="H83" s="8"/>
      <c r="I83" s="9"/>
    </row>
    <row r="84" spans="1:9" ht="13.9">
      <c r="A84" s="8"/>
      <c r="B84" s="8"/>
      <c r="C84" s="8"/>
      <c r="D84" s="8"/>
      <c r="E84" s="8"/>
      <c r="F84" s="9"/>
      <c r="G84" s="8"/>
      <c r="H84" s="8"/>
      <c r="I84" s="9"/>
    </row>
    <row r="85" spans="1:9" ht="13.9">
      <c r="A85" s="8"/>
      <c r="B85" s="8"/>
      <c r="C85" s="8"/>
      <c r="D85" s="8"/>
      <c r="E85" s="8"/>
      <c r="F85" s="9"/>
      <c r="G85" s="8"/>
      <c r="H85" s="8"/>
      <c r="I85" s="9"/>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sheetData>
  <autoFilter ref="A2:I2" xr:uid="{D5C25034-9971-4A61-864F-C938F31EB1B8}"/>
  <mergeCells count="4">
    <mergeCell ref="G1:I1"/>
    <mergeCell ref="A1:C1"/>
    <mergeCell ref="D1:F1"/>
    <mergeCell ref="A2:B2"/>
  </mergeCells>
  <conditionalFormatting sqref="F2 I2 F4:F71 I4:I71">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1"/>
  <sheetViews>
    <sheetView workbookViewId="0">
      <pane xSplit="2" ySplit="3" topLeftCell="C4" activePane="bottomRight" state="frozen"/>
      <selection pane="bottomRight" activeCell="G2" sqref="G2"/>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9" t="str" cm="1">
        <f t="array" ref="A1">portfolio</f>
        <v>Clean Capital</v>
      </c>
      <c r="B1" s="99"/>
      <c r="C1" s="99"/>
      <c r="D1" s="100" t="s">
        <v>10</v>
      </c>
      <c r="E1" s="100"/>
      <c r="F1" s="100"/>
      <c r="G1" s="98" t="s">
        <v>11</v>
      </c>
      <c r="H1" s="98"/>
      <c r="I1" s="98"/>
    </row>
    <row r="2" spans="1:9" ht="19.5" customHeight="1">
      <c r="A2" s="101" t="s">
        <v>2</v>
      </c>
      <c r="B2" s="101"/>
      <c r="C2" s="5">
        <f>SUM(C4:C79)</f>
        <v>1827946.6861654297</v>
      </c>
      <c r="D2" s="5">
        <f>SUM(D4:D79)</f>
        <v>0</v>
      </c>
      <c r="E2" s="5">
        <f>C2-D2</f>
        <v>1827946.6861654297</v>
      </c>
      <c r="F2" s="6">
        <f>IFERROR(E2/D2, 0)</f>
        <v>0</v>
      </c>
      <c r="G2" s="5">
        <f>SUM(G4:G79)</f>
        <v>1530690.2</v>
      </c>
      <c r="H2" s="7">
        <f>C2-G2</f>
        <v>297256.4861654297</v>
      </c>
      <c r="I2" s="6">
        <f>IFERROR(H2/G2, 0)</f>
        <v>0.19419768034408902</v>
      </c>
    </row>
    <row r="3" spans="1:9" ht="14.25" customHeight="1">
      <c r="A3" s="12" t="s">
        <v>3</v>
      </c>
      <c r="B3" s="12" t="s">
        <v>4</v>
      </c>
      <c r="C3" s="19" t="s">
        <v>5</v>
      </c>
      <c r="D3" s="20" t="s">
        <v>6</v>
      </c>
      <c r="E3" s="20" t="s">
        <v>7</v>
      </c>
      <c r="F3" s="21" t="s">
        <v>8</v>
      </c>
      <c r="G3" s="22" t="s">
        <v>9</v>
      </c>
      <c r="H3" s="23" t="s">
        <v>7</v>
      </c>
      <c r="I3" s="24" t="s">
        <v>8</v>
      </c>
    </row>
    <row r="4" spans="1:9" ht="15.6">
      <c r="A4" s="47" t="str" cm="1">
        <f t="array" ref="A4:A46">Sites[Site]</f>
        <v>Lexington - Cotting School</v>
      </c>
      <c r="B4" s="27" t="str" cm="1">
        <f t="array" ref="B4:B46">Sites[State]</f>
        <v>MA</v>
      </c>
      <c r="C4" s="28">
        <f>SUM(Jan!C4, Feb!C4, Mar!C4)</f>
        <v>45888.639999999999</v>
      </c>
      <c r="D4" s="29">
        <f>SUM(Jan!D4, Feb!D4, Mar!D4)</f>
        <v>0</v>
      </c>
      <c r="E4" s="29">
        <f>IF(AND(ISNUMBER(C4),ISNUMBER(D4)), C4-D4, "")</f>
        <v>45888.639999999999</v>
      </c>
      <c r="F4" s="30" t="str">
        <f>IFERROR(E4/D4, "")</f>
        <v/>
      </c>
      <c r="G4" s="31">
        <f>SUM(Jan!G4, Feb!G4, Mar!G4)</f>
        <v>0</v>
      </c>
      <c r="H4" s="31">
        <f>SUM(Jan!H4, Feb!H4, Mar!H4)</f>
        <v>18073.600000000002</v>
      </c>
      <c r="I4" s="32" t="str">
        <f>IFERROR(H4/G4, "")</f>
        <v/>
      </c>
    </row>
    <row r="5" spans="1:9" ht="15.6">
      <c r="A5" s="48" t="str">
        <v>Pacoima - Whiteman Airport</v>
      </c>
      <c r="B5" s="34" t="str">
        <v>CA</v>
      </c>
      <c r="C5" s="35">
        <f>SUM(Jan!C5, Feb!C5, Mar!C5)</f>
        <v>58146</v>
      </c>
      <c r="D5" s="36">
        <f>SUM(Jan!D5, Feb!D5, Mar!D5)</f>
        <v>0</v>
      </c>
      <c r="E5" s="36">
        <f t="shared" ref="E5:E7" si="0">IF(AND(ISNUMBER(C5),ISNUMBER(D5)), C5-D5, "")</f>
        <v>58146</v>
      </c>
      <c r="F5" s="37" t="str">
        <f>IFERROR(E5/D5, "")</f>
        <v/>
      </c>
      <c r="G5" s="38">
        <f>SUM(Jan!G5, Feb!G5, Mar!G5)</f>
        <v>108680</v>
      </c>
      <c r="H5" s="38">
        <f>SUM(Jan!H5, Feb!H5, Mar!H5)</f>
        <v>-50534</v>
      </c>
      <c r="I5" s="37">
        <f>IFERROR(H5/G5, "")</f>
        <v>-0.46497975708502026</v>
      </c>
    </row>
    <row r="6" spans="1:9" ht="15.6">
      <c r="A6" s="47" t="str">
        <v>Hyannis - Sturgis Charter School</v>
      </c>
      <c r="B6" s="27" t="str">
        <v>MA</v>
      </c>
      <c r="C6" s="28">
        <f>SUM(Jan!C6, Feb!C6, Mar!C6)</f>
        <v>56832.394765429686</v>
      </c>
      <c r="D6" s="29">
        <f>SUM(Jan!D6, Feb!D6, Mar!D6)</f>
        <v>0</v>
      </c>
      <c r="E6" s="29">
        <f t="shared" si="0"/>
        <v>56832.394765429686</v>
      </c>
      <c r="F6" s="30" t="str">
        <f t="shared" ref="F6:F7" si="1">IFERROR(E6/D6, "")</f>
        <v/>
      </c>
      <c r="G6" s="31">
        <f>SUM(Jan!G6, Feb!G6, Mar!G6)</f>
        <v>54540</v>
      </c>
      <c r="H6" s="31">
        <f>SUM(Jan!H6, Feb!H6, Mar!H6)</f>
        <v>2292.3947654296862</v>
      </c>
      <c r="I6" s="32">
        <f t="shared" ref="I6:I7" si="2">IFERROR(H6/G6, "")</f>
        <v>4.203144051026194E-2</v>
      </c>
    </row>
    <row r="7" spans="1:9" ht="15.6">
      <c r="A7" s="48" t="str">
        <v>South Dennis - Tony Kent Arena</v>
      </c>
      <c r="B7" s="34" t="str">
        <v>MA</v>
      </c>
      <c r="C7" s="35">
        <f>SUM(Jan!C7, Feb!C7, Mar!C7)</f>
        <v>61513.2</v>
      </c>
      <c r="D7" s="36">
        <f>SUM(Jan!D7, Feb!D7, Mar!D7)</f>
        <v>0</v>
      </c>
      <c r="E7" s="36">
        <f t="shared" si="0"/>
        <v>61513.2</v>
      </c>
      <c r="F7" s="37" t="str">
        <f t="shared" si="1"/>
        <v/>
      </c>
      <c r="G7" s="38">
        <f>SUM(Jan!G7, Feb!G7, Mar!G7)</f>
        <v>0</v>
      </c>
      <c r="H7" s="38">
        <f>SUM(Jan!H7, Feb!H7, Mar!H7)</f>
        <v>30999.119999999999</v>
      </c>
      <c r="I7" s="37" t="str">
        <f t="shared" si="2"/>
        <v/>
      </c>
    </row>
    <row r="8" spans="1:9" ht="15.6">
      <c r="A8" s="47" t="str">
        <v xml:space="preserve"> Caropolis - Felician Sisters</v>
      </c>
      <c r="B8" s="27" t="str">
        <v>PA</v>
      </c>
      <c r="C8" s="28">
        <f>SUM(Jan!C8, Feb!C8, Mar!C8)</f>
        <v>51053.4</v>
      </c>
      <c r="D8" s="29">
        <f>SUM(Jan!D8, Feb!D8, Mar!D8)</f>
        <v>0</v>
      </c>
      <c r="E8" s="29">
        <f t="shared" ref="E8:E24" si="3">IF(AND(ISNUMBER(C8),ISNUMBER(D8)), C8-D8, "")</f>
        <v>51053.4</v>
      </c>
      <c r="F8" s="30" t="str">
        <f t="shared" ref="F8:F24" si="4">IFERROR(E8/D8, "")</f>
        <v/>
      </c>
      <c r="G8" s="31">
        <f>SUM(Jan!G8, Feb!G8, Mar!G8)</f>
        <v>0</v>
      </c>
      <c r="H8" s="31">
        <f>SUM(Jan!H8, Feb!H8, Mar!H8)</f>
        <v>0</v>
      </c>
      <c r="I8" s="32" t="str">
        <f t="shared" ref="I8:I24" si="5">IFERROR(H8/G8, "")</f>
        <v/>
      </c>
    </row>
    <row r="9" spans="1:9" ht="15.6">
      <c r="A9" s="48" t="str">
        <v>Clear Lake - Eastlake Gohman</v>
      </c>
      <c r="B9" s="34" t="str">
        <v>MN</v>
      </c>
      <c r="C9" s="35">
        <f>SUM(Jan!C9, Feb!C9, Mar!C9)</f>
        <v>174810</v>
      </c>
      <c r="D9" s="36">
        <f>SUM(Jan!D9, Feb!D9, Mar!D9)</f>
        <v>0</v>
      </c>
      <c r="E9" s="36">
        <f t="shared" si="3"/>
        <v>174810</v>
      </c>
      <c r="F9" s="73" t="str">
        <f t="shared" si="4"/>
        <v/>
      </c>
      <c r="G9" s="74">
        <f>SUM(Jan!G9, Feb!G9, Mar!G9)</f>
        <v>155938.5</v>
      </c>
      <c r="H9" s="74">
        <f>SUM(Jan!H9, Feb!H9, Mar!H9)</f>
        <v>18871.5</v>
      </c>
      <c r="I9" s="73">
        <f t="shared" si="5"/>
        <v>0.12101886320568686</v>
      </c>
    </row>
    <row r="10" spans="1:9" ht="15.6">
      <c r="A10" s="47" t="str">
        <v>Zumbrota - Eastlake Brenda Luhman</v>
      </c>
      <c r="B10" s="27" t="str">
        <v>MN</v>
      </c>
      <c r="C10" s="28">
        <f>SUM(Jan!C10, Feb!C10, Mar!C10)</f>
        <v>179285.1269</v>
      </c>
      <c r="D10" s="29">
        <f>SUM(Jan!D10, Feb!D10, Mar!D10)</f>
        <v>0</v>
      </c>
      <c r="E10" s="29">
        <f t="shared" si="3"/>
        <v>179285.1269</v>
      </c>
      <c r="F10" s="30" t="str">
        <f t="shared" si="4"/>
        <v/>
      </c>
      <c r="G10" s="31">
        <f>SUM(Jan!G10, Feb!G10, Mar!G10)</f>
        <v>161850.1</v>
      </c>
      <c r="H10" s="31">
        <f>SUM(Jan!H10, Feb!H10, Mar!H10)</f>
        <v>17435.026899999997</v>
      </c>
      <c r="I10" s="32">
        <f t="shared" si="5"/>
        <v>0.10772330014006785</v>
      </c>
    </row>
    <row r="11" spans="1:9" ht="15.6">
      <c r="A11" s="48" t="str">
        <v>Cokato - Eastlake Carlson</v>
      </c>
      <c r="B11" s="34" t="str">
        <v>MN</v>
      </c>
      <c r="C11" s="35">
        <f>SUM(Jan!C11, Feb!C11, Mar!C11)</f>
        <v>147025.48420000001</v>
      </c>
      <c r="D11" s="36">
        <f>SUM(Jan!D11, Feb!D11, Mar!D11)</f>
        <v>0</v>
      </c>
      <c r="E11" s="36">
        <f t="shared" si="3"/>
        <v>147025.48420000001</v>
      </c>
      <c r="F11" s="73" t="str">
        <f t="shared" si="4"/>
        <v/>
      </c>
      <c r="G11" s="74">
        <f>SUM(Jan!G11, Feb!G11, Mar!G11)</f>
        <v>189506</v>
      </c>
      <c r="H11" s="74">
        <f>SUM(Jan!H11, Feb!H11, Mar!H11)</f>
        <v>-42480.515799999994</v>
      </c>
      <c r="I11" s="73">
        <f t="shared" si="5"/>
        <v>-0.22416448977868772</v>
      </c>
    </row>
    <row r="12" spans="1:9" ht="15.6">
      <c r="A12" s="47" t="str">
        <v>North Branch - Cornille 2</v>
      </c>
      <c r="B12" s="27" t="str">
        <v>MN</v>
      </c>
      <c r="C12" s="28">
        <f>SUM(Jan!C12, Feb!C12, Mar!C12)</f>
        <v>142625</v>
      </c>
      <c r="D12" s="29">
        <f>SUM(Jan!D12, Feb!D12, Mar!D12)</f>
        <v>0</v>
      </c>
      <c r="E12" s="29">
        <f t="shared" si="3"/>
        <v>142625</v>
      </c>
      <c r="F12" s="30" t="str">
        <f t="shared" si="4"/>
        <v/>
      </c>
      <c r="G12" s="31">
        <f>SUM(Jan!G12, Feb!G12, Mar!G12)</f>
        <v>156749.79999999999</v>
      </c>
      <c r="H12" s="31">
        <f>SUM(Jan!H12, Feb!H12, Mar!H12)</f>
        <v>-14124.799999999988</v>
      </c>
      <c r="I12" s="32">
        <f t="shared" si="5"/>
        <v>-9.0110481799657735E-2</v>
      </c>
    </row>
    <row r="13" spans="1:9" ht="15.6">
      <c r="A13" s="48" t="str">
        <v>Clear Lake - Eastlake Hammer</v>
      </c>
      <c r="B13" s="34" t="str">
        <v>MN</v>
      </c>
      <c r="C13" s="35">
        <f>SUM(Jan!C13, Feb!C13, Mar!C13)</f>
        <v>196603.0325</v>
      </c>
      <c r="D13" s="36">
        <f>SUM(Jan!D13, Feb!D13, Mar!D13)</f>
        <v>0</v>
      </c>
      <c r="E13" s="36">
        <f t="shared" si="3"/>
        <v>196603.0325</v>
      </c>
      <c r="F13" s="73" t="str">
        <f t="shared" si="4"/>
        <v/>
      </c>
      <c r="G13" s="74">
        <f>SUM(Jan!G13, Feb!G13, Mar!G13)</f>
        <v>181153.8</v>
      </c>
      <c r="H13" s="74">
        <f>SUM(Jan!H13, Feb!H13, Mar!H13)</f>
        <v>15449.232500000013</v>
      </c>
      <c r="I13" s="73">
        <f t="shared" si="5"/>
        <v>8.5282409201463141E-2</v>
      </c>
    </row>
    <row r="14" spans="1:9" ht="15.6">
      <c r="A14" s="47" t="str">
        <v>Eastlake - Hertzberg CSG 1</v>
      </c>
      <c r="B14" s="27" t="str">
        <v>MN</v>
      </c>
      <c r="C14" s="28">
        <f>SUM(Jan!C14, Feb!C14, Mar!C14)</f>
        <v>178773.26439999999</v>
      </c>
      <c r="D14" s="29">
        <f>SUM(Jan!D14, Feb!D14, Mar!D14)</f>
        <v>0</v>
      </c>
      <c r="E14" s="29">
        <f t="shared" si="3"/>
        <v>178773.26439999999</v>
      </c>
      <c r="F14" s="30" t="str">
        <f t="shared" si="4"/>
        <v/>
      </c>
      <c r="G14" s="31">
        <f>SUM(Jan!G14, Feb!G14, Mar!G14)</f>
        <v>179090.7</v>
      </c>
      <c r="H14" s="31">
        <f>SUM(Jan!H14, Feb!H14, Mar!H14)</f>
        <v>-317.43560000002617</v>
      </c>
      <c r="I14" s="32">
        <f t="shared" si="5"/>
        <v>-1.7724851150842905E-3</v>
      </c>
    </row>
    <row r="15" spans="1:9" ht="15.6">
      <c r="A15" s="48" t="str">
        <v>Cokato - Eastlake Laurel Village</v>
      </c>
      <c r="B15" s="34" t="str">
        <v>MN</v>
      </c>
      <c r="C15" s="35">
        <f>SUM(Jan!C15, Feb!C15, Mar!C15)</f>
        <v>192745.31390000001</v>
      </c>
      <c r="D15" s="36">
        <f>SUM(Jan!D15, Feb!D15, Mar!D15)</f>
        <v>0</v>
      </c>
      <c r="E15" s="36">
        <f t="shared" si="3"/>
        <v>192745.31390000001</v>
      </c>
      <c r="F15" s="73" t="str">
        <f t="shared" si="4"/>
        <v/>
      </c>
      <c r="G15" s="74">
        <f>SUM(Jan!G15, Feb!G15, Mar!G15)</f>
        <v>177944.7</v>
      </c>
      <c r="H15" s="74">
        <f>SUM(Jan!H15, Feb!H15, Mar!H15)</f>
        <v>14800.613899999997</v>
      </c>
      <c r="I15" s="73">
        <f t="shared" si="5"/>
        <v>8.3175356725994062E-2</v>
      </c>
    </row>
    <row r="16" spans="1:9" ht="15.6">
      <c r="A16" s="47" t="str">
        <v>St. Peter - Eastlake Paulson</v>
      </c>
      <c r="B16" s="27" t="str">
        <v>MN</v>
      </c>
      <c r="C16" s="28">
        <f>SUM(Jan!C16, Feb!C16, Mar!C16)</f>
        <v>167620.9295</v>
      </c>
      <c r="D16" s="29">
        <f>SUM(Jan!D16, Feb!D16, Mar!D16)</f>
        <v>0</v>
      </c>
      <c r="E16" s="29">
        <f t="shared" si="3"/>
        <v>167620.9295</v>
      </c>
      <c r="F16" s="30" t="str">
        <f t="shared" si="4"/>
        <v/>
      </c>
      <c r="G16" s="31">
        <f>SUM(Jan!G16, Feb!G16, Mar!G16)</f>
        <v>165236.6</v>
      </c>
      <c r="H16" s="31">
        <f>SUM(Jan!H16, Feb!H16, Mar!H16)</f>
        <v>2384.3294999999925</v>
      </c>
      <c r="I16" s="32">
        <f t="shared" si="5"/>
        <v>1.4429790373319182E-2</v>
      </c>
    </row>
    <row r="17" spans="1:9" ht="15.6">
      <c r="A17" s="48" t="str">
        <v>Felician Sisters Convent</v>
      </c>
      <c r="B17" s="34" t="str">
        <v>NJ</v>
      </c>
      <c r="C17" s="35">
        <f>SUM(Jan!C17, Feb!C17, Mar!C17)</f>
        <v>34597.199999999997</v>
      </c>
      <c r="D17" s="36">
        <f>SUM(Jan!D17, Feb!D17, Mar!D17)</f>
        <v>0</v>
      </c>
      <c r="E17" s="36">
        <f t="shared" si="3"/>
        <v>34597.199999999997</v>
      </c>
      <c r="F17" s="73" t="str">
        <f t="shared" si="4"/>
        <v/>
      </c>
      <c r="G17" s="74">
        <f>SUM(Jan!G17, Feb!G17, Mar!G17)</f>
        <v>0</v>
      </c>
      <c r="H17" s="74">
        <f>SUM(Jan!H17, Feb!H17, Mar!H17)</f>
        <v>0</v>
      </c>
      <c r="I17" s="73" t="str">
        <f t="shared" si="5"/>
        <v/>
      </c>
    </row>
    <row r="18" spans="1:9" ht="15.6">
      <c r="A18" s="47" t="str">
        <v>Sussex County Fairgrounds</v>
      </c>
      <c r="B18" s="27" t="str">
        <v>NJ</v>
      </c>
      <c r="C18" s="28">
        <f>SUM(Jan!C18, Feb!C18, Mar!C18)</f>
        <v>44370</v>
      </c>
      <c r="D18" s="29">
        <f>SUM(Jan!D18, Feb!D18, Mar!D18)</f>
        <v>0</v>
      </c>
      <c r="E18" s="29">
        <f t="shared" si="3"/>
        <v>44370</v>
      </c>
      <c r="F18" s="30" t="str">
        <f t="shared" si="4"/>
        <v/>
      </c>
      <c r="G18" s="31">
        <f>SUM(Jan!G18, Feb!G18, Mar!G18)</f>
        <v>0</v>
      </c>
      <c r="H18" s="31">
        <f>SUM(Jan!H18, Feb!H18, Mar!H18)</f>
        <v>0</v>
      </c>
      <c r="I18" s="32" t="str">
        <f t="shared" si="5"/>
        <v/>
      </c>
    </row>
    <row r="19" spans="1:9" ht="15.6">
      <c r="A19" s="48" t="str">
        <v>Gateway Church</v>
      </c>
      <c r="B19" s="34" t="str">
        <v>NJ</v>
      </c>
      <c r="C19" s="35">
        <f>SUM(Jan!C19, Feb!C19, Mar!C19)</f>
        <v>26234</v>
      </c>
      <c r="D19" s="36">
        <f>SUM(Jan!D19, Feb!D19, Mar!D19)</f>
        <v>0</v>
      </c>
      <c r="E19" s="36">
        <f t="shared" si="3"/>
        <v>26234</v>
      </c>
      <c r="F19" s="73" t="str">
        <f t="shared" si="4"/>
        <v/>
      </c>
      <c r="G19" s="74">
        <f>SUM(Jan!G19, Feb!G19, Mar!G19)</f>
        <v>0</v>
      </c>
      <c r="H19" s="74">
        <f>SUM(Jan!H19, Feb!H19, Mar!H19)</f>
        <v>0</v>
      </c>
      <c r="I19" s="73" t="str">
        <f t="shared" si="5"/>
        <v/>
      </c>
    </row>
    <row r="20" spans="1:9" ht="15.6">
      <c r="A20" s="47" t="str">
        <v>Beaver Falls - Felician Sisters</v>
      </c>
      <c r="B20" s="27" t="str">
        <v>PA</v>
      </c>
      <c r="C20" s="28">
        <f>SUM(Jan!C20, Feb!C20, Mar!C20)</f>
        <v>36640</v>
      </c>
      <c r="D20" s="29">
        <f>SUM(Jan!D20, Feb!D20, Mar!D20)</f>
        <v>0</v>
      </c>
      <c r="E20" s="29">
        <f t="shared" si="3"/>
        <v>36640</v>
      </c>
      <c r="F20" s="30" t="str">
        <f t="shared" si="4"/>
        <v/>
      </c>
      <c r="G20" s="31">
        <f>SUM(Jan!G20, Feb!G20, Mar!G20)</f>
        <v>0</v>
      </c>
      <c r="H20" s="31">
        <f>SUM(Jan!H20, Feb!H20, Mar!H20)</f>
        <v>0</v>
      </c>
      <c r="I20" s="32" t="str">
        <f t="shared" si="5"/>
        <v/>
      </c>
    </row>
    <row r="21" spans="1:9" ht="15.6">
      <c r="A21" s="48" t="str">
        <v>Livonia - Felician Sisters Ground</v>
      </c>
      <c r="B21" s="34" t="str">
        <v>MI</v>
      </c>
      <c r="C21" s="35">
        <f>SUM(Jan!C21, Feb!C21, Mar!C21)</f>
        <v>0</v>
      </c>
      <c r="D21" s="36">
        <f>SUM(Jan!D21, Feb!D21, Mar!D21)</f>
        <v>0</v>
      </c>
      <c r="E21" s="36">
        <f t="shared" si="3"/>
        <v>0</v>
      </c>
      <c r="F21" s="73" t="str">
        <f t="shared" si="4"/>
        <v/>
      </c>
      <c r="G21" s="74">
        <f>SUM(Jan!G21, Feb!G21, Mar!G21)</f>
        <v>0</v>
      </c>
      <c r="H21" s="74">
        <f>SUM(Jan!H21, Feb!H21, Mar!H21)</f>
        <v>0</v>
      </c>
      <c r="I21" s="73" t="str">
        <f t="shared" si="5"/>
        <v/>
      </c>
    </row>
    <row r="22" spans="1:9" ht="15.6">
      <c r="A22" s="47" t="str">
        <v>Livonia - Felician Sisters Roof</v>
      </c>
      <c r="B22" s="27" t="str">
        <v>MI</v>
      </c>
      <c r="C22" s="28">
        <f>SUM(Jan!C22, Feb!C22, Mar!C22)</f>
        <v>12782</v>
      </c>
      <c r="D22" s="29">
        <f>SUM(Jan!D22, Feb!D22, Mar!D22)</f>
        <v>0</v>
      </c>
      <c r="E22" s="29">
        <f t="shared" si="3"/>
        <v>12782</v>
      </c>
      <c r="F22" s="30" t="str">
        <f t="shared" si="4"/>
        <v/>
      </c>
      <c r="G22" s="31">
        <f>SUM(Jan!G22, Feb!G22, Mar!G22)</f>
        <v>0</v>
      </c>
      <c r="H22" s="31">
        <f>SUM(Jan!H22, Feb!H22, Mar!H22)</f>
        <v>0</v>
      </c>
      <c r="I22" s="32" t="str">
        <f t="shared" si="5"/>
        <v/>
      </c>
    </row>
    <row r="23" spans="1:9" ht="15.6">
      <c r="A23" s="48" t="str">
        <v>Monmouth Worship Ctr</v>
      </c>
      <c r="B23" s="34" t="str">
        <v>NJ</v>
      </c>
      <c r="C23" s="35">
        <f>SUM(Jan!C23, Feb!C23, Mar!C23)</f>
        <v>11687.5</v>
      </c>
      <c r="D23" s="36">
        <f>SUM(Jan!D23, Feb!D23, Mar!D23)</f>
        <v>0</v>
      </c>
      <c r="E23" s="36">
        <f t="shared" si="3"/>
        <v>11687.5</v>
      </c>
      <c r="F23" s="73" t="str">
        <f t="shared" si="4"/>
        <v/>
      </c>
      <c r="G23" s="74">
        <f>SUM(Jan!G23, Feb!G23, Mar!G23)</f>
        <v>0</v>
      </c>
      <c r="H23" s="74">
        <f>SUM(Jan!H23, Feb!H23, Mar!H23)</f>
        <v>0</v>
      </c>
      <c r="I23" s="73" t="str">
        <f t="shared" si="5"/>
        <v/>
      </c>
    </row>
    <row r="24" spans="1:9" ht="15.6">
      <c r="A24" s="47" t="str">
        <v xml:space="preserve"> Audubon - Senior Citizens United</v>
      </c>
      <c r="B24" s="27" t="str">
        <v>NJ</v>
      </c>
      <c r="C24" s="28">
        <f>SUM(Jan!C24, Feb!C24, Mar!C24)</f>
        <v>8714.2000000000007</v>
      </c>
      <c r="D24" s="29">
        <f>SUM(Jan!D24, Feb!D24, Mar!D24)</f>
        <v>0</v>
      </c>
      <c r="E24" s="29">
        <f t="shared" si="3"/>
        <v>8714.2000000000007</v>
      </c>
      <c r="F24" s="30" t="str">
        <f t="shared" si="4"/>
        <v/>
      </c>
      <c r="G24" s="31">
        <f>SUM(Jan!G24, Feb!G24, Mar!G24)</f>
        <v>0</v>
      </c>
      <c r="H24" s="31">
        <f>SUM(Jan!H24, Feb!H24, Mar!H24)</f>
        <v>0</v>
      </c>
      <c r="I24" s="32" t="str">
        <f t="shared" si="5"/>
        <v/>
      </c>
    </row>
    <row r="25" spans="1:9" ht="13.9">
      <c r="A25" s="8" t="str">
        <v>Hollister - PG&amp;E (Enerparc)</v>
      </c>
      <c r="B25" s="8" t="str">
        <v>CA</v>
      </c>
      <c r="C25" s="8"/>
      <c r="D25" s="8"/>
      <c r="E25" s="8"/>
      <c r="F25" s="9"/>
      <c r="G25" s="8"/>
      <c r="H25" s="8"/>
      <c r="I25" s="9"/>
    </row>
    <row r="26" spans="1:9" ht="13.9">
      <c r="A26" s="8" t="str">
        <v>Taos County - Kit Carson Electric Co-Op</v>
      </c>
      <c r="B26" s="8" t="str">
        <v>NM</v>
      </c>
      <c r="C26" s="8"/>
      <c r="D26" s="8"/>
      <c r="E26" s="8"/>
      <c r="F26" s="9"/>
      <c r="G26" s="8"/>
      <c r="H26" s="8"/>
      <c r="I26" s="9"/>
    </row>
    <row r="27" spans="1:9" ht="13.9">
      <c r="A27" s="8" t="str">
        <v>Commerce City - Adams City HS</v>
      </c>
      <c r="B27" s="8" t="str">
        <v>CO</v>
      </c>
      <c r="C27" s="8"/>
      <c r="D27" s="8"/>
      <c r="E27" s="8"/>
      <c r="F27" s="9"/>
      <c r="G27" s="8"/>
      <c r="H27" s="8"/>
      <c r="I27" s="9"/>
    </row>
    <row r="28" spans="1:9" ht="13.9">
      <c r="A28" s="8" t="str">
        <v>Commerce City - Adams City MS</v>
      </c>
      <c r="B28" s="8" t="str">
        <v>CO</v>
      </c>
      <c r="C28" s="8"/>
      <c r="D28" s="8"/>
      <c r="E28" s="8"/>
      <c r="F28" s="9"/>
      <c r="G28" s="8"/>
      <c r="H28" s="8"/>
      <c r="I28" s="9"/>
    </row>
    <row r="29" spans="1:9" ht="13.9">
      <c r="A29" s="8" t="str">
        <v>Commerce City - Central ES</v>
      </c>
      <c r="B29" s="8" t="str">
        <v>CO</v>
      </c>
      <c r="C29" s="8"/>
      <c r="D29" s="8"/>
      <c r="E29" s="8"/>
      <c r="F29" s="9"/>
      <c r="G29" s="8"/>
      <c r="H29" s="8"/>
      <c r="I29" s="9"/>
    </row>
    <row r="30" spans="1:9" ht="13.9">
      <c r="A30" s="8" t="str">
        <v>Commerce City - Dupont ES</v>
      </c>
      <c r="B30" s="8" t="str">
        <v>CO</v>
      </c>
      <c r="C30" s="8"/>
      <c r="D30" s="8"/>
      <c r="E30" s="8"/>
      <c r="F30" s="9"/>
      <c r="G30" s="8"/>
      <c r="H30" s="8"/>
      <c r="I30" s="9"/>
    </row>
    <row r="31" spans="1:9" ht="13.9">
      <c r="A31" s="8" t="str">
        <v>Commerce City - Educational Support Services</v>
      </c>
      <c r="B31" s="8" t="str">
        <v>CO</v>
      </c>
      <c r="C31" s="8"/>
      <c r="D31" s="8"/>
      <c r="E31" s="8"/>
      <c r="F31" s="9"/>
      <c r="G31" s="8"/>
      <c r="H31" s="8"/>
      <c r="I31" s="9"/>
    </row>
    <row r="32" spans="1:9" ht="13.9">
      <c r="A32" s="8" t="str">
        <v>Commerce City - Hanson ES</v>
      </c>
      <c r="B32" s="8" t="str">
        <v>CO</v>
      </c>
      <c r="C32" s="8"/>
      <c r="D32" s="8"/>
      <c r="E32" s="8"/>
      <c r="F32" s="9"/>
      <c r="G32" s="8"/>
      <c r="H32" s="8"/>
      <c r="I32" s="9"/>
    </row>
    <row r="33" spans="1:9" ht="13.9">
      <c r="A33" s="8" t="str">
        <v>Commerce City - Kemp ES</v>
      </c>
      <c r="B33" s="8" t="str">
        <v>CO</v>
      </c>
      <c r="C33" s="8"/>
      <c r="D33" s="8"/>
      <c r="E33" s="8"/>
      <c r="F33" s="9"/>
      <c r="G33" s="8"/>
      <c r="H33" s="8"/>
      <c r="I33" s="9"/>
    </row>
    <row r="34" spans="1:9" ht="13.9">
      <c r="A34" s="8" t="str">
        <v>Commerce City -  Lester Arnold HS</v>
      </c>
      <c r="B34" s="8" t="str">
        <v>CO</v>
      </c>
      <c r="C34" s="8"/>
      <c r="D34" s="8"/>
      <c r="E34" s="8"/>
      <c r="F34" s="9"/>
      <c r="G34" s="8"/>
      <c r="H34" s="8"/>
      <c r="I34" s="9"/>
    </row>
    <row r="35" spans="1:9" ht="13.9">
      <c r="A35" s="8" t="str">
        <v>Commerce City - Monaco ES</v>
      </c>
      <c r="B35" s="8" t="str">
        <v>CO</v>
      </c>
      <c r="C35" s="8"/>
      <c r="D35" s="8"/>
      <c r="E35" s="8"/>
      <c r="F35" s="9"/>
      <c r="G35" s="8"/>
      <c r="H35" s="8"/>
      <c r="I35" s="9"/>
    </row>
    <row r="36" spans="1:9" ht="13.9">
      <c r="A36" s="8" t="str">
        <v>Denver - Northgate / Old Fort Logan ES</v>
      </c>
      <c r="B36" s="8" t="str">
        <v>CO</v>
      </c>
      <c r="C36" s="8"/>
      <c r="D36" s="8"/>
      <c r="E36" s="8"/>
      <c r="F36" s="9"/>
      <c r="G36" s="8"/>
      <c r="H36" s="8"/>
      <c r="I36" s="9"/>
    </row>
    <row r="37" spans="1:9" ht="13.9">
      <c r="A37" s="8" t="str">
        <v>Denver - Sheridan High School</v>
      </c>
      <c r="B37" s="8" t="str">
        <v>CO</v>
      </c>
      <c r="C37" s="8"/>
      <c r="D37" s="8"/>
      <c r="E37" s="8"/>
      <c r="F37" s="9"/>
      <c r="G37" s="8"/>
      <c r="H37" s="8"/>
      <c r="I37" s="9"/>
    </row>
    <row r="38" spans="1:9" ht="13.9">
      <c r="A38" s="8" t="str">
        <v>Englewood -  Alice Terry Elementary</v>
      </c>
      <c r="B38" s="8" t="str">
        <v>CO</v>
      </c>
      <c r="C38" s="8"/>
      <c r="D38" s="8"/>
      <c r="E38" s="8"/>
      <c r="F38" s="9"/>
      <c r="G38" s="8"/>
      <c r="H38" s="8"/>
      <c r="I38" s="9"/>
    </row>
    <row r="39" spans="1:9" ht="13.9">
      <c r="A39" s="8" t="str">
        <v>Englewood - Sheridan Middle School</v>
      </c>
      <c r="B39" s="8" t="str">
        <v>CO</v>
      </c>
      <c r="C39" s="8"/>
      <c r="D39" s="8"/>
      <c r="E39" s="8"/>
      <c r="F39" s="9"/>
      <c r="G39" s="8"/>
      <c r="H39" s="8"/>
      <c r="I39" s="9"/>
    </row>
    <row r="40" spans="1:9" ht="13.9">
      <c r="A40" s="8" t="str">
        <v>Goshen - NIPSCO</v>
      </c>
      <c r="B40" s="8" t="str">
        <v>IN</v>
      </c>
      <c r="C40" s="8"/>
      <c r="D40" s="8"/>
      <c r="E40" s="8"/>
      <c r="F40" s="9"/>
      <c r="G40" s="8"/>
      <c r="H40" s="8"/>
      <c r="I40" s="9"/>
    </row>
    <row r="41" spans="1:9" ht="13.9">
      <c r="A41" s="8" t="str">
        <v>Alamogordo - City of Alamogordo - Effluent</v>
      </c>
      <c r="B41" s="8" t="str">
        <v>NM</v>
      </c>
      <c r="C41" s="8"/>
      <c r="D41" s="8"/>
      <c r="E41" s="8"/>
      <c r="F41" s="9"/>
      <c r="G41" s="8"/>
      <c r="H41" s="8"/>
      <c r="I41" s="9"/>
    </row>
    <row r="42" spans="1:9" ht="13.9">
      <c r="A42" s="8" t="str">
        <v>Alamogordo - City of Alamogordo - WWTP</v>
      </c>
      <c r="B42" s="8" t="str">
        <v>NM</v>
      </c>
      <c r="C42" s="8"/>
      <c r="D42" s="8"/>
      <c r="E42" s="8"/>
      <c r="F42" s="9"/>
      <c r="G42" s="8"/>
      <c r="H42" s="8"/>
      <c r="I42" s="9"/>
    </row>
    <row r="43" spans="1:9" ht="13.9">
      <c r="A43" s="8" t="str">
        <v>Deming - Bilbo Booster</v>
      </c>
      <c r="B43" s="8" t="str">
        <v>NM</v>
      </c>
      <c r="C43" s="8"/>
      <c r="D43" s="8"/>
      <c r="E43" s="8"/>
      <c r="F43" s="9"/>
      <c r="G43" s="8"/>
      <c r="H43" s="8"/>
      <c r="I43" s="9"/>
    </row>
    <row r="44" spans="1:9" ht="13.9">
      <c r="A44" s="8" t="str">
        <v>Deming - Bilbo Well</v>
      </c>
      <c r="B44" s="8" t="str">
        <v>NM</v>
      </c>
      <c r="C44" s="8"/>
      <c r="D44" s="8"/>
      <c r="E44" s="8"/>
      <c r="F44" s="9"/>
      <c r="G44" s="8"/>
      <c r="H44" s="8"/>
      <c r="I44" s="9"/>
    </row>
    <row r="45" spans="1:9" ht="13.9">
      <c r="A45" s="8" t="str">
        <v>Deming - WWTP</v>
      </c>
      <c r="B45" s="8" t="str">
        <v>NM</v>
      </c>
      <c r="C45" s="8"/>
      <c r="D45" s="8"/>
      <c r="E45" s="8"/>
      <c r="F45" s="9"/>
      <c r="G45" s="8"/>
      <c r="H45" s="8"/>
      <c r="I45" s="9"/>
    </row>
    <row r="46" spans="1:9" ht="13.9">
      <c r="A46" s="8" t="str">
        <v>Truth or Consequences - Walmart</v>
      </c>
      <c r="B46" s="8" t="str">
        <v>NM</v>
      </c>
      <c r="C46" s="8"/>
      <c r="D46" s="8"/>
      <c r="E46" s="8"/>
      <c r="F46" s="9"/>
      <c r="G46" s="8"/>
      <c r="H46" s="8"/>
      <c r="I46" s="9"/>
    </row>
    <row r="47" spans="1:9" ht="13.9">
      <c r="A47" s="8"/>
      <c r="B47" s="8"/>
      <c r="C47" s="8"/>
      <c r="D47" s="8"/>
      <c r="E47" s="8"/>
      <c r="F47" s="9"/>
      <c r="G47" s="8"/>
      <c r="H47" s="8"/>
      <c r="I47" s="9"/>
    </row>
    <row r="48" spans="1:9" ht="13.9">
      <c r="A48" s="8"/>
      <c r="B48" s="8"/>
      <c r="C48" s="8"/>
      <c r="D48" s="8"/>
      <c r="E48" s="8"/>
      <c r="F48" s="9"/>
      <c r="G48" s="8"/>
      <c r="H48" s="8"/>
      <c r="I48" s="9"/>
    </row>
    <row r="49" spans="1:9" ht="13.9">
      <c r="A49" s="8"/>
      <c r="B49" s="8"/>
      <c r="C49" s="8"/>
      <c r="D49" s="8"/>
      <c r="E49" s="8"/>
      <c r="F49" s="9"/>
      <c r="G49" s="8"/>
      <c r="H49" s="8"/>
      <c r="I49" s="9"/>
    </row>
    <row r="50" spans="1:9" ht="13.9">
      <c r="A50" s="8"/>
      <c r="B50" s="8"/>
      <c r="C50" s="8"/>
      <c r="D50" s="8"/>
      <c r="E50" s="8"/>
      <c r="F50" s="9"/>
      <c r="G50" s="8"/>
      <c r="H50" s="8"/>
      <c r="I50" s="9"/>
    </row>
    <row r="51" spans="1:9" ht="13.9">
      <c r="A51" s="8"/>
      <c r="B51" s="8"/>
      <c r="C51" s="8"/>
      <c r="D51" s="8"/>
      <c r="E51" s="8"/>
      <c r="F51" s="9"/>
      <c r="G51" s="8"/>
      <c r="H51" s="8"/>
      <c r="I51" s="9"/>
    </row>
    <row r="52" spans="1:9" ht="13.9">
      <c r="A52" s="8"/>
      <c r="B52" s="8"/>
      <c r="C52" s="8"/>
      <c r="D52" s="8"/>
      <c r="E52" s="8"/>
      <c r="F52" s="9"/>
      <c r="G52" s="8"/>
      <c r="H52" s="8"/>
      <c r="I52" s="9"/>
    </row>
    <row r="53" spans="1:9" ht="13.9">
      <c r="A53" s="8"/>
      <c r="B53" s="8"/>
      <c r="C53" s="8"/>
      <c r="D53" s="8"/>
      <c r="E53" s="8"/>
      <c r="F53" s="9"/>
      <c r="G53" s="8"/>
      <c r="H53" s="8"/>
      <c r="I53" s="9"/>
    </row>
    <row r="54" spans="1:9" ht="13.9">
      <c r="A54" s="8"/>
      <c r="B54" s="8"/>
      <c r="C54" s="8"/>
      <c r="D54" s="8"/>
      <c r="E54" s="8"/>
      <c r="F54" s="9"/>
      <c r="G54" s="8"/>
      <c r="H54" s="8"/>
      <c r="I54" s="9"/>
    </row>
    <row r="55" spans="1:9" ht="13.9">
      <c r="A55" s="8"/>
      <c r="B55" s="8"/>
      <c r="C55" s="8"/>
      <c r="D55" s="8"/>
      <c r="E55" s="8"/>
      <c r="F55" s="9"/>
      <c r="G55" s="8"/>
      <c r="H55" s="8"/>
      <c r="I55" s="9"/>
    </row>
    <row r="56" spans="1:9" ht="13.9">
      <c r="A56" s="8"/>
      <c r="B56" s="8"/>
      <c r="C56" s="8"/>
      <c r="D56" s="8"/>
      <c r="E56" s="8"/>
      <c r="F56" s="9"/>
      <c r="G56" s="8"/>
      <c r="H56" s="8"/>
      <c r="I56" s="9"/>
    </row>
    <row r="57" spans="1:9" ht="13.9">
      <c r="A57" s="8"/>
      <c r="B57" s="8"/>
      <c r="C57" s="8"/>
      <c r="D57" s="8"/>
      <c r="E57" s="8"/>
      <c r="F57" s="9"/>
      <c r="G57" s="8"/>
      <c r="H57" s="8"/>
      <c r="I57" s="9"/>
    </row>
    <row r="58" spans="1:9" ht="13.9">
      <c r="A58" s="8"/>
      <c r="B58" s="8"/>
      <c r="C58" s="8"/>
      <c r="D58" s="8"/>
      <c r="E58" s="8"/>
      <c r="F58" s="9"/>
      <c r="G58" s="8"/>
      <c r="H58" s="8"/>
      <c r="I58" s="9"/>
    </row>
    <row r="59" spans="1:9" ht="13.9">
      <c r="A59" s="8"/>
      <c r="B59" s="8"/>
      <c r="C59" s="8"/>
      <c r="D59" s="8"/>
      <c r="E59" s="8"/>
      <c r="F59" s="9"/>
      <c r="G59" s="8"/>
      <c r="H59" s="8"/>
      <c r="I59" s="9"/>
    </row>
    <row r="60" spans="1:9" ht="13.9">
      <c r="A60" s="8"/>
      <c r="B60" s="8"/>
      <c r="C60" s="8"/>
      <c r="D60" s="8"/>
      <c r="E60" s="8"/>
      <c r="F60" s="9"/>
      <c r="G60" s="8"/>
      <c r="H60" s="8"/>
      <c r="I60" s="9"/>
    </row>
    <row r="61" spans="1:9" ht="13.9">
      <c r="A61" s="8"/>
      <c r="B61" s="8"/>
      <c r="C61" s="8"/>
      <c r="D61" s="8"/>
      <c r="E61" s="8"/>
      <c r="F61" s="9"/>
      <c r="G61" s="8"/>
      <c r="H61" s="8"/>
      <c r="I61" s="9"/>
    </row>
    <row r="62" spans="1:9" ht="13.9">
      <c r="A62" s="8"/>
      <c r="B62" s="8"/>
      <c r="C62" s="8"/>
      <c r="D62" s="8"/>
      <c r="E62" s="8"/>
      <c r="F62" s="9"/>
      <c r="G62" s="8"/>
      <c r="H62" s="8"/>
      <c r="I62" s="9"/>
    </row>
    <row r="63" spans="1:9" ht="13.9">
      <c r="A63" s="8"/>
      <c r="B63" s="8"/>
      <c r="C63" s="8"/>
      <c r="D63" s="8"/>
      <c r="E63" s="8"/>
      <c r="F63" s="9"/>
      <c r="G63" s="8"/>
      <c r="H63" s="8"/>
      <c r="I63" s="9"/>
    </row>
    <row r="64" spans="1:9" ht="13.9">
      <c r="A64" s="8"/>
      <c r="B64" s="8"/>
      <c r="C64" s="8"/>
      <c r="D64" s="8"/>
      <c r="E64" s="8"/>
      <c r="F64" s="9"/>
      <c r="G64" s="8"/>
      <c r="H64" s="8"/>
      <c r="I64" s="9"/>
    </row>
    <row r="65" spans="1:9" ht="13.9">
      <c r="A65" s="8"/>
      <c r="B65" s="8"/>
      <c r="C65" s="8"/>
      <c r="D65" s="8"/>
      <c r="E65" s="8"/>
      <c r="F65" s="9"/>
      <c r="G65" s="8"/>
      <c r="H65" s="8"/>
      <c r="I65" s="9"/>
    </row>
    <row r="66" spans="1:9" ht="13.9">
      <c r="A66" s="8"/>
      <c r="B66" s="8"/>
      <c r="C66" s="8"/>
      <c r="D66" s="8"/>
      <c r="E66" s="8"/>
      <c r="F66" s="9"/>
      <c r="G66" s="8"/>
      <c r="H66" s="8"/>
      <c r="I66" s="9"/>
    </row>
    <row r="67" spans="1:9" ht="13.9">
      <c r="A67" s="8"/>
      <c r="B67" s="8"/>
      <c r="C67" s="8"/>
      <c r="D67" s="8"/>
      <c r="E67" s="8"/>
      <c r="F67" s="9"/>
      <c r="G67" s="8"/>
      <c r="H67" s="8"/>
      <c r="I67" s="9"/>
    </row>
    <row r="68" spans="1:9" ht="13.9">
      <c r="A68" s="8"/>
      <c r="B68" s="8"/>
      <c r="C68" s="8"/>
      <c r="D68" s="8"/>
      <c r="E68" s="8"/>
      <c r="F68" s="9"/>
      <c r="G68" s="8"/>
      <c r="H68" s="8"/>
      <c r="I68" s="9"/>
    </row>
    <row r="69" spans="1:9" ht="13.9">
      <c r="A69" s="8"/>
      <c r="B69" s="8"/>
      <c r="C69" s="8"/>
      <c r="D69" s="8"/>
      <c r="E69" s="8"/>
      <c r="F69" s="9"/>
      <c r="G69" s="8"/>
      <c r="H69" s="8"/>
      <c r="I69" s="9"/>
    </row>
    <row r="70" spans="1:9" ht="13.9">
      <c r="A70" s="8"/>
      <c r="B70" s="8"/>
      <c r="C70" s="8"/>
      <c r="D70" s="8"/>
      <c r="E70" s="8"/>
      <c r="F70" s="9"/>
      <c r="G70" s="8"/>
      <c r="H70" s="8"/>
      <c r="I70" s="9"/>
    </row>
    <row r="71" spans="1:9" ht="13.9">
      <c r="A71" s="8"/>
      <c r="B71" s="8"/>
      <c r="C71" s="8"/>
      <c r="D71" s="8"/>
      <c r="E71" s="8"/>
      <c r="F71" s="9"/>
      <c r="G71" s="8"/>
      <c r="H71" s="8"/>
      <c r="I71" s="9"/>
    </row>
    <row r="72" spans="1:9" ht="13.9">
      <c r="A72" s="8"/>
      <c r="B72" s="8"/>
      <c r="C72" s="8"/>
      <c r="D72" s="8"/>
      <c r="E72" s="8"/>
      <c r="F72" s="9"/>
      <c r="G72" s="8"/>
      <c r="H72" s="8"/>
      <c r="I72" s="9"/>
    </row>
    <row r="73" spans="1:9" ht="13.9">
      <c r="A73" s="8"/>
      <c r="B73" s="8"/>
      <c r="C73" s="8"/>
      <c r="D73" s="8"/>
      <c r="E73" s="8"/>
      <c r="F73" s="9"/>
      <c r="G73" s="8"/>
      <c r="H73" s="8"/>
      <c r="I73" s="9"/>
    </row>
    <row r="74" spans="1:9" ht="13.9">
      <c r="A74" s="8"/>
      <c r="B74" s="8"/>
      <c r="C74" s="8"/>
      <c r="D74" s="8"/>
      <c r="E74" s="8"/>
      <c r="F74" s="9"/>
      <c r="G74" s="8"/>
      <c r="H74" s="8"/>
      <c r="I74" s="9"/>
    </row>
    <row r="75" spans="1:9" ht="13.9">
      <c r="A75" s="8"/>
      <c r="B75" s="8"/>
      <c r="C75" s="8"/>
      <c r="D75" s="8"/>
      <c r="E75" s="8"/>
      <c r="F75" s="9"/>
      <c r="G75" s="8"/>
      <c r="H75" s="8"/>
      <c r="I75" s="9"/>
    </row>
    <row r="76" spans="1:9" ht="13.9">
      <c r="A76" s="8"/>
      <c r="B76" s="8"/>
      <c r="C76" s="8"/>
      <c r="D76" s="8"/>
      <c r="E76" s="8"/>
      <c r="F76" s="9"/>
      <c r="G76" s="8"/>
      <c r="H76" s="8"/>
      <c r="I76" s="9"/>
    </row>
    <row r="77" spans="1:9" ht="13.9">
      <c r="A77" s="8"/>
      <c r="B77" s="8"/>
      <c r="C77" s="8"/>
      <c r="D77" s="8"/>
      <c r="E77" s="8"/>
      <c r="F77" s="9"/>
      <c r="G77" s="8"/>
      <c r="H77" s="8"/>
      <c r="I77" s="9"/>
    </row>
    <row r="78" spans="1:9" ht="13.9">
      <c r="A78" s="8"/>
      <c r="B78" s="8"/>
      <c r="C78" s="8"/>
      <c r="D78" s="8"/>
      <c r="E78" s="8"/>
      <c r="F78" s="9"/>
      <c r="G78" s="8"/>
      <c r="H78" s="8"/>
      <c r="I78" s="9"/>
    </row>
    <row r="79" spans="1:9" ht="13.9">
      <c r="A79" s="8"/>
      <c r="B79" s="8"/>
      <c r="C79" s="8"/>
      <c r="D79" s="8"/>
      <c r="E79" s="8"/>
      <c r="F79" s="9"/>
      <c r="G79" s="8"/>
      <c r="H79" s="8"/>
      <c r="I79" s="9"/>
    </row>
    <row r="80" spans="1:9" ht="13.9">
      <c r="A80" s="8"/>
      <c r="B80" s="8"/>
      <c r="C80" s="8"/>
      <c r="D80" s="8"/>
      <c r="E80" s="8"/>
      <c r="F80" s="9"/>
      <c r="G80" s="8"/>
      <c r="H80" s="8"/>
      <c r="I80" s="9"/>
    </row>
    <row r="81" spans="1:9" ht="13.9">
      <c r="A81" s="8"/>
      <c r="B81" s="8"/>
      <c r="C81" s="8"/>
      <c r="D81" s="8"/>
      <c r="E81" s="8"/>
      <c r="F81" s="9"/>
      <c r="G81" s="8"/>
      <c r="H81" s="8"/>
      <c r="I81" s="9"/>
    </row>
    <row r="82" spans="1:9" ht="13.9">
      <c r="A82" s="8"/>
      <c r="B82" s="8"/>
      <c r="C82" s="8"/>
      <c r="D82" s="8"/>
      <c r="E82" s="8"/>
      <c r="F82" s="9"/>
      <c r="G82" s="8"/>
      <c r="H82" s="8"/>
      <c r="I82" s="9"/>
    </row>
    <row r="83" spans="1:9" ht="13.9">
      <c r="A83" s="8"/>
      <c r="B83" s="8"/>
      <c r="C83" s="8"/>
      <c r="D83" s="8"/>
      <c r="E83" s="8"/>
      <c r="F83" s="9"/>
      <c r="G83" s="8"/>
      <c r="H83" s="8"/>
      <c r="I83" s="9"/>
    </row>
    <row r="84" spans="1:9" ht="13.9">
      <c r="A84" s="8"/>
      <c r="B84" s="8"/>
      <c r="C84" s="8"/>
      <c r="D84" s="8"/>
      <c r="E84" s="8"/>
      <c r="F84" s="9"/>
      <c r="G84" s="8"/>
      <c r="H84" s="8"/>
      <c r="I84" s="9"/>
    </row>
    <row r="85" spans="1:9" ht="13.9">
      <c r="A85" s="8"/>
      <c r="B85" s="8"/>
      <c r="C85" s="8"/>
      <c r="D85" s="8"/>
      <c r="E85" s="8"/>
      <c r="F85" s="9"/>
      <c r="G85" s="8"/>
      <c r="H85" s="8"/>
      <c r="I85" s="9"/>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sheetData>
  <sortState xmlns:xlrd2="http://schemas.microsoft.com/office/spreadsheetml/2017/richdata2" ref="A3:I3">
    <sortCondition ref="A3"/>
  </sortState>
  <mergeCells count="4">
    <mergeCell ref="G1:I1"/>
    <mergeCell ref="A1:C1"/>
    <mergeCell ref="D1:F1"/>
    <mergeCell ref="A2:B2"/>
  </mergeCells>
  <conditionalFormatting sqref="F2 I2 F4:F79 I4:I79">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1"/>
  <sheetViews>
    <sheetView workbookViewId="0">
      <pane xSplit="2" ySplit="3" topLeftCell="C4" activePane="bottomRight" state="frozen"/>
      <selection pane="bottomRight" activeCell="F12" sqref="F12"/>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9" t="str" cm="1">
        <f t="array" ref="A1">portfolio</f>
        <v>Clean Capital</v>
      </c>
      <c r="B1" s="99"/>
      <c r="C1" s="99"/>
      <c r="D1" s="100" t="s">
        <v>12</v>
      </c>
      <c r="E1" s="100"/>
      <c r="F1" s="100"/>
      <c r="G1" s="98" t="s">
        <v>13</v>
      </c>
      <c r="H1" s="98"/>
      <c r="I1" s="98"/>
    </row>
    <row r="2" spans="1:9" ht="19.5" customHeight="1">
      <c r="A2" s="101" t="s">
        <v>2</v>
      </c>
      <c r="B2" s="101"/>
      <c r="C2" s="5">
        <f>SUM(C4:C79)</f>
        <v>3809948.1826317706</v>
      </c>
      <c r="D2" s="5">
        <f>SUM(D4:D79)</f>
        <v>0</v>
      </c>
      <c r="E2" s="5">
        <f>C2-D2</f>
        <v>3809948.1826317706</v>
      </c>
      <c r="F2" s="6">
        <f>IFERROR(E2/D2, 0)</f>
        <v>0</v>
      </c>
      <c r="G2" s="5">
        <f>SUM(G4:G79)</f>
        <v>3435458.9000000004</v>
      </c>
      <c r="H2" s="7">
        <f>C2-G2</f>
        <v>374489.28263177024</v>
      </c>
      <c r="I2" s="6">
        <f>IFERROR(H2/G2, 0)</f>
        <v>0.10900706238452458</v>
      </c>
    </row>
    <row r="3" spans="1:9" ht="14.25" customHeight="1">
      <c r="A3" s="12" t="s">
        <v>3</v>
      </c>
      <c r="B3" s="12" t="s">
        <v>4</v>
      </c>
      <c r="C3" s="19" t="s">
        <v>5</v>
      </c>
      <c r="D3" s="20" t="s">
        <v>6</v>
      </c>
      <c r="E3" s="20" t="s">
        <v>7</v>
      </c>
      <c r="F3" s="21" t="s">
        <v>8</v>
      </c>
      <c r="G3" s="22" t="s">
        <v>9</v>
      </c>
      <c r="H3" s="23" t="s">
        <v>7</v>
      </c>
      <c r="I3" s="24" t="s">
        <v>8</v>
      </c>
    </row>
    <row r="4" spans="1:9" ht="15.6">
      <c r="A4" s="47" t="str" cm="1">
        <f t="array" ref="A4:A46">Sites[Site]</f>
        <v>Lexington - Cotting School</v>
      </c>
      <c r="B4" s="27" t="str" cm="1">
        <f t="array" ref="B4:B46">Sites[State]</f>
        <v>MA</v>
      </c>
      <c r="C4" s="28">
        <f>SUM(Apr!C4, May!C4, Jun!C4)</f>
        <v>38351.048000000003</v>
      </c>
      <c r="D4" s="29">
        <f>SUM(Apr!D4, May!D4, Jun!D4)</f>
        <v>0</v>
      </c>
      <c r="E4" s="29">
        <f>IF(AND(ISNUMBER(C4),ISNUMBER(D4)), C4-D4, "")</f>
        <v>38351.048000000003</v>
      </c>
      <c r="F4" s="30" t="str">
        <f>IFERROR(E4/D4, "")</f>
        <v/>
      </c>
      <c r="G4" s="31">
        <f>SUM(Apr!G4,May!G4,Jun!G4)</f>
        <v>0</v>
      </c>
      <c r="H4" s="31">
        <f>SUM(Apr!H4, May!H4, Jun!H4)</f>
        <v>0</v>
      </c>
      <c r="I4" s="32" t="str">
        <f>IFERROR(H4/G4, "")</f>
        <v/>
      </c>
    </row>
    <row r="5" spans="1:9" ht="15.6">
      <c r="A5" s="48" t="str">
        <v>Pacoima - Whiteman Airport</v>
      </c>
      <c r="B5" s="34" t="str">
        <v>CA</v>
      </c>
      <c r="C5" s="35">
        <f>SUM(Apr!C5, May!C5, Jun!C5)</f>
        <v>40056.5</v>
      </c>
      <c r="D5" s="36">
        <f>SUM(Apr!D5, May!D5, Jun!D5)</f>
        <v>0</v>
      </c>
      <c r="E5" s="36">
        <f t="shared" ref="E5:E7" si="0">IF(AND(ISNUMBER(C5),ISNUMBER(D5)), C5-D5, "")</f>
        <v>40056.5</v>
      </c>
      <c r="F5" s="73" t="str">
        <f>IFERROR(E5/D5, "")</f>
        <v/>
      </c>
      <c r="G5" s="74">
        <f>SUM(Apr!G5,May!G5,Jun!G5)</f>
        <v>61808.7</v>
      </c>
      <c r="H5" s="74">
        <f>SUM(Apr!H5, May!H5, Jun!H5)</f>
        <v>-21752.2</v>
      </c>
      <c r="I5" s="73">
        <f>IFERROR(H5/G5, "")</f>
        <v>-0.35192780304390808</v>
      </c>
    </row>
    <row r="6" spans="1:9" ht="15.6">
      <c r="A6" s="47" t="str">
        <v>Hyannis - Sturgis Charter School</v>
      </c>
      <c r="B6" s="27" t="str">
        <v>MA</v>
      </c>
      <c r="C6" s="28">
        <f>SUM(Apr!C6, May!C6, Jun!C6)</f>
        <v>67600.604856132806</v>
      </c>
      <c r="D6" s="29">
        <f>SUM(Apr!D6, May!D6, Jun!D6)</f>
        <v>0</v>
      </c>
      <c r="E6" s="29">
        <f t="shared" si="0"/>
        <v>67600.604856132806</v>
      </c>
      <c r="F6" s="30" t="str">
        <f t="shared" ref="F6:F7" si="1">IFERROR(E6/D6, "")</f>
        <v/>
      </c>
      <c r="G6" s="31">
        <f>SUM(Apr!G6,May!G6,Jun!G6)</f>
        <v>63420</v>
      </c>
      <c r="H6" s="31">
        <f>SUM(Apr!H6, May!H6, Jun!H6)</f>
        <v>4180.6048561328025</v>
      </c>
      <c r="I6" s="32">
        <f t="shared" ref="I6:I7" si="2">IFERROR(H6/G6, "")</f>
        <v>6.5919344940599214E-2</v>
      </c>
    </row>
    <row r="7" spans="1:9" ht="15.6">
      <c r="A7" s="48" t="str">
        <v>South Dennis - Tony Kent Arena</v>
      </c>
      <c r="B7" s="34" t="str">
        <v>MA</v>
      </c>
      <c r="C7" s="35">
        <f>SUM(Apr!C7, May!C7, Jun!C7)</f>
        <v>77082.3</v>
      </c>
      <c r="D7" s="36">
        <f>SUM(Apr!D7, May!D7, Jun!D7)</f>
        <v>0</v>
      </c>
      <c r="E7" s="36">
        <f t="shared" si="0"/>
        <v>77082.3</v>
      </c>
      <c r="F7" s="73" t="str">
        <f t="shared" si="1"/>
        <v/>
      </c>
      <c r="G7" s="74">
        <f>SUM(Apr!G7,May!G7,Jun!G7)</f>
        <v>0</v>
      </c>
      <c r="H7" s="74">
        <f>SUM(Apr!H7, May!H7, Jun!H7)</f>
        <v>0</v>
      </c>
      <c r="I7" s="73" t="str">
        <f t="shared" si="2"/>
        <v/>
      </c>
    </row>
    <row r="8" spans="1:9" ht="15.6">
      <c r="A8" s="47" t="str">
        <v xml:space="preserve"> Caropolis - Felician Sisters</v>
      </c>
      <c r="B8" s="27" t="str">
        <v>PA</v>
      </c>
      <c r="C8" s="28">
        <f>SUM(Apr!C8, May!C8, Jun!C8)</f>
        <v>112959.3</v>
      </c>
      <c r="D8" s="29">
        <f>SUM(Apr!D8, May!D8, Jun!D8)</f>
        <v>0</v>
      </c>
      <c r="E8" s="29">
        <f t="shared" ref="E8:E24" si="3">IF(AND(ISNUMBER(C8),ISNUMBER(D8)), C8-D8, "")</f>
        <v>112959.3</v>
      </c>
      <c r="F8" s="30" t="str">
        <f t="shared" ref="F8:F24" si="4">IFERROR(E8/D8, "")</f>
        <v/>
      </c>
      <c r="G8" s="31">
        <f>SUM(Apr!G8,May!G8,Jun!G8)</f>
        <v>0</v>
      </c>
      <c r="H8" s="31">
        <f>SUM(Apr!H8, May!H8, Jun!H8)</f>
        <v>0</v>
      </c>
      <c r="I8" s="32" t="str">
        <f t="shared" ref="I8:I24" si="5">IFERROR(H8/G8, "")</f>
        <v/>
      </c>
    </row>
    <row r="9" spans="1:9" ht="15.6">
      <c r="A9" s="48" t="str">
        <v>Clear Lake - Eastlake Gohman</v>
      </c>
      <c r="B9" s="34" t="str">
        <v>MN</v>
      </c>
      <c r="C9" s="35">
        <f>SUM(Apr!C9, May!C9, Jun!C9)</f>
        <v>365254</v>
      </c>
      <c r="D9" s="36">
        <f>SUM(Apr!D9, May!D9, Jun!D9)</f>
        <v>0</v>
      </c>
      <c r="E9" s="36">
        <f t="shared" si="3"/>
        <v>365254</v>
      </c>
      <c r="F9" s="73" t="str">
        <f t="shared" si="4"/>
        <v/>
      </c>
      <c r="G9" s="74">
        <f>SUM(Apr!G9+May!G9+Jun!G9)</f>
        <v>375707.19999999995</v>
      </c>
      <c r="H9" s="74">
        <f>SUM(Apr!H9, May!H9, Jun!H9)</f>
        <v>-10453.199999999983</v>
      </c>
      <c r="I9" s="73">
        <f t="shared" si="5"/>
        <v>-2.7822730040840273E-2</v>
      </c>
    </row>
    <row r="10" spans="1:9" ht="15.6">
      <c r="A10" s="47" t="str">
        <v>Zumbrota - Eastlake Brenda Luhman</v>
      </c>
      <c r="B10" s="27" t="str">
        <v>MN</v>
      </c>
      <c r="C10" s="28">
        <f>SUM(Apr!C10, May!C10, Jun!C10)</f>
        <v>376513</v>
      </c>
      <c r="D10" s="29">
        <f>SUM(Apr!D10, May!D10, Jun!D10)</f>
        <v>0</v>
      </c>
      <c r="E10" s="29">
        <f t="shared" si="3"/>
        <v>376513</v>
      </c>
      <c r="F10" s="30" t="str">
        <f t="shared" si="4"/>
        <v/>
      </c>
      <c r="G10" s="31">
        <f>SUM(Apr!G10+May!G10+Jun!G10)</f>
        <v>371548</v>
      </c>
      <c r="H10" s="31">
        <f>SUM(Apr!H10, May!H10, Jun!H10)</f>
        <v>4965</v>
      </c>
      <c r="I10" s="32">
        <f t="shared" si="5"/>
        <v>1.3363010970318775E-2</v>
      </c>
    </row>
    <row r="11" spans="1:9" ht="15.6">
      <c r="A11" s="48" t="str">
        <v>Cokato - Eastlake Carlson</v>
      </c>
      <c r="B11" s="34" t="str">
        <v>MN</v>
      </c>
      <c r="C11" s="35">
        <f>SUM(Apr!C11, May!C11, Jun!C11)</f>
        <v>343838</v>
      </c>
      <c r="D11" s="36">
        <f>SUM(Apr!D11, May!D11, Jun!D11)</f>
        <v>0</v>
      </c>
      <c r="E11" s="36">
        <f t="shared" si="3"/>
        <v>343838</v>
      </c>
      <c r="F11" s="73" t="str">
        <f t="shared" si="4"/>
        <v/>
      </c>
      <c r="G11" s="74">
        <f>SUM(Apr!G11+May!G11+Jun!G11)</f>
        <v>394270.6</v>
      </c>
      <c r="H11" s="74">
        <f>SUM(Apr!H11, May!H11, Jun!H11)</f>
        <v>-50432.600000000006</v>
      </c>
      <c r="I11" s="73">
        <f t="shared" si="5"/>
        <v>-0.12791367147334853</v>
      </c>
    </row>
    <row r="12" spans="1:9" ht="15.6">
      <c r="A12" s="47" t="str">
        <v>North Branch - Cornille 2</v>
      </c>
      <c r="B12" s="27" t="str">
        <v>MN</v>
      </c>
      <c r="C12" s="28">
        <f>SUM(Apr!C12, May!C12, Jun!C12)</f>
        <v>333060</v>
      </c>
      <c r="D12" s="29">
        <f>SUM(Apr!D12, May!D12, Jun!D12)</f>
        <v>0</v>
      </c>
      <c r="E12" s="29">
        <f t="shared" si="3"/>
        <v>333060</v>
      </c>
      <c r="F12" s="30" t="str">
        <f t="shared" si="4"/>
        <v/>
      </c>
      <c r="G12" s="31">
        <f>SUM(Apr!G12+May!G12+Jun!G12)</f>
        <v>383158.2</v>
      </c>
      <c r="H12" s="31">
        <f>SUM(Apr!H12, May!H12, Jun!H12)</f>
        <v>-50098.200000000012</v>
      </c>
      <c r="I12" s="32">
        <f t="shared" si="5"/>
        <v>-0.13075069253378893</v>
      </c>
    </row>
    <row r="13" spans="1:9" ht="15.6">
      <c r="A13" s="48" t="str">
        <v>Clear Lake - Eastlake Hammer</v>
      </c>
      <c r="B13" s="34" t="str">
        <v>MN</v>
      </c>
      <c r="C13" s="35">
        <f>SUM(Apr!C13, May!C13, Jun!C13)</f>
        <v>453374.96749999799</v>
      </c>
      <c r="D13" s="36">
        <f>SUM(Apr!D13, May!D13, Jun!D13)</f>
        <v>0</v>
      </c>
      <c r="E13" s="36">
        <f t="shared" si="3"/>
        <v>453374.96749999799</v>
      </c>
      <c r="F13" s="73" t="str">
        <f t="shared" si="4"/>
        <v/>
      </c>
      <c r="G13" s="74">
        <f>SUM(Apr!G13+May!G13+Jun!G13)</f>
        <v>456489.9</v>
      </c>
      <c r="H13" s="74">
        <f>SUM(Apr!H13, May!H13, Jun!H13)</f>
        <v>-3114.9325000020035</v>
      </c>
      <c r="I13" s="73">
        <f t="shared" si="5"/>
        <v>-6.8236613778355302E-3</v>
      </c>
    </row>
    <row r="14" spans="1:9" ht="15.6">
      <c r="A14" s="47" t="str">
        <v>Eastlake - Hertzberg CSG 1</v>
      </c>
      <c r="B14" s="27" t="str">
        <v>MN</v>
      </c>
      <c r="C14" s="28">
        <f>SUM(Apr!C14, May!C14, Jun!C14)</f>
        <v>456634.73562617204</v>
      </c>
      <c r="D14" s="29">
        <f>SUM(Apr!D14, May!D14, Jun!D14)</f>
        <v>0</v>
      </c>
      <c r="E14" s="29">
        <f t="shared" si="3"/>
        <v>456634.73562617204</v>
      </c>
      <c r="F14" s="30" t="str">
        <f t="shared" si="4"/>
        <v/>
      </c>
      <c r="G14" s="31">
        <f>SUM(Apr!G14+May!G14+Jun!G14)</f>
        <v>459901.80000000005</v>
      </c>
      <c r="H14" s="31">
        <f>SUM(Apr!H14, May!H14, Jun!H14)</f>
        <v>-3267.064373828005</v>
      </c>
      <c r="I14" s="32">
        <f t="shared" si="5"/>
        <v>-7.10383036950063E-3</v>
      </c>
    </row>
    <row r="15" spans="1:9" ht="15.6">
      <c r="A15" s="48" t="str">
        <v>Cokato - Eastlake Laurel Village</v>
      </c>
      <c r="B15" s="34" t="str">
        <v>MN</v>
      </c>
      <c r="C15" s="35">
        <f>SUM(Apr!C15, May!C15, Jun!C15)</f>
        <v>455464.80499999999</v>
      </c>
      <c r="D15" s="36">
        <f>SUM(Apr!D15, May!D15, Jun!D15)</f>
        <v>0</v>
      </c>
      <c r="E15" s="36">
        <f t="shared" si="3"/>
        <v>455464.80499999999</v>
      </c>
      <c r="F15" s="73" t="str">
        <f t="shared" si="4"/>
        <v/>
      </c>
      <c r="G15" s="74">
        <f>SUM(Apr!G15+May!G15+Jun!G15)</f>
        <v>472028</v>
      </c>
      <c r="H15" s="74">
        <f>SUM(Apr!H15, May!H15, Jun!H15)</f>
        <v>-16563.195000000007</v>
      </c>
      <c r="I15" s="73">
        <f t="shared" si="5"/>
        <v>-3.5089433253959523E-2</v>
      </c>
    </row>
    <row r="16" spans="1:9" ht="15.6">
      <c r="A16" s="47" t="str">
        <v>St. Peter - Eastlake Paulson</v>
      </c>
      <c r="B16" s="27" t="str">
        <v>MN</v>
      </c>
      <c r="C16" s="28">
        <f>SUM(Apr!C16, May!C16, Jun!C16)</f>
        <v>372868.326649467</v>
      </c>
      <c r="D16" s="29">
        <f>SUM(Apr!D16, May!D16, Jun!D16)</f>
        <v>0</v>
      </c>
      <c r="E16" s="29">
        <f t="shared" si="3"/>
        <v>372868.326649467</v>
      </c>
      <c r="F16" s="30" t="str">
        <f t="shared" si="4"/>
        <v/>
      </c>
      <c r="G16" s="31">
        <f>SUM(Apr!G16+May!G16+Jun!G16)</f>
        <v>397126.5</v>
      </c>
      <c r="H16" s="31">
        <f>SUM(Apr!H16, May!H16, Jun!H16)</f>
        <v>-24258.173350533005</v>
      </c>
      <c r="I16" s="32">
        <f t="shared" si="5"/>
        <v>-6.1084247338147935E-2</v>
      </c>
    </row>
    <row r="17" spans="1:9" ht="15.6">
      <c r="A17" s="48" t="str">
        <v>Felician Sisters Convent</v>
      </c>
      <c r="B17" s="34" t="str">
        <v>NJ</v>
      </c>
      <c r="C17" s="35">
        <f>SUM(Apr!C17, May!C17, Jun!C17)</f>
        <v>40389.200000000004</v>
      </c>
      <c r="D17" s="36">
        <f>SUM(Apr!D17, May!D17, Jun!D17)</f>
        <v>0</v>
      </c>
      <c r="E17" s="36">
        <f t="shared" si="3"/>
        <v>40389.200000000004</v>
      </c>
      <c r="F17" s="73" t="str">
        <f t="shared" si="4"/>
        <v/>
      </c>
      <c r="G17" s="74">
        <f>SUM(Apr!G17,May!G17,Jun!G17)</f>
        <v>0</v>
      </c>
      <c r="H17" s="74">
        <f>SUM(Apr!H17, May!H17, Jun!H17)</f>
        <v>0</v>
      </c>
      <c r="I17" s="73" t="str">
        <f t="shared" si="5"/>
        <v/>
      </c>
    </row>
    <row r="18" spans="1:9" ht="15.6">
      <c r="A18" s="47" t="str">
        <v>Sussex County Fairgrounds</v>
      </c>
      <c r="B18" s="27" t="str">
        <v>NJ</v>
      </c>
      <c r="C18" s="28">
        <f>SUM(Apr!C18, May!C18, Jun!C18)</f>
        <v>71647.839999999997</v>
      </c>
      <c r="D18" s="29">
        <f>SUM(Apr!D18, May!D18, Jun!D18)</f>
        <v>0</v>
      </c>
      <c r="E18" s="29">
        <f t="shared" si="3"/>
        <v>71647.839999999997</v>
      </c>
      <c r="F18" s="30" t="str">
        <f t="shared" si="4"/>
        <v/>
      </c>
      <c r="G18" s="31">
        <f>SUM(Apr!G18,May!G18,Jun!G18)</f>
        <v>0</v>
      </c>
      <c r="H18" s="31">
        <f>SUM(Apr!H18, May!H18, Jun!H18)</f>
        <v>0</v>
      </c>
      <c r="I18" s="32" t="str">
        <f t="shared" si="5"/>
        <v/>
      </c>
    </row>
    <row r="19" spans="1:9" ht="15.6">
      <c r="A19" s="48" t="str">
        <v>Gateway Church</v>
      </c>
      <c r="B19" s="34" t="str">
        <v>NJ</v>
      </c>
      <c r="C19" s="35">
        <f>SUM(Apr!C19, May!C19, Jun!C19)</f>
        <v>52790</v>
      </c>
      <c r="D19" s="36">
        <f>SUM(Apr!D19, May!D19, Jun!D19)</f>
        <v>0</v>
      </c>
      <c r="E19" s="36">
        <f t="shared" si="3"/>
        <v>52790</v>
      </c>
      <c r="F19" s="73" t="str">
        <f t="shared" si="4"/>
        <v/>
      </c>
      <c r="G19" s="74">
        <f>SUM(Apr!G19,May!G19,Jun!G19)</f>
        <v>0</v>
      </c>
      <c r="H19" s="74">
        <f>SUM(Apr!H19, May!H19, Jun!H19)</f>
        <v>0</v>
      </c>
      <c r="I19" s="73" t="str">
        <f t="shared" si="5"/>
        <v/>
      </c>
    </row>
    <row r="20" spans="1:9" ht="15.6">
      <c r="A20" s="47" t="str">
        <v>Beaver Falls - Felician Sisters</v>
      </c>
      <c r="B20" s="27" t="str">
        <v>PA</v>
      </c>
      <c r="C20" s="28">
        <f>SUM(Apr!C20, May!C20, Jun!C20)</f>
        <v>78987</v>
      </c>
      <c r="D20" s="29">
        <f>SUM(Apr!D20, May!D20, Jun!D20)</f>
        <v>0</v>
      </c>
      <c r="E20" s="29">
        <f t="shared" si="3"/>
        <v>78987</v>
      </c>
      <c r="F20" s="30" t="str">
        <f t="shared" si="4"/>
        <v/>
      </c>
      <c r="G20" s="31">
        <f>SUM(Apr!G20,May!G20,Jun!G20)</f>
        <v>0</v>
      </c>
      <c r="H20" s="31">
        <f>SUM(Apr!H20, May!H20, Jun!H20)</f>
        <v>0</v>
      </c>
      <c r="I20" s="32" t="str">
        <f t="shared" si="5"/>
        <v/>
      </c>
    </row>
    <row r="21" spans="1:9" ht="15.6">
      <c r="A21" s="48" t="str">
        <v>Livonia - Felician Sisters Ground</v>
      </c>
      <c r="B21" s="34" t="str">
        <v>MI</v>
      </c>
      <c r="C21" s="35">
        <f>SUM(Apr!C21, May!C21, Jun!C21)</f>
        <v>0</v>
      </c>
      <c r="D21" s="36">
        <f>SUM(Apr!D21, May!D21, Jun!D21)</f>
        <v>0</v>
      </c>
      <c r="E21" s="36">
        <f t="shared" si="3"/>
        <v>0</v>
      </c>
      <c r="F21" s="73" t="str">
        <f t="shared" si="4"/>
        <v/>
      </c>
      <c r="G21" s="74">
        <f>SUM(Apr!G21,May!G21,Jun!G21)</f>
        <v>0</v>
      </c>
      <c r="H21" s="74">
        <f>SUM(Apr!H21, May!H21, Jun!H21)</f>
        <v>0</v>
      </c>
      <c r="I21" s="73" t="str">
        <f t="shared" si="5"/>
        <v/>
      </c>
    </row>
    <row r="22" spans="1:9" ht="15.6">
      <c r="A22" s="47" t="str">
        <v>Livonia - Felician Sisters Roof</v>
      </c>
      <c r="B22" s="27" t="str">
        <v>MI</v>
      </c>
      <c r="C22" s="28">
        <f>SUM(Apr!C22, May!C22, Jun!C22)</f>
        <v>32260</v>
      </c>
      <c r="D22" s="29">
        <f>SUM(Apr!D22, May!D22, Jun!D22)</f>
        <v>0</v>
      </c>
      <c r="E22" s="29">
        <f t="shared" si="3"/>
        <v>32260</v>
      </c>
      <c r="F22" s="30" t="str">
        <f t="shared" si="4"/>
        <v/>
      </c>
      <c r="G22" s="31">
        <f>SUM(Apr!G22,May!G22,Jun!G22)</f>
        <v>0</v>
      </c>
      <c r="H22" s="31">
        <f>SUM(Apr!H22, May!H22, Jun!H22)</f>
        <v>0</v>
      </c>
      <c r="I22" s="32" t="str">
        <f t="shared" si="5"/>
        <v/>
      </c>
    </row>
    <row r="23" spans="1:9" ht="15.6">
      <c r="A23" s="48" t="str">
        <v>Monmouth Worship Ctr</v>
      </c>
      <c r="B23" s="34" t="str">
        <v>NJ</v>
      </c>
      <c r="C23" s="35">
        <f>SUM(Apr!C23, May!C23, Jun!C23)</f>
        <v>23807.780000000028</v>
      </c>
      <c r="D23" s="36">
        <f>SUM(Apr!D23, May!D23, Jun!D23)</f>
        <v>0</v>
      </c>
      <c r="E23" s="36">
        <f t="shared" si="3"/>
        <v>23807.780000000028</v>
      </c>
      <c r="F23" s="73" t="str">
        <f t="shared" si="4"/>
        <v/>
      </c>
      <c r="G23" s="74">
        <f>SUM(Apr!G23,May!G23,Jun!G23)</f>
        <v>0</v>
      </c>
      <c r="H23" s="74">
        <f>SUM(Apr!H23, May!H23, Jun!H23)</f>
        <v>0</v>
      </c>
      <c r="I23" s="73" t="str">
        <f t="shared" si="5"/>
        <v/>
      </c>
    </row>
    <row r="24" spans="1:9" ht="15.6">
      <c r="A24" s="47" t="str">
        <v xml:space="preserve"> Audubon - Senior Citizens United</v>
      </c>
      <c r="B24" s="27" t="str">
        <v>NJ</v>
      </c>
      <c r="C24" s="28">
        <f>SUM(Apr!C24, May!C24, Jun!C24)</f>
        <v>17008.775000000001</v>
      </c>
      <c r="D24" s="29">
        <f>SUM(Apr!D24, May!D24, Jun!D24)</f>
        <v>0</v>
      </c>
      <c r="E24" s="29">
        <f t="shared" si="3"/>
        <v>17008.775000000001</v>
      </c>
      <c r="F24" s="30" t="str">
        <f t="shared" si="4"/>
        <v/>
      </c>
      <c r="G24" s="31">
        <f>SUM(Apr!G24,May!G24,Jun!G24)</f>
        <v>0</v>
      </c>
      <c r="H24" s="31">
        <f>SUM(Apr!H24, May!H24, Jun!H24)</f>
        <v>0</v>
      </c>
      <c r="I24" s="32" t="str">
        <f t="shared" si="5"/>
        <v/>
      </c>
    </row>
    <row r="25" spans="1:9" ht="13.9">
      <c r="A25" s="8" t="str">
        <v>Hollister - PG&amp;E (Enerparc)</v>
      </c>
      <c r="B25" s="8" t="str">
        <v>CA</v>
      </c>
      <c r="C25" s="8"/>
      <c r="D25" s="8"/>
      <c r="E25" s="8"/>
      <c r="F25" s="9"/>
      <c r="G25" s="8"/>
      <c r="H25" s="8"/>
      <c r="I25" s="9"/>
    </row>
    <row r="26" spans="1:9" ht="13.9">
      <c r="A26" s="8" t="str">
        <v>Taos County - Kit Carson Electric Co-Op</v>
      </c>
      <c r="B26" s="8" t="str">
        <v>NM</v>
      </c>
      <c r="C26" s="8"/>
      <c r="D26" s="8"/>
      <c r="E26" s="8"/>
      <c r="F26" s="9"/>
      <c r="G26" s="8"/>
      <c r="H26" s="8"/>
      <c r="I26" s="9"/>
    </row>
    <row r="27" spans="1:9" ht="13.9">
      <c r="A27" s="8" t="str">
        <v>Commerce City - Adams City HS</v>
      </c>
      <c r="B27" s="8" t="str">
        <v>CO</v>
      </c>
      <c r="C27" s="8"/>
      <c r="D27" s="8"/>
      <c r="E27" s="8"/>
      <c r="F27" s="9"/>
      <c r="G27" s="8"/>
      <c r="H27" s="8"/>
      <c r="I27" s="9"/>
    </row>
    <row r="28" spans="1:9" ht="13.9">
      <c r="A28" s="8" t="str">
        <v>Commerce City - Adams City MS</v>
      </c>
      <c r="B28" s="8" t="str">
        <v>CO</v>
      </c>
      <c r="C28" s="8"/>
      <c r="D28" s="8"/>
      <c r="E28" s="8"/>
      <c r="F28" s="9"/>
      <c r="G28" s="8"/>
      <c r="H28" s="8"/>
      <c r="I28" s="9"/>
    </row>
    <row r="29" spans="1:9" ht="13.9">
      <c r="A29" s="8" t="str">
        <v>Commerce City - Central ES</v>
      </c>
      <c r="B29" s="8" t="str">
        <v>CO</v>
      </c>
      <c r="C29" s="8"/>
      <c r="D29" s="8"/>
      <c r="E29" s="8"/>
      <c r="F29" s="9"/>
      <c r="G29" s="8"/>
      <c r="H29" s="8"/>
      <c r="I29" s="9"/>
    </row>
    <row r="30" spans="1:9" ht="13.9">
      <c r="A30" s="8" t="str">
        <v>Commerce City - Dupont ES</v>
      </c>
      <c r="B30" s="8" t="str">
        <v>CO</v>
      </c>
      <c r="C30" s="8"/>
      <c r="D30" s="8"/>
      <c r="E30" s="8"/>
      <c r="F30" s="9"/>
      <c r="G30" s="8"/>
      <c r="H30" s="8"/>
      <c r="I30" s="9"/>
    </row>
    <row r="31" spans="1:9" ht="13.9">
      <c r="A31" s="8" t="str">
        <v>Commerce City - Educational Support Services</v>
      </c>
      <c r="B31" s="8" t="str">
        <v>CO</v>
      </c>
      <c r="C31" s="8"/>
      <c r="D31" s="8"/>
      <c r="E31" s="8"/>
      <c r="F31" s="9"/>
      <c r="G31" s="8"/>
      <c r="H31" s="8"/>
      <c r="I31" s="9"/>
    </row>
    <row r="32" spans="1:9" ht="13.9">
      <c r="A32" s="8" t="str">
        <v>Commerce City - Hanson ES</v>
      </c>
      <c r="B32" s="8" t="str">
        <v>CO</v>
      </c>
      <c r="C32" s="8"/>
      <c r="D32" s="8"/>
      <c r="E32" s="8"/>
      <c r="F32" s="9"/>
      <c r="G32" s="8"/>
      <c r="H32" s="8"/>
      <c r="I32" s="9"/>
    </row>
    <row r="33" spans="1:9" ht="13.9">
      <c r="A33" s="8" t="str">
        <v>Commerce City - Kemp ES</v>
      </c>
      <c r="B33" s="8" t="str">
        <v>CO</v>
      </c>
      <c r="C33" s="8"/>
      <c r="D33" s="8"/>
      <c r="E33" s="8"/>
      <c r="F33" s="9"/>
      <c r="G33" s="8"/>
      <c r="H33" s="8"/>
      <c r="I33" s="9"/>
    </row>
    <row r="34" spans="1:9" ht="13.9">
      <c r="A34" s="8" t="str">
        <v>Commerce City -  Lester Arnold HS</v>
      </c>
      <c r="B34" s="8" t="str">
        <v>CO</v>
      </c>
      <c r="C34" s="8"/>
      <c r="D34" s="8"/>
      <c r="E34" s="8"/>
      <c r="F34" s="9"/>
      <c r="G34" s="8"/>
      <c r="H34" s="8"/>
      <c r="I34" s="9"/>
    </row>
    <row r="35" spans="1:9" ht="13.9">
      <c r="A35" s="8" t="str">
        <v>Commerce City - Monaco ES</v>
      </c>
      <c r="B35" s="8" t="str">
        <v>CO</v>
      </c>
      <c r="C35" s="8"/>
      <c r="D35" s="8"/>
      <c r="E35" s="8"/>
      <c r="F35" s="9"/>
      <c r="G35" s="8"/>
      <c r="H35" s="8"/>
      <c r="I35" s="9"/>
    </row>
    <row r="36" spans="1:9" ht="13.9">
      <c r="A36" s="8" t="str">
        <v>Denver - Northgate / Old Fort Logan ES</v>
      </c>
      <c r="B36" s="8" t="str">
        <v>CO</v>
      </c>
      <c r="C36" s="8"/>
      <c r="D36" s="8"/>
      <c r="E36" s="8"/>
      <c r="F36" s="9"/>
      <c r="G36" s="8"/>
      <c r="H36" s="8"/>
      <c r="I36" s="9"/>
    </row>
    <row r="37" spans="1:9" ht="13.9">
      <c r="A37" s="8" t="str">
        <v>Denver - Sheridan High School</v>
      </c>
      <c r="B37" s="8" t="str">
        <v>CO</v>
      </c>
      <c r="C37" s="8"/>
      <c r="D37" s="8"/>
      <c r="E37" s="8"/>
      <c r="F37" s="9"/>
      <c r="G37" s="8"/>
      <c r="H37" s="8"/>
      <c r="I37" s="9"/>
    </row>
    <row r="38" spans="1:9" ht="13.9">
      <c r="A38" s="8" t="str">
        <v>Englewood -  Alice Terry Elementary</v>
      </c>
      <c r="B38" s="8" t="str">
        <v>CO</v>
      </c>
      <c r="C38" s="8"/>
      <c r="D38" s="8"/>
      <c r="E38" s="8"/>
      <c r="F38" s="9"/>
      <c r="G38" s="8"/>
      <c r="H38" s="8"/>
      <c r="I38" s="9"/>
    </row>
    <row r="39" spans="1:9" ht="13.9">
      <c r="A39" s="8" t="str">
        <v>Englewood - Sheridan Middle School</v>
      </c>
      <c r="B39" s="8" t="str">
        <v>CO</v>
      </c>
      <c r="C39" s="8"/>
      <c r="D39" s="8"/>
      <c r="E39" s="8"/>
      <c r="F39" s="9"/>
      <c r="G39" s="8"/>
      <c r="H39" s="8"/>
      <c r="I39" s="9"/>
    </row>
    <row r="40" spans="1:9" ht="13.9">
      <c r="A40" s="8" t="str">
        <v>Goshen - NIPSCO</v>
      </c>
      <c r="B40" s="8" t="str">
        <v>IN</v>
      </c>
      <c r="C40" s="8"/>
      <c r="D40" s="8"/>
      <c r="E40" s="8"/>
      <c r="F40" s="9"/>
      <c r="G40" s="8"/>
      <c r="H40" s="8"/>
      <c r="I40" s="9"/>
    </row>
    <row r="41" spans="1:9" ht="13.9">
      <c r="A41" s="8" t="str">
        <v>Alamogordo - City of Alamogordo - Effluent</v>
      </c>
      <c r="B41" s="8" t="str">
        <v>NM</v>
      </c>
      <c r="C41" s="8"/>
      <c r="D41" s="8"/>
      <c r="E41" s="8"/>
      <c r="F41" s="9"/>
      <c r="G41" s="8"/>
      <c r="H41" s="8"/>
      <c r="I41" s="9"/>
    </row>
    <row r="42" spans="1:9" ht="13.9">
      <c r="A42" s="8" t="str">
        <v>Alamogordo - City of Alamogordo - WWTP</v>
      </c>
      <c r="B42" s="8" t="str">
        <v>NM</v>
      </c>
      <c r="C42" s="8"/>
      <c r="D42" s="8"/>
      <c r="E42" s="8"/>
      <c r="F42" s="9"/>
      <c r="G42" s="8"/>
      <c r="H42" s="8"/>
      <c r="I42" s="9"/>
    </row>
    <row r="43" spans="1:9" ht="13.9">
      <c r="A43" s="8" t="str">
        <v>Deming - Bilbo Booster</v>
      </c>
      <c r="B43" s="8" t="str">
        <v>NM</v>
      </c>
      <c r="C43" s="8"/>
      <c r="D43" s="8"/>
      <c r="E43" s="8"/>
      <c r="F43" s="9"/>
      <c r="G43" s="8"/>
      <c r="H43" s="8"/>
      <c r="I43" s="9"/>
    </row>
    <row r="44" spans="1:9" ht="13.9">
      <c r="A44" s="8" t="str">
        <v>Deming - Bilbo Well</v>
      </c>
      <c r="B44" s="8" t="str">
        <v>NM</v>
      </c>
      <c r="C44" s="8"/>
      <c r="D44" s="8"/>
      <c r="E44" s="8"/>
      <c r="F44" s="9"/>
      <c r="G44" s="8"/>
      <c r="H44" s="8"/>
      <c r="I44" s="9"/>
    </row>
    <row r="45" spans="1:9" ht="13.9">
      <c r="A45" s="8" t="str">
        <v>Deming - WWTP</v>
      </c>
      <c r="B45" s="8" t="str">
        <v>NM</v>
      </c>
      <c r="C45" s="8"/>
      <c r="D45" s="8"/>
      <c r="E45" s="8"/>
      <c r="F45" s="9"/>
      <c r="G45" s="8"/>
      <c r="H45" s="8"/>
      <c r="I45" s="9"/>
    </row>
    <row r="46" spans="1:9" ht="13.9">
      <c r="A46" s="8" t="str">
        <v>Truth or Consequences - Walmart</v>
      </c>
      <c r="B46" s="8" t="str">
        <v>NM</v>
      </c>
      <c r="C46" s="8"/>
      <c r="D46" s="8"/>
      <c r="E46" s="8"/>
      <c r="F46" s="9"/>
      <c r="G46" s="8"/>
      <c r="H46" s="8"/>
      <c r="I46" s="9"/>
    </row>
    <row r="47" spans="1:9" ht="13.9">
      <c r="A47" s="8"/>
      <c r="B47" s="8"/>
      <c r="C47" s="8"/>
      <c r="D47" s="8"/>
      <c r="E47" s="8"/>
      <c r="F47" s="9"/>
      <c r="G47" s="8"/>
      <c r="H47" s="8"/>
      <c r="I47" s="9"/>
    </row>
    <row r="48" spans="1:9" ht="13.9">
      <c r="A48" s="8"/>
      <c r="B48" s="8"/>
      <c r="C48" s="8"/>
      <c r="D48" s="8"/>
      <c r="E48" s="8"/>
      <c r="F48" s="9"/>
      <c r="G48" s="8"/>
      <c r="H48" s="8"/>
      <c r="I48" s="9"/>
    </row>
    <row r="49" spans="1:9" ht="13.9">
      <c r="A49" s="8"/>
      <c r="B49" s="8"/>
      <c r="C49" s="8"/>
      <c r="D49" s="8"/>
      <c r="E49" s="8"/>
      <c r="F49" s="9"/>
      <c r="G49" s="8"/>
      <c r="H49" s="8"/>
      <c r="I49" s="9"/>
    </row>
    <row r="50" spans="1:9" ht="13.9">
      <c r="A50" s="8"/>
      <c r="B50" s="8"/>
      <c r="C50" s="8"/>
      <c r="D50" s="8"/>
      <c r="E50" s="8"/>
      <c r="F50" s="9"/>
      <c r="G50" s="8"/>
      <c r="H50" s="8"/>
      <c r="I50" s="9"/>
    </row>
    <row r="51" spans="1:9" ht="13.9">
      <c r="A51" s="8"/>
      <c r="B51" s="8"/>
      <c r="C51" s="8"/>
      <c r="D51" s="8"/>
      <c r="E51" s="8"/>
      <c r="F51" s="9"/>
      <c r="G51" s="8"/>
      <c r="H51" s="8"/>
      <c r="I51" s="9"/>
    </row>
    <row r="52" spans="1:9" ht="13.9">
      <c r="A52" s="8"/>
      <c r="B52" s="8"/>
      <c r="C52" s="8"/>
      <c r="D52" s="8"/>
      <c r="E52" s="8"/>
      <c r="F52" s="9"/>
      <c r="G52" s="8"/>
      <c r="H52" s="8"/>
      <c r="I52" s="9"/>
    </row>
    <row r="53" spans="1:9" ht="13.9">
      <c r="A53" s="8"/>
      <c r="B53" s="8"/>
      <c r="C53" s="8"/>
      <c r="D53" s="8"/>
      <c r="E53" s="8"/>
      <c r="F53" s="9"/>
      <c r="G53" s="8"/>
      <c r="H53" s="8"/>
      <c r="I53" s="9"/>
    </row>
    <row r="54" spans="1:9" ht="13.9">
      <c r="A54" s="8"/>
      <c r="B54" s="8"/>
      <c r="C54" s="8"/>
      <c r="D54" s="8"/>
      <c r="E54" s="8"/>
      <c r="F54" s="9"/>
      <c r="G54" s="8"/>
      <c r="H54" s="8"/>
      <c r="I54" s="9"/>
    </row>
    <row r="55" spans="1:9" ht="13.9">
      <c r="A55" s="8"/>
      <c r="B55" s="8"/>
      <c r="C55" s="8"/>
      <c r="D55" s="8"/>
      <c r="E55" s="8"/>
      <c r="F55" s="9"/>
      <c r="G55" s="8"/>
      <c r="H55" s="8"/>
      <c r="I55" s="9"/>
    </row>
    <row r="56" spans="1:9" ht="13.9">
      <c r="A56" s="8"/>
      <c r="B56" s="8"/>
      <c r="C56" s="8"/>
      <c r="D56" s="8"/>
      <c r="E56" s="8"/>
      <c r="F56" s="9"/>
      <c r="G56" s="8"/>
      <c r="H56" s="8"/>
      <c r="I56" s="9"/>
    </row>
    <row r="57" spans="1:9" ht="13.9">
      <c r="A57" s="8"/>
      <c r="B57" s="8"/>
      <c r="C57" s="8"/>
      <c r="D57" s="8"/>
      <c r="E57" s="8"/>
      <c r="F57" s="9"/>
      <c r="G57" s="8"/>
      <c r="H57" s="8"/>
      <c r="I57" s="9"/>
    </row>
    <row r="58" spans="1:9" ht="13.9">
      <c r="A58" s="8"/>
      <c r="B58" s="8"/>
      <c r="C58" s="8"/>
      <c r="D58" s="8"/>
      <c r="E58" s="8"/>
      <c r="F58" s="9"/>
      <c r="G58" s="8"/>
      <c r="H58" s="8"/>
      <c r="I58" s="9"/>
    </row>
    <row r="59" spans="1:9" ht="13.9">
      <c r="A59" s="8"/>
      <c r="B59" s="8"/>
      <c r="C59" s="8"/>
      <c r="D59" s="8"/>
      <c r="E59" s="8"/>
      <c r="F59" s="9"/>
      <c r="G59" s="8"/>
      <c r="H59" s="8"/>
      <c r="I59" s="9"/>
    </row>
    <row r="60" spans="1:9" ht="13.9">
      <c r="A60" s="8"/>
      <c r="B60" s="8"/>
      <c r="C60" s="8"/>
      <c r="D60" s="8"/>
      <c r="E60" s="8"/>
      <c r="F60" s="9"/>
      <c r="G60" s="8"/>
      <c r="H60" s="8"/>
      <c r="I60" s="9"/>
    </row>
    <row r="61" spans="1:9" ht="13.9">
      <c r="A61" s="8"/>
      <c r="B61" s="8"/>
      <c r="C61" s="8"/>
      <c r="D61" s="8"/>
      <c r="E61" s="8"/>
      <c r="F61" s="9"/>
      <c r="G61" s="8"/>
      <c r="H61" s="8"/>
      <c r="I61" s="9"/>
    </row>
    <row r="62" spans="1:9" ht="13.9">
      <c r="A62" s="8"/>
      <c r="B62" s="8"/>
      <c r="C62" s="8"/>
      <c r="D62" s="8"/>
      <c r="E62" s="8"/>
      <c r="F62" s="9"/>
      <c r="G62" s="8"/>
      <c r="H62" s="8"/>
      <c r="I62" s="9"/>
    </row>
    <row r="63" spans="1:9" ht="13.9">
      <c r="A63" s="8"/>
      <c r="B63" s="8"/>
      <c r="C63" s="8"/>
      <c r="D63" s="8"/>
      <c r="E63" s="8"/>
      <c r="F63" s="9"/>
      <c r="G63" s="8"/>
      <c r="H63" s="8"/>
      <c r="I63" s="9"/>
    </row>
    <row r="64" spans="1:9" ht="13.9">
      <c r="A64" s="8"/>
      <c r="B64" s="8"/>
      <c r="C64" s="8"/>
      <c r="D64" s="8"/>
      <c r="E64" s="8"/>
      <c r="F64" s="9"/>
      <c r="G64" s="8"/>
      <c r="H64" s="8"/>
      <c r="I64" s="9"/>
    </row>
    <row r="65" spans="1:9" ht="13.9">
      <c r="A65" s="8"/>
      <c r="B65" s="8"/>
      <c r="C65" s="8"/>
      <c r="D65" s="8"/>
      <c r="E65" s="8"/>
      <c r="F65" s="9"/>
      <c r="G65" s="8"/>
      <c r="H65" s="8"/>
      <c r="I65" s="9"/>
    </row>
    <row r="66" spans="1:9" ht="13.9">
      <c r="A66" s="8"/>
      <c r="B66" s="8"/>
      <c r="C66" s="8"/>
      <c r="D66" s="8"/>
      <c r="E66" s="8"/>
      <c r="F66" s="9"/>
      <c r="G66" s="8"/>
      <c r="H66" s="8"/>
      <c r="I66" s="9"/>
    </row>
    <row r="67" spans="1:9" ht="13.9">
      <c r="A67" s="8"/>
      <c r="B67" s="8"/>
      <c r="C67" s="8"/>
      <c r="D67" s="8"/>
      <c r="E67" s="8"/>
      <c r="F67" s="9"/>
      <c r="G67" s="8"/>
      <c r="H67" s="8"/>
      <c r="I67" s="9"/>
    </row>
    <row r="68" spans="1:9" ht="13.9">
      <c r="A68" s="8"/>
      <c r="B68" s="8"/>
      <c r="C68" s="8"/>
      <c r="D68" s="8"/>
      <c r="E68" s="8"/>
      <c r="F68" s="9"/>
      <c r="G68" s="8"/>
      <c r="H68" s="8"/>
      <c r="I68" s="9"/>
    </row>
    <row r="69" spans="1:9" ht="13.9">
      <c r="A69" s="8"/>
      <c r="B69" s="8"/>
      <c r="C69" s="8"/>
      <c r="D69" s="8"/>
      <c r="E69" s="8"/>
      <c r="F69" s="9"/>
      <c r="G69" s="8"/>
      <c r="H69" s="8"/>
      <c r="I69" s="9"/>
    </row>
    <row r="70" spans="1:9" ht="13.9">
      <c r="A70" s="8"/>
      <c r="B70" s="8"/>
      <c r="C70" s="8"/>
      <c r="D70" s="8"/>
      <c r="E70" s="8"/>
      <c r="F70" s="9"/>
      <c r="G70" s="8"/>
      <c r="H70" s="8"/>
      <c r="I70" s="9"/>
    </row>
    <row r="71" spans="1:9" ht="13.9">
      <c r="A71" s="8"/>
      <c r="B71" s="8"/>
      <c r="C71" s="8"/>
      <c r="D71" s="8"/>
      <c r="E71" s="8"/>
      <c r="F71" s="9"/>
      <c r="G71" s="8"/>
      <c r="H71" s="8"/>
      <c r="I71" s="9"/>
    </row>
    <row r="72" spans="1:9" ht="13.9">
      <c r="A72" s="8"/>
      <c r="B72" s="8"/>
      <c r="C72" s="8"/>
      <c r="D72" s="8"/>
      <c r="E72" s="8"/>
      <c r="F72" s="9"/>
      <c r="G72" s="8"/>
      <c r="H72" s="8"/>
      <c r="I72" s="9"/>
    </row>
    <row r="73" spans="1:9" ht="13.9">
      <c r="A73" s="8"/>
      <c r="B73" s="8"/>
      <c r="C73" s="8"/>
      <c r="D73" s="8"/>
      <c r="E73" s="8"/>
      <c r="F73" s="9"/>
      <c r="G73" s="8"/>
      <c r="H73" s="8"/>
      <c r="I73" s="9"/>
    </row>
    <row r="74" spans="1:9" ht="13.9">
      <c r="A74" s="8"/>
      <c r="B74" s="8"/>
      <c r="C74" s="8"/>
      <c r="D74" s="8"/>
      <c r="E74" s="8"/>
      <c r="F74" s="9"/>
      <c r="G74" s="8"/>
      <c r="H74" s="8"/>
      <c r="I74" s="9"/>
    </row>
    <row r="75" spans="1:9" ht="13.9">
      <c r="A75" s="8"/>
      <c r="B75" s="8"/>
      <c r="C75" s="8"/>
      <c r="D75" s="8"/>
      <c r="E75" s="8"/>
      <c r="F75" s="9"/>
      <c r="G75" s="8"/>
      <c r="H75" s="8"/>
      <c r="I75" s="9"/>
    </row>
    <row r="76" spans="1:9" ht="13.9">
      <c r="A76" s="8"/>
      <c r="B76" s="8"/>
      <c r="C76" s="8"/>
      <c r="D76" s="8"/>
      <c r="E76" s="8"/>
      <c r="F76" s="9"/>
      <c r="G76" s="8"/>
      <c r="H76" s="8"/>
      <c r="I76" s="9"/>
    </row>
    <row r="77" spans="1:9" ht="13.9">
      <c r="A77" s="8"/>
      <c r="B77" s="8"/>
      <c r="C77" s="8"/>
      <c r="D77" s="8"/>
      <c r="E77" s="8"/>
      <c r="F77" s="9"/>
      <c r="G77" s="8"/>
      <c r="H77" s="8"/>
      <c r="I77" s="9"/>
    </row>
    <row r="78" spans="1:9" ht="13.9">
      <c r="A78" s="8"/>
      <c r="B78" s="8"/>
      <c r="C78" s="8"/>
      <c r="D78" s="8"/>
      <c r="E78" s="8"/>
      <c r="F78" s="9"/>
      <c r="G78" s="8"/>
      <c r="H78" s="8"/>
      <c r="I78" s="9"/>
    </row>
    <row r="79" spans="1:9" ht="13.9">
      <c r="A79" s="8"/>
      <c r="B79" s="8"/>
      <c r="C79" s="8"/>
      <c r="D79" s="8"/>
      <c r="E79" s="8"/>
      <c r="F79" s="9"/>
      <c r="G79" s="8"/>
      <c r="H79" s="8"/>
      <c r="I79" s="9"/>
    </row>
    <row r="80" spans="1:9" ht="13.9">
      <c r="A80" s="8"/>
      <c r="B80" s="8"/>
      <c r="C80" s="8"/>
      <c r="D80" s="8"/>
      <c r="E80" s="8"/>
      <c r="F80" s="9"/>
      <c r="G80" s="8"/>
      <c r="H80" s="8"/>
      <c r="I80" s="9"/>
    </row>
    <row r="81" spans="1:9" ht="13.9">
      <c r="A81" s="8"/>
      <c r="B81" s="8"/>
      <c r="C81" s="8"/>
      <c r="D81" s="8"/>
      <c r="E81" s="8"/>
      <c r="F81" s="9"/>
      <c r="G81" s="8"/>
      <c r="H81" s="8"/>
      <c r="I81" s="9"/>
    </row>
    <row r="82" spans="1:9" ht="13.9">
      <c r="A82" s="8"/>
      <c r="B82" s="8"/>
      <c r="C82" s="8"/>
      <c r="D82" s="8"/>
      <c r="E82" s="8"/>
      <c r="F82" s="9"/>
      <c r="G82" s="8"/>
      <c r="H82" s="8"/>
      <c r="I82" s="9"/>
    </row>
    <row r="83" spans="1:9" ht="13.9">
      <c r="A83" s="8"/>
      <c r="B83" s="8"/>
      <c r="C83" s="8"/>
      <c r="D83" s="8"/>
      <c r="E83" s="8"/>
      <c r="F83" s="9"/>
      <c r="G83" s="8"/>
      <c r="H83" s="8"/>
      <c r="I83" s="9"/>
    </row>
    <row r="84" spans="1:9" ht="13.9">
      <c r="A84" s="8"/>
      <c r="B84" s="8"/>
      <c r="C84" s="8"/>
      <c r="D84" s="8"/>
      <c r="E84" s="8"/>
      <c r="F84" s="9"/>
      <c r="G84" s="8"/>
      <c r="H84" s="8"/>
      <c r="I84" s="9"/>
    </row>
    <row r="85" spans="1:9" ht="13.9">
      <c r="A85" s="8"/>
      <c r="B85" s="8"/>
      <c r="C85" s="8"/>
      <c r="D85" s="8"/>
      <c r="E85" s="8"/>
      <c r="F85" s="9"/>
      <c r="G85" s="8"/>
      <c r="H85" s="8"/>
      <c r="I85" s="9"/>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sheetData>
  <sortState xmlns:xlrd2="http://schemas.microsoft.com/office/spreadsheetml/2017/richdata2" ref="A3:I4">
    <sortCondition ref="A3:A4"/>
  </sortState>
  <mergeCells count="4">
    <mergeCell ref="G1:I1"/>
    <mergeCell ref="A1:C1"/>
    <mergeCell ref="D1:F1"/>
    <mergeCell ref="A2:B2"/>
  </mergeCells>
  <conditionalFormatting sqref="F2 I2 F4:F79 I4:I79">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D23" sqref="D23"/>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9" t="str" cm="1">
        <f t="array" ref="A1">portfolio</f>
        <v>Clean Capital</v>
      </c>
      <c r="B1" s="99"/>
      <c r="C1" s="99"/>
      <c r="D1" s="100" t="s">
        <v>14</v>
      </c>
      <c r="E1" s="100"/>
      <c r="F1" s="100"/>
      <c r="G1" s="98" t="s">
        <v>15</v>
      </c>
      <c r="H1" s="98"/>
      <c r="I1" s="98"/>
    </row>
    <row r="2" spans="1:9" ht="19.5" customHeight="1">
      <c r="A2" s="101" t="s">
        <v>2</v>
      </c>
      <c r="B2" s="101"/>
      <c r="C2" s="5">
        <f>SUM(C4:C79)</f>
        <v>0</v>
      </c>
      <c r="D2" s="5">
        <f>SUM(D4:D79)</f>
        <v>0</v>
      </c>
      <c r="E2" s="5">
        <f>C2-D2</f>
        <v>0</v>
      </c>
      <c r="F2" s="6">
        <f>IFERROR(E2/D2, 0)</f>
        <v>0</v>
      </c>
      <c r="G2" s="5">
        <f>SUM(G4:G79)</f>
        <v>0</v>
      </c>
      <c r="H2" s="7">
        <f>C2-G2</f>
        <v>0</v>
      </c>
      <c r="I2" s="6">
        <f>IFERROR(H2/G2, 0)</f>
        <v>0</v>
      </c>
    </row>
    <row r="3" spans="1:9" ht="14.25" customHeight="1">
      <c r="A3" s="12" t="s">
        <v>3</v>
      </c>
      <c r="B3" s="12" t="s">
        <v>4</v>
      </c>
      <c r="C3" s="19" t="s">
        <v>5</v>
      </c>
      <c r="D3" s="20" t="s">
        <v>6</v>
      </c>
      <c r="E3" s="20" t="s">
        <v>7</v>
      </c>
      <c r="F3" s="21" t="s">
        <v>8</v>
      </c>
      <c r="G3" s="22" t="s">
        <v>9</v>
      </c>
      <c r="H3" s="23" t="s">
        <v>7</v>
      </c>
      <c r="I3" s="24" t="s">
        <v>8</v>
      </c>
    </row>
    <row r="4" spans="1:9" ht="15.6">
      <c r="A4" s="47" t="str" cm="1">
        <f t="array" ref="A4:A46">Sites[Site]</f>
        <v>Lexington - Cotting School</v>
      </c>
      <c r="B4" s="27" t="str" cm="1">
        <f t="array" ref="B4:B46">Sites[State]</f>
        <v>MA</v>
      </c>
      <c r="C4" s="28">
        <f>SUM(Jul!C4, Aug!C4, Sep!C4)</f>
        <v>0</v>
      </c>
      <c r="D4" s="29">
        <f>SUM(Jul!D4, Aug!D4, Sep!D4)</f>
        <v>0</v>
      </c>
      <c r="E4" s="29">
        <f>IF(AND(ISNUMBER(C4),ISNUMBER(D4)), C4-D4, "")</f>
        <v>0</v>
      </c>
      <c r="F4" s="30" t="str">
        <f>IFERROR(E4/D4, "")</f>
        <v/>
      </c>
      <c r="G4" s="31">
        <f>SUM(Jul!G4,Aug!G4,Sep!G4)</f>
        <v>0</v>
      </c>
      <c r="H4" s="31">
        <f>SUM(Jul!H4, Aug!H4, Sep!H4)</f>
        <v>0</v>
      </c>
      <c r="I4" s="32" t="str">
        <f>IFERROR(H4/G4, "")</f>
        <v/>
      </c>
    </row>
    <row r="5" spans="1:9" ht="15.6">
      <c r="A5" s="48" t="str">
        <v>Pacoima - Whiteman Airport</v>
      </c>
      <c r="B5" s="34" t="str">
        <v>CA</v>
      </c>
      <c r="C5" s="35">
        <f>SUM(Jul!C5, Aug!C5, Sep!C5)</f>
        <v>0</v>
      </c>
      <c r="D5" s="36">
        <f>SUM(Jul!D5, Aug!D5, Sep!D5)</f>
        <v>0</v>
      </c>
      <c r="E5" s="36">
        <f t="shared" ref="E5:E7" si="0">IF(AND(ISNUMBER(C5),ISNUMBER(D5)), C5-D5, "")</f>
        <v>0</v>
      </c>
      <c r="F5" s="37" t="str">
        <f>IFERROR(E5/D5, "")</f>
        <v/>
      </c>
      <c r="G5" s="38">
        <f>SUM(Jul!G5,Aug!G5,Sep!G5)</f>
        <v>0</v>
      </c>
      <c r="H5" s="38">
        <f>SUM(Jul!H5, Aug!H5, Sep!H5)</f>
        <v>0</v>
      </c>
      <c r="I5" s="37" t="str">
        <f>IFERROR(H5/G5, "")</f>
        <v/>
      </c>
    </row>
    <row r="6" spans="1:9" ht="15.6">
      <c r="A6" s="47" t="str">
        <v>Hyannis - Sturgis Charter School</v>
      </c>
      <c r="B6" s="27" t="str">
        <v>MA</v>
      </c>
      <c r="C6" s="28">
        <f>SUM(Jul!C6, Aug!C6, Sep!C6)</f>
        <v>0</v>
      </c>
      <c r="D6" s="29">
        <f>SUM(Jul!D6, Aug!D6, Sep!D6)</f>
        <v>0</v>
      </c>
      <c r="E6" s="29">
        <f t="shared" si="0"/>
        <v>0</v>
      </c>
      <c r="F6" s="30" t="str">
        <f t="shared" ref="F6:F7" si="1">IFERROR(E6/D6, "")</f>
        <v/>
      </c>
      <c r="G6" s="31">
        <f>SUM(Jul!G6,Aug!G6,Sep!G6)</f>
        <v>0</v>
      </c>
      <c r="H6" s="31">
        <f>SUM(Jul!H6, Aug!H6, Sep!H6)</f>
        <v>0</v>
      </c>
      <c r="I6" s="32" t="str">
        <f t="shared" ref="I6:I7" si="2">IFERROR(H6/G6, "")</f>
        <v/>
      </c>
    </row>
    <row r="7" spans="1:9" ht="15.6">
      <c r="A7" s="48" t="str">
        <v>South Dennis - Tony Kent Arena</v>
      </c>
      <c r="B7" s="34" t="str">
        <v>MA</v>
      </c>
      <c r="C7" s="35">
        <f>SUM(Jul!C7, Aug!C7, Sep!C7)</f>
        <v>0</v>
      </c>
      <c r="D7" s="36">
        <f>SUM(Jul!D7, Aug!D7, Sep!D7)</f>
        <v>0</v>
      </c>
      <c r="E7" s="36">
        <f t="shared" si="0"/>
        <v>0</v>
      </c>
      <c r="F7" s="37" t="str">
        <f t="shared" si="1"/>
        <v/>
      </c>
      <c r="G7" s="38">
        <f>SUM(Jul!G7,Aug!G7,Sep!G7)</f>
        <v>0</v>
      </c>
      <c r="H7" s="38">
        <f>SUM(Jul!H7, Aug!H7, Sep!H7)</f>
        <v>0</v>
      </c>
      <c r="I7" s="37" t="str">
        <f t="shared" si="2"/>
        <v/>
      </c>
    </row>
    <row r="8" spans="1:9" ht="15.6">
      <c r="A8" s="47" t="str">
        <v xml:space="preserve"> Caropolis - Felician Sisters</v>
      </c>
      <c r="B8" s="27" t="str">
        <v>PA</v>
      </c>
      <c r="C8" s="28">
        <f>SUM(Jul!C8, Aug!C8, Sep!C8)</f>
        <v>0</v>
      </c>
      <c r="D8" s="29">
        <f>SUM(Jul!D8, Aug!D8, Sep!D8)</f>
        <v>0</v>
      </c>
      <c r="E8" s="29">
        <f t="shared" ref="E8:E24" si="3">IF(AND(ISNUMBER(C8),ISNUMBER(D8)), C8-D8, "")</f>
        <v>0</v>
      </c>
      <c r="F8" s="30" t="str">
        <f t="shared" ref="F8:F24" si="4">IFERROR(E8/D8, "")</f>
        <v/>
      </c>
      <c r="G8" s="31">
        <f>SUM(Jul!G8,Aug!G8,Sep!G8)</f>
        <v>0</v>
      </c>
      <c r="H8" s="31">
        <f>SUM(Jul!H8, Aug!H8, Sep!H8)</f>
        <v>0</v>
      </c>
      <c r="I8" s="32" t="str">
        <f t="shared" ref="I8:I24" si="5">IFERROR(H8/G8, "")</f>
        <v/>
      </c>
    </row>
    <row r="9" spans="1:9" ht="15.6">
      <c r="A9" s="48" t="str">
        <v>Clear Lake - Eastlake Gohman</v>
      </c>
      <c r="B9" s="34" t="str">
        <v>MN</v>
      </c>
      <c r="C9" s="35">
        <f>SUM(Jul!C9, Aug!C9, Sep!C9)</f>
        <v>0</v>
      </c>
      <c r="D9" s="36">
        <f>SUM(Jul!D9, Aug!D9, Sep!D9)</f>
        <v>0</v>
      </c>
      <c r="E9" s="36">
        <f t="shared" si="3"/>
        <v>0</v>
      </c>
      <c r="F9" s="73" t="str">
        <f t="shared" si="4"/>
        <v/>
      </c>
      <c r="G9" s="74">
        <f>SUM(Jul!G9,Aug!G9,Sep!G9)</f>
        <v>0</v>
      </c>
      <c r="H9" s="74">
        <f>SUM(Jul!H9, Aug!H9, Sep!H9)</f>
        <v>0</v>
      </c>
      <c r="I9" s="73" t="str">
        <f t="shared" si="5"/>
        <v/>
      </c>
    </row>
    <row r="10" spans="1:9" ht="15.6">
      <c r="A10" s="47" t="str">
        <v>Zumbrota - Eastlake Brenda Luhman</v>
      </c>
      <c r="B10" s="27" t="str">
        <v>MN</v>
      </c>
      <c r="C10" s="28">
        <f>SUM(Jul!C10, Aug!C10, Sep!C10)</f>
        <v>0</v>
      </c>
      <c r="D10" s="29">
        <f>SUM(Jul!D10, Aug!D10, Sep!D10)</f>
        <v>0</v>
      </c>
      <c r="E10" s="29">
        <f t="shared" si="3"/>
        <v>0</v>
      </c>
      <c r="F10" s="30" t="str">
        <f t="shared" si="4"/>
        <v/>
      </c>
      <c r="G10" s="31">
        <f>SUM(Jul!G10,Aug!G10,Sep!G10)</f>
        <v>0</v>
      </c>
      <c r="H10" s="31">
        <f>SUM(Jul!H10, Aug!H10, Sep!H10)</f>
        <v>0</v>
      </c>
      <c r="I10" s="32" t="str">
        <f t="shared" si="5"/>
        <v/>
      </c>
    </row>
    <row r="11" spans="1:9" ht="15.6">
      <c r="A11" s="48" t="str">
        <v>Cokato - Eastlake Carlson</v>
      </c>
      <c r="B11" s="34" t="str">
        <v>MN</v>
      </c>
      <c r="C11" s="35">
        <f>SUM(Jul!C11, Aug!C11, Sep!C11)</f>
        <v>0</v>
      </c>
      <c r="D11" s="36">
        <f>SUM(Jul!D11, Aug!D11, Sep!D11)</f>
        <v>0</v>
      </c>
      <c r="E11" s="36">
        <f t="shared" si="3"/>
        <v>0</v>
      </c>
      <c r="F11" s="73" t="str">
        <f t="shared" si="4"/>
        <v/>
      </c>
      <c r="G11" s="74">
        <f>SUM(Jul!G11,Aug!G11,Sep!G11)</f>
        <v>0</v>
      </c>
      <c r="H11" s="74">
        <f>SUM(Jul!H11, Aug!H11, Sep!H11)</f>
        <v>0</v>
      </c>
      <c r="I11" s="73" t="str">
        <f t="shared" si="5"/>
        <v/>
      </c>
    </row>
    <row r="12" spans="1:9" ht="15.6">
      <c r="A12" s="47" t="str">
        <v>North Branch - Cornille 2</v>
      </c>
      <c r="B12" s="27" t="str">
        <v>MN</v>
      </c>
      <c r="C12" s="28">
        <f>SUM(Jul!C12, Aug!C12, Sep!C12)</f>
        <v>0</v>
      </c>
      <c r="D12" s="29">
        <f>SUM(Jul!D12, Aug!D12, Sep!D12)</f>
        <v>0</v>
      </c>
      <c r="E12" s="29">
        <f t="shared" si="3"/>
        <v>0</v>
      </c>
      <c r="F12" s="30" t="str">
        <f t="shared" si="4"/>
        <v/>
      </c>
      <c r="G12" s="31">
        <f>SUM(Jul!G12,Aug!G12,Sep!G12)</f>
        <v>0</v>
      </c>
      <c r="H12" s="31">
        <f>SUM(Jul!H12, Aug!H12, Sep!H12)</f>
        <v>0</v>
      </c>
      <c r="I12" s="32" t="str">
        <f t="shared" si="5"/>
        <v/>
      </c>
    </row>
    <row r="13" spans="1:9" ht="15.6">
      <c r="A13" s="48" t="str">
        <v>Clear Lake - Eastlake Hammer</v>
      </c>
      <c r="B13" s="34" t="str">
        <v>MN</v>
      </c>
      <c r="C13" s="35">
        <f>SUM(Jul!C13, Aug!C13, Sep!C13)</f>
        <v>0</v>
      </c>
      <c r="D13" s="36">
        <f>SUM(Jul!D13, Aug!D13, Sep!D13)</f>
        <v>0</v>
      </c>
      <c r="E13" s="36">
        <f t="shared" si="3"/>
        <v>0</v>
      </c>
      <c r="F13" s="73" t="str">
        <f t="shared" si="4"/>
        <v/>
      </c>
      <c r="G13" s="74">
        <f>SUM(Jul!G13,Aug!G13,Sep!G13)</f>
        <v>0</v>
      </c>
      <c r="H13" s="74">
        <f>SUM(Jul!H13, Aug!H13, Sep!H13)</f>
        <v>0</v>
      </c>
      <c r="I13" s="73" t="str">
        <f t="shared" si="5"/>
        <v/>
      </c>
    </row>
    <row r="14" spans="1:9" ht="15.6">
      <c r="A14" s="47" t="str">
        <v>Eastlake - Hertzberg CSG 1</v>
      </c>
      <c r="B14" s="27" t="str">
        <v>MN</v>
      </c>
      <c r="C14" s="28">
        <f>SUM(Jul!C14, Aug!C14, Sep!C14)</f>
        <v>0</v>
      </c>
      <c r="D14" s="29">
        <f>SUM(Jul!D14, Aug!D14, Sep!D14)</f>
        <v>0</v>
      </c>
      <c r="E14" s="29">
        <f t="shared" si="3"/>
        <v>0</v>
      </c>
      <c r="F14" s="30" t="str">
        <f t="shared" si="4"/>
        <v/>
      </c>
      <c r="G14" s="31">
        <f>SUM(Jul!G14,Aug!G14,Sep!G14)</f>
        <v>0</v>
      </c>
      <c r="H14" s="31">
        <f>SUM(Jul!H14, Aug!H14, Sep!H14)</f>
        <v>0</v>
      </c>
      <c r="I14" s="32" t="str">
        <f t="shared" si="5"/>
        <v/>
      </c>
    </row>
    <row r="15" spans="1:9" ht="15.6">
      <c r="A15" s="48" t="str">
        <v>Cokato - Eastlake Laurel Village</v>
      </c>
      <c r="B15" s="34" t="str">
        <v>MN</v>
      </c>
      <c r="C15" s="35">
        <f>SUM(Jul!C15, Aug!C15, Sep!C15)</f>
        <v>0</v>
      </c>
      <c r="D15" s="36">
        <f>SUM(Jul!D15, Aug!D15, Sep!D15)</f>
        <v>0</v>
      </c>
      <c r="E15" s="36">
        <f t="shared" si="3"/>
        <v>0</v>
      </c>
      <c r="F15" s="73" t="str">
        <f t="shared" si="4"/>
        <v/>
      </c>
      <c r="G15" s="74">
        <f>SUM(Jul!G15,Aug!G15,Sep!G15)</f>
        <v>0</v>
      </c>
      <c r="H15" s="74">
        <f>SUM(Jul!H15, Aug!H15, Sep!H15)</f>
        <v>0</v>
      </c>
      <c r="I15" s="73" t="str">
        <f t="shared" si="5"/>
        <v/>
      </c>
    </row>
    <row r="16" spans="1:9" ht="15.6">
      <c r="A16" s="47" t="str">
        <v>St. Peter - Eastlake Paulson</v>
      </c>
      <c r="B16" s="27" t="str">
        <v>MN</v>
      </c>
      <c r="C16" s="28">
        <f>SUM(Jul!C16, Aug!C16, Sep!C16)</f>
        <v>0</v>
      </c>
      <c r="D16" s="29">
        <f>SUM(Jul!D16, Aug!D16, Sep!D16)</f>
        <v>0</v>
      </c>
      <c r="E16" s="29">
        <f t="shared" si="3"/>
        <v>0</v>
      </c>
      <c r="F16" s="30" t="str">
        <f t="shared" si="4"/>
        <v/>
      </c>
      <c r="G16" s="31">
        <f>SUM(Jul!G16,Aug!G16,Sep!G16)</f>
        <v>0</v>
      </c>
      <c r="H16" s="31">
        <f>SUM(Jul!H16, Aug!H16, Sep!H16)</f>
        <v>0</v>
      </c>
      <c r="I16" s="32" t="str">
        <f t="shared" si="5"/>
        <v/>
      </c>
    </row>
    <row r="17" spans="1:9" ht="15.6">
      <c r="A17" s="48" t="str">
        <v>Felician Sisters Convent</v>
      </c>
      <c r="B17" s="34" t="str">
        <v>NJ</v>
      </c>
      <c r="C17" s="35">
        <f>SUM(Jul!C17, Aug!C17, Sep!C17)</f>
        <v>0</v>
      </c>
      <c r="D17" s="36">
        <f>SUM(Jul!D17, Aug!D17, Sep!D17)</f>
        <v>0</v>
      </c>
      <c r="E17" s="36">
        <f t="shared" si="3"/>
        <v>0</v>
      </c>
      <c r="F17" s="73" t="str">
        <f t="shared" si="4"/>
        <v/>
      </c>
      <c r="G17" s="74">
        <f>SUM(Jul!G17,Aug!G17,Sep!G17)</f>
        <v>0</v>
      </c>
      <c r="H17" s="74">
        <f>SUM(Jul!H17, Aug!H17, Sep!H17)</f>
        <v>0</v>
      </c>
      <c r="I17" s="73" t="str">
        <f t="shared" si="5"/>
        <v/>
      </c>
    </row>
    <row r="18" spans="1:9" ht="15.6">
      <c r="A18" s="47" t="str">
        <v>Sussex County Fairgrounds</v>
      </c>
      <c r="B18" s="27" t="str">
        <v>NJ</v>
      </c>
      <c r="C18" s="28">
        <f>SUM(Jul!C18, Aug!C18, Sep!C18)</f>
        <v>0</v>
      </c>
      <c r="D18" s="29">
        <f>SUM(Jul!D18, Aug!D18, Sep!D18)</f>
        <v>0</v>
      </c>
      <c r="E18" s="29">
        <f t="shared" si="3"/>
        <v>0</v>
      </c>
      <c r="F18" s="30" t="str">
        <f t="shared" si="4"/>
        <v/>
      </c>
      <c r="G18" s="31">
        <f>SUM(Jul!G18,Aug!G18,Sep!G18)</f>
        <v>0</v>
      </c>
      <c r="H18" s="31">
        <f>SUM(Jul!H18, Aug!H18, Sep!H18)</f>
        <v>0</v>
      </c>
      <c r="I18" s="32" t="str">
        <f t="shared" si="5"/>
        <v/>
      </c>
    </row>
    <row r="19" spans="1:9" ht="15.6">
      <c r="A19" s="48" t="str">
        <v>Gateway Church</v>
      </c>
      <c r="B19" s="34" t="str">
        <v>NJ</v>
      </c>
      <c r="C19" s="35">
        <f>SUM(Jul!C19, Aug!C19, Sep!C19)</f>
        <v>0</v>
      </c>
      <c r="D19" s="36">
        <f>SUM(Jul!D19, Aug!D19, Sep!D19)</f>
        <v>0</v>
      </c>
      <c r="E19" s="36">
        <f t="shared" si="3"/>
        <v>0</v>
      </c>
      <c r="F19" s="73" t="str">
        <f t="shared" si="4"/>
        <v/>
      </c>
      <c r="G19" s="74">
        <f>SUM(Jul!G19,Aug!G19,Sep!G19)</f>
        <v>0</v>
      </c>
      <c r="H19" s="74">
        <f>SUM(Jul!H19, Aug!H19, Sep!H19)</f>
        <v>0</v>
      </c>
      <c r="I19" s="73" t="str">
        <f t="shared" si="5"/>
        <v/>
      </c>
    </row>
    <row r="20" spans="1:9" ht="15.6">
      <c r="A20" s="47" t="str">
        <v>Beaver Falls - Felician Sisters</v>
      </c>
      <c r="B20" s="27" t="str">
        <v>PA</v>
      </c>
      <c r="C20" s="28">
        <f>SUM(Jul!C20, Aug!C20, Sep!C20)</f>
        <v>0</v>
      </c>
      <c r="D20" s="29">
        <f>SUM(Jul!D20, Aug!D20, Sep!D20)</f>
        <v>0</v>
      </c>
      <c r="E20" s="29">
        <f t="shared" si="3"/>
        <v>0</v>
      </c>
      <c r="F20" s="30" t="str">
        <f t="shared" si="4"/>
        <v/>
      </c>
      <c r="G20" s="31">
        <f>SUM(Jul!G20,Aug!G20,Sep!G20)</f>
        <v>0</v>
      </c>
      <c r="H20" s="31">
        <f>SUM(Jul!H20, Aug!H20, Sep!H20)</f>
        <v>0</v>
      </c>
      <c r="I20" s="32" t="str">
        <f t="shared" si="5"/>
        <v/>
      </c>
    </row>
    <row r="21" spans="1:9" ht="15.6">
      <c r="A21" s="48" t="str">
        <v>Livonia - Felician Sisters Ground</v>
      </c>
      <c r="B21" s="34" t="str">
        <v>MI</v>
      </c>
      <c r="C21" s="35">
        <f>SUM(Jul!C21, Aug!C21, Sep!C21)</f>
        <v>0</v>
      </c>
      <c r="D21" s="36">
        <f>SUM(Jul!D21, Aug!D21, Sep!D21)</f>
        <v>0</v>
      </c>
      <c r="E21" s="36">
        <f t="shared" si="3"/>
        <v>0</v>
      </c>
      <c r="F21" s="73" t="str">
        <f t="shared" si="4"/>
        <v/>
      </c>
      <c r="G21" s="74">
        <f>SUM(Jul!G21,Aug!G21,Sep!G21)</f>
        <v>0</v>
      </c>
      <c r="H21" s="74">
        <f>SUM(Jul!H21, Aug!H21, Sep!H21)</f>
        <v>0</v>
      </c>
      <c r="I21" s="73" t="str">
        <f t="shared" si="5"/>
        <v/>
      </c>
    </row>
    <row r="22" spans="1:9" ht="15.6">
      <c r="A22" s="47" t="str">
        <v>Livonia - Felician Sisters Roof</v>
      </c>
      <c r="B22" s="27" t="str">
        <v>MI</v>
      </c>
      <c r="C22" s="28">
        <f>SUM(Jul!C22, Aug!C22, Sep!C22)</f>
        <v>0</v>
      </c>
      <c r="D22" s="29">
        <f>SUM(Jul!D22, Aug!D22, Sep!D22)</f>
        <v>0</v>
      </c>
      <c r="E22" s="29">
        <f t="shared" si="3"/>
        <v>0</v>
      </c>
      <c r="F22" s="30" t="str">
        <f t="shared" si="4"/>
        <v/>
      </c>
      <c r="G22" s="31">
        <f>SUM(Jul!G22,Aug!G22,Sep!G22)</f>
        <v>0</v>
      </c>
      <c r="H22" s="31">
        <f>SUM(Jul!H22, Aug!H22, Sep!H22)</f>
        <v>0</v>
      </c>
      <c r="I22" s="32" t="str">
        <f t="shared" si="5"/>
        <v/>
      </c>
    </row>
    <row r="23" spans="1:9" ht="15.6">
      <c r="A23" s="48" t="str">
        <v>Monmouth Worship Ctr</v>
      </c>
      <c r="B23" s="34" t="str">
        <v>NJ</v>
      </c>
      <c r="C23" s="35">
        <f>SUM(Jul!C23, Aug!C23, Sep!C23)</f>
        <v>0</v>
      </c>
      <c r="D23" s="36">
        <f>SUM(Jul!D23, Aug!D23, Sep!D23)</f>
        <v>0</v>
      </c>
      <c r="E23" s="36">
        <f t="shared" si="3"/>
        <v>0</v>
      </c>
      <c r="F23" s="73" t="str">
        <f t="shared" si="4"/>
        <v/>
      </c>
      <c r="G23" s="74">
        <f>SUM(Jul!G23,Aug!G23,Sep!G23)</f>
        <v>0</v>
      </c>
      <c r="H23" s="74">
        <f>SUM(Jul!H23, Aug!H23, Sep!H23)</f>
        <v>0</v>
      </c>
      <c r="I23" s="73" t="str">
        <f t="shared" si="5"/>
        <v/>
      </c>
    </row>
    <row r="24" spans="1:9" ht="15.6">
      <c r="A24" s="47" t="str">
        <v xml:space="preserve"> Audubon - Senior Citizens United</v>
      </c>
      <c r="B24" s="27" t="str">
        <v>NJ</v>
      </c>
      <c r="C24" s="28">
        <f>SUM(Jul!C24, Aug!C24, Sep!C24)</f>
        <v>0</v>
      </c>
      <c r="D24" s="29">
        <f>SUM(Jul!D24, Aug!D24, Sep!D24)</f>
        <v>0</v>
      </c>
      <c r="E24" s="29">
        <f t="shared" si="3"/>
        <v>0</v>
      </c>
      <c r="F24" s="30" t="str">
        <f t="shared" si="4"/>
        <v/>
      </c>
      <c r="G24" s="31">
        <f>SUM(Jul!G24,Aug!G24,Sep!G24)</f>
        <v>0</v>
      </c>
      <c r="H24" s="31">
        <f>SUM(Jul!H24, Aug!H24, Sep!H24)</f>
        <v>0</v>
      </c>
      <c r="I24" s="32" t="str">
        <f t="shared" si="5"/>
        <v/>
      </c>
    </row>
    <row r="25" spans="1:9" ht="13.9">
      <c r="A25" s="8" t="str">
        <v>Hollister - PG&amp;E (Enerparc)</v>
      </c>
      <c r="B25" s="8" t="str">
        <v>CA</v>
      </c>
      <c r="C25" s="8"/>
      <c r="D25" s="8"/>
      <c r="E25" s="8"/>
      <c r="F25" s="9"/>
      <c r="G25" s="8"/>
      <c r="H25" s="8"/>
      <c r="I25" s="9"/>
    </row>
    <row r="26" spans="1:9" ht="13.9">
      <c r="A26" s="8" t="str">
        <v>Taos County - Kit Carson Electric Co-Op</v>
      </c>
      <c r="B26" s="8" t="str">
        <v>NM</v>
      </c>
      <c r="C26" s="8"/>
      <c r="D26" s="8"/>
      <c r="E26" s="8"/>
      <c r="F26" s="9"/>
      <c r="G26" s="8"/>
      <c r="H26" s="8"/>
      <c r="I26" s="9"/>
    </row>
    <row r="27" spans="1:9" ht="13.9">
      <c r="A27" s="8" t="str">
        <v>Commerce City - Adams City HS</v>
      </c>
      <c r="B27" s="8" t="str">
        <v>CO</v>
      </c>
      <c r="C27" s="8"/>
      <c r="D27" s="8"/>
      <c r="E27" s="8"/>
      <c r="F27" s="9"/>
      <c r="G27" s="8"/>
      <c r="H27" s="8"/>
      <c r="I27" s="9"/>
    </row>
    <row r="28" spans="1:9" ht="13.9">
      <c r="A28" s="8" t="str">
        <v>Commerce City - Adams City MS</v>
      </c>
      <c r="B28" s="8" t="str">
        <v>CO</v>
      </c>
      <c r="C28" s="8"/>
      <c r="D28" s="8"/>
      <c r="E28" s="8"/>
      <c r="F28" s="9"/>
      <c r="G28" s="8"/>
      <c r="H28" s="8"/>
      <c r="I28" s="9"/>
    </row>
    <row r="29" spans="1:9" ht="13.9">
      <c r="A29" s="8" t="str">
        <v>Commerce City - Central ES</v>
      </c>
      <c r="B29" s="8" t="str">
        <v>CO</v>
      </c>
      <c r="C29" s="8"/>
      <c r="D29" s="8"/>
      <c r="E29" s="8"/>
      <c r="F29" s="9"/>
      <c r="G29" s="8"/>
      <c r="H29" s="8"/>
      <c r="I29" s="9"/>
    </row>
    <row r="30" spans="1:9" ht="13.9">
      <c r="A30" s="8" t="str">
        <v>Commerce City - Dupont ES</v>
      </c>
      <c r="B30" s="8" t="str">
        <v>CO</v>
      </c>
      <c r="C30" s="8"/>
      <c r="D30" s="8"/>
      <c r="E30" s="8"/>
      <c r="F30" s="9"/>
      <c r="G30" s="8"/>
      <c r="H30" s="8"/>
      <c r="I30" s="9"/>
    </row>
    <row r="31" spans="1:9" ht="13.9">
      <c r="A31" s="8" t="str">
        <v>Commerce City - Educational Support Services</v>
      </c>
      <c r="B31" s="8" t="str">
        <v>CO</v>
      </c>
      <c r="C31" s="8"/>
      <c r="D31" s="8"/>
      <c r="E31" s="8"/>
      <c r="F31" s="9"/>
      <c r="G31" s="8"/>
      <c r="H31" s="8"/>
      <c r="I31" s="9"/>
    </row>
    <row r="32" spans="1:9" ht="13.9">
      <c r="A32" s="8" t="str">
        <v>Commerce City - Hanson ES</v>
      </c>
      <c r="B32" s="8" t="str">
        <v>CO</v>
      </c>
      <c r="C32" s="8"/>
      <c r="D32" s="8"/>
      <c r="E32" s="8"/>
      <c r="F32" s="9"/>
      <c r="G32" s="8"/>
      <c r="H32" s="8"/>
      <c r="I32" s="9"/>
    </row>
    <row r="33" spans="1:9" ht="13.9">
      <c r="A33" s="8" t="str">
        <v>Commerce City - Kemp ES</v>
      </c>
      <c r="B33" s="8" t="str">
        <v>CO</v>
      </c>
      <c r="C33" s="8"/>
      <c r="D33" s="8"/>
      <c r="E33" s="8"/>
      <c r="F33" s="9"/>
      <c r="G33" s="8"/>
      <c r="H33" s="8"/>
      <c r="I33" s="9"/>
    </row>
    <row r="34" spans="1:9" ht="13.9">
      <c r="A34" s="8" t="str">
        <v>Commerce City -  Lester Arnold HS</v>
      </c>
      <c r="B34" s="8" t="str">
        <v>CO</v>
      </c>
      <c r="C34" s="8"/>
      <c r="D34" s="8"/>
      <c r="E34" s="8"/>
      <c r="F34" s="9"/>
      <c r="G34" s="8"/>
      <c r="H34" s="8"/>
      <c r="I34" s="9"/>
    </row>
    <row r="35" spans="1:9" ht="13.9">
      <c r="A35" s="8" t="str">
        <v>Commerce City - Monaco ES</v>
      </c>
      <c r="B35" s="8" t="str">
        <v>CO</v>
      </c>
      <c r="C35" s="8"/>
      <c r="D35" s="8"/>
      <c r="E35" s="8"/>
      <c r="F35" s="9"/>
      <c r="G35" s="8"/>
      <c r="H35" s="8"/>
      <c r="I35" s="9"/>
    </row>
    <row r="36" spans="1:9" ht="13.9">
      <c r="A36" s="8" t="str">
        <v>Denver - Northgate / Old Fort Logan ES</v>
      </c>
      <c r="B36" s="8" t="str">
        <v>CO</v>
      </c>
      <c r="C36" s="8"/>
      <c r="D36" s="8"/>
      <c r="E36" s="8"/>
      <c r="F36" s="9"/>
      <c r="G36" s="8"/>
      <c r="H36" s="8"/>
      <c r="I36" s="9"/>
    </row>
    <row r="37" spans="1:9" ht="13.9">
      <c r="A37" s="8" t="str">
        <v>Denver - Sheridan High School</v>
      </c>
      <c r="B37" s="8" t="str">
        <v>CO</v>
      </c>
      <c r="C37" s="8"/>
      <c r="D37" s="8"/>
      <c r="E37" s="8"/>
      <c r="F37" s="9"/>
      <c r="G37" s="8"/>
      <c r="H37" s="8"/>
      <c r="I37" s="9"/>
    </row>
    <row r="38" spans="1:9" ht="13.9">
      <c r="A38" s="8" t="str">
        <v>Englewood -  Alice Terry Elementary</v>
      </c>
      <c r="B38" s="8" t="str">
        <v>CO</v>
      </c>
      <c r="C38" s="8"/>
      <c r="D38" s="8"/>
      <c r="E38" s="8"/>
      <c r="F38" s="9"/>
      <c r="G38" s="8"/>
      <c r="H38" s="8"/>
      <c r="I38" s="9"/>
    </row>
    <row r="39" spans="1:9" ht="13.9">
      <c r="A39" s="8" t="str">
        <v>Englewood - Sheridan Middle School</v>
      </c>
      <c r="B39" s="8" t="str">
        <v>CO</v>
      </c>
      <c r="C39" s="8"/>
      <c r="D39" s="8"/>
      <c r="E39" s="8"/>
      <c r="F39" s="9"/>
      <c r="G39" s="8"/>
      <c r="H39" s="8"/>
      <c r="I39" s="9"/>
    </row>
    <row r="40" spans="1:9" ht="13.9">
      <c r="A40" s="8" t="str">
        <v>Goshen - NIPSCO</v>
      </c>
      <c r="B40" s="8" t="str">
        <v>IN</v>
      </c>
      <c r="C40" s="8"/>
      <c r="D40" s="8"/>
      <c r="E40" s="8"/>
      <c r="F40" s="9"/>
      <c r="G40" s="8"/>
      <c r="H40" s="8"/>
      <c r="I40" s="9"/>
    </row>
    <row r="41" spans="1:9" ht="13.9">
      <c r="A41" s="8" t="str">
        <v>Alamogordo - City of Alamogordo - Effluent</v>
      </c>
      <c r="B41" s="8" t="str">
        <v>NM</v>
      </c>
      <c r="C41" s="8"/>
      <c r="D41" s="8"/>
      <c r="E41" s="8"/>
      <c r="F41" s="9"/>
      <c r="G41" s="8"/>
      <c r="H41" s="8"/>
      <c r="I41" s="9"/>
    </row>
    <row r="42" spans="1:9" ht="13.9">
      <c r="A42" s="8" t="str">
        <v>Alamogordo - City of Alamogordo - WWTP</v>
      </c>
      <c r="B42" s="8" t="str">
        <v>NM</v>
      </c>
      <c r="C42" s="8"/>
      <c r="D42" s="8"/>
      <c r="E42" s="8"/>
      <c r="F42" s="9"/>
      <c r="G42" s="8"/>
      <c r="H42" s="8"/>
      <c r="I42" s="9"/>
    </row>
    <row r="43" spans="1:9" ht="13.9">
      <c r="A43" s="8" t="str">
        <v>Deming - Bilbo Booster</v>
      </c>
      <c r="B43" s="8" t="str">
        <v>NM</v>
      </c>
      <c r="C43" s="8"/>
      <c r="D43" s="8"/>
      <c r="E43" s="8"/>
      <c r="F43" s="9"/>
      <c r="G43" s="8"/>
      <c r="H43" s="8"/>
      <c r="I43" s="9"/>
    </row>
    <row r="44" spans="1:9" ht="13.9">
      <c r="A44" s="8" t="str">
        <v>Deming - Bilbo Well</v>
      </c>
      <c r="B44" s="8" t="str">
        <v>NM</v>
      </c>
      <c r="C44" s="8"/>
      <c r="D44" s="8"/>
      <c r="E44" s="8"/>
      <c r="F44" s="9"/>
      <c r="G44" s="8"/>
      <c r="H44" s="8"/>
      <c r="I44" s="9"/>
    </row>
    <row r="45" spans="1:9" ht="13.9">
      <c r="A45" s="8" t="str">
        <v>Deming - WWTP</v>
      </c>
      <c r="B45" s="8" t="str">
        <v>NM</v>
      </c>
      <c r="C45" s="8"/>
      <c r="D45" s="8"/>
      <c r="E45" s="8"/>
      <c r="F45" s="9"/>
      <c r="G45" s="8"/>
      <c r="H45" s="8"/>
      <c r="I45" s="9"/>
    </row>
    <row r="46" spans="1:9" ht="13.9">
      <c r="A46" s="8" t="str">
        <v>Truth or Consequences - Walmart</v>
      </c>
      <c r="B46" s="8" t="str">
        <v>NM</v>
      </c>
      <c r="C46" s="8"/>
      <c r="D46" s="8"/>
      <c r="E46" s="8"/>
      <c r="F46" s="9"/>
      <c r="G46" s="8"/>
      <c r="H46" s="8"/>
      <c r="I46" s="9"/>
    </row>
    <row r="47" spans="1:9" ht="13.9">
      <c r="A47" s="8"/>
      <c r="B47" s="8"/>
      <c r="C47" s="8"/>
      <c r="D47" s="8"/>
      <c r="E47" s="8"/>
      <c r="F47" s="9"/>
      <c r="G47" s="8"/>
      <c r="H47" s="8"/>
      <c r="I47" s="9"/>
    </row>
    <row r="48" spans="1:9" ht="13.9">
      <c r="A48" s="8"/>
      <c r="B48" s="8"/>
      <c r="C48" s="8"/>
      <c r="D48" s="8"/>
      <c r="E48" s="8"/>
      <c r="F48" s="9"/>
      <c r="G48" s="8"/>
      <c r="H48" s="8"/>
      <c r="I48" s="9"/>
    </row>
    <row r="49" spans="1:9" ht="13.9">
      <c r="A49" s="8"/>
      <c r="B49" s="8"/>
      <c r="C49" s="8"/>
      <c r="D49" s="8"/>
      <c r="E49" s="8"/>
      <c r="F49" s="9"/>
      <c r="G49" s="8"/>
      <c r="H49" s="8"/>
      <c r="I49" s="9"/>
    </row>
    <row r="50" spans="1:9" ht="13.9">
      <c r="A50" s="8"/>
      <c r="B50" s="8"/>
      <c r="C50" s="8"/>
      <c r="D50" s="8"/>
      <c r="E50" s="8"/>
      <c r="F50" s="9"/>
      <c r="G50" s="8"/>
      <c r="H50" s="8"/>
      <c r="I50" s="9"/>
    </row>
    <row r="51" spans="1:9" ht="13.9">
      <c r="A51" s="8"/>
      <c r="B51" s="8"/>
      <c r="C51" s="8"/>
      <c r="D51" s="8"/>
      <c r="E51" s="8"/>
      <c r="F51" s="9"/>
      <c r="G51" s="8"/>
      <c r="H51" s="8"/>
      <c r="I51" s="9"/>
    </row>
    <row r="52" spans="1:9" ht="13.9">
      <c r="A52" s="8"/>
      <c r="B52" s="8"/>
      <c r="C52" s="8"/>
      <c r="D52" s="8"/>
      <c r="E52" s="8"/>
      <c r="F52" s="9"/>
      <c r="G52" s="8"/>
      <c r="H52" s="8"/>
      <c r="I52" s="9"/>
    </row>
    <row r="53" spans="1:9" ht="13.9">
      <c r="A53" s="8"/>
      <c r="B53" s="8"/>
      <c r="C53" s="8"/>
      <c r="D53" s="8"/>
      <c r="E53" s="8"/>
      <c r="F53" s="9"/>
      <c r="G53" s="8"/>
      <c r="H53" s="8"/>
      <c r="I53" s="9"/>
    </row>
    <row r="54" spans="1:9" ht="13.9">
      <c r="A54" s="8"/>
      <c r="B54" s="8"/>
      <c r="C54" s="8"/>
      <c r="D54" s="8"/>
      <c r="E54" s="8"/>
      <c r="F54" s="9"/>
      <c r="G54" s="8"/>
      <c r="H54" s="8"/>
      <c r="I54" s="9"/>
    </row>
    <row r="55" spans="1:9" ht="13.9">
      <c r="A55" s="8"/>
      <c r="B55" s="8"/>
      <c r="C55" s="8"/>
      <c r="D55" s="8"/>
      <c r="E55" s="8"/>
      <c r="F55" s="9"/>
      <c r="G55" s="8"/>
      <c r="H55" s="8"/>
      <c r="I55" s="9"/>
    </row>
    <row r="56" spans="1:9" ht="13.9">
      <c r="A56" s="8"/>
      <c r="B56" s="8"/>
      <c r="C56" s="8"/>
      <c r="D56" s="8"/>
      <c r="E56" s="8"/>
      <c r="F56" s="9"/>
      <c r="G56" s="8"/>
      <c r="H56" s="8"/>
      <c r="I56" s="9"/>
    </row>
    <row r="57" spans="1:9" ht="13.9">
      <c r="A57" s="8"/>
      <c r="B57" s="8"/>
      <c r="C57" s="8"/>
      <c r="D57" s="8"/>
      <c r="E57" s="8"/>
      <c r="F57" s="9"/>
      <c r="G57" s="8"/>
      <c r="H57" s="8"/>
      <c r="I57" s="9"/>
    </row>
    <row r="58" spans="1:9" ht="13.9">
      <c r="A58" s="8"/>
      <c r="B58" s="8"/>
      <c r="C58" s="8"/>
      <c r="D58" s="8"/>
      <c r="E58" s="8"/>
      <c r="F58" s="9"/>
      <c r="G58" s="8"/>
      <c r="H58" s="8"/>
      <c r="I58" s="9"/>
    </row>
    <row r="59" spans="1:9" ht="13.9">
      <c r="A59" s="8"/>
      <c r="B59" s="8"/>
      <c r="C59" s="8"/>
      <c r="D59" s="8"/>
      <c r="E59" s="8"/>
      <c r="F59" s="9"/>
      <c r="G59" s="8"/>
      <c r="H59" s="8"/>
      <c r="I59" s="9"/>
    </row>
    <row r="60" spans="1:9" ht="13.9">
      <c r="A60" s="8"/>
      <c r="B60" s="8"/>
      <c r="C60" s="8"/>
      <c r="D60" s="8"/>
      <c r="E60" s="8"/>
      <c r="F60" s="9"/>
      <c r="G60" s="8"/>
      <c r="H60" s="8"/>
      <c r="I60" s="9"/>
    </row>
    <row r="61" spans="1:9" ht="13.9">
      <c r="A61" s="8"/>
      <c r="B61" s="8"/>
      <c r="C61" s="8"/>
      <c r="D61" s="8"/>
      <c r="E61" s="8"/>
      <c r="F61" s="9"/>
      <c r="G61" s="8"/>
      <c r="H61" s="8"/>
      <c r="I61" s="9"/>
    </row>
    <row r="62" spans="1:9" ht="13.9">
      <c r="A62" s="8"/>
      <c r="B62" s="8"/>
      <c r="C62" s="8"/>
      <c r="D62" s="8"/>
      <c r="E62" s="8"/>
      <c r="F62" s="9"/>
      <c r="G62" s="8"/>
      <c r="H62" s="8"/>
      <c r="I62" s="9"/>
    </row>
    <row r="63" spans="1:9" ht="13.9">
      <c r="A63" s="8"/>
      <c r="B63" s="8"/>
      <c r="C63" s="8"/>
      <c r="D63" s="8"/>
      <c r="E63" s="8"/>
      <c r="F63" s="9"/>
      <c r="G63" s="8"/>
      <c r="H63" s="8"/>
      <c r="I63" s="9"/>
    </row>
    <row r="64" spans="1:9" ht="13.9">
      <c r="A64" s="8"/>
      <c r="B64" s="8"/>
      <c r="C64" s="8"/>
      <c r="D64" s="8"/>
      <c r="E64" s="8"/>
      <c r="F64" s="9"/>
      <c r="G64" s="8"/>
      <c r="H64" s="8"/>
      <c r="I64" s="9"/>
    </row>
    <row r="65" spans="1:9" ht="13.9">
      <c r="A65" s="8"/>
      <c r="B65" s="8"/>
      <c r="C65" s="8"/>
      <c r="D65" s="8"/>
      <c r="E65" s="8"/>
      <c r="F65" s="9"/>
      <c r="G65" s="8"/>
      <c r="H65" s="8"/>
      <c r="I65" s="9"/>
    </row>
    <row r="66" spans="1:9" ht="13.9">
      <c r="A66" s="8"/>
      <c r="B66" s="8"/>
      <c r="C66" s="8"/>
      <c r="D66" s="8"/>
      <c r="E66" s="8"/>
      <c r="F66" s="9"/>
      <c r="G66" s="8"/>
      <c r="H66" s="8"/>
      <c r="I66" s="9"/>
    </row>
    <row r="67" spans="1:9" ht="13.9">
      <c r="A67" s="8"/>
      <c r="B67" s="8"/>
      <c r="C67" s="8"/>
      <c r="D67" s="8"/>
      <c r="E67" s="8"/>
      <c r="F67" s="9"/>
      <c r="G67" s="8"/>
      <c r="H67" s="8"/>
      <c r="I67" s="9"/>
    </row>
    <row r="68" spans="1:9" ht="13.9">
      <c r="A68" s="8"/>
      <c r="B68" s="8"/>
      <c r="C68" s="8"/>
      <c r="D68" s="8"/>
      <c r="E68" s="8"/>
      <c r="F68" s="9"/>
      <c r="G68" s="8"/>
      <c r="H68" s="8"/>
      <c r="I68" s="9"/>
    </row>
    <row r="69" spans="1:9" ht="13.9">
      <c r="A69" s="8"/>
      <c r="B69" s="8"/>
      <c r="C69" s="8"/>
      <c r="D69" s="8"/>
      <c r="E69" s="8"/>
      <c r="F69" s="9"/>
      <c r="G69" s="8"/>
      <c r="H69" s="8"/>
      <c r="I69" s="9"/>
    </row>
    <row r="70" spans="1:9" ht="13.9">
      <c r="A70" s="8"/>
      <c r="B70" s="8"/>
      <c r="C70" s="8"/>
      <c r="D70" s="8"/>
      <c r="E70" s="8"/>
      <c r="F70" s="9"/>
      <c r="G70" s="8"/>
      <c r="H70" s="8"/>
      <c r="I70" s="9"/>
    </row>
    <row r="71" spans="1:9" ht="13.9">
      <c r="A71" s="8"/>
      <c r="B71" s="8"/>
      <c r="C71" s="8"/>
      <c r="D71" s="8"/>
      <c r="E71" s="8"/>
      <c r="F71" s="9"/>
      <c r="G71" s="8"/>
      <c r="H71" s="8"/>
      <c r="I71" s="9"/>
    </row>
    <row r="72" spans="1:9" ht="13.9">
      <c r="A72" s="8"/>
      <c r="B72" s="8"/>
      <c r="C72" s="8"/>
      <c r="D72" s="8"/>
      <c r="E72" s="8"/>
      <c r="F72" s="9"/>
      <c r="G72" s="8"/>
      <c r="H72" s="8"/>
      <c r="I72" s="9"/>
    </row>
    <row r="73" spans="1:9" ht="13.9">
      <c r="A73" s="8"/>
      <c r="B73" s="8"/>
      <c r="C73" s="8"/>
      <c r="D73" s="8"/>
      <c r="E73" s="8"/>
      <c r="F73" s="9"/>
      <c r="G73" s="8"/>
      <c r="H73" s="8"/>
      <c r="I73" s="9"/>
    </row>
    <row r="74" spans="1:9" ht="13.9">
      <c r="A74" s="8"/>
      <c r="B74" s="8"/>
      <c r="C74" s="8"/>
      <c r="D74" s="8"/>
      <c r="E74" s="8"/>
      <c r="F74" s="9"/>
      <c r="G74" s="8"/>
      <c r="H74" s="8"/>
      <c r="I74" s="9"/>
    </row>
    <row r="75" spans="1:9" ht="13.9">
      <c r="A75" s="8"/>
      <c r="B75" s="8"/>
      <c r="C75" s="8"/>
      <c r="D75" s="8"/>
      <c r="E75" s="8"/>
      <c r="F75" s="9"/>
      <c r="G75" s="8"/>
      <c r="H75" s="8"/>
      <c r="I75" s="9"/>
    </row>
    <row r="76" spans="1:9" ht="13.9">
      <c r="A76" s="8"/>
      <c r="B76" s="8"/>
      <c r="C76" s="8"/>
      <c r="D76" s="8"/>
      <c r="E76" s="8"/>
      <c r="F76" s="9"/>
      <c r="G76" s="8"/>
      <c r="H76" s="8"/>
      <c r="I76" s="9"/>
    </row>
    <row r="77" spans="1:9" ht="13.9">
      <c r="A77" s="8"/>
      <c r="B77" s="8"/>
      <c r="C77" s="8"/>
      <c r="D77" s="8"/>
      <c r="E77" s="8"/>
      <c r="F77" s="9"/>
      <c r="G77" s="8"/>
      <c r="H77" s="8"/>
      <c r="I77" s="9"/>
    </row>
    <row r="78" spans="1:9" ht="13.9">
      <c r="A78" s="8"/>
      <c r="B78" s="8"/>
      <c r="C78" s="8"/>
      <c r="D78" s="8"/>
      <c r="E78" s="8"/>
      <c r="F78" s="9"/>
      <c r="G78" s="8"/>
      <c r="H78" s="8"/>
      <c r="I78" s="9"/>
    </row>
    <row r="79" spans="1:9" ht="13.9">
      <c r="A79" s="8"/>
      <c r="B79" s="8"/>
      <c r="C79" s="8"/>
      <c r="D79" s="8"/>
      <c r="E79" s="8"/>
      <c r="F79" s="9"/>
      <c r="G79" s="8"/>
      <c r="H79" s="8"/>
      <c r="I79" s="9"/>
    </row>
    <row r="80" spans="1:9" ht="13.9">
      <c r="A80" s="8"/>
      <c r="B80" s="8"/>
      <c r="C80" s="8"/>
      <c r="D80" s="8"/>
      <c r="E80" s="8"/>
      <c r="F80" s="9"/>
      <c r="G80" s="8"/>
      <c r="H80" s="8"/>
      <c r="I80" s="9"/>
    </row>
    <row r="81" spans="1:9" ht="13.9">
      <c r="A81" s="8"/>
      <c r="B81" s="8"/>
      <c r="C81" s="8"/>
      <c r="D81" s="8"/>
      <c r="E81" s="8"/>
      <c r="F81" s="9"/>
      <c r="G81" s="8"/>
      <c r="H81" s="8"/>
      <c r="I81" s="9"/>
    </row>
    <row r="82" spans="1:9" ht="13.9">
      <c r="A82" s="8"/>
      <c r="B82" s="8"/>
      <c r="C82" s="8"/>
      <c r="D82" s="8"/>
      <c r="E82" s="8"/>
      <c r="F82" s="9"/>
      <c r="G82" s="8"/>
      <c r="H82" s="8"/>
      <c r="I82" s="9"/>
    </row>
    <row r="83" spans="1:9" ht="13.9">
      <c r="A83" s="8"/>
      <c r="B83" s="8"/>
      <c r="C83" s="8"/>
      <c r="D83" s="8"/>
      <c r="E83" s="8"/>
      <c r="F83" s="9"/>
      <c r="G83" s="8"/>
      <c r="H83" s="8"/>
      <c r="I83" s="9"/>
    </row>
    <row r="84" spans="1:9" ht="13.9">
      <c r="A84" s="8"/>
      <c r="B84" s="8"/>
      <c r="C84" s="8"/>
      <c r="D84" s="8"/>
      <c r="E84" s="8"/>
      <c r="F84" s="9"/>
      <c r="G84" s="8"/>
      <c r="H84" s="8"/>
      <c r="I84" s="9"/>
    </row>
    <row r="85" spans="1:9" ht="13.9">
      <c r="A85" s="8"/>
      <c r="B85" s="8"/>
      <c r="C85" s="8"/>
      <c r="D85" s="8"/>
      <c r="E85" s="8"/>
      <c r="F85" s="9"/>
      <c r="G85" s="8"/>
      <c r="H85" s="8"/>
      <c r="I85" s="9"/>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sheetData>
  <mergeCells count="4">
    <mergeCell ref="G1:I1"/>
    <mergeCell ref="A1:C1"/>
    <mergeCell ref="D1:F1"/>
    <mergeCell ref="A2:B2"/>
  </mergeCells>
  <conditionalFormatting sqref="F2 I2 F4:F79 I4:I79">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0"/>
  <sheetViews>
    <sheetView workbookViewId="0">
      <pane xSplit="2" ySplit="3" topLeftCell="L15" activePane="bottomRight" state="frozen"/>
      <selection pane="bottomRight" activeCell="L15" sqref="L15"/>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9" t="str" cm="1">
        <f t="array" ref="A1">portfolio</f>
        <v>Clean Capital</v>
      </c>
      <c r="B1" s="99"/>
      <c r="C1" s="99"/>
      <c r="D1" s="100" t="s">
        <v>16</v>
      </c>
      <c r="E1" s="100"/>
      <c r="F1" s="100"/>
      <c r="G1" s="98" t="s">
        <v>17</v>
      </c>
      <c r="H1" s="98"/>
      <c r="I1" s="98"/>
    </row>
    <row r="2" spans="1:9" ht="19.5" customHeight="1">
      <c r="A2" s="101" t="s">
        <v>2</v>
      </c>
      <c r="B2" s="101"/>
      <c r="C2" s="5">
        <f>SUM(C4:C78)</f>
        <v>0</v>
      </c>
      <c r="D2" s="5">
        <f>SUM(D4:D78)</f>
        <v>0</v>
      </c>
      <c r="E2" s="5">
        <f>C2-D2</f>
        <v>0</v>
      </c>
      <c r="F2" s="6">
        <f>IFERROR(E2/D2, 0)</f>
        <v>0</v>
      </c>
      <c r="G2" s="5">
        <f>SUM(G4:G78)</f>
        <v>0</v>
      </c>
      <c r="H2" s="7">
        <f>C2-G2</f>
        <v>0</v>
      </c>
      <c r="I2" s="6">
        <f>IFERROR(H2/G2, 0)</f>
        <v>0</v>
      </c>
    </row>
    <row r="3" spans="1:9" ht="14.25" customHeight="1">
      <c r="A3" s="12" t="s">
        <v>3</v>
      </c>
      <c r="B3" s="12" t="s">
        <v>4</v>
      </c>
      <c r="C3" s="19" t="s">
        <v>5</v>
      </c>
      <c r="D3" s="20" t="s">
        <v>6</v>
      </c>
      <c r="E3" s="20" t="s">
        <v>7</v>
      </c>
      <c r="F3" s="21" t="s">
        <v>8</v>
      </c>
      <c r="G3" s="22" t="s">
        <v>9</v>
      </c>
      <c r="H3" s="23" t="s">
        <v>7</v>
      </c>
      <c r="I3" s="24" t="s">
        <v>8</v>
      </c>
    </row>
    <row r="4" spans="1:9" ht="15.6">
      <c r="A4" s="47" t="str" cm="1">
        <f t="array" ref="A4:A46">Sites[Site]</f>
        <v>Lexington - Cotting School</v>
      </c>
      <c r="B4" s="27" t="str" cm="1">
        <f t="array" ref="B4:B46">Sites[State]</f>
        <v>MA</v>
      </c>
      <c r="C4" s="28">
        <f>SUM(Oct!C4, Nov!C4, Dec!C4)</f>
        <v>0</v>
      </c>
      <c r="D4" s="29">
        <f>SUM(Oct!D4, Nov!D4, Dec!D4)</f>
        <v>0</v>
      </c>
      <c r="E4" s="29">
        <f>IF(AND(ISNUMBER(C4),ISNUMBER(D4)), C4-D4, "")</f>
        <v>0</v>
      </c>
      <c r="F4" s="30" t="str">
        <f>IFERROR(E4/D4, "")</f>
        <v/>
      </c>
      <c r="G4" s="31">
        <f>SUM(Oct!G4,Nov!G4,Dec!G4)</f>
        <v>0</v>
      </c>
      <c r="H4" s="31">
        <f>SUM(Oct!H4, Nov!H4, Dec!H4)</f>
        <v>0</v>
      </c>
      <c r="I4" s="32" t="str">
        <f>IFERROR(H4/G4, "")</f>
        <v/>
      </c>
    </row>
    <row r="5" spans="1:9" ht="15.6">
      <c r="A5" s="48" t="str">
        <v>Pacoima - Whiteman Airport</v>
      </c>
      <c r="B5" s="34" t="str">
        <v>CA</v>
      </c>
      <c r="C5" s="35">
        <f>SUM(Oct!C5, Nov!C5, Dec!C5)</f>
        <v>0</v>
      </c>
      <c r="D5" s="36">
        <f>SUM(Oct!D5, Nov!D5, Dec!D5)</f>
        <v>0</v>
      </c>
      <c r="E5" s="36">
        <f t="shared" ref="E5:E7" si="0">IF(AND(ISNUMBER(C5),ISNUMBER(D5)), C5-D5, "")</f>
        <v>0</v>
      </c>
      <c r="F5" s="37" t="str">
        <f>IFERROR(E5/D5, "")</f>
        <v/>
      </c>
      <c r="G5" s="36">
        <f>SUM(Oct!G5,Nov!G5,Dec!G5)</f>
        <v>0</v>
      </c>
      <c r="H5" s="38">
        <f>SUM(Oct!H5, Nov!H5, Dec!H5)</f>
        <v>0</v>
      </c>
      <c r="I5" s="37" t="str">
        <f>IFERROR(H5/G5, "")</f>
        <v/>
      </c>
    </row>
    <row r="6" spans="1:9" ht="15.6">
      <c r="A6" s="47" t="str">
        <v>Hyannis - Sturgis Charter School</v>
      </c>
      <c r="B6" s="27" t="str">
        <v>MA</v>
      </c>
      <c r="C6" s="28">
        <f>SUM(Oct!C6, Nov!C6, Dec!C6)</f>
        <v>0</v>
      </c>
      <c r="D6" s="29">
        <f>SUM(Oct!D6, Nov!D6, Dec!D6)</f>
        <v>0</v>
      </c>
      <c r="E6" s="29">
        <f t="shared" si="0"/>
        <v>0</v>
      </c>
      <c r="F6" s="30" t="str">
        <f t="shared" ref="F6:F7" si="1">IFERROR(E6/D6, "")</f>
        <v/>
      </c>
      <c r="G6" s="31">
        <f>SUM(Oct!G6,Nov!G6,Dec!G6)</f>
        <v>0</v>
      </c>
      <c r="H6" s="31">
        <f>SUM(Oct!H6, Nov!H6, Dec!H6)</f>
        <v>0</v>
      </c>
      <c r="I6" s="32" t="str">
        <f t="shared" ref="I6:I7" si="2">IFERROR(H6/G6, "")</f>
        <v/>
      </c>
    </row>
    <row r="7" spans="1:9" ht="15.6">
      <c r="A7" s="48" t="str">
        <v>South Dennis - Tony Kent Arena</v>
      </c>
      <c r="B7" s="34" t="str">
        <v>MA</v>
      </c>
      <c r="C7" s="35">
        <f>SUM(Oct!C7, Nov!C7, Dec!C7)</f>
        <v>0</v>
      </c>
      <c r="D7" s="36">
        <f>SUM(Oct!D7, Nov!D7, Dec!D7)</f>
        <v>0</v>
      </c>
      <c r="E7" s="36">
        <f t="shared" si="0"/>
        <v>0</v>
      </c>
      <c r="F7" s="37" t="str">
        <f t="shared" si="1"/>
        <v/>
      </c>
      <c r="G7" s="36">
        <f>SUM(Oct!G7,Nov!G7,Dec!G7)</f>
        <v>0</v>
      </c>
      <c r="H7" s="38">
        <f>SUM(Oct!H7, Nov!H7, Dec!H7)</f>
        <v>0</v>
      </c>
      <c r="I7" s="37" t="str">
        <f t="shared" si="2"/>
        <v/>
      </c>
    </row>
    <row r="8" spans="1:9" ht="15.6">
      <c r="A8" s="47" t="str">
        <v xml:space="preserve"> Caropolis - Felician Sisters</v>
      </c>
      <c r="B8" s="27" t="str">
        <v>PA</v>
      </c>
      <c r="C8" s="28">
        <f>SUM(Oct!C8, Nov!C8, Dec!C8)</f>
        <v>0</v>
      </c>
      <c r="D8" s="29">
        <f>SUM(Oct!D8, Nov!D8, Dec!D8)</f>
        <v>0</v>
      </c>
      <c r="E8" s="29">
        <f t="shared" ref="E8:E24" si="3">IF(AND(ISNUMBER(C8),ISNUMBER(D8)), C8-D8, "")</f>
        <v>0</v>
      </c>
      <c r="F8" s="30" t="str">
        <f t="shared" ref="F8:F24" si="4">IFERROR(E8/D8, "")</f>
        <v/>
      </c>
      <c r="G8" s="31">
        <f>SUM(Oct!G8,Nov!G8,Dec!G8)</f>
        <v>0</v>
      </c>
      <c r="H8" s="31">
        <f>SUM(Oct!H8, Nov!H8, Dec!H8)</f>
        <v>0</v>
      </c>
      <c r="I8" s="32" t="str">
        <f t="shared" ref="I8:I24" si="5">IFERROR(H8/G8, "")</f>
        <v/>
      </c>
    </row>
    <row r="9" spans="1:9" ht="15.6">
      <c r="A9" s="48" t="str">
        <v>Clear Lake - Eastlake Gohman</v>
      </c>
      <c r="B9" s="34" t="str">
        <v>MN</v>
      </c>
      <c r="C9" s="35">
        <f>SUM(Oct!C9, Nov!C9, Dec!C9)</f>
        <v>0</v>
      </c>
      <c r="D9" s="36">
        <f>SUM(Oct!D9, Nov!D9, Dec!D9)</f>
        <v>0</v>
      </c>
      <c r="E9" s="36">
        <f t="shared" si="3"/>
        <v>0</v>
      </c>
      <c r="F9" s="73" t="str">
        <f t="shared" si="4"/>
        <v/>
      </c>
      <c r="G9" s="36">
        <f>SUM(Oct!G9,Nov!G9,Dec!G9)</f>
        <v>0</v>
      </c>
      <c r="H9" s="74">
        <f>SUM(Oct!H9, Nov!H9, Dec!H9)</f>
        <v>0</v>
      </c>
      <c r="I9" s="73" t="str">
        <f t="shared" si="5"/>
        <v/>
      </c>
    </row>
    <row r="10" spans="1:9" ht="15.6">
      <c r="A10" s="47" t="str">
        <v>Zumbrota - Eastlake Brenda Luhman</v>
      </c>
      <c r="B10" s="27" t="str">
        <v>MN</v>
      </c>
      <c r="C10" s="28">
        <f>SUM(Oct!C10, Nov!C10, Dec!C10)</f>
        <v>0</v>
      </c>
      <c r="D10" s="29">
        <f>SUM(Oct!D10, Nov!D10, Dec!D10)</f>
        <v>0</v>
      </c>
      <c r="E10" s="29">
        <f t="shared" si="3"/>
        <v>0</v>
      </c>
      <c r="F10" s="30" t="str">
        <f t="shared" si="4"/>
        <v/>
      </c>
      <c r="G10" s="31">
        <f>SUM(Oct!G10,Nov!G10,Dec!G10)</f>
        <v>0</v>
      </c>
      <c r="H10" s="31">
        <f>SUM(Oct!H10, Nov!H10, Dec!H10)</f>
        <v>0</v>
      </c>
      <c r="I10" s="32" t="str">
        <f t="shared" si="5"/>
        <v/>
      </c>
    </row>
    <row r="11" spans="1:9" ht="15.6">
      <c r="A11" s="48" t="str">
        <v>Cokato - Eastlake Carlson</v>
      </c>
      <c r="B11" s="34" t="str">
        <v>MN</v>
      </c>
      <c r="C11" s="35">
        <f>SUM(Oct!C11, Nov!C11, Dec!C11)</f>
        <v>0</v>
      </c>
      <c r="D11" s="36">
        <f>SUM(Oct!D11, Nov!D11, Dec!D11)</f>
        <v>0</v>
      </c>
      <c r="E11" s="36">
        <f t="shared" si="3"/>
        <v>0</v>
      </c>
      <c r="F11" s="73" t="str">
        <f t="shared" si="4"/>
        <v/>
      </c>
      <c r="G11" s="36">
        <f>SUM(Oct!G11,Nov!G11,Dec!G11)</f>
        <v>0</v>
      </c>
      <c r="H11" s="74">
        <f>SUM(Oct!H11, Nov!H11, Dec!H11)</f>
        <v>0</v>
      </c>
      <c r="I11" s="73" t="str">
        <f t="shared" si="5"/>
        <v/>
      </c>
    </row>
    <row r="12" spans="1:9" ht="15.6">
      <c r="A12" s="47" t="str">
        <v>North Branch - Cornille 2</v>
      </c>
      <c r="B12" s="27" t="str">
        <v>MN</v>
      </c>
      <c r="C12" s="28">
        <f>SUM(Oct!C12, Nov!C12, Dec!C12)</f>
        <v>0</v>
      </c>
      <c r="D12" s="29">
        <f>SUM(Oct!D12, Nov!D12, Dec!D12)</f>
        <v>0</v>
      </c>
      <c r="E12" s="29">
        <f t="shared" si="3"/>
        <v>0</v>
      </c>
      <c r="F12" s="30" t="str">
        <f t="shared" si="4"/>
        <v/>
      </c>
      <c r="G12" s="31">
        <f>SUM(Oct!G12,Nov!G12,Dec!G12)</f>
        <v>0</v>
      </c>
      <c r="H12" s="31">
        <f>SUM(Oct!H12, Nov!H12, Dec!H12)</f>
        <v>0</v>
      </c>
      <c r="I12" s="32" t="str">
        <f t="shared" si="5"/>
        <v/>
      </c>
    </row>
    <row r="13" spans="1:9" ht="15.6">
      <c r="A13" s="48" t="str">
        <v>Clear Lake - Eastlake Hammer</v>
      </c>
      <c r="B13" s="34" t="str">
        <v>MN</v>
      </c>
      <c r="C13" s="35">
        <f>SUM(Oct!C13, Nov!C13, Dec!C13)</f>
        <v>0</v>
      </c>
      <c r="D13" s="36">
        <f>SUM(Oct!D13, Nov!D13, Dec!D13)</f>
        <v>0</v>
      </c>
      <c r="E13" s="36">
        <f t="shared" si="3"/>
        <v>0</v>
      </c>
      <c r="F13" s="73" t="str">
        <f t="shared" si="4"/>
        <v/>
      </c>
      <c r="G13" s="36">
        <f>SUM(Oct!G13,Nov!G13,Dec!G13)</f>
        <v>0</v>
      </c>
      <c r="H13" s="74">
        <f>SUM(Oct!H13, Nov!H13, Dec!H13)</f>
        <v>0</v>
      </c>
      <c r="I13" s="73" t="str">
        <f t="shared" si="5"/>
        <v/>
      </c>
    </row>
    <row r="14" spans="1:9" ht="15.6">
      <c r="A14" s="47" t="str">
        <v>Eastlake - Hertzberg CSG 1</v>
      </c>
      <c r="B14" s="27" t="str">
        <v>MN</v>
      </c>
      <c r="C14" s="28">
        <f>SUM(Oct!C14, Nov!C14, Dec!C14)</f>
        <v>0</v>
      </c>
      <c r="D14" s="29">
        <f>SUM(Oct!D14, Nov!D14, Dec!D14)</f>
        <v>0</v>
      </c>
      <c r="E14" s="29">
        <f t="shared" si="3"/>
        <v>0</v>
      </c>
      <c r="F14" s="30" t="str">
        <f t="shared" si="4"/>
        <v/>
      </c>
      <c r="G14" s="31">
        <f>SUM(Oct!G14,Nov!G14,Dec!G14)</f>
        <v>0</v>
      </c>
      <c r="H14" s="31">
        <f>SUM(Oct!H14, Nov!H14, Dec!H14)</f>
        <v>0</v>
      </c>
      <c r="I14" s="32" t="str">
        <f t="shared" si="5"/>
        <v/>
      </c>
    </row>
    <row r="15" spans="1:9" ht="15.6">
      <c r="A15" s="48" t="str">
        <v>Cokato - Eastlake Laurel Village</v>
      </c>
      <c r="B15" s="34" t="str">
        <v>MN</v>
      </c>
      <c r="C15" s="35">
        <f>SUM(Oct!C15, Nov!C15, Dec!C15)</f>
        <v>0</v>
      </c>
      <c r="D15" s="36">
        <f>SUM(Oct!D15, Nov!D15, Dec!D15)</f>
        <v>0</v>
      </c>
      <c r="E15" s="36">
        <f t="shared" si="3"/>
        <v>0</v>
      </c>
      <c r="F15" s="73" t="str">
        <f t="shared" si="4"/>
        <v/>
      </c>
      <c r="G15" s="36">
        <f>SUM(Oct!G15,Nov!G15,Dec!G15)</f>
        <v>0</v>
      </c>
      <c r="H15" s="74">
        <f>SUM(Oct!H15, Nov!H15, Dec!H15)</f>
        <v>0</v>
      </c>
      <c r="I15" s="73" t="str">
        <f t="shared" si="5"/>
        <v/>
      </c>
    </row>
    <row r="16" spans="1:9" ht="15.6">
      <c r="A16" s="47" t="str">
        <v>St. Peter - Eastlake Paulson</v>
      </c>
      <c r="B16" s="27" t="str">
        <v>MN</v>
      </c>
      <c r="C16" s="28">
        <f>SUM(Oct!C16, Nov!C16, Dec!C16)</f>
        <v>0</v>
      </c>
      <c r="D16" s="29">
        <f>SUM(Oct!D16, Nov!D16, Dec!D16)</f>
        <v>0</v>
      </c>
      <c r="E16" s="29">
        <f t="shared" si="3"/>
        <v>0</v>
      </c>
      <c r="F16" s="30" t="str">
        <f t="shared" si="4"/>
        <v/>
      </c>
      <c r="G16" s="31">
        <f>SUM(Oct!G16,Nov!G16,Dec!G16)</f>
        <v>0</v>
      </c>
      <c r="H16" s="31">
        <f>SUM(Oct!H16, Nov!H16, Dec!H16)</f>
        <v>0</v>
      </c>
      <c r="I16" s="32" t="str">
        <f t="shared" si="5"/>
        <v/>
      </c>
    </row>
    <row r="17" spans="1:9" ht="15.6">
      <c r="A17" s="48" t="str">
        <v>Felician Sisters Convent</v>
      </c>
      <c r="B17" s="34" t="str">
        <v>NJ</v>
      </c>
      <c r="C17" s="35">
        <f>SUM(Oct!C17, Nov!C17, Dec!C17)</f>
        <v>0</v>
      </c>
      <c r="D17" s="36">
        <f>SUM(Oct!D17, Nov!D17, Dec!D17)</f>
        <v>0</v>
      </c>
      <c r="E17" s="36">
        <f t="shared" si="3"/>
        <v>0</v>
      </c>
      <c r="F17" s="73" t="str">
        <f t="shared" si="4"/>
        <v/>
      </c>
      <c r="G17" s="36">
        <f>SUM(Oct!G17,Nov!G17,Dec!G17)</f>
        <v>0</v>
      </c>
      <c r="H17" s="74">
        <f>SUM(Oct!H17, Nov!H17, Dec!H17)</f>
        <v>0</v>
      </c>
      <c r="I17" s="73" t="str">
        <f t="shared" si="5"/>
        <v/>
      </c>
    </row>
    <row r="18" spans="1:9" ht="15.6">
      <c r="A18" s="47" t="str">
        <v>Sussex County Fairgrounds</v>
      </c>
      <c r="B18" s="27" t="str">
        <v>NJ</v>
      </c>
      <c r="C18" s="28">
        <f>SUM(Oct!C18, Nov!C18, Dec!C18)</f>
        <v>0</v>
      </c>
      <c r="D18" s="29">
        <f>SUM(Oct!D18, Nov!D18, Dec!D18)</f>
        <v>0</v>
      </c>
      <c r="E18" s="29">
        <f t="shared" si="3"/>
        <v>0</v>
      </c>
      <c r="F18" s="30" t="str">
        <f t="shared" si="4"/>
        <v/>
      </c>
      <c r="G18" s="31">
        <f>SUM(Oct!G18,Nov!G18,Dec!G18)</f>
        <v>0</v>
      </c>
      <c r="H18" s="31">
        <f>SUM(Oct!H18, Nov!H18, Dec!H18)</f>
        <v>0</v>
      </c>
      <c r="I18" s="32" t="str">
        <f t="shared" si="5"/>
        <v/>
      </c>
    </row>
    <row r="19" spans="1:9" ht="15.6">
      <c r="A19" s="48" t="str">
        <v>Gateway Church</v>
      </c>
      <c r="B19" s="34" t="str">
        <v>NJ</v>
      </c>
      <c r="C19" s="35">
        <f>SUM(Oct!C19, Nov!C19, Dec!C19)</f>
        <v>0</v>
      </c>
      <c r="D19" s="36">
        <f>SUM(Oct!D19, Nov!D19, Dec!D19)</f>
        <v>0</v>
      </c>
      <c r="E19" s="36">
        <f t="shared" si="3"/>
        <v>0</v>
      </c>
      <c r="F19" s="73" t="str">
        <f t="shared" si="4"/>
        <v/>
      </c>
      <c r="G19" s="36">
        <f>SUM(Oct!G19,Nov!G19,Dec!G19)</f>
        <v>0</v>
      </c>
      <c r="H19" s="74">
        <f>SUM(Oct!H19, Nov!H19, Dec!H19)</f>
        <v>0</v>
      </c>
      <c r="I19" s="73" t="str">
        <f t="shared" si="5"/>
        <v/>
      </c>
    </row>
    <row r="20" spans="1:9" ht="15.6">
      <c r="A20" s="47" t="str">
        <v>Beaver Falls - Felician Sisters</v>
      </c>
      <c r="B20" s="27" t="str">
        <v>PA</v>
      </c>
      <c r="C20" s="28">
        <f>SUM(Oct!C20, Nov!C20, Dec!C20)</f>
        <v>0</v>
      </c>
      <c r="D20" s="29">
        <f>SUM(Oct!D20, Nov!D20, Dec!D20)</f>
        <v>0</v>
      </c>
      <c r="E20" s="29">
        <f t="shared" si="3"/>
        <v>0</v>
      </c>
      <c r="F20" s="30" t="str">
        <f t="shared" si="4"/>
        <v/>
      </c>
      <c r="G20" s="31">
        <f>SUM(Oct!G20,Nov!G20,Dec!G20)</f>
        <v>0</v>
      </c>
      <c r="H20" s="31">
        <f>SUM(Oct!H20, Nov!H20, Dec!H20)</f>
        <v>0</v>
      </c>
      <c r="I20" s="32" t="str">
        <f t="shared" si="5"/>
        <v/>
      </c>
    </row>
    <row r="21" spans="1:9" ht="15.6">
      <c r="A21" s="48" t="str">
        <v>Livonia - Felician Sisters Ground</v>
      </c>
      <c r="B21" s="34" t="str">
        <v>MI</v>
      </c>
      <c r="C21" s="35">
        <f>SUM(Oct!C21, Nov!C21, Dec!C21)</f>
        <v>0</v>
      </c>
      <c r="D21" s="36">
        <f>SUM(Oct!D21, Nov!D21, Dec!D21)</f>
        <v>0</v>
      </c>
      <c r="E21" s="36">
        <f t="shared" si="3"/>
        <v>0</v>
      </c>
      <c r="F21" s="73" t="str">
        <f t="shared" si="4"/>
        <v/>
      </c>
      <c r="G21" s="36">
        <f>SUM(Oct!G21,Nov!G21,Dec!G21)</f>
        <v>0</v>
      </c>
      <c r="H21" s="74">
        <f>SUM(Oct!H21, Nov!H21, Dec!H21)</f>
        <v>0</v>
      </c>
      <c r="I21" s="73" t="str">
        <f t="shared" si="5"/>
        <v/>
      </c>
    </row>
    <row r="22" spans="1:9" ht="15.6">
      <c r="A22" s="47" t="str">
        <v>Livonia - Felician Sisters Roof</v>
      </c>
      <c r="B22" s="27" t="str">
        <v>MI</v>
      </c>
      <c r="C22" s="28">
        <f>SUM(Oct!C22, Nov!C22, Dec!C22)</f>
        <v>0</v>
      </c>
      <c r="D22" s="29">
        <f>SUM(Oct!D22, Nov!D22, Dec!D22)</f>
        <v>0</v>
      </c>
      <c r="E22" s="29">
        <f t="shared" si="3"/>
        <v>0</v>
      </c>
      <c r="F22" s="30" t="str">
        <f t="shared" si="4"/>
        <v/>
      </c>
      <c r="G22" s="31">
        <f>SUM(Oct!G22,Nov!G22,Dec!G22)</f>
        <v>0</v>
      </c>
      <c r="H22" s="31">
        <f>SUM(Oct!H22, Nov!H22, Dec!H22)</f>
        <v>0</v>
      </c>
      <c r="I22" s="32" t="str">
        <f t="shared" si="5"/>
        <v/>
      </c>
    </row>
    <row r="23" spans="1:9" ht="15.6">
      <c r="A23" s="48" t="str">
        <v>Monmouth Worship Ctr</v>
      </c>
      <c r="B23" s="34" t="str">
        <v>NJ</v>
      </c>
      <c r="C23" s="35">
        <f>SUM(Oct!C23, Nov!C23, Dec!C23)</f>
        <v>0</v>
      </c>
      <c r="D23" s="36">
        <f>SUM(Oct!D23, Nov!D23, Dec!D23)</f>
        <v>0</v>
      </c>
      <c r="E23" s="36">
        <f t="shared" si="3"/>
        <v>0</v>
      </c>
      <c r="F23" s="73" t="str">
        <f t="shared" si="4"/>
        <v/>
      </c>
      <c r="G23" s="36">
        <f>SUM(Oct!G23,Nov!G23,Dec!G23)</f>
        <v>0</v>
      </c>
      <c r="H23" s="74">
        <f>SUM(Oct!H23, Nov!H23, Dec!H23)</f>
        <v>0</v>
      </c>
      <c r="I23" s="73" t="str">
        <f t="shared" si="5"/>
        <v/>
      </c>
    </row>
    <row r="24" spans="1:9" ht="15.6">
      <c r="A24" s="47" t="str">
        <v xml:space="preserve"> Audubon - Senior Citizens United</v>
      </c>
      <c r="B24" s="27" t="str">
        <v>NJ</v>
      </c>
      <c r="C24" s="28">
        <f>SUM(Oct!C24, Nov!C24, Dec!C24)</f>
        <v>0</v>
      </c>
      <c r="D24" s="29">
        <f>SUM(Oct!D24, Nov!D24, Dec!D24)</f>
        <v>0</v>
      </c>
      <c r="E24" s="29">
        <f t="shared" si="3"/>
        <v>0</v>
      </c>
      <c r="F24" s="30" t="str">
        <f t="shared" si="4"/>
        <v/>
      </c>
      <c r="G24" s="31">
        <f>SUM(Oct!G24,Nov!G24,Dec!G24)</f>
        <v>0</v>
      </c>
      <c r="H24" s="31">
        <f>SUM(Oct!H24, Nov!H24, Dec!H24)</f>
        <v>0</v>
      </c>
      <c r="I24" s="32" t="str">
        <f t="shared" si="5"/>
        <v/>
      </c>
    </row>
    <row r="25" spans="1:9" ht="13.9">
      <c r="A25" s="8" t="str">
        <v>Hollister - PG&amp;E (Enerparc)</v>
      </c>
      <c r="B25" s="8" t="str">
        <v>CA</v>
      </c>
      <c r="C25" s="8"/>
      <c r="D25" s="8"/>
      <c r="E25" s="8"/>
      <c r="F25" s="9"/>
      <c r="G25" s="8"/>
      <c r="H25" s="8"/>
      <c r="I25" s="9"/>
    </row>
    <row r="26" spans="1:9" ht="13.9">
      <c r="A26" s="8" t="str">
        <v>Taos County - Kit Carson Electric Co-Op</v>
      </c>
      <c r="B26" s="8" t="str">
        <v>NM</v>
      </c>
      <c r="C26" s="8"/>
      <c r="D26" s="8"/>
      <c r="E26" s="8"/>
      <c r="F26" s="9"/>
      <c r="G26" s="8"/>
      <c r="H26" s="8"/>
      <c r="I26" s="9"/>
    </row>
    <row r="27" spans="1:9" ht="13.9">
      <c r="A27" s="8" t="str">
        <v>Commerce City - Adams City HS</v>
      </c>
      <c r="B27" s="8" t="str">
        <v>CO</v>
      </c>
      <c r="C27" s="8"/>
      <c r="D27" s="8"/>
      <c r="E27" s="8"/>
      <c r="F27" s="9"/>
      <c r="G27" s="8"/>
      <c r="H27" s="8"/>
      <c r="I27" s="9"/>
    </row>
    <row r="28" spans="1:9" ht="13.9">
      <c r="A28" s="8" t="str">
        <v>Commerce City - Adams City MS</v>
      </c>
      <c r="B28" s="8" t="str">
        <v>CO</v>
      </c>
      <c r="C28" s="8"/>
      <c r="D28" s="8"/>
      <c r="E28" s="8"/>
      <c r="F28" s="9"/>
      <c r="G28" s="8"/>
      <c r="H28" s="8"/>
      <c r="I28" s="9"/>
    </row>
    <row r="29" spans="1:9" ht="13.9">
      <c r="A29" s="8" t="str">
        <v>Commerce City - Central ES</v>
      </c>
      <c r="B29" s="8" t="str">
        <v>CO</v>
      </c>
      <c r="C29" s="8"/>
      <c r="D29" s="8"/>
      <c r="E29" s="8"/>
      <c r="F29" s="9"/>
      <c r="G29" s="8"/>
      <c r="H29" s="8"/>
      <c r="I29" s="9"/>
    </row>
    <row r="30" spans="1:9" ht="13.9">
      <c r="A30" s="8" t="str">
        <v>Commerce City - Dupont ES</v>
      </c>
      <c r="B30" s="8" t="str">
        <v>CO</v>
      </c>
      <c r="C30" s="8"/>
      <c r="D30" s="8"/>
      <c r="E30" s="8"/>
      <c r="F30" s="9"/>
      <c r="G30" s="8"/>
      <c r="H30" s="8"/>
      <c r="I30" s="9"/>
    </row>
    <row r="31" spans="1:9" ht="13.9">
      <c r="A31" s="8" t="str">
        <v>Commerce City - Educational Support Services</v>
      </c>
      <c r="B31" s="8" t="str">
        <v>CO</v>
      </c>
      <c r="C31" s="8"/>
      <c r="D31" s="8"/>
      <c r="E31" s="8"/>
      <c r="F31" s="9"/>
      <c r="G31" s="8"/>
      <c r="H31" s="8"/>
      <c r="I31" s="9"/>
    </row>
    <row r="32" spans="1:9" ht="13.9">
      <c r="A32" s="8" t="str">
        <v>Commerce City - Hanson ES</v>
      </c>
      <c r="B32" s="8" t="str">
        <v>CO</v>
      </c>
      <c r="C32" s="8"/>
      <c r="D32" s="8"/>
      <c r="E32" s="8"/>
      <c r="F32" s="9"/>
      <c r="G32" s="8"/>
      <c r="H32" s="8"/>
      <c r="I32" s="9"/>
    </row>
    <row r="33" spans="1:9" ht="13.9">
      <c r="A33" s="8" t="str">
        <v>Commerce City - Kemp ES</v>
      </c>
      <c r="B33" s="8" t="str">
        <v>CO</v>
      </c>
      <c r="C33" s="8"/>
      <c r="D33" s="8"/>
      <c r="E33" s="8"/>
      <c r="F33" s="9"/>
      <c r="G33" s="8"/>
      <c r="H33" s="8"/>
      <c r="I33" s="9"/>
    </row>
    <row r="34" spans="1:9" ht="13.9">
      <c r="A34" s="8" t="str">
        <v>Commerce City -  Lester Arnold HS</v>
      </c>
      <c r="B34" s="8" t="str">
        <v>CO</v>
      </c>
      <c r="C34" s="8"/>
      <c r="D34" s="8"/>
      <c r="E34" s="8"/>
      <c r="F34" s="9"/>
      <c r="G34" s="8"/>
      <c r="H34" s="8"/>
      <c r="I34" s="9"/>
    </row>
    <row r="35" spans="1:9" ht="13.9">
      <c r="A35" s="8" t="str">
        <v>Commerce City - Monaco ES</v>
      </c>
      <c r="B35" s="8" t="str">
        <v>CO</v>
      </c>
      <c r="C35" s="8"/>
      <c r="D35" s="8"/>
      <c r="E35" s="8"/>
      <c r="F35" s="9"/>
      <c r="G35" s="8"/>
      <c r="H35" s="8"/>
      <c r="I35" s="9"/>
    </row>
    <row r="36" spans="1:9" ht="13.9">
      <c r="A36" s="8" t="str">
        <v>Denver - Northgate / Old Fort Logan ES</v>
      </c>
      <c r="B36" s="8" t="str">
        <v>CO</v>
      </c>
      <c r="C36" s="8"/>
      <c r="D36" s="8"/>
      <c r="E36" s="8"/>
      <c r="F36" s="9"/>
      <c r="G36" s="8"/>
      <c r="H36" s="8"/>
      <c r="I36" s="9"/>
    </row>
    <row r="37" spans="1:9" ht="13.9">
      <c r="A37" s="8" t="str">
        <v>Denver - Sheridan High School</v>
      </c>
      <c r="B37" s="8" t="str">
        <v>CO</v>
      </c>
      <c r="C37" s="8"/>
      <c r="D37" s="8"/>
      <c r="E37" s="8"/>
      <c r="F37" s="9"/>
      <c r="G37" s="8"/>
      <c r="H37" s="8"/>
      <c r="I37" s="9"/>
    </row>
    <row r="38" spans="1:9" ht="13.9">
      <c r="A38" s="8" t="str">
        <v>Englewood -  Alice Terry Elementary</v>
      </c>
      <c r="B38" s="8" t="str">
        <v>CO</v>
      </c>
      <c r="C38" s="8"/>
      <c r="D38" s="8"/>
      <c r="E38" s="8"/>
      <c r="F38" s="9"/>
      <c r="G38" s="8"/>
      <c r="H38" s="8"/>
      <c r="I38" s="9"/>
    </row>
    <row r="39" spans="1:9" ht="13.9">
      <c r="A39" s="8" t="str">
        <v>Englewood - Sheridan Middle School</v>
      </c>
      <c r="B39" s="8" t="str">
        <v>CO</v>
      </c>
      <c r="C39" s="8"/>
      <c r="D39" s="8"/>
      <c r="E39" s="8"/>
      <c r="F39" s="9"/>
      <c r="G39" s="8"/>
      <c r="H39" s="8"/>
      <c r="I39" s="9"/>
    </row>
    <row r="40" spans="1:9" ht="13.9">
      <c r="A40" s="8" t="str">
        <v>Goshen - NIPSCO</v>
      </c>
      <c r="B40" s="8" t="str">
        <v>IN</v>
      </c>
      <c r="C40" s="8"/>
      <c r="D40" s="8"/>
      <c r="E40" s="8"/>
      <c r="F40" s="9"/>
      <c r="G40" s="8"/>
      <c r="H40" s="8"/>
      <c r="I40" s="9"/>
    </row>
    <row r="41" spans="1:9" ht="13.9">
      <c r="A41" s="8" t="str">
        <v>Alamogordo - City of Alamogordo - Effluent</v>
      </c>
      <c r="B41" s="8" t="str">
        <v>NM</v>
      </c>
      <c r="C41" s="8"/>
      <c r="D41" s="8"/>
      <c r="E41" s="8"/>
      <c r="F41" s="9"/>
      <c r="G41" s="8"/>
      <c r="H41" s="8"/>
      <c r="I41" s="9"/>
    </row>
    <row r="42" spans="1:9" ht="13.9">
      <c r="A42" s="8" t="str">
        <v>Alamogordo - City of Alamogordo - WWTP</v>
      </c>
      <c r="B42" s="8" t="str">
        <v>NM</v>
      </c>
      <c r="C42" s="8"/>
      <c r="D42" s="8"/>
      <c r="E42" s="8"/>
      <c r="F42" s="9"/>
      <c r="G42" s="8"/>
      <c r="H42" s="8"/>
      <c r="I42" s="9"/>
    </row>
    <row r="43" spans="1:9" ht="13.9">
      <c r="A43" s="8" t="str">
        <v>Deming - Bilbo Booster</v>
      </c>
      <c r="B43" s="8" t="str">
        <v>NM</v>
      </c>
      <c r="C43" s="8"/>
      <c r="D43" s="8"/>
      <c r="E43" s="8"/>
      <c r="F43" s="9"/>
      <c r="G43" s="8"/>
      <c r="H43" s="8"/>
      <c r="I43" s="9"/>
    </row>
    <row r="44" spans="1:9" ht="13.9">
      <c r="A44" s="8" t="str">
        <v>Deming - Bilbo Well</v>
      </c>
      <c r="B44" s="8" t="str">
        <v>NM</v>
      </c>
      <c r="C44" s="8"/>
      <c r="D44" s="8"/>
      <c r="E44" s="8"/>
      <c r="F44" s="9"/>
      <c r="G44" s="8"/>
      <c r="H44" s="8"/>
      <c r="I44" s="9"/>
    </row>
    <row r="45" spans="1:9" ht="13.9">
      <c r="A45" s="8" t="str">
        <v>Deming - WWTP</v>
      </c>
      <c r="B45" s="8" t="str">
        <v>NM</v>
      </c>
      <c r="C45" s="8"/>
      <c r="D45" s="8"/>
      <c r="E45" s="8"/>
      <c r="F45" s="9"/>
      <c r="G45" s="8"/>
      <c r="H45" s="8"/>
      <c r="I45" s="9"/>
    </row>
    <row r="46" spans="1:9" ht="13.9">
      <c r="A46" s="8" t="str">
        <v>Truth or Consequences - Walmart</v>
      </c>
      <c r="B46" s="8" t="str">
        <v>NM</v>
      </c>
      <c r="C46" s="8"/>
      <c r="D46" s="8"/>
      <c r="E46" s="8"/>
      <c r="F46" s="9"/>
      <c r="G46" s="8"/>
      <c r="H46" s="8"/>
      <c r="I46" s="9"/>
    </row>
    <row r="47" spans="1:9" ht="13.9">
      <c r="A47" s="8"/>
      <c r="B47" s="8"/>
      <c r="C47" s="8"/>
      <c r="D47" s="8"/>
      <c r="E47" s="8"/>
      <c r="F47" s="9"/>
      <c r="G47" s="8"/>
      <c r="H47" s="8"/>
      <c r="I47" s="9"/>
    </row>
    <row r="48" spans="1:9" ht="13.9">
      <c r="A48" s="8"/>
      <c r="B48" s="8"/>
      <c r="C48" s="8"/>
      <c r="D48" s="8"/>
      <c r="E48" s="8"/>
      <c r="F48" s="9"/>
      <c r="G48" s="8"/>
      <c r="H48" s="8"/>
      <c r="I48" s="9"/>
    </row>
    <row r="49" spans="1:9" ht="13.9">
      <c r="A49" s="8"/>
      <c r="B49" s="8"/>
      <c r="C49" s="8"/>
      <c r="D49" s="8"/>
      <c r="E49" s="8"/>
      <c r="F49" s="9"/>
      <c r="G49" s="8"/>
      <c r="H49" s="8"/>
      <c r="I49" s="9"/>
    </row>
    <row r="50" spans="1:9" ht="13.9">
      <c r="A50" s="8"/>
      <c r="B50" s="8"/>
      <c r="C50" s="8"/>
      <c r="D50" s="8"/>
      <c r="E50" s="8"/>
      <c r="F50" s="9"/>
      <c r="G50" s="8"/>
      <c r="H50" s="8"/>
      <c r="I50" s="9"/>
    </row>
    <row r="51" spans="1:9" ht="13.9">
      <c r="A51" s="8"/>
      <c r="B51" s="8"/>
      <c r="C51" s="8"/>
      <c r="D51" s="8"/>
      <c r="E51" s="8"/>
      <c r="F51" s="9"/>
      <c r="G51" s="8"/>
      <c r="H51" s="8"/>
      <c r="I51" s="9"/>
    </row>
    <row r="52" spans="1:9" ht="13.9">
      <c r="A52" s="8"/>
      <c r="B52" s="8"/>
      <c r="C52" s="8"/>
      <c r="D52" s="8"/>
      <c r="E52" s="8"/>
      <c r="F52" s="9"/>
      <c r="G52" s="8"/>
      <c r="H52" s="8"/>
      <c r="I52" s="9"/>
    </row>
    <row r="53" spans="1:9" ht="13.9">
      <c r="A53" s="8"/>
      <c r="B53" s="8"/>
      <c r="C53" s="8"/>
      <c r="D53" s="8"/>
      <c r="E53" s="8"/>
      <c r="F53" s="9"/>
      <c r="G53" s="8"/>
      <c r="H53" s="8"/>
      <c r="I53" s="9"/>
    </row>
    <row r="54" spans="1:9" ht="13.9">
      <c r="A54" s="8"/>
      <c r="B54" s="8"/>
      <c r="C54" s="8"/>
      <c r="D54" s="8"/>
      <c r="E54" s="8"/>
      <c r="F54" s="9"/>
      <c r="G54" s="8"/>
      <c r="H54" s="8"/>
      <c r="I54" s="9"/>
    </row>
    <row r="55" spans="1:9" ht="13.9">
      <c r="A55" s="8"/>
      <c r="B55" s="8"/>
      <c r="C55" s="8"/>
      <c r="D55" s="8"/>
      <c r="E55" s="8"/>
      <c r="F55" s="9"/>
      <c r="G55" s="8"/>
      <c r="H55" s="8"/>
      <c r="I55" s="9"/>
    </row>
    <row r="56" spans="1:9" ht="13.9">
      <c r="A56" s="8"/>
      <c r="B56" s="8"/>
      <c r="C56" s="8"/>
      <c r="D56" s="8"/>
      <c r="E56" s="8"/>
      <c r="F56" s="9"/>
      <c r="G56" s="8"/>
      <c r="H56" s="8"/>
      <c r="I56" s="9"/>
    </row>
    <row r="57" spans="1:9" ht="13.9">
      <c r="A57" s="8"/>
      <c r="B57" s="8"/>
      <c r="C57" s="8"/>
      <c r="D57" s="8"/>
      <c r="E57" s="8"/>
      <c r="F57" s="9"/>
      <c r="G57" s="8"/>
      <c r="H57" s="8"/>
      <c r="I57" s="9"/>
    </row>
    <row r="58" spans="1:9" ht="13.9">
      <c r="A58" s="8"/>
      <c r="B58" s="8"/>
      <c r="C58" s="8"/>
      <c r="D58" s="8"/>
      <c r="E58" s="8"/>
      <c r="F58" s="9"/>
      <c r="G58" s="8"/>
      <c r="H58" s="8"/>
      <c r="I58" s="9"/>
    </row>
    <row r="59" spans="1:9" ht="13.9">
      <c r="A59" s="8"/>
      <c r="B59" s="8"/>
      <c r="C59" s="8"/>
      <c r="D59" s="8"/>
      <c r="E59" s="8"/>
      <c r="F59" s="9"/>
      <c r="G59" s="8"/>
      <c r="H59" s="8"/>
      <c r="I59" s="9"/>
    </row>
    <row r="60" spans="1:9" ht="13.9">
      <c r="A60" s="8"/>
      <c r="B60" s="8"/>
      <c r="C60" s="8"/>
      <c r="D60" s="8"/>
      <c r="E60" s="8"/>
      <c r="F60" s="9"/>
      <c r="G60" s="8"/>
      <c r="H60" s="8"/>
      <c r="I60" s="9"/>
    </row>
    <row r="61" spans="1:9" ht="13.9">
      <c r="A61" s="8"/>
      <c r="B61" s="8"/>
      <c r="C61" s="8"/>
      <c r="D61" s="8"/>
      <c r="E61" s="8"/>
      <c r="F61" s="9"/>
      <c r="G61" s="8"/>
      <c r="H61" s="8"/>
      <c r="I61" s="9"/>
    </row>
    <row r="62" spans="1:9" ht="13.9">
      <c r="A62" s="8"/>
      <c r="B62" s="8"/>
      <c r="C62" s="8"/>
      <c r="D62" s="8"/>
      <c r="E62" s="8"/>
      <c r="F62" s="9"/>
      <c r="G62" s="8"/>
      <c r="H62" s="8"/>
      <c r="I62" s="9"/>
    </row>
    <row r="63" spans="1:9" ht="13.9">
      <c r="A63" s="8"/>
      <c r="B63" s="8"/>
      <c r="C63" s="8"/>
      <c r="D63" s="8"/>
      <c r="E63" s="8"/>
      <c r="F63" s="9"/>
      <c r="G63" s="8"/>
      <c r="H63" s="8"/>
      <c r="I63" s="9"/>
    </row>
    <row r="64" spans="1:9" ht="13.9">
      <c r="A64" s="8"/>
      <c r="B64" s="8"/>
      <c r="C64" s="8"/>
      <c r="D64" s="8"/>
      <c r="E64" s="8"/>
      <c r="F64" s="9"/>
      <c r="G64" s="8"/>
      <c r="H64" s="8"/>
      <c r="I64" s="9"/>
    </row>
    <row r="65" spans="1:9" ht="13.9">
      <c r="A65" s="8"/>
      <c r="B65" s="8"/>
      <c r="C65" s="8"/>
      <c r="D65" s="8"/>
      <c r="E65" s="8"/>
      <c r="F65" s="9"/>
      <c r="G65" s="8"/>
      <c r="H65" s="8"/>
      <c r="I65" s="9"/>
    </row>
    <row r="66" spans="1:9" ht="13.9">
      <c r="A66" s="8"/>
      <c r="B66" s="8"/>
      <c r="C66" s="8"/>
      <c r="D66" s="8"/>
      <c r="E66" s="8"/>
      <c r="F66" s="9"/>
      <c r="G66" s="8"/>
      <c r="H66" s="8"/>
      <c r="I66" s="9"/>
    </row>
    <row r="67" spans="1:9" ht="13.9">
      <c r="A67" s="8"/>
      <c r="B67" s="8"/>
      <c r="C67" s="8"/>
      <c r="D67" s="8"/>
      <c r="E67" s="8"/>
      <c r="F67" s="9"/>
      <c r="G67" s="8"/>
      <c r="H67" s="8"/>
      <c r="I67" s="9"/>
    </row>
    <row r="68" spans="1:9" ht="13.9">
      <c r="A68" s="8"/>
      <c r="B68" s="8"/>
      <c r="C68" s="8"/>
      <c r="D68" s="8"/>
      <c r="E68" s="8"/>
      <c r="F68" s="9"/>
      <c r="G68" s="8"/>
      <c r="H68" s="8"/>
      <c r="I68" s="9"/>
    </row>
    <row r="69" spans="1:9" ht="13.9">
      <c r="A69" s="8"/>
      <c r="B69" s="8"/>
      <c r="C69" s="8"/>
      <c r="D69" s="8"/>
      <c r="E69" s="8"/>
      <c r="F69" s="9"/>
      <c r="G69" s="8"/>
      <c r="H69" s="8"/>
      <c r="I69" s="9"/>
    </row>
    <row r="70" spans="1:9" ht="13.9">
      <c r="A70" s="8"/>
      <c r="B70" s="8"/>
      <c r="C70" s="8"/>
      <c r="D70" s="8"/>
      <c r="E70" s="8"/>
      <c r="F70" s="9"/>
      <c r="G70" s="8"/>
      <c r="H70" s="8"/>
      <c r="I70" s="9"/>
    </row>
    <row r="71" spans="1:9" ht="13.9">
      <c r="A71" s="8"/>
      <c r="B71" s="8"/>
      <c r="C71" s="8"/>
      <c r="D71" s="8"/>
      <c r="E71" s="8"/>
      <c r="F71" s="9"/>
      <c r="G71" s="8"/>
      <c r="H71" s="8"/>
      <c r="I71" s="9"/>
    </row>
    <row r="72" spans="1:9" ht="13.9">
      <c r="A72" s="8"/>
      <c r="B72" s="8"/>
      <c r="C72" s="8"/>
      <c r="D72" s="8"/>
      <c r="E72" s="8"/>
      <c r="F72" s="9"/>
      <c r="G72" s="8"/>
      <c r="H72" s="8"/>
      <c r="I72" s="9"/>
    </row>
    <row r="73" spans="1:9" ht="13.9">
      <c r="A73" s="8"/>
      <c r="B73" s="8"/>
      <c r="C73" s="8"/>
      <c r="D73" s="8"/>
      <c r="E73" s="8"/>
      <c r="F73" s="9"/>
      <c r="G73" s="8"/>
      <c r="H73" s="8"/>
      <c r="I73" s="9"/>
    </row>
    <row r="74" spans="1:9" ht="13.9">
      <c r="A74" s="8"/>
      <c r="B74" s="8"/>
      <c r="C74" s="8"/>
      <c r="D74" s="8"/>
      <c r="E74" s="8"/>
      <c r="F74" s="9"/>
      <c r="G74" s="8"/>
      <c r="H74" s="8"/>
      <c r="I74" s="9"/>
    </row>
    <row r="75" spans="1:9" ht="13.9">
      <c r="A75" s="8"/>
      <c r="B75" s="8"/>
      <c r="C75" s="8"/>
      <c r="D75" s="8"/>
      <c r="E75" s="8"/>
      <c r="F75" s="9"/>
      <c r="G75" s="8"/>
      <c r="H75" s="8"/>
      <c r="I75" s="9"/>
    </row>
    <row r="76" spans="1:9" ht="13.9">
      <c r="A76" s="8"/>
      <c r="B76" s="8"/>
      <c r="C76" s="8"/>
      <c r="D76" s="8"/>
      <c r="E76" s="8"/>
      <c r="F76" s="9"/>
      <c r="G76" s="8"/>
      <c r="H76" s="8"/>
      <c r="I76" s="9"/>
    </row>
    <row r="77" spans="1:9" ht="13.9">
      <c r="A77" s="8"/>
      <c r="B77" s="8"/>
      <c r="C77" s="8"/>
      <c r="D77" s="8"/>
      <c r="E77" s="8"/>
      <c r="F77" s="9"/>
      <c r="G77" s="8"/>
      <c r="H77" s="8"/>
      <c r="I77" s="9"/>
    </row>
    <row r="78" spans="1:9" ht="13.9">
      <c r="A78" s="8"/>
      <c r="B78" s="8"/>
      <c r="C78" s="8"/>
      <c r="D78" s="8"/>
      <c r="E78" s="8"/>
      <c r="F78" s="9"/>
      <c r="G78" s="8"/>
      <c r="H78" s="8"/>
      <c r="I78" s="9"/>
    </row>
    <row r="79" spans="1:9" ht="13.9">
      <c r="A79" s="8"/>
      <c r="B79" s="8"/>
      <c r="C79" s="8"/>
      <c r="D79" s="8"/>
      <c r="E79" s="8"/>
      <c r="F79" s="9"/>
      <c r="G79" s="8"/>
      <c r="H79" s="8"/>
      <c r="I79" s="9"/>
    </row>
    <row r="80" spans="1:9" ht="13.9">
      <c r="A80" s="8"/>
      <c r="B80" s="8"/>
      <c r="C80" s="8"/>
      <c r="D80" s="8"/>
      <c r="E80" s="8"/>
      <c r="F80" s="9"/>
      <c r="G80" s="8"/>
      <c r="H80" s="8"/>
      <c r="I80" s="9"/>
    </row>
    <row r="81" spans="1:9" ht="13.9">
      <c r="A81" s="8"/>
      <c r="B81" s="8"/>
      <c r="C81" s="8"/>
      <c r="D81" s="8"/>
      <c r="E81" s="8"/>
      <c r="F81" s="9"/>
      <c r="G81" s="8"/>
      <c r="H81" s="8"/>
      <c r="I81" s="9"/>
    </row>
    <row r="82" spans="1:9" ht="13.9">
      <c r="A82" s="8"/>
      <c r="B82" s="8"/>
      <c r="C82" s="8"/>
      <c r="D82" s="8"/>
      <c r="E82" s="8"/>
      <c r="F82" s="9"/>
      <c r="G82" s="8"/>
      <c r="H82" s="8"/>
      <c r="I82" s="9"/>
    </row>
    <row r="83" spans="1:9" ht="13.9">
      <c r="A83" s="8"/>
      <c r="B83" s="8"/>
      <c r="C83" s="8"/>
      <c r="D83" s="8"/>
      <c r="E83" s="8"/>
      <c r="F83" s="9"/>
      <c r="G83" s="8"/>
      <c r="H83" s="8"/>
      <c r="I83" s="9"/>
    </row>
    <row r="84" spans="1:9" ht="13.9">
      <c r="A84" s="8"/>
      <c r="B84" s="8"/>
      <c r="C84" s="8"/>
      <c r="D84" s="8"/>
      <c r="E84" s="8"/>
      <c r="F84" s="9"/>
      <c r="G84" s="8"/>
      <c r="H84" s="8"/>
      <c r="I84" s="9"/>
    </row>
    <row r="85" spans="1:9" ht="13.9">
      <c r="A85" s="8"/>
      <c r="B85" s="8"/>
      <c r="C85" s="8"/>
      <c r="D85" s="8"/>
      <c r="E85" s="8"/>
      <c r="F85" s="9"/>
      <c r="G85" s="8"/>
      <c r="H85" s="8"/>
      <c r="I85" s="9"/>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sheetData>
  <mergeCells count="4">
    <mergeCell ref="G1:I1"/>
    <mergeCell ref="A1:C1"/>
    <mergeCell ref="D1:F1"/>
    <mergeCell ref="A2:B2"/>
  </mergeCells>
  <conditionalFormatting sqref="F2 I2 F4:F78 I4:I78">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0"/>
  <sheetViews>
    <sheetView zoomScale="85" zoomScaleNormal="85" workbookViewId="0">
      <pane xSplit="2" ySplit="3" topLeftCell="G20" activePane="bottomRight" state="frozen"/>
      <selection pane="bottomRight" activeCell="G31" sqref="G31:G32"/>
      <selection pane="bottomLeft" activeCell="E11" sqref="E11"/>
      <selection pane="topRight" activeCell="E11" sqref="E11"/>
    </sheetView>
  </sheetViews>
  <sheetFormatPr defaultRowHeight="13.9"/>
  <cols>
    <col min="1" max="1" width="36" customWidth="1"/>
    <col min="2" max="2" width="14.5703125" style="14" customWidth="1"/>
    <col min="3" max="5" width="14.5703125" customWidth="1"/>
    <col min="6" max="6" width="14.5703125" style="1" customWidth="1"/>
    <col min="7" max="8" width="14.5703125" customWidth="1"/>
    <col min="9" max="9" width="14.5703125" style="1" customWidth="1"/>
    <col min="10" max="10" width="96.140625" bestFit="1" customWidth="1"/>
    <col min="11" max="11" width="19.28515625" bestFit="1" customWidth="1"/>
  </cols>
  <sheetData>
    <row r="1" spans="1:11" ht="15.6">
      <c r="A1" s="99" t="str" cm="1">
        <f t="array" ref="A1">portfolio</f>
        <v>Clean Capital</v>
      </c>
      <c r="B1" s="99"/>
      <c r="C1" s="99"/>
      <c r="D1" s="100" t="s">
        <v>18</v>
      </c>
      <c r="E1" s="100"/>
      <c r="F1" s="100"/>
      <c r="G1" s="98" t="s">
        <v>19</v>
      </c>
      <c r="H1" s="98"/>
      <c r="I1" s="98"/>
      <c r="J1" s="4"/>
      <c r="K1" s="4"/>
    </row>
    <row r="2" spans="1:11" ht="15.6">
      <c r="A2" s="101" t="s">
        <v>2</v>
      </c>
      <c r="B2" s="101"/>
      <c r="C2" s="5">
        <f>SUM(C4:C78)</f>
        <v>52388.975010000002</v>
      </c>
      <c r="D2" s="5">
        <f>SUM(D4:D78)</f>
        <v>0</v>
      </c>
      <c r="E2" s="5">
        <f>C2-D2</f>
        <v>52388.975010000002</v>
      </c>
      <c r="F2" s="6">
        <f>IFERROR(E2/D2, 0)</f>
        <v>0</v>
      </c>
      <c r="G2" s="5">
        <f>SUM(G4:G78)</f>
        <v>40330</v>
      </c>
      <c r="H2" s="7">
        <f>C2-G2</f>
        <v>12058.975010000002</v>
      </c>
      <c r="I2" s="6">
        <f>IFERROR(H2/G2, 0)</f>
        <v>0.29900756285643448</v>
      </c>
      <c r="J2" s="11"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5.6">
      <c r="A3" s="12" t="s">
        <v>3</v>
      </c>
      <c r="B3" s="12" t="s">
        <v>4</v>
      </c>
      <c r="C3" s="19" t="s">
        <v>5</v>
      </c>
      <c r="D3" s="20" t="s">
        <v>6</v>
      </c>
      <c r="E3" s="20" t="s">
        <v>7</v>
      </c>
      <c r="F3" s="21" t="s">
        <v>8</v>
      </c>
      <c r="G3" s="25" t="s">
        <v>9</v>
      </c>
      <c r="H3" s="23" t="s">
        <v>7</v>
      </c>
      <c r="I3" s="24" t="s">
        <v>8</v>
      </c>
      <c r="J3" s="10" t="s">
        <v>20</v>
      </c>
      <c r="K3" s="10" t="s">
        <v>21</v>
      </c>
    </row>
    <row r="4" spans="1:11" ht="15.6">
      <c r="A4" s="44" t="str" cm="1">
        <f t="array" ref="A4:A46">Sites[Site]</f>
        <v>Lexington - Cotting School</v>
      </c>
      <c r="B4" s="40" t="str" cm="1">
        <f t="array" ref="B4:B46">Sites[State]</f>
        <v>MA</v>
      </c>
      <c r="C4" s="28">
        <v>10561.04</v>
      </c>
      <c r="D4" s="29">
        <v>0</v>
      </c>
      <c r="E4" s="29">
        <f>IF(AND(ISNUMBER(C4),ISNUMBER(D4)), C4-D4, "")</f>
        <v>10561.04</v>
      </c>
      <c r="F4" s="32" t="str">
        <f>IFERROR(E4/D4, "")</f>
        <v/>
      </c>
      <c r="G4" s="31">
        <v>0</v>
      </c>
      <c r="H4" s="31">
        <f>IF(AND(ISNUMBER(C4),ISNUMBER(G4)), C4-G4, "")</f>
        <v>10561.04</v>
      </c>
      <c r="I4" s="32" t="str">
        <f>IFERROR(H4/G4, "")</f>
        <v/>
      </c>
      <c r="J4" s="49" t="s">
        <v>22</v>
      </c>
      <c r="K4" s="69" t="s">
        <v>23</v>
      </c>
    </row>
    <row r="5" spans="1:11" ht="75" customHeight="1">
      <c r="A5" s="45" t="str">
        <v>Pacoima - Whiteman Airport</v>
      </c>
      <c r="B5" s="42" t="str">
        <v>CA</v>
      </c>
      <c r="C5" s="36">
        <v>14475.1</v>
      </c>
      <c r="D5" s="36">
        <v>0</v>
      </c>
      <c r="E5" s="36">
        <f t="shared" ref="E5:E7" si="0">IF(AND(ISNUMBER(C5),ISNUMBER(D5)), C5-D5, "")</f>
        <v>14475.1</v>
      </c>
      <c r="F5" s="37" t="str">
        <f t="shared" ref="F5:F7" si="1">IFERROR(E5/D5, "")</f>
        <v/>
      </c>
      <c r="G5" s="38">
        <v>28600</v>
      </c>
      <c r="H5" s="38">
        <f t="shared" ref="H5:H6" si="2">IF(AND(ISNUMBER(C5),ISNUMBER(G5)), C5-G5, "")</f>
        <v>-14124.9</v>
      </c>
      <c r="I5" s="37">
        <f t="shared" ref="I5:I6" si="3">IFERROR(H5/G5, "")</f>
        <v>-0.49387762237762234</v>
      </c>
      <c r="J5" s="68" t="s">
        <v>24</v>
      </c>
      <c r="K5" s="70" t="s">
        <v>25</v>
      </c>
    </row>
    <row r="6" spans="1:11" ht="15.6">
      <c r="A6" s="46" t="str">
        <v>Hyannis - Sturgis Charter School</v>
      </c>
      <c r="B6" s="40" t="str">
        <v>MA</v>
      </c>
      <c r="C6" s="28">
        <v>13994.515009999999</v>
      </c>
      <c r="D6" s="29">
        <v>0</v>
      </c>
      <c r="E6" s="29">
        <f t="shared" si="0"/>
        <v>13994.515009999999</v>
      </c>
      <c r="F6" s="32" t="str">
        <f t="shared" si="1"/>
        <v/>
      </c>
      <c r="G6" s="31">
        <v>11730</v>
      </c>
      <c r="H6" s="31">
        <f t="shared" si="2"/>
        <v>2264.5150099999992</v>
      </c>
      <c r="I6" s="32">
        <f t="shared" si="3"/>
        <v>0.19305328303495303</v>
      </c>
      <c r="J6" s="49"/>
      <c r="K6" s="49"/>
    </row>
    <row r="7" spans="1:11" ht="15.6">
      <c r="A7" s="45" t="str">
        <v>South Dennis - Tony Kent Arena</v>
      </c>
      <c r="B7" s="42" t="str">
        <v>MA</v>
      </c>
      <c r="C7" s="36">
        <v>13358.32</v>
      </c>
      <c r="D7" s="36">
        <v>0</v>
      </c>
      <c r="E7" s="36">
        <f t="shared" si="0"/>
        <v>13358.32</v>
      </c>
      <c r="F7" s="37" t="str">
        <f t="shared" si="1"/>
        <v/>
      </c>
      <c r="G7" s="38">
        <v>0</v>
      </c>
      <c r="H7" s="38">
        <f t="shared" ref="H7" si="4">IF(AND(ISNUMBER(C7),ISNUMBER(G7)), C7-G7, "")</f>
        <v>13358.32</v>
      </c>
      <c r="I7" s="37" t="str">
        <f t="shared" ref="I7" si="5">IFERROR(H7/G7, "")</f>
        <v/>
      </c>
      <c r="J7" s="50" t="s">
        <v>26</v>
      </c>
      <c r="K7" s="71" t="s">
        <v>27</v>
      </c>
    </row>
    <row r="8" spans="1:11" ht="15.6">
      <c r="A8" s="44" t="str">
        <v xml:space="preserve"> Caropolis - Felician Sisters</v>
      </c>
      <c r="B8" s="40" t="str">
        <v>PA</v>
      </c>
      <c r="C8" s="28"/>
      <c r="D8" s="29"/>
      <c r="E8" s="29"/>
      <c r="F8" s="32"/>
      <c r="G8" s="31"/>
      <c r="H8" s="31"/>
      <c r="I8" s="32"/>
      <c r="J8" s="49"/>
      <c r="K8" s="69"/>
    </row>
    <row r="9" spans="1:11" ht="15.6">
      <c r="A9" s="45" t="str">
        <v>Clear Lake - Eastlake Gohman</v>
      </c>
      <c r="B9" s="42" t="str">
        <v>MN</v>
      </c>
      <c r="C9" s="36"/>
      <c r="D9" s="36"/>
      <c r="E9" s="36"/>
      <c r="F9" s="37"/>
      <c r="G9" s="38"/>
      <c r="H9" s="38"/>
      <c r="I9" s="37"/>
      <c r="J9" s="68"/>
      <c r="K9" s="70"/>
    </row>
    <row r="10" spans="1:11" ht="15.6">
      <c r="A10" s="46" t="str">
        <v>Zumbrota - Eastlake Brenda Luhman</v>
      </c>
      <c r="B10" s="40" t="str">
        <v>MN</v>
      </c>
      <c r="C10" s="28"/>
      <c r="D10" s="29"/>
      <c r="E10" s="29"/>
      <c r="F10" s="32"/>
      <c r="G10" s="31"/>
      <c r="H10" s="31"/>
      <c r="I10" s="32"/>
      <c r="J10" s="49"/>
      <c r="K10" s="49"/>
    </row>
    <row r="11" spans="1:11" ht="15.6">
      <c r="A11" s="45" t="str">
        <v>Cokato - Eastlake Carlson</v>
      </c>
      <c r="B11" s="42" t="str">
        <v>MN</v>
      </c>
      <c r="C11" s="36"/>
      <c r="D11" s="36"/>
      <c r="E11" s="36"/>
      <c r="F11" s="37"/>
      <c r="G11" s="38"/>
      <c r="H11" s="38"/>
      <c r="I11" s="37"/>
      <c r="J11" s="50"/>
      <c r="K11" s="71"/>
    </row>
    <row r="12" spans="1:11" ht="15.6">
      <c r="A12" s="44" t="str">
        <v>North Branch - Cornille 2</v>
      </c>
      <c r="B12" s="40" t="str">
        <v>MN</v>
      </c>
      <c r="C12" s="28"/>
      <c r="D12" s="29"/>
      <c r="E12" s="29"/>
      <c r="F12" s="32"/>
      <c r="G12" s="31"/>
      <c r="H12" s="31"/>
      <c r="I12" s="32"/>
      <c r="J12" s="49"/>
      <c r="K12" s="69"/>
    </row>
    <row r="13" spans="1:11" ht="15.6">
      <c r="A13" s="45" t="str">
        <v>Clear Lake - Eastlake Hammer</v>
      </c>
      <c r="B13" s="42" t="str">
        <v>MN</v>
      </c>
      <c r="C13" s="36"/>
      <c r="D13" s="36"/>
      <c r="E13" s="36"/>
      <c r="F13" s="37"/>
      <c r="G13" s="38"/>
      <c r="H13" s="38"/>
      <c r="I13" s="37"/>
      <c r="J13" s="68"/>
      <c r="K13" s="70"/>
    </row>
    <row r="14" spans="1:11" ht="15.6">
      <c r="A14" s="46" t="str">
        <v>Eastlake - Hertzberg CSG 1</v>
      </c>
      <c r="B14" s="40" t="str">
        <v>MN</v>
      </c>
      <c r="C14" s="28"/>
      <c r="D14" s="29"/>
      <c r="E14" s="29"/>
      <c r="F14" s="32"/>
      <c r="G14" s="31"/>
      <c r="H14" s="31"/>
      <c r="I14" s="32"/>
      <c r="J14" s="49"/>
      <c r="K14" s="49"/>
    </row>
    <row r="15" spans="1:11" ht="15.6">
      <c r="A15" s="45" t="str">
        <v>Cokato - Eastlake Laurel Village</v>
      </c>
      <c r="B15" s="42" t="str">
        <v>MN</v>
      </c>
      <c r="C15" s="36"/>
      <c r="D15" s="36"/>
      <c r="E15" s="36"/>
      <c r="F15" s="37"/>
      <c r="G15" s="38"/>
      <c r="H15" s="38"/>
      <c r="I15" s="37"/>
      <c r="J15" s="50"/>
      <c r="K15" s="71"/>
    </row>
    <row r="16" spans="1:11" ht="15.6">
      <c r="A16" s="44" t="str">
        <v>St. Peter - Eastlake Paulson</v>
      </c>
      <c r="B16" s="40" t="str">
        <v>MN</v>
      </c>
      <c r="C16" s="28"/>
      <c r="D16" s="29"/>
      <c r="E16" s="29"/>
      <c r="F16" s="32"/>
      <c r="G16" s="31"/>
      <c r="H16" s="31"/>
      <c r="I16" s="32"/>
      <c r="J16" s="49"/>
      <c r="K16" s="69"/>
    </row>
    <row r="17" spans="1:11" ht="15.6">
      <c r="A17" s="45" t="str">
        <v>Felician Sisters Convent</v>
      </c>
      <c r="B17" s="42" t="str">
        <v>NJ</v>
      </c>
      <c r="C17" s="36"/>
      <c r="D17" s="36"/>
      <c r="E17" s="36"/>
      <c r="F17" s="37"/>
      <c r="G17" s="38"/>
      <c r="H17" s="38"/>
      <c r="I17" s="37"/>
      <c r="J17" s="68"/>
      <c r="K17" s="70"/>
    </row>
    <row r="18" spans="1:11" ht="15.6">
      <c r="A18" s="46" t="str">
        <v>Sussex County Fairgrounds</v>
      </c>
      <c r="B18" s="40" t="str">
        <v>NJ</v>
      </c>
      <c r="C18" s="28"/>
      <c r="D18" s="29"/>
      <c r="E18" s="29"/>
      <c r="F18" s="32"/>
      <c r="G18" s="31"/>
      <c r="H18" s="31"/>
      <c r="I18" s="32"/>
      <c r="J18" s="49"/>
      <c r="K18" s="49"/>
    </row>
    <row r="19" spans="1:11" ht="15.6">
      <c r="A19" s="45" t="str">
        <v>Gateway Church</v>
      </c>
      <c r="B19" s="42" t="str">
        <v>NJ</v>
      </c>
      <c r="C19" s="36"/>
      <c r="D19" s="36"/>
      <c r="E19" s="36"/>
      <c r="F19" s="37"/>
      <c r="G19" s="38"/>
      <c r="H19" s="38"/>
      <c r="I19" s="37"/>
      <c r="J19" s="50"/>
      <c r="K19" s="71"/>
    </row>
    <row r="20" spans="1:11" ht="15.6">
      <c r="A20" s="44" t="str">
        <v>Beaver Falls - Felician Sisters</v>
      </c>
      <c r="B20" s="40" t="str">
        <v>PA</v>
      </c>
      <c r="C20" s="28"/>
      <c r="D20" s="29"/>
      <c r="E20" s="29"/>
      <c r="F20" s="32"/>
      <c r="G20" s="31"/>
      <c r="H20" s="31"/>
      <c r="I20" s="32"/>
      <c r="J20" s="49"/>
      <c r="K20" s="69"/>
    </row>
    <row r="21" spans="1:11" ht="15.6">
      <c r="A21" s="45" t="str">
        <v>Livonia - Felician Sisters Ground</v>
      </c>
      <c r="B21" s="42" t="str">
        <v>MI</v>
      </c>
      <c r="C21" s="36"/>
      <c r="D21" s="36"/>
      <c r="E21" s="36"/>
      <c r="F21" s="37"/>
      <c r="G21" s="38"/>
      <c r="H21" s="38"/>
      <c r="I21" s="37"/>
      <c r="J21" s="68"/>
      <c r="K21" s="70"/>
    </row>
    <row r="22" spans="1:11" ht="15.6">
      <c r="A22" s="46" t="str">
        <v>Livonia - Felician Sisters Roof</v>
      </c>
      <c r="B22" s="40" t="str">
        <v>MI</v>
      </c>
      <c r="C22" s="28"/>
      <c r="D22" s="29"/>
      <c r="E22" s="29"/>
      <c r="F22" s="32"/>
      <c r="G22" s="31"/>
      <c r="H22" s="31"/>
      <c r="I22" s="32"/>
      <c r="J22" s="49"/>
      <c r="K22" s="49"/>
    </row>
    <row r="23" spans="1:11" ht="15.6">
      <c r="A23" s="45" t="str">
        <v>Monmouth Worship Ctr</v>
      </c>
      <c r="B23" s="42" t="str">
        <v>NJ</v>
      </c>
      <c r="C23" s="36"/>
      <c r="D23" s="36"/>
      <c r="E23" s="36"/>
      <c r="F23" s="37"/>
      <c r="G23" s="38"/>
      <c r="H23" s="38"/>
      <c r="I23" s="37"/>
      <c r="J23" s="50"/>
      <c r="K23" s="71"/>
    </row>
    <row r="24" spans="1:11" ht="15.6">
      <c r="A24" s="44" t="str">
        <v xml:space="preserve"> Audubon - Senior Citizens United</v>
      </c>
      <c r="B24" s="40" t="str">
        <v>NJ</v>
      </c>
      <c r="C24" s="28"/>
      <c r="D24" s="29"/>
      <c r="E24" s="29"/>
      <c r="F24" s="32"/>
      <c r="G24" s="31"/>
      <c r="H24" s="31"/>
      <c r="I24" s="32"/>
      <c r="J24" s="49"/>
      <c r="K24" s="69"/>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sheetData>
  <mergeCells count="4">
    <mergeCell ref="D1:F1"/>
    <mergeCell ref="A1:C1"/>
    <mergeCell ref="G1:I1"/>
    <mergeCell ref="A2:B2"/>
  </mergeCells>
  <conditionalFormatting sqref="F2 I2 F4:F78 I4:I78">
    <cfRule type="cellIs" dxfId="26" priority="8" stopIfTrue="1" operator="lessThanOrEqual">
      <formula>-0.1</formula>
    </cfRule>
    <cfRule type="expression" dxfId="25" priority="9">
      <formula>AND(ISNUMBER(F2), F2&gt;=0.1)</formula>
    </cfRule>
  </conditionalFormatting>
  <hyperlinks>
    <hyperlink ref="K4" r:id="rId1" display="https://us3.assetplanner.com/service_request?ID=095368" xr:uid="{B5207AF9-0E3D-4996-A55E-2E1A85C6F34D}"/>
    <hyperlink ref="K5" r:id="rId2" display="https://us3.assetplanner.com/service_request?ID=095501" xr:uid="{B81C90BE-9F0E-4FC5-A606-3FA6193536EC}"/>
    <hyperlink ref="K7" r:id="rId3" display="https://us3.assetplanner.com/service_request?ID=096179" xr:uid="{E3B1486E-D9D5-4C6D-94C2-1FA026C7161E}"/>
  </hyperlinks>
  <pageMargins left="0.4" right="0.7" top="0.25" bottom="0.25" header="0.3" footer="0.3"/>
  <pageSetup fitToHeight="99" orientation="landscape"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workbookViewId="0">
      <pane xSplit="2" ySplit="3" topLeftCell="G27" activePane="bottomRight" state="frozen"/>
      <selection pane="bottomRight" activeCell="G27" sqref="G27"/>
      <selection pane="bottomLeft" activeCell="A14" sqref="A14"/>
      <selection pane="topRight" activeCell="A14" sqref="A14"/>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80.28515625" customWidth="1"/>
    <col min="11" max="11" width="20.5703125" bestFit="1" customWidth="1"/>
  </cols>
  <sheetData>
    <row r="1" spans="1:14" ht="19.5" customHeight="1">
      <c r="A1" s="99" t="str" cm="1">
        <f t="array" ref="A1">portfolio</f>
        <v>Clean Capital</v>
      </c>
      <c r="B1" s="99"/>
      <c r="C1" s="99"/>
      <c r="D1" s="100" t="s">
        <v>28</v>
      </c>
      <c r="E1" s="100"/>
      <c r="F1" s="100"/>
      <c r="G1" s="98" t="s">
        <v>29</v>
      </c>
      <c r="H1" s="98"/>
      <c r="I1" s="98"/>
      <c r="J1" s="4"/>
      <c r="K1" s="4"/>
    </row>
    <row r="2" spans="1:14" ht="19.5" customHeight="1">
      <c r="A2" s="101" t="s">
        <v>2</v>
      </c>
      <c r="B2" s="101"/>
      <c r="C2" s="5">
        <f>SUM(C4:C80)</f>
        <v>65342.145815429685</v>
      </c>
      <c r="D2" s="5">
        <f>SUM(D4:D80)</f>
        <v>0</v>
      </c>
      <c r="E2" s="5">
        <f>C2-D2</f>
        <v>65342.145815429685</v>
      </c>
      <c r="F2" s="6">
        <f>IFERROR(E2/D2, 0)</f>
        <v>0</v>
      </c>
      <c r="G2" s="5">
        <f>SUM(G4:G80)</f>
        <v>50120</v>
      </c>
      <c r="H2" s="7">
        <f>C2-G2</f>
        <v>15222.145815429685</v>
      </c>
      <c r="I2" s="6">
        <f>IFERROR(H2/G2, 0)</f>
        <v>0.30371400270210863</v>
      </c>
      <c r="J2" s="11"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12" t="s">
        <v>3</v>
      </c>
      <c r="B3" s="12" t="s">
        <v>4</v>
      </c>
      <c r="C3" s="19" t="s">
        <v>5</v>
      </c>
      <c r="D3" s="20" t="s">
        <v>6</v>
      </c>
      <c r="E3" s="20" t="s">
        <v>7</v>
      </c>
      <c r="F3" s="21" t="s">
        <v>8</v>
      </c>
      <c r="G3" s="22" t="s">
        <v>9</v>
      </c>
      <c r="H3" s="23" t="s">
        <v>7</v>
      </c>
      <c r="I3" s="24" t="s">
        <v>8</v>
      </c>
      <c r="J3" s="49"/>
      <c r="K3" s="10" t="s">
        <v>21</v>
      </c>
    </row>
    <row r="4" spans="1:14" ht="28.9">
      <c r="A4" s="44" t="str" cm="1">
        <f t="array" ref="A4:A46">Sites[Site]</f>
        <v>Lexington - Cotting School</v>
      </c>
      <c r="B4" s="40" t="str" cm="1">
        <f t="array" ref="B4:B46">Sites[State]</f>
        <v>MA</v>
      </c>
      <c r="C4" s="28">
        <v>7512.56</v>
      </c>
      <c r="D4" s="29">
        <v>0</v>
      </c>
      <c r="E4" s="29">
        <f>IF(AND(ISNUMBER(C4),ISNUMBER(D4)), C4-D4, "")</f>
        <v>7512.56</v>
      </c>
      <c r="F4" s="30" t="str">
        <f>IFERROR(E4/D4, "")</f>
        <v/>
      </c>
      <c r="G4" s="31">
        <v>0</v>
      </c>
      <c r="H4" s="31">
        <f>IF(AND(ISNUMBER(C4),ISNUMBER(G4)), C4-G4, "")</f>
        <v>7512.56</v>
      </c>
      <c r="I4" s="32" t="str">
        <f>IFERROR(H4/G4, "")</f>
        <v/>
      </c>
      <c r="J4" s="49" t="s">
        <v>30</v>
      </c>
      <c r="K4" s="69" t="s">
        <v>31</v>
      </c>
      <c r="L4" s="78" t="s">
        <v>32</v>
      </c>
      <c r="M4" s="79"/>
      <c r="N4" s="79"/>
    </row>
    <row r="5" spans="1:14" ht="100.9">
      <c r="A5" s="45" t="str">
        <v>Pacoima - Whiteman Airport</v>
      </c>
      <c r="B5" s="42" t="str">
        <v>CA</v>
      </c>
      <c r="C5" s="35">
        <v>23461.7</v>
      </c>
      <c r="D5" s="36">
        <v>0</v>
      </c>
      <c r="E5" s="36">
        <f t="shared" ref="E5:E7" si="0">IF(AND(ISNUMBER(C5),ISNUMBER(D5)), C5-D5, "")</f>
        <v>23461.7</v>
      </c>
      <c r="F5" s="37" t="str">
        <f>IFERROR(E5/D5, "")</f>
        <v/>
      </c>
      <c r="G5" s="38">
        <v>34320</v>
      </c>
      <c r="H5" s="38">
        <f t="shared" ref="H5:H7" si="1">IF(AND(ISNUMBER(C5),ISNUMBER(G5)), C5-G5, "")</f>
        <v>-10858.3</v>
      </c>
      <c r="I5" s="37">
        <f t="shared" ref="I5:I7" si="2">IFERROR(H5/G5, "")</f>
        <v>-0.31638403263403259</v>
      </c>
      <c r="J5" s="50" t="s">
        <v>33</v>
      </c>
      <c r="K5" s="77" t="s">
        <v>34</v>
      </c>
      <c r="L5" s="78" t="s">
        <v>35</v>
      </c>
      <c r="M5" s="78" t="s">
        <v>36</v>
      </c>
      <c r="N5" s="79"/>
    </row>
    <row r="6" spans="1:14" ht="15.6">
      <c r="A6" s="44" t="str">
        <v>Hyannis - Sturgis Charter School</v>
      </c>
      <c r="B6" s="40" t="str">
        <v>MA</v>
      </c>
      <c r="C6" s="28">
        <v>16727.085815429688</v>
      </c>
      <c r="D6" s="29">
        <v>0</v>
      </c>
      <c r="E6" s="29">
        <f t="shared" si="0"/>
        <v>16727.085815429688</v>
      </c>
      <c r="F6" s="30" t="str">
        <f t="shared" ref="F6:F7" si="3">IFERROR(E6/D6, "")</f>
        <v/>
      </c>
      <c r="G6" s="31">
        <v>15800</v>
      </c>
      <c r="H6" s="31">
        <f t="shared" si="1"/>
        <v>927.0858154296875</v>
      </c>
      <c r="I6" s="32">
        <f t="shared" si="2"/>
        <v>5.86763174322587E-2</v>
      </c>
      <c r="J6" s="49"/>
      <c r="K6" s="49"/>
      <c r="L6" s="79"/>
      <c r="M6" s="79"/>
      <c r="N6" s="79"/>
    </row>
    <row r="7" spans="1:14" ht="57.6">
      <c r="A7" s="45" t="str">
        <v>South Dennis - Tony Kent Arena</v>
      </c>
      <c r="B7" s="42" t="str">
        <v>MA</v>
      </c>
      <c r="C7" s="35">
        <v>17640.8</v>
      </c>
      <c r="D7" s="36">
        <v>0</v>
      </c>
      <c r="E7" s="36">
        <f t="shared" si="0"/>
        <v>17640.8</v>
      </c>
      <c r="F7" s="37" t="str">
        <f t="shared" si="3"/>
        <v/>
      </c>
      <c r="G7" s="38">
        <v>0</v>
      </c>
      <c r="H7" s="38">
        <f t="shared" si="1"/>
        <v>17640.8</v>
      </c>
      <c r="I7" s="37" t="str">
        <f t="shared" si="2"/>
        <v/>
      </c>
      <c r="J7" s="50" t="s">
        <v>37</v>
      </c>
      <c r="K7" s="70" t="s">
        <v>38</v>
      </c>
      <c r="L7" s="78" t="s">
        <v>39</v>
      </c>
      <c r="M7" s="79"/>
      <c r="N7" s="79"/>
    </row>
    <row r="8" spans="1:14" ht="15.6">
      <c r="A8" s="44" t="str">
        <v xml:space="preserve"> Caropolis - Felician Sisters</v>
      </c>
      <c r="B8" s="40" t="str">
        <v>PA</v>
      </c>
      <c r="C8" s="28"/>
      <c r="D8" s="29"/>
      <c r="E8" s="29"/>
      <c r="F8" s="30"/>
      <c r="G8" s="31"/>
      <c r="H8" s="31"/>
      <c r="I8" s="32"/>
      <c r="J8" s="49"/>
      <c r="K8" s="49"/>
    </row>
    <row r="9" spans="1:14" ht="15.6">
      <c r="A9" s="45" t="str">
        <v>Clear Lake - Eastlake Gohman</v>
      </c>
      <c r="B9" s="42" t="str">
        <v>MN</v>
      </c>
      <c r="C9" s="35"/>
      <c r="D9" s="36"/>
      <c r="E9" s="36"/>
      <c r="F9" s="37"/>
      <c r="G9" s="38"/>
      <c r="H9" s="38"/>
      <c r="I9" s="37"/>
      <c r="J9" s="50"/>
      <c r="K9" s="68"/>
    </row>
    <row r="10" spans="1:14" ht="15.6">
      <c r="A10" s="44" t="str">
        <v>Zumbrota - Eastlake Brenda Luhman</v>
      </c>
      <c r="B10" s="40" t="str">
        <v>MN</v>
      </c>
      <c r="C10" s="28"/>
      <c r="D10" s="29"/>
      <c r="E10" s="29"/>
      <c r="F10" s="30"/>
      <c r="G10" s="31"/>
      <c r="H10" s="31"/>
      <c r="I10" s="32"/>
      <c r="J10" s="49"/>
      <c r="K10" s="49"/>
    </row>
    <row r="11" spans="1:14" ht="15.6">
      <c r="A11" s="45" t="str">
        <v>Cokato - Eastlake Carlson</v>
      </c>
      <c r="B11" s="42" t="str">
        <v>MN</v>
      </c>
      <c r="C11" s="35"/>
      <c r="D11" s="36"/>
      <c r="E11" s="36"/>
      <c r="F11" s="37"/>
      <c r="G11" s="38"/>
      <c r="H11" s="38"/>
      <c r="I11" s="37"/>
      <c r="J11" s="50"/>
      <c r="K11" s="68"/>
    </row>
    <row r="12" spans="1:14" ht="15.6">
      <c r="A12" s="44" t="str">
        <v>North Branch - Cornille 2</v>
      </c>
      <c r="B12" s="40" t="str">
        <v>MN</v>
      </c>
      <c r="C12" s="28"/>
      <c r="D12" s="29"/>
      <c r="E12" s="29"/>
      <c r="F12" s="30"/>
      <c r="G12" s="31"/>
      <c r="H12" s="31"/>
      <c r="I12" s="32"/>
      <c r="J12" s="49"/>
      <c r="K12" s="49"/>
    </row>
    <row r="13" spans="1:14" ht="15.6">
      <c r="A13" s="45" t="str">
        <v>Clear Lake - Eastlake Hammer</v>
      </c>
      <c r="B13" s="42" t="str">
        <v>MN</v>
      </c>
      <c r="C13" s="35"/>
      <c r="D13" s="36"/>
      <c r="E13" s="36"/>
      <c r="F13" s="37"/>
      <c r="G13" s="38"/>
      <c r="H13" s="38"/>
      <c r="I13" s="37"/>
      <c r="J13" s="50"/>
      <c r="K13" s="68"/>
    </row>
    <row r="14" spans="1:14" ht="15.6">
      <c r="A14" s="44" t="str">
        <v>Eastlake - Hertzberg CSG 1</v>
      </c>
      <c r="B14" s="40" t="str">
        <v>MN</v>
      </c>
      <c r="C14" s="28"/>
      <c r="D14" s="29"/>
      <c r="E14" s="29"/>
      <c r="F14" s="30"/>
      <c r="G14" s="31"/>
      <c r="H14" s="31"/>
      <c r="I14" s="32"/>
      <c r="J14" s="49"/>
      <c r="K14" s="49"/>
    </row>
    <row r="15" spans="1:14" ht="15.6">
      <c r="A15" s="45" t="str">
        <v>Cokato - Eastlake Laurel Village</v>
      </c>
      <c r="B15" s="42" t="str">
        <v>MN</v>
      </c>
      <c r="C15" s="35"/>
      <c r="D15" s="36"/>
      <c r="E15" s="36"/>
      <c r="F15" s="37"/>
      <c r="G15" s="38"/>
      <c r="H15" s="38"/>
      <c r="I15" s="37"/>
      <c r="J15" s="50"/>
      <c r="K15" s="68"/>
    </row>
    <row r="16" spans="1:14" ht="15.6">
      <c r="A16" s="44" t="str">
        <v>St. Peter - Eastlake Paulson</v>
      </c>
      <c r="B16" s="40" t="str">
        <v>MN</v>
      </c>
      <c r="C16" s="28"/>
      <c r="D16" s="29"/>
      <c r="E16" s="29"/>
      <c r="F16" s="30"/>
      <c r="G16" s="31"/>
      <c r="H16" s="31"/>
      <c r="I16" s="32"/>
      <c r="J16" s="49"/>
      <c r="K16" s="49"/>
    </row>
    <row r="17" spans="1:11" ht="15.6">
      <c r="A17" s="45" t="str">
        <v>Felician Sisters Convent</v>
      </c>
      <c r="B17" s="42" t="str">
        <v>NJ</v>
      </c>
      <c r="C17" s="35"/>
      <c r="D17" s="36"/>
      <c r="E17" s="36"/>
      <c r="F17" s="37"/>
      <c r="G17" s="38"/>
      <c r="H17" s="38"/>
      <c r="I17" s="37"/>
      <c r="J17" s="50"/>
      <c r="K17" s="68"/>
    </row>
    <row r="18" spans="1:11" ht="15.6">
      <c r="A18" s="44" t="str">
        <v>Sussex County Fairgrounds</v>
      </c>
      <c r="B18" s="40" t="str">
        <v>NJ</v>
      </c>
      <c r="C18" s="28"/>
      <c r="D18" s="29"/>
      <c r="E18" s="29"/>
      <c r="F18" s="30"/>
      <c r="G18" s="31"/>
      <c r="H18" s="31"/>
      <c r="I18" s="32"/>
      <c r="J18" s="49"/>
      <c r="K18" s="49"/>
    </row>
    <row r="19" spans="1:11" ht="15.6">
      <c r="A19" s="45" t="str">
        <v>Gateway Church</v>
      </c>
      <c r="B19" s="42" t="str">
        <v>NJ</v>
      </c>
      <c r="C19" s="35"/>
      <c r="D19" s="36"/>
      <c r="E19" s="36"/>
      <c r="F19" s="37"/>
      <c r="G19" s="38"/>
      <c r="H19" s="38"/>
      <c r="I19" s="37"/>
      <c r="J19" s="50"/>
      <c r="K19" s="68"/>
    </row>
    <row r="20" spans="1:11" ht="15.6">
      <c r="A20" s="44" t="str">
        <v>Beaver Falls - Felician Sisters</v>
      </c>
      <c r="B20" s="40" t="str">
        <v>PA</v>
      </c>
      <c r="C20" s="28"/>
      <c r="D20" s="29"/>
      <c r="E20" s="29"/>
      <c r="F20" s="30"/>
      <c r="G20" s="31"/>
      <c r="H20" s="31"/>
      <c r="I20" s="32"/>
      <c r="J20" s="49"/>
      <c r="K20" s="49"/>
    </row>
    <row r="21" spans="1:11" ht="15.6">
      <c r="A21" s="45" t="str">
        <v>Livonia - Felician Sisters Ground</v>
      </c>
      <c r="B21" s="42" t="str">
        <v>MI</v>
      </c>
      <c r="C21" s="35"/>
      <c r="D21" s="36"/>
      <c r="E21" s="36"/>
      <c r="F21" s="37"/>
      <c r="G21" s="38"/>
      <c r="H21" s="38"/>
      <c r="I21" s="37"/>
      <c r="J21" s="50"/>
      <c r="K21" s="68"/>
    </row>
    <row r="22" spans="1:11" ht="15.6">
      <c r="A22" s="44" t="str">
        <v>Livonia - Felician Sisters Roof</v>
      </c>
      <c r="B22" s="40" t="str">
        <v>MI</v>
      </c>
      <c r="C22" s="28"/>
      <c r="D22" s="29"/>
      <c r="E22" s="29"/>
      <c r="F22" s="30"/>
      <c r="G22" s="31"/>
      <c r="H22" s="31"/>
      <c r="I22" s="32"/>
      <c r="J22" s="49"/>
      <c r="K22" s="49"/>
    </row>
    <row r="23" spans="1:11" ht="15.6">
      <c r="A23" s="45" t="str">
        <v>Monmouth Worship Ctr</v>
      </c>
      <c r="B23" s="42" t="str">
        <v>NJ</v>
      </c>
      <c r="C23" s="35"/>
      <c r="D23" s="36"/>
      <c r="E23" s="36"/>
      <c r="F23" s="37"/>
      <c r="G23" s="38"/>
      <c r="H23" s="38"/>
      <c r="I23" s="37"/>
      <c r="J23" s="50"/>
      <c r="K23" s="68"/>
    </row>
    <row r="24" spans="1:11" ht="15.6">
      <c r="A24" s="44" t="str">
        <v xml:space="preserve"> Audubon - Senior Citizens United</v>
      </c>
      <c r="B24" s="40" t="str">
        <v>NJ</v>
      </c>
      <c r="C24" s="28"/>
      <c r="D24" s="29"/>
      <c r="E24" s="29"/>
      <c r="F24" s="30"/>
      <c r="G24" s="31"/>
      <c r="H24" s="31"/>
      <c r="I24" s="32"/>
      <c r="J24" s="49"/>
      <c r="K24" s="49"/>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C322" s="8"/>
      <c r="D322" s="8"/>
      <c r="E322" s="8"/>
      <c r="F322" s="9"/>
      <c r="G322" s="8"/>
      <c r="H322" s="8"/>
      <c r="I322" s="9"/>
      <c r="J322" s="8"/>
      <c r="K322" s="8"/>
    </row>
  </sheetData>
  <mergeCells count="4">
    <mergeCell ref="G1:I1"/>
    <mergeCell ref="A1:C1"/>
    <mergeCell ref="D1:F1"/>
    <mergeCell ref="A2:B2"/>
  </mergeCells>
  <phoneticPr fontId="5" type="noConversion"/>
  <conditionalFormatting sqref="F2 I2 F4:F80 I4:I80">
    <cfRule type="cellIs" dxfId="24" priority="3" stopIfTrue="1" operator="lessThanOrEqual">
      <formula>-0.1</formula>
    </cfRule>
    <cfRule type="expression" dxfId="23" priority="4">
      <formula>AND(ISNUMBER(F2), F2&gt;=0.1)</formula>
    </cfRule>
  </conditionalFormatting>
  <hyperlinks>
    <hyperlink ref="K4" r:id="rId1" display="https://us3.assetplanner.com/service_request?ID=095368" xr:uid="{53DB68D7-5E05-4603-B061-9F52F8E02F18}"/>
    <hyperlink ref="L4" r:id="rId2" display="https://us3.assetplanner.com/service_request?ID=097850" xr:uid="{C9F325E2-3281-4180-938D-C43389948958}"/>
    <hyperlink ref="K5" r:id="rId3" display="https://us3.assetplanner.com/service_request?ID=096409" xr:uid="{5802BF7E-22DA-43ED-8E60-D4085977B190}"/>
    <hyperlink ref="L5" r:id="rId4" display="https://us3.assetplanner.com/service_request?ID=097783" xr:uid="{AA14C007-EAF5-4092-A648-1083FCA42634}"/>
    <hyperlink ref="M5" r:id="rId5" display="https://us3.assetplanner.com/service_request?ID=095501" xr:uid="{0A2AA9BB-E8C3-4BC5-A2C5-9CC8B3BC0DA4}"/>
    <hyperlink ref="K7" r:id="rId6" display="https://us3.assetplanner.com/service_request?ID=096179" xr:uid="{311FA8EB-4318-4390-91BD-F9EAC4391EC3}"/>
    <hyperlink ref="L7" r:id="rId7" display="https://us3.assetplanner.com/service_request?ID=096262" xr:uid="{451301DD-CBD4-4BE0-BB9D-B0B746A0FBBA}"/>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27"/>
  <sheetViews>
    <sheetView zoomScale="80" zoomScaleNormal="80" workbookViewId="0">
      <pane xSplit="2" ySplit="3" topLeftCell="C19" activePane="bottomRight" state="frozen"/>
      <selection pane="bottomRight" activeCell="C21" sqref="C21"/>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4.85546875" bestFit="1" customWidth="1"/>
    <col min="11" max="11" width="20.5703125" bestFit="1" customWidth="1"/>
  </cols>
  <sheetData>
    <row r="1" spans="1:16" ht="19.5" customHeight="1">
      <c r="A1" s="99" t="str" cm="1">
        <f t="array" ref="A1">portfolio</f>
        <v>Clean Capital</v>
      </c>
      <c r="B1" s="99"/>
      <c r="C1" s="99"/>
      <c r="D1" s="100" t="s">
        <v>40</v>
      </c>
      <c r="E1" s="100"/>
      <c r="F1" s="100"/>
      <c r="G1" s="98" t="s">
        <v>41</v>
      </c>
      <c r="H1" s="98"/>
      <c r="I1" s="98"/>
      <c r="J1" s="4"/>
      <c r="K1" s="4"/>
    </row>
    <row r="2" spans="1:16" ht="19.5" customHeight="1">
      <c r="A2" s="101" t="s">
        <v>2</v>
      </c>
      <c r="B2" s="101"/>
      <c r="C2" s="5">
        <f>SUM(C4:C85)</f>
        <v>1710215.56534</v>
      </c>
      <c r="D2" s="5">
        <f>SUM(D4:D85)</f>
        <v>0</v>
      </c>
      <c r="E2" s="5">
        <f>C2-D2</f>
        <v>1710215.56534</v>
      </c>
      <c r="F2" s="6">
        <f>IFERROR(E2/D2, 0)</f>
        <v>0</v>
      </c>
      <c r="G2" s="5">
        <f>SUM(G4:G85)</f>
        <v>1440240.2</v>
      </c>
      <c r="H2" s="7">
        <f>C2-G2</f>
        <v>269975.36534000002</v>
      </c>
      <c r="I2" s="6">
        <f>IFERROR(H2/G2, 0)</f>
        <v>0.18745162462483692</v>
      </c>
      <c r="J2" s="11"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12" t="s">
        <v>3</v>
      </c>
      <c r="B3" s="12" t="s">
        <v>4</v>
      </c>
      <c r="C3" s="19" t="s">
        <v>5</v>
      </c>
      <c r="D3" s="20" t="s">
        <v>6</v>
      </c>
      <c r="E3" s="20" t="s">
        <v>7</v>
      </c>
      <c r="F3" s="21" t="s">
        <v>8</v>
      </c>
      <c r="G3" s="22" t="s">
        <v>9</v>
      </c>
      <c r="H3" s="23" t="s">
        <v>7</v>
      </c>
      <c r="I3" s="24" t="s">
        <v>8</v>
      </c>
      <c r="J3" s="10" t="s">
        <v>42</v>
      </c>
      <c r="K3" s="10" t="s">
        <v>21</v>
      </c>
    </row>
    <row r="4" spans="1:16" ht="43.15">
      <c r="A4" s="44" t="str" cm="1">
        <f t="array" ref="A4:A46">Sites[Site]</f>
        <v>Lexington - Cotting School</v>
      </c>
      <c r="B4" s="40" t="str" cm="1">
        <f t="array" ref="B4:B46">Sites[State]</f>
        <v>MA</v>
      </c>
      <c r="C4" s="28">
        <v>27815.040000000001</v>
      </c>
      <c r="D4" s="29" t="s">
        <v>43</v>
      </c>
      <c r="E4" s="29" t="str">
        <f>IF(AND(ISNUMBER(C4),ISNUMBER(D4)), C4-D4, "")</f>
        <v/>
      </c>
      <c r="F4" s="30" t="str">
        <f>IFERROR(E4/D4, "")</f>
        <v/>
      </c>
      <c r="G4" s="75" t="s">
        <v>43</v>
      </c>
      <c r="H4" s="31" t="str">
        <f>IF(AND(ISNUMBER(C4),ISNUMBER(G4)), C4-G4, "")</f>
        <v/>
      </c>
      <c r="I4" s="32" t="str">
        <f>IFERROR(H4/G4, "")</f>
        <v/>
      </c>
      <c r="J4" s="53" t="s">
        <v>44</v>
      </c>
      <c r="K4" s="80" t="s">
        <v>31</v>
      </c>
      <c r="L4" s="78" t="s">
        <v>32</v>
      </c>
      <c r="M4" s="83"/>
      <c r="N4" s="79"/>
      <c r="O4" s="79"/>
      <c r="P4" s="79"/>
    </row>
    <row r="5" spans="1:16" ht="178.5" customHeight="1">
      <c r="A5" s="45" t="str">
        <v>Pacoima - Whiteman Airport</v>
      </c>
      <c r="B5" s="42" t="str">
        <v>CA</v>
      </c>
      <c r="C5" s="35">
        <v>20209.2</v>
      </c>
      <c r="D5" s="36" t="s">
        <v>43</v>
      </c>
      <c r="E5" s="36" t="str">
        <f t="shared" ref="E5:E11" si="0">IF(AND(ISNUMBER(C5),ISNUMBER(D5)), C5-D5, "")</f>
        <v/>
      </c>
      <c r="F5" s="37" t="str">
        <f>IFERROR(E5/D5, "")</f>
        <v/>
      </c>
      <c r="G5" s="38">
        <v>45760</v>
      </c>
      <c r="H5" s="38">
        <f t="shared" ref="H5:H11" si="1">IF(AND(ISNUMBER(C5),ISNUMBER(G5)), C5-G5, "")</f>
        <v>-25550.799999999999</v>
      </c>
      <c r="I5" s="37">
        <f t="shared" ref="I5:I11" si="2">IFERROR(H5/G5, "")</f>
        <v>-0.55836538461538465</v>
      </c>
      <c r="J5" s="54" t="s">
        <v>45</v>
      </c>
      <c r="K5" s="77" t="s">
        <v>46</v>
      </c>
      <c r="L5" s="78" t="s">
        <v>47</v>
      </c>
      <c r="M5" s="84" t="s">
        <v>48</v>
      </c>
      <c r="N5" s="78" t="s">
        <v>49</v>
      </c>
      <c r="O5" s="78" t="s">
        <v>35</v>
      </c>
      <c r="P5" s="78" t="s">
        <v>50</v>
      </c>
    </row>
    <row r="6" spans="1:16" ht="15.6">
      <c r="A6" s="46" t="str">
        <v>Hyannis - Sturgis Charter School</v>
      </c>
      <c r="B6" s="40" t="str">
        <v>MA</v>
      </c>
      <c r="C6" s="28">
        <v>26110.79394</v>
      </c>
      <c r="D6" s="29" t="s">
        <v>43</v>
      </c>
      <c r="E6" s="29" t="str">
        <f t="shared" si="0"/>
        <v/>
      </c>
      <c r="F6" s="30" t="str">
        <f t="shared" ref="F6:F11" si="3">IFERROR(E6/D6, "")</f>
        <v/>
      </c>
      <c r="G6" s="31">
        <v>27010</v>
      </c>
      <c r="H6" s="31">
        <f t="shared" si="1"/>
        <v>-899.20606000000043</v>
      </c>
      <c r="I6" s="32">
        <f t="shared" si="2"/>
        <v>-3.3291597926693832E-2</v>
      </c>
      <c r="J6" s="53"/>
      <c r="K6" s="53"/>
      <c r="L6" s="79"/>
      <c r="M6" s="83"/>
      <c r="N6" s="79"/>
      <c r="O6" s="79"/>
      <c r="P6" s="79"/>
    </row>
    <row r="7" spans="1:16" ht="57.6">
      <c r="A7" s="45" t="str">
        <v>South Dennis - Tony Kent Arena</v>
      </c>
      <c r="B7" s="42" t="str">
        <v>MA</v>
      </c>
      <c r="C7" s="35">
        <v>30514.080000000002</v>
      </c>
      <c r="D7" s="36" t="s">
        <v>43</v>
      </c>
      <c r="E7" s="36" t="str">
        <f t="shared" si="0"/>
        <v/>
      </c>
      <c r="F7" s="37" t="str">
        <f t="shared" si="3"/>
        <v/>
      </c>
      <c r="G7" s="76" t="s">
        <v>43</v>
      </c>
      <c r="H7" s="38" t="str">
        <f t="shared" si="1"/>
        <v/>
      </c>
      <c r="I7" s="37" t="str">
        <f t="shared" si="2"/>
        <v/>
      </c>
      <c r="J7" s="60" t="s">
        <v>51</v>
      </c>
      <c r="K7" s="77" t="s">
        <v>52</v>
      </c>
      <c r="L7" s="78" t="s">
        <v>53</v>
      </c>
      <c r="M7" s="83"/>
      <c r="N7" s="79"/>
      <c r="O7" s="79"/>
      <c r="P7" s="79"/>
    </row>
    <row r="8" spans="1:16" ht="15.6">
      <c r="A8" s="46" t="str">
        <v xml:space="preserve"> Caropolis - Felician Sisters</v>
      </c>
      <c r="B8" s="40" t="str">
        <v>PA</v>
      </c>
      <c r="C8" s="28">
        <v>51053.4</v>
      </c>
      <c r="D8" s="29" t="s">
        <v>43</v>
      </c>
      <c r="E8" s="29" t="str">
        <f t="shared" si="0"/>
        <v/>
      </c>
      <c r="F8" s="30" t="str">
        <f t="shared" si="3"/>
        <v/>
      </c>
      <c r="G8" s="31"/>
      <c r="H8" s="31" t="str">
        <f t="shared" si="1"/>
        <v/>
      </c>
      <c r="I8" s="32" t="str">
        <f t="shared" si="2"/>
        <v/>
      </c>
      <c r="J8" s="53" t="s">
        <v>54</v>
      </c>
      <c r="K8" s="81" t="s">
        <v>55</v>
      </c>
      <c r="L8" s="79"/>
      <c r="M8" s="83"/>
      <c r="N8" s="79"/>
      <c r="O8" s="79"/>
      <c r="P8" s="79"/>
    </row>
    <row r="9" spans="1:16" ht="15.6">
      <c r="A9" s="45" t="str">
        <v>Clear Lake - Eastlake Gohman</v>
      </c>
      <c r="B9" s="42" t="str">
        <v>MN</v>
      </c>
      <c r="C9" s="35">
        <v>174810</v>
      </c>
      <c r="D9" s="36" t="s">
        <v>43</v>
      </c>
      <c r="E9" s="36" t="str">
        <f t="shared" si="0"/>
        <v/>
      </c>
      <c r="F9" s="37" t="str">
        <f t="shared" si="3"/>
        <v/>
      </c>
      <c r="G9" s="38">
        <v>155938.5</v>
      </c>
      <c r="H9" s="38">
        <f t="shared" si="1"/>
        <v>18871.5</v>
      </c>
      <c r="I9" s="37">
        <f t="shared" si="2"/>
        <v>0.12101886320568686</v>
      </c>
      <c r="J9" s="54"/>
      <c r="K9" s="55"/>
      <c r="L9" s="79"/>
      <c r="M9" s="83"/>
      <c r="N9" s="79"/>
      <c r="O9" s="79"/>
      <c r="P9" s="79"/>
    </row>
    <row r="10" spans="1:16" ht="21" customHeight="1">
      <c r="A10" s="46" t="str">
        <v>Zumbrota - Eastlake Brenda Luhman</v>
      </c>
      <c r="B10" s="40" t="str">
        <v>MN</v>
      </c>
      <c r="C10" s="28">
        <v>179285.1269</v>
      </c>
      <c r="D10" s="29" t="s">
        <v>43</v>
      </c>
      <c r="E10" s="29" t="str">
        <f t="shared" si="0"/>
        <v/>
      </c>
      <c r="F10" s="30" t="str">
        <f t="shared" si="3"/>
        <v/>
      </c>
      <c r="G10" s="31">
        <v>161850.1</v>
      </c>
      <c r="H10" s="31">
        <f t="shared" si="1"/>
        <v>17435.026899999997</v>
      </c>
      <c r="I10" s="32">
        <f t="shared" si="2"/>
        <v>0.10772330014006785</v>
      </c>
      <c r="J10" s="53"/>
      <c r="K10" s="53"/>
      <c r="L10" s="79"/>
      <c r="M10" s="83"/>
      <c r="N10" s="79"/>
      <c r="O10" s="79"/>
      <c r="P10" s="79"/>
    </row>
    <row r="11" spans="1:16" ht="68.25" customHeight="1">
      <c r="A11" s="45" t="str">
        <v>Cokato - Eastlake Carlson</v>
      </c>
      <c r="B11" s="42" t="str">
        <v>MN</v>
      </c>
      <c r="C11" s="35">
        <v>147025.48420000001</v>
      </c>
      <c r="D11" s="36" t="s">
        <v>43</v>
      </c>
      <c r="E11" s="36" t="str">
        <f t="shared" si="0"/>
        <v/>
      </c>
      <c r="F11" s="37" t="str">
        <f t="shared" si="3"/>
        <v/>
      </c>
      <c r="G11" s="38">
        <v>189506</v>
      </c>
      <c r="H11" s="38">
        <f t="shared" si="1"/>
        <v>-42480.515799999994</v>
      </c>
      <c r="I11" s="37">
        <f t="shared" si="2"/>
        <v>-0.22416448977868772</v>
      </c>
      <c r="J11" s="60" t="s">
        <v>56</v>
      </c>
      <c r="K11" s="77" t="s">
        <v>57</v>
      </c>
      <c r="L11" s="78" t="s">
        <v>58</v>
      </c>
      <c r="M11" s="83"/>
      <c r="N11" s="79"/>
      <c r="O11" s="79"/>
      <c r="P11" s="79"/>
    </row>
    <row r="12" spans="1:16" ht="87.75" customHeight="1">
      <c r="A12" s="46" t="str">
        <v>North Branch - Cornille 2</v>
      </c>
      <c r="B12" s="40" t="str">
        <v>MN</v>
      </c>
      <c r="C12" s="28">
        <v>142625</v>
      </c>
      <c r="D12" s="29" t="s">
        <v>43</v>
      </c>
      <c r="E12" s="29" t="str">
        <f t="shared" ref="E12:E24" si="4">IF(AND(ISNUMBER(C12),ISNUMBER(D12)), C12-D12, "")</f>
        <v/>
      </c>
      <c r="F12" s="30" t="str">
        <f t="shared" ref="F12:F24" si="5">IFERROR(E12/D12, "")</f>
        <v/>
      </c>
      <c r="G12" s="31">
        <v>156749.79999999999</v>
      </c>
      <c r="H12" s="31">
        <f t="shared" ref="H12:H24" si="6">IF(AND(ISNUMBER(C12),ISNUMBER(G12)), C12-G12, "")</f>
        <v>-14124.799999999988</v>
      </c>
      <c r="I12" s="32">
        <f t="shared" ref="I12:I24" si="7">IFERROR(H12/G12, "")</f>
        <v>-9.0110481799657735E-2</v>
      </c>
      <c r="J12" s="62" t="s">
        <v>59</v>
      </c>
      <c r="K12" s="80" t="s">
        <v>60</v>
      </c>
      <c r="L12" s="78" t="s">
        <v>61</v>
      </c>
      <c r="M12" s="84" t="s">
        <v>62</v>
      </c>
      <c r="N12" s="79"/>
      <c r="O12" s="79"/>
      <c r="P12" s="79"/>
    </row>
    <row r="13" spans="1:16" ht="64.5" customHeight="1">
      <c r="A13" s="45" t="str">
        <v>Clear Lake - Eastlake Hammer</v>
      </c>
      <c r="B13" s="42" t="str">
        <v>MN</v>
      </c>
      <c r="C13" s="35">
        <v>196603.0325</v>
      </c>
      <c r="D13" s="36" t="s">
        <v>43</v>
      </c>
      <c r="E13" s="36" t="str">
        <f t="shared" si="4"/>
        <v/>
      </c>
      <c r="F13" s="37" t="str">
        <f t="shared" si="5"/>
        <v/>
      </c>
      <c r="G13" s="38">
        <v>181153.8</v>
      </c>
      <c r="H13" s="38">
        <f t="shared" si="6"/>
        <v>15449.232500000013</v>
      </c>
      <c r="I13" s="37">
        <f t="shared" si="7"/>
        <v>8.5282409201463141E-2</v>
      </c>
      <c r="J13" s="54" t="s">
        <v>63</v>
      </c>
      <c r="K13" s="77" t="s">
        <v>64</v>
      </c>
      <c r="L13" s="78" t="s">
        <v>65</v>
      </c>
      <c r="M13" s="83"/>
      <c r="N13" s="79"/>
      <c r="O13" s="79"/>
      <c r="P13" s="79"/>
    </row>
    <row r="14" spans="1:16" ht="27.75" customHeight="1">
      <c r="A14" s="46" t="str">
        <v>Eastlake - Hertzberg CSG 1</v>
      </c>
      <c r="B14" s="40" t="str">
        <v>MN</v>
      </c>
      <c r="C14" s="28">
        <v>178773.26439999999</v>
      </c>
      <c r="D14" s="29" t="s">
        <v>43</v>
      </c>
      <c r="E14" s="29" t="str">
        <f t="shared" si="4"/>
        <v/>
      </c>
      <c r="F14" s="30" t="str">
        <f t="shared" si="5"/>
        <v/>
      </c>
      <c r="G14" s="31">
        <v>179090.7</v>
      </c>
      <c r="H14" s="31">
        <f t="shared" si="6"/>
        <v>-317.43560000002617</v>
      </c>
      <c r="I14" s="32">
        <f t="shared" si="7"/>
        <v>-1.7724851150842905E-3</v>
      </c>
      <c r="J14" s="62" t="s">
        <v>66</v>
      </c>
      <c r="K14" s="80" t="s">
        <v>67</v>
      </c>
      <c r="L14" s="79"/>
      <c r="M14" s="83"/>
      <c r="N14" s="79"/>
      <c r="O14" s="79"/>
      <c r="P14" s="79"/>
    </row>
    <row r="15" spans="1:16" ht="51" customHeight="1">
      <c r="A15" s="45" t="str">
        <v>Cokato - Eastlake Laurel Village</v>
      </c>
      <c r="B15" s="42" t="str">
        <v>MN</v>
      </c>
      <c r="C15" s="35">
        <v>192745.31390000001</v>
      </c>
      <c r="D15" s="36" t="s">
        <v>43</v>
      </c>
      <c r="E15" s="36" t="str">
        <f t="shared" si="4"/>
        <v/>
      </c>
      <c r="F15" s="37" t="str">
        <f t="shared" si="5"/>
        <v/>
      </c>
      <c r="G15" s="38">
        <v>177944.7</v>
      </c>
      <c r="H15" s="38">
        <f t="shared" si="6"/>
        <v>14800.613899999997</v>
      </c>
      <c r="I15" s="37">
        <f t="shared" si="7"/>
        <v>8.3175356725994062E-2</v>
      </c>
      <c r="J15" s="60" t="s">
        <v>68</v>
      </c>
      <c r="K15" s="77" t="s">
        <v>69</v>
      </c>
      <c r="L15" s="78" t="s">
        <v>70</v>
      </c>
      <c r="M15" s="83"/>
      <c r="N15" s="79"/>
      <c r="O15" s="79"/>
      <c r="P15" s="79"/>
    </row>
    <row r="16" spans="1:16" ht="21" customHeight="1">
      <c r="A16" s="46" t="str">
        <v>St. Peter - Eastlake Paulson</v>
      </c>
      <c r="B16" s="40" t="str">
        <v>MN</v>
      </c>
      <c r="C16" s="28">
        <v>167620.9295</v>
      </c>
      <c r="D16" s="29" t="s">
        <v>43</v>
      </c>
      <c r="E16" s="29" t="str">
        <f t="shared" si="4"/>
        <v/>
      </c>
      <c r="F16" s="30" t="str">
        <f t="shared" si="5"/>
        <v/>
      </c>
      <c r="G16" s="31">
        <v>165236.6</v>
      </c>
      <c r="H16" s="31">
        <f t="shared" si="6"/>
        <v>2384.3294999999925</v>
      </c>
      <c r="I16" s="32">
        <f t="shared" si="7"/>
        <v>1.4429790373319182E-2</v>
      </c>
      <c r="J16" s="62"/>
      <c r="K16" s="53"/>
      <c r="L16" s="79"/>
      <c r="M16" s="83"/>
      <c r="N16" s="79"/>
      <c r="O16" s="79"/>
      <c r="P16" s="79"/>
    </row>
    <row r="17" spans="1:16" ht="16.5" customHeight="1">
      <c r="A17" s="45" t="str">
        <v>Felician Sisters Convent</v>
      </c>
      <c r="B17" s="42" t="str">
        <v>NJ</v>
      </c>
      <c r="C17" s="35">
        <v>34597.199999999997</v>
      </c>
      <c r="D17" s="36" t="s">
        <v>43</v>
      </c>
      <c r="E17" s="36" t="str">
        <f t="shared" si="4"/>
        <v/>
      </c>
      <c r="F17" s="37" t="str">
        <f t="shared" si="5"/>
        <v/>
      </c>
      <c r="G17" s="38"/>
      <c r="H17" s="38" t="str">
        <f t="shared" si="6"/>
        <v/>
      </c>
      <c r="I17" s="37" t="str">
        <f t="shared" si="7"/>
        <v/>
      </c>
      <c r="J17" s="54" t="s">
        <v>71</v>
      </c>
      <c r="K17" s="82" t="s">
        <v>72</v>
      </c>
      <c r="L17" s="79"/>
      <c r="M17" s="83"/>
      <c r="N17" s="79"/>
      <c r="O17" s="79"/>
      <c r="P17" s="79"/>
    </row>
    <row r="18" spans="1:16" ht="59.25" customHeight="1">
      <c r="A18" s="46" t="str">
        <v>Sussex County Fairgrounds</v>
      </c>
      <c r="B18" s="40" t="str">
        <v>NJ</v>
      </c>
      <c r="C18" s="28">
        <v>44370</v>
      </c>
      <c r="D18" s="29" t="s">
        <v>43</v>
      </c>
      <c r="E18" s="29" t="str">
        <f t="shared" si="4"/>
        <v/>
      </c>
      <c r="F18" s="30" t="str">
        <f t="shared" si="5"/>
        <v/>
      </c>
      <c r="G18" s="75" t="s">
        <v>43</v>
      </c>
      <c r="H18" s="31" t="str">
        <f t="shared" si="6"/>
        <v/>
      </c>
      <c r="I18" s="32" t="str">
        <f t="shared" si="7"/>
        <v/>
      </c>
      <c r="J18" s="62" t="s">
        <v>73</v>
      </c>
      <c r="K18" s="80" t="s">
        <v>74</v>
      </c>
      <c r="L18" s="79"/>
      <c r="M18" s="83"/>
      <c r="N18" s="79"/>
      <c r="O18" s="79"/>
      <c r="P18" s="79"/>
    </row>
    <row r="19" spans="1:16" ht="85.5" customHeight="1">
      <c r="A19" s="45" t="str">
        <v>Gateway Church</v>
      </c>
      <c r="B19" s="42" t="str">
        <v>NJ</v>
      </c>
      <c r="C19" s="35">
        <v>26234</v>
      </c>
      <c r="D19" s="36" t="s">
        <v>43</v>
      </c>
      <c r="E19" s="36" t="str">
        <f t="shared" si="4"/>
        <v/>
      </c>
      <c r="F19" s="37" t="str">
        <f t="shared" si="5"/>
        <v/>
      </c>
      <c r="G19" s="76" t="s">
        <v>43</v>
      </c>
      <c r="H19" s="38" t="str">
        <f t="shared" si="6"/>
        <v/>
      </c>
      <c r="I19" s="37" t="str">
        <f t="shared" si="7"/>
        <v/>
      </c>
      <c r="J19" s="60" t="s">
        <v>75</v>
      </c>
      <c r="K19" s="77" t="s">
        <v>76</v>
      </c>
      <c r="L19" s="78" t="s">
        <v>77</v>
      </c>
      <c r="M19" s="83"/>
      <c r="N19" s="79"/>
      <c r="O19" s="79"/>
      <c r="P19" s="79"/>
    </row>
    <row r="20" spans="1:16" ht="21" customHeight="1">
      <c r="A20" s="46" t="str">
        <v>Beaver Falls - Felician Sisters</v>
      </c>
      <c r="B20" s="40" t="str">
        <v>PA</v>
      </c>
      <c r="C20" s="28">
        <v>36640</v>
      </c>
      <c r="D20" s="29" t="s">
        <v>43</v>
      </c>
      <c r="E20" s="29" t="str">
        <f t="shared" si="4"/>
        <v/>
      </c>
      <c r="F20" s="30" t="str">
        <f t="shared" si="5"/>
        <v/>
      </c>
      <c r="G20" s="75" t="s">
        <v>43</v>
      </c>
      <c r="H20" s="31" t="str">
        <f t="shared" si="6"/>
        <v/>
      </c>
      <c r="I20" s="32" t="str">
        <f t="shared" si="7"/>
        <v/>
      </c>
      <c r="J20" s="53"/>
      <c r="K20" s="53"/>
      <c r="L20" s="79"/>
      <c r="M20" s="83"/>
      <c r="N20" s="79"/>
      <c r="O20" s="79"/>
      <c r="P20" s="79"/>
    </row>
    <row r="21" spans="1:16" ht="36.75" customHeight="1">
      <c r="A21" s="45" t="str">
        <v>Livonia - Felician Sisters Ground</v>
      </c>
      <c r="B21" s="42" t="str">
        <v>MI</v>
      </c>
      <c r="C21" s="35">
        <v>0</v>
      </c>
      <c r="D21" s="36" t="s">
        <v>43</v>
      </c>
      <c r="E21" s="36" t="str">
        <f t="shared" si="4"/>
        <v/>
      </c>
      <c r="F21" s="37" t="str">
        <f t="shared" si="5"/>
        <v/>
      </c>
      <c r="G21" s="76" t="s">
        <v>43</v>
      </c>
      <c r="H21" s="38" t="str">
        <f t="shared" si="6"/>
        <v/>
      </c>
      <c r="I21" s="37" t="str">
        <f t="shared" si="7"/>
        <v/>
      </c>
      <c r="J21" s="54" t="s">
        <v>78</v>
      </c>
      <c r="K21" s="82" t="s">
        <v>79</v>
      </c>
      <c r="L21" s="78" t="s">
        <v>80</v>
      </c>
      <c r="M21" s="83"/>
      <c r="N21" s="79"/>
      <c r="O21" s="79"/>
      <c r="P21" s="79"/>
    </row>
    <row r="22" spans="1:16" ht="21" customHeight="1">
      <c r="A22" s="46" t="str">
        <v>Livonia - Felician Sisters Roof</v>
      </c>
      <c r="B22" s="40" t="str">
        <v>MI</v>
      </c>
      <c r="C22" s="28">
        <v>12782</v>
      </c>
      <c r="D22" s="29" t="s">
        <v>43</v>
      </c>
      <c r="E22" s="29" t="str">
        <f t="shared" si="4"/>
        <v/>
      </c>
      <c r="F22" s="30" t="str">
        <f t="shared" si="5"/>
        <v/>
      </c>
      <c r="G22" s="75" t="s">
        <v>43</v>
      </c>
      <c r="H22" s="31" t="str">
        <f t="shared" si="6"/>
        <v/>
      </c>
      <c r="I22" s="32" t="str">
        <f t="shared" si="7"/>
        <v/>
      </c>
      <c r="J22" s="53"/>
      <c r="K22" s="53"/>
      <c r="M22" s="52"/>
    </row>
    <row r="23" spans="1:16" ht="21" customHeight="1">
      <c r="A23" s="45" t="str">
        <v>Monmouth Worship Ctr</v>
      </c>
      <c r="B23" s="42" t="str">
        <v>NJ</v>
      </c>
      <c r="C23" s="35">
        <v>11687.5</v>
      </c>
      <c r="D23" s="36" t="s">
        <v>43</v>
      </c>
      <c r="E23" s="36" t="str">
        <f t="shared" si="4"/>
        <v/>
      </c>
      <c r="F23" s="37" t="str">
        <f t="shared" si="5"/>
        <v/>
      </c>
      <c r="G23" s="76" t="s">
        <v>43</v>
      </c>
      <c r="H23" s="38" t="str">
        <f t="shared" si="6"/>
        <v/>
      </c>
      <c r="I23" s="37" t="str">
        <f t="shared" si="7"/>
        <v/>
      </c>
      <c r="J23" s="54"/>
      <c r="K23" s="55"/>
      <c r="M23" s="52"/>
    </row>
    <row r="24" spans="1:16" ht="21" customHeight="1">
      <c r="A24" s="46" t="str">
        <v xml:space="preserve"> Audubon - Senior Citizens United</v>
      </c>
      <c r="B24" s="40" t="str">
        <v>NJ</v>
      </c>
      <c r="C24" s="28">
        <v>8714.2000000000007</v>
      </c>
      <c r="D24" s="29" t="s">
        <v>43</v>
      </c>
      <c r="E24" s="29" t="str">
        <f t="shared" si="4"/>
        <v/>
      </c>
      <c r="F24" s="30" t="str">
        <f t="shared" si="5"/>
        <v/>
      </c>
      <c r="G24" s="75" t="s">
        <v>43</v>
      </c>
      <c r="H24" s="31" t="str">
        <f t="shared" si="6"/>
        <v/>
      </c>
      <c r="I24" s="32" t="str">
        <f t="shared" si="7"/>
        <v/>
      </c>
      <c r="J24" s="53"/>
      <c r="K24" s="53"/>
      <c r="M24" s="52"/>
    </row>
    <row r="25" spans="1:16" ht="14.45">
      <c r="A25" s="8" t="str">
        <v>Hollister - PG&amp;E (Enerparc)</v>
      </c>
      <c r="B25" s="13" t="str">
        <v>CA</v>
      </c>
      <c r="C25" s="8"/>
      <c r="D25" s="8"/>
      <c r="E25" s="8"/>
      <c r="F25" s="9"/>
      <c r="G25" s="8"/>
      <c r="H25" s="8"/>
      <c r="I25" s="9"/>
      <c r="J25" s="8"/>
      <c r="K25" s="8"/>
      <c r="M25" s="52"/>
    </row>
    <row r="26" spans="1:16" ht="14.45">
      <c r="A26" s="8" t="str">
        <v>Taos County - Kit Carson Electric Co-Op</v>
      </c>
      <c r="B26" s="13" t="str">
        <v>NM</v>
      </c>
      <c r="C26" s="8"/>
      <c r="D26" s="8"/>
      <c r="E26" s="8"/>
      <c r="F26" s="9"/>
      <c r="G26" s="8"/>
      <c r="H26" s="8"/>
      <c r="I26" s="9"/>
      <c r="J26" s="8"/>
      <c r="K26" s="8"/>
      <c r="M26" s="52"/>
    </row>
    <row r="27" spans="1:16" ht="14.45">
      <c r="A27" s="8" t="str">
        <v>Commerce City - Adams City HS</v>
      </c>
      <c r="B27" s="13" t="str">
        <v>CO</v>
      </c>
      <c r="C27" s="8"/>
      <c r="D27" s="8"/>
      <c r="E27" s="8"/>
      <c r="F27" s="9"/>
      <c r="G27" s="8"/>
      <c r="H27" s="8"/>
      <c r="I27" s="9"/>
      <c r="J27" s="8"/>
      <c r="K27" s="8"/>
      <c r="M27" s="52"/>
    </row>
    <row r="28" spans="1:16" ht="14.45">
      <c r="A28" s="8" t="str">
        <v>Commerce City - Adams City MS</v>
      </c>
      <c r="B28" s="13" t="str">
        <v>CO</v>
      </c>
      <c r="C28" s="8"/>
      <c r="D28" s="8"/>
      <c r="E28" s="8"/>
      <c r="F28" s="9"/>
      <c r="G28" s="8"/>
      <c r="H28" s="8"/>
      <c r="I28" s="9"/>
      <c r="J28" s="8"/>
      <c r="K28" s="8"/>
      <c r="M28" s="52"/>
    </row>
    <row r="29" spans="1:16" ht="14.45">
      <c r="A29" s="8" t="str">
        <v>Commerce City - Central ES</v>
      </c>
      <c r="B29" s="13" t="str">
        <v>CO</v>
      </c>
      <c r="C29" s="8"/>
      <c r="D29" s="8"/>
      <c r="E29" s="8"/>
      <c r="F29" s="9"/>
      <c r="G29" s="8"/>
      <c r="H29" s="8"/>
      <c r="I29" s="9"/>
      <c r="J29" s="8"/>
      <c r="K29" s="8"/>
      <c r="M29" s="52"/>
    </row>
    <row r="30" spans="1:16" ht="14.45">
      <c r="A30" s="8" t="str">
        <v>Commerce City - Dupont ES</v>
      </c>
      <c r="B30" s="13" t="str">
        <v>CO</v>
      </c>
      <c r="C30" s="8"/>
      <c r="D30" s="8"/>
      <c r="E30" s="8"/>
      <c r="F30" s="9"/>
      <c r="G30" s="8"/>
      <c r="H30" s="8"/>
      <c r="I30" s="9"/>
      <c r="J30" s="8"/>
      <c r="K30" s="8"/>
      <c r="M30" s="52"/>
    </row>
    <row r="31" spans="1:16" ht="14.45">
      <c r="A31" s="8" t="str">
        <v>Commerce City - Educational Support Services</v>
      </c>
      <c r="B31" s="13" t="str">
        <v>CO</v>
      </c>
      <c r="C31" s="8"/>
      <c r="D31" s="8"/>
      <c r="E31" s="8"/>
      <c r="F31" s="9"/>
      <c r="G31" s="8"/>
      <c r="H31" s="8"/>
      <c r="I31" s="9"/>
      <c r="J31" s="8"/>
      <c r="K31" s="8"/>
      <c r="M31" s="52"/>
    </row>
    <row r="32" spans="1:16" ht="14.45">
      <c r="A32" s="8" t="str">
        <v>Commerce City - Hanson ES</v>
      </c>
      <c r="B32" s="13" t="str">
        <v>CO</v>
      </c>
      <c r="C32" s="8"/>
      <c r="D32" s="8"/>
      <c r="E32" s="8"/>
      <c r="F32" s="9"/>
      <c r="G32" s="8"/>
      <c r="H32" s="8"/>
      <c r="I32" s="9"/>
      <c r="J32" s="8"/>
      <c r="K32" s="8"/>
      <c r="M32" s="52"/>
    </row>
    <row r="33" spans="1:13" ht="14.45">
      <c r="A33" s="8" t="str">
        <v>Commerce City - Kemp ES</v>
      </c>
      <c r="B33" s="13" t="str">
        <v>CO</v>
      </c>
      <c r="C33" s="8"/>
      <c r="D33" s="8"/>
      <c r="E33" s="8"/>
      <c r="F33" s="9"/>
      <c r="G33" s="8"/>
      <c r="H33" s="8"/>
      <c r="I33" s="9"/>
      <c r="J33" s="8"/>
      <c r="K33" s="8"/>
      <c r="M33" s="52"/>
    </row>
    <row r="34" spans="1:13" ht="14.45">
      <c r="A34" s="8" t="str">
        <v>Commerce City -  Lester Arnold HS</v>
      </c>
      <c r="B34" s="13" t="str">
        <v>CO</v>
      </c>
      <c r="C34" s="8"/>
      <c r="D34" s="8"/>
      <c r="E34" s="8"/>
      <c r="F34" s="9"/>
      <c r="G34" s="8"/>
      <c r="H34" s="8"/>
      <c r="I34" s="9"/>
      <c r="J34" s="8"/>
      <c r="K34" s="8"/>
      <c r="M34" s="52"/>
    </row>
    <row r="35" spans="1:13" ht="14.45">
      <c r="A35" s="8" t="str">
        <v>Commerce City - Monaco ES</v>
      </c>
      <c r="B35" s="13" t="str">
        <v>CO</v>
      </c>
      <c r="C35" s="8"/>
      <c r="D35" s="8"/>
      <c r="E35" s="8"/>
      <c r="F35" s="9"/>
      <c r="G35" s="8"/>
      <c r="H35" s="8"/>
      <c r="I35" s="9"/>
      <c r="J35" s="8"/>
      <c r="K35" s="8"/>
    </row>
    <row r="36" spans="1:13" ht="14.45">
      <c r="A36" s="8" t="str">
        <v>Denver - Northgate / Old Fort Logan ES</v>
      </c>
      <c r="B36" s="13" t="str">
        <v>CO</v>
      </c>
      <c r="C36" s="8"/>
      <c r="D36" s="8"/>
      <c r="E36" s="8"/>
      <c r="F36" s="9"/>
      <c r="G36" s="8"/>
      <c r="H36" s="8"/>
      <c r="I36" s="9"/>
      <c r="J36" s="8"/>
      <c r="K36" s="8"/>
    </row>
    <row r="37" spans="1:13" ht="14.45">
      <c r="A37" s="8" t="str">
        <v>Denver - Sheridan High School</v>
      </c>
      <c r="B37" s="13" t="str">
        <v>CO</v>
      </c>
      <c r="C37" s="8"/>
      <c r="D37" s="8"/>
      <c r="E37" s="8"/>
      <c r="F37" s="9"/>
      <c r="G37" s="8"/>
      <c r="H37" s="8"/>
      <c r="I37" s="9"/>
      <c r="J37" s="8"/>
      <c r="K37" s="8"/>
    </row>
    <row r="38" spans="1:13" ht="14.45">
      <c r="A38" s="8" t="str">
        <v>Englewood -  Alice Terry Elementary</v>
      </c>
      <c r="B38" s="13" t="str">
        <v>CO</v>
      </c>
      <c r="C38" s="8"/>
      <c r="D38" s="8"/>
      <c r="E38" s="8"/>
      <c r="F38" s="9"/>
      <c r="G38" s="8"/>
      <c r="H38" s="8"/>
      <c r="I38" s="9"/>
      <c r="J38" s="8"/>
      <c r="K38" s="8"/>
    </row>
    <row r="39" spans="1:13" ht="14.45">
      <c r="A39" s="8" t="str">
        <v>Englewood - Sheridan Middle School</v>
      </c>
      <c r="B39" s="13" t="str">
        <v>CO</v>
      </c>
      <c r="C39" s="8"/>
      <c r="D39" s="8"/>
      <c r="E39" s="8"/>
      <c r="F39" s="9"/>
      <c r="G39" s="8"/>
      <c r="H39" s="8"/>
      <c r="I39" s="9"/>
      <c r="J39" s="8"/>
      <c r="K39" s="8"/>
    </row>
    <row r="40" spans="1:13" ht="14.45">
      <c r="A40" s="8" t="str">
        <v>Goshen - NIPSCO</v>
      </c>
      <c r="B40" s="13" t="str">
        <v>IN</v>
      </c>
      <c r="C40" s="8"/>
      <c r="D40" s="8"/>
      <c r="E40" s="8"/>
      <c r="F40" s="9"/>
      <c r="G40" s="8"/>
      <c r="H40" s="8"/>
      <c r="I40" s="9"/>
      <c r="J40" s="8"/>
      <c r="K40" s="8"/>
    </row>
    <row r="41" spans="1:13" ht="14.45">
      <c r="A41" s="8" t="str">
        <v>Alamogordo - City of Alamogordo - Effluent</v>
      </c>
      <c r="B41" s="13" t="str">
        <v>NM</v>
      </c>
      <c r="C41" s="8"/>
      <c r="D41" s="8"/>
      <c r="E41" s="8"/>
      <c r="F41" s="9"/>
      <c r="G41" s="8"/>
      <c r="H41" s="8"/>
      <c r="I41" s="9"/>
      <c r="J41" s="8"/>
      <c r="K41" s="8"/>
    </row>
    <row r="42" spans="1:13" ht="14.45">
      <c r="A42" s="8" t="str">
        <v>Alamogordo - City of Alamogordo - WWTP</v>
      </c>
      <c r="B42" s="13" t="str">
        <v>NM</v>
      </c>
      <c r="C42" s="8"/>
      <c r="D42" s="8"/>
      <c r="E42" s="8"/>
      <c r="F42" s="9"/>
      <c r="G42" s="8"/>
      <c r="H42" s="8"/>
      <c r="I42" s="9"/>
      <c r="J42" s="8"/>
      <c r="K42" s="8"/>
    </row>
    <row r="43" spans="1:13" ht="14.45">
      <c r="A43" s="8" t="str">
        <v>Deming - Bilbo Booster</v>
      </c>
      <c r="B43" s="13" t="str">
        <v>NM</v>
      </c>
      <c r="C43" s="8"/>
      <c r="D43" s="8"/>
      <c r="E43" s="8"/>
      <c r="F43" s="9"/>
      <c r="G43" s="8"/>
      <c r="H43" s="8"/>
      <c r="I43" s="9"/>
      <c r="J43" s="8"/>
      <c r="K43" s="8"/>
    </row>
    <row r="44" spans="1:13" ht="14.45">
      <c r="A44" s="8" t="str">
        <v>Deming - Bilbo Well</v>
      </c>
      <c r="B44" s="13" t="str">
        <v>NM</v>
      </c>
      <c r="C44" s="8"/>
      <c r="D44" s="8"/>
      <c r="E44" s="8"/>
      <c r="F44" s="9"/>
      <c r="G44" s="8"/>
      <c r="H44" s="8"/>
      <c r="I44" s="9"/>
      <c r="J44" s="8"/>
      <c r="K44" s="8"/>
    </row>
    <row r="45" spans="1:13" ht="14.45">
      <c r="A45" s="8" t="str">
        <v>Deming - WWTP</v>
      </c>
      <c r="B45" s="13" t="str">
        <v>NM</v>
      </c>
      <c r="C45" s="8"/>
      <c r="D45" s="8"/>
      <c r="E45" s="8"/>
      <c r="F45" s="9"/>
      <c r="G45" s="8"/>
      <c r="H45" s="8"/>
      <c r="I45" s="9"/>
      <c r="J45" s="8"/>
      <c r="K45" s="8"/>
    </row>
    <row r="46" spans="1:13" ht="14.45">
      <c r="A46" s="8" t="str">
        <v>Truth or Consequences - Walmart</v>
      </c>
      <c r="B46" s="13" t="str">
        <v>NM</v>
      </c>
      <c r="C46" s="8"/>
      <c r="D46" s="8"/>
      <c r="E46" s="8"/>
      <c r="F46" s="9"/>
      <c r="G46" s="8"/>
      <c r="H46" s="8"/>
      <c r="I46" s="9"/>
      <c r="J46" s="8"/>
      <c r="K46" s="8"/>
    </row>
    <row r="47" spans="1:13" ht="14.45">
      <c r="A47" s="8"/>
      <c r="B47" s="13"/>
      <c r="C47" s="8"/>
      <c r="D47" s="8"/>
      <c r="E47" s="8"/>
      <c r="F47" s="9"/>
      <c r="G47" s="8"/>
      <c r="H47" s="8"/>
      <c r="I47" s="9"/>
      <c r="J47" s="8"/>
      <c r="K47" s="8"/>
    </row>
    <row r="48" spans="1:13"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22" priority="5" stopIfTrue="1" operator="lessThanOrEqual">
      <formula>-0.1</formula>
    </cfRule>
    <cfRule type="expression" dxfId="21" priority="6">
      <formula>AND(ISNUMBER(F2), F2&gt;=0.1)</formula>
    </cfRule>
  </conditionalFormatting>
  <hyperlinks>
    <hyperlink ref="K4" r:id="rId1" display="https://us3.assetplanner.com/service_request?ID=095368" xr:uid="{297E6928-4B4A-4EF0-8C71-9190C691A012}"/>
    <hyperlink ref="L4" r:id="rId2" display="https://us3.assetplanner.com/service_request?ID=097850" xr:uid="{BD76DBF8-E6F0-4048-88B5-9B261BC50F53}"/>
    <hyperlink ref="K5" r:id="rId3" display="https://us3.assetplanner.com/service_request?ID=097975" xr:uid="{EA604493-7104-40A2-8D93-4615D7D26EAC}"/>
    <hyperlink ref="L5" r:id="rId4" display="https://us3.assetplanner.com/service_request?ID=097975" xr:uid="{34513E3A-55F7-4F79-AC43-3F49463E1F40}"/>
    <hyperlink ref="M5" r:id="rId5" display="https://us3.assetplanner.com/service_request?ID=098262" xr:uid="{EE95123B-89E9-4FD6-AB16-1D9B6076CDA5}"/>
    <hyperlink ref="N5" r:id="rId6" display="https://us3.assetplanner.com/service_request?ID=098783" xr:uid="{3992E0A8-790F-45CB-BF37-B840C9C6B54F}"/>
    <hyperlink ref="O5" r:id="rId7" display="https://us3.assetplanner.com/service_request?ID=097783" xr:uid="{12AEBADB-14FE-47FA-BF5B-8871A9CC0B93}"/>
    <hyperlink ref="P5" r:id="rId8" display="https://us3.assetplanner.com/service_request?ID=098428" xr:uid="{E1604669-0B9F-452C-93D5-29A71E902974}"/>
    <hyperlink ref="K7" r:id="rId9" display="https://us3.assetplanner.com/service_request?ID=096262" xr:uid="{EA02246F-49C4-4229-A7FA-8B022E22A617}"/>
    <hyperlink ref="L7" r:id="rId10" display="https://us3.assetplanner.com/service_request?ID=099066" xr:uid="{20FFCEC8-4064-40FF-96C0-23D325901C42}"/>
    <hyperlink ref="K8" r:id="rId11" display="https://us3.assetplanner.com/service_request?ID=098870" xr:uid="{9F56D8F7-1732-499B-B614-82B5E57641C4}"/>
    <hyperlink ref="K11" r:id="rId12" display="https://us3.assetplanner.com/service_request?ID=098497" xr:uid="{FEB79FFB-DFE5-4FE6-AA78-C684A579F7B7}"/>
    <hyperlink ref="L11" r:id="rId13" display="https://us3.assetplanner.com/service_request?ID=098613" xr:uid="{B8678B24-0FB9-4EEE-81F5-EA904E65107F}"/>
    <hyperlink ref="K12" r:id="rId14" display="https://us3.assetplanner.com/service_request?ID=098046" xr:uid="{68D40A0B-418D-4660-9534-1D5BBCAD1B66}"/>
    <hyperlink ref="L12" r:id="rId15" display="https://us3.assetplanner.com/service_request?ID=098496" xr:uid="{0452EBD7-0703-41F8-BC34-A6E20529AB8A}"/>
    <hyperlink ref="M12" r:id="rId16" display="https://us3.assetplanner.com/service_request?ID=098614" xr:uid="{D173FE29-D87F-40B3-B1E7-36789A3C527C}"/>
    <hyperlink ref="K13" r:id="rId17" display="https://us3.assetplanner.com/service_request?ID=098047" xr:uid="{4C1A18D9-8D1F-4895-9BA8-AE5E51CCAD62}"/>
    <hyperlink ref="L13" r:id="rId18" display="https://us3.assetplanner.com/service_request?ID=099230" xr:uid="{F4413B6D-8E54-4F64-A68D-3DBE4C7E237B}"/>
    <hyperlink ref="K14" r:id="rId19" display="https://us3.assetplanner.com/service_request?ID=099167" xr:uid="{45B76ED4-79F3-40E1-A5B2-760240A8C90D}"/>
    <hyperlink ref="K15" r:id="rId20" display="https://us3.assetplanner.com/service_request?ID=098048" xr:uid="{6CBF1DDF-6EA0-41BA-A7A5-289DF983572A}"/>
    <hyperlink ref="L15" r:id="rId21" display="https://us3.assetplanner.com/service_request?ID=099150" xr:uid="{693E4E51-6818-4415-876E-C9558C0AFB90}"/>
    <hyperlink ref="K17" r:id="rId22" display="https://us3.assetplanner.com/service_request?ID=098818" xr:uid="{3F961D29-09A0-4AE3-BCC9-6A84B2748D09}"/>
    <hyperlink ref="K18" r:id="rId23" display="https://us3.assetplanner.com/service_request?ID=098819" xr:uid="{23CDDFAF-9E30-405A-81AE-4FADF06B91F9}"/>
    <hyperlink ref="K19" r:id="rId24" display="https://us3.assetplanner.com/service_request?ID=098076" xr:uid="{970D6C1E-D7BA-4AF7-85A4-E26322488E91}"/>
    <hyperlink ref="L19" r:id="rId25" display="https://us3.assetplanner.com/service_request?ID=098231" xr:uid="{AC4198AD-8D30-4B0A-9791-8141268A9F7B}"/>
    <hyperlink ref="K21" r:id="rId26" display="https://us3.assetplanner.com/service_request?ID=098015" xr:uid="{A87533E8-CD30-4D28-84B7-E0AEB2059298}"/>
    <hyperlink ref="L21" r:id="rId27" display="https://us3.assetplanner.com/service_request?ID=098016" xr:uid="{84EB6EFC-8990-480C-8FF3-FA88A715AEBA}"/>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O327"/>
  <sheetViews>
    <sheetView zoomScale="80" zoomScaleNormal="80" workbookViewId="0">
      <pane xSplit="2" ySplit="3" topLeftCell="E22" activePane="bottomRight" state="frozen"/>
      <selection pane="bottomRight" activeCell="H30" sqref="H30"/>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5" width="8.85546875" style="79"/>
  </cols>
  <sheetData>
    <row r="1" spans="1:15" ht="19.5" customHeight="1">
      <c r="A1" s="99" t="str" cm="1">
        <f t="array" ref="A1">portfolio</f>
        <v>Clean Capital</v>
      </c>
      <c r="B1" s="99"/>
      <c r="C1" s="99"/>
      <c r="D1" s="100" t="s">
        <v>81</v>
      </c>
      <c r="E1" s="100"/>
      <c r="F1" s="100"/>
      <c r="G1" s="98" t="s">
        <v>82</v>
      </c>
      <c r="H1" s="98"/>
      <c r="I1" s="98"/>
      <c r="J1" s="4"/>
      <c r="K1" s="4"/>
    </row>
    <row r="2" spans="1:15" ht="19.5" customHeight="1">
      <c r="A2" s="101" t="s">
        <v>2</v>
      </c>
      <c r="B2" s="101"/>
      <c r="C2" s="5">
        <f>SUM(C4:C85)</f>
        <v>1758365.2870908768</v>
      </c>
      <c r="D2" s="5">
        <f>SUM(D4:D85)</f>
        <v>0</v>
      </c>
      <c r="E2" s="5">
        <f>C2-D2</f>
        <v>1758365.2870908768</v>
      </c>
      <c r="F2" s="6">
        <f>IFERROR(E2/D2, 0)</f>
        <v>0</v>
      </c>
      <c r="G2" s="5">
        <f>SUM(G4:G85)</f>
        <v>1632050.7</v>
      </c>
      <c r="H2" s="7">
        <f>C2-G2</f>
        <v>126314.58709087688</v>
      </c>
      <c r="I2" s="6">
        <f>IFERROR(H2/G2, 0)</f>
        <v>7.7396239645543416E-2</v>
      </c>
      <c r="J2" s="11"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5" ht="14.25" customHeight="1">
      <c r="A3" s="12" t="s">
        <v>3</v>
      </c>
      <c r="B3" s="12" t="s">
        <v>4</v>
      </c>
      <c r="C3" s="19" t="s">
        <v>5</v>
      </c>
      <c r="D3" s="20" t="s">
        <v>6</v>
      </c>
      <c r="E3" s="20" t="s">
        <v>7</v>
      </c>
      <c r="F3" s="21" t="s">
        <v>8</v>
      </c>
      <c r="G3" s="22" t="s">
        <v>9</v>
      </c>
      <c r="H3" s="23" t="s">
        <v>7</v>
      </c>
      <c r="I3" s="24" t="s">
        <v>8</v>
      </c>
      <c r="J3" s="10" t="s">
        <v>42</v>
      </c>
      <c r="K3" s="10" t="s">
        <v>21</v>
      </c>
    </row>
    <row r="4" spans="1:15" ht="72">
      <c r="A4" s="87" t="str" cm="1">
        <f t="array" ref="A4:A46">Sites[Site]</f>
        <v>Lexington - Cotting School</v>
      </c>
      <c r="B4" s="40" t="str" cm="1">
        <f t="array" ref="B4:B46">Sites[State]</f>
        <v>MA</v>
      </c>
      <c r="C4" s="28">
        <v>3263.0479999999998</v>
      </c>
      <c r="D4" s="29" t="s">
        <v>43</v>
      </c>
      <c r="E4" s="29" t="str">
        <f>IF(AND(ISNUMBER(C4),ISNUMBER(D4)), C4-D4, "")</f>
        <v/>
      </c>
      <c r="F4" s="30" t="str">
        <f>IFERROR(E4/D4, "")</f>
        <v/>
      </c>
      <c r="G4" s="75" t="s">
        <v>43</v>
      </c>
      <c r="H4" s="31" t="str">
        <f>IF(AND(ISNUMBER(C4),ISNUMBER(G4)), C4-G4, "")</f>
        <v/>
      </c>
      <c r="I4" s="32" t="str">
        <f>IFERROR(H4/G4, "")</f>
        <v/>
      </c>
      <c r="J4" s="62" t="s">
        <v>83</v>
      </c>
      <c r="K4" s="69" t="s">
        <v>84</v>
      </c>
      <c r="L4" s="78" t="s">
        <v>85</v>
      </c>
      <c r="M4" s="78" t="s">
        <v>86</v>
      </c>
    </row>
    <row r="5" spans="1:15" ht="158.44999999999999">
      <c r="A5" s="41" t="str">
        <v>Pacoima - Whiteman Airport</v>
      </c>
      <c r="B5" s="42" t="str">
        <v>CA</v>
      </c>
      <c r="C5" s="35">
        <v>38033.5</v>
      </c>
      <c r="D5" s="36" t="s">
        <v>43</v>
      </c>
      <c r="E5" s="36" t="str">
        <f t="shared" ref="E5:E12" si="0">IF(AND(ISNUMBER(C5),ISNUMBER(D5)), C5-D5, "")</f>
        <v/>
      </c>
      <c r="F5" s="37" t="str">
        <f>IFERROR(E5/D5, "")</f>
        <v/>
      </c>
      <c r="G5" s="56">
        <v>57200</v>
      </c>
      <c r="H5" s="38">
        <f t="shared" ref="H5:H24" si="1">IF(AND(ISNUMBER(C5),ISNUMBER(G5)), C5-G5, "")</f>
        <v>-19166.5</v>
      </c>
      <c r="I5" s="37">
        <f t="shared" ref="I5:I24" si="2">IFERROR(H5/G5, "")</f>
        <v>-0.33507867132867131</v>
      </c>
      <c r="J5" s="88" t="s">
        <v>87</v>
      </c>
      <c r="K5" s="70" t="s">
        <v>88</v>
      </c>
      <c r="L5" s="78" t="s">
        <v>47</v>
      </c>
      <c r="M5" s="78" t="s">
        <v>89</v>
      </c>
      <c r="N5" s="78" t="s">
        <v>90</v>
      </c>
      <c r="O5" s="78" t="s">
        <v>35</v>
      </c>
    </row>
    <row r="6" spans="1:15" ht="30" customHeight="1">
      <c r="A6" s="43" t="str">
        <v>Hyannis - Sturgis Charter School</v>
      </c>
      <c r="B6" s="40" t="str">
        <v>MA</v>
      </c>
      <c r="C6" s="28">
        <v>31798.899536132802</v>
      </c>
      <c r="D6" s="29" t="s">
        <v>43</v>
      </c>
      <c r="E6" s="29" t="str">
        <f t="shared" si="0"/>
        <v/>
      </c>
      <c r="F6" s="30" t="str">
        <f t="shared" ref="F6:F12" si="3">IFERROR(E6/D6, "")</f>
        <v/>
      </c>
      <c r="G6" s="31">
        <v>32170</v>
      </c>
      <c r="H6" s="31">
        <f t="shared" si="1"/>
        <v>-371.10046386719841</v>
      </c>
      <c r="I6" s="32">
        <f t="shared" si="2"/>
        <v>-1.1535606585862555E-2</v>
      </c>
      <c r="J6" s="62"/>
      <c r="K6" s="49"/>
    </row>
    <row r="7" spans="1:15" ht="54.75" customHeight="1">
      <c r="A7" s="41" t="str">
        <v>South Dennis - Tony Kent Arena</v>
      </c>
      <c r="B7" s="42" t="str">
        <v>MA</v>
      </c>
      <c r="C7" s="35">
        <v>36670.400000000001</v>
      </c>
      <c r="D7" s="36" t="s">
        <v>43</v>
      </c>
      <c r="E7" s="36" t="str">
        <f t="shared" si="0"/>
        <v/>
      </c>
      <c r="F7" s="37" t="str">
        <f t="shared" si="3"/>
        <v/>
      </c>
      <c r="G7" s="76" t="s">
        <v>43</v>
      </c>
      <c r="H7" s="38" t="str">
        <f t="shared" si="1"/>
        <v/>
      </c>
      <c r="I7" s="37" t="str">
        <f t="shared" si="2"/>
        <v/>
      </c>
      <c r="J7" s="88" t="s">
        <v>91</v>
      </c>
      <c r="K7" s="77" t="s">
        <v>92</v>
      </c>
      <c r="L7" s="78" t="s">
        <v>53</v>
      </c>
    </row>
    <row r="8" spans="1:15" ht="72">
      <c r="A8" s="43" t="str">
        <v xml:space="preserve"> Caropolis - Felician Sisters</v>
      </c>
      <c r="B8" s="40" t="str">
        <v>PA</v>
      </c>
      <c r="C8" s="28">
        <v>56484</v>
      </c>
      <c r="D8" s="29" t="s">
        <v>43</v>
      </c>
      <c r="E8" s="29" t="str">
        <f t="shared" si="0"/>
        <v/>
      </c>
      <c r="F8" s="30" t="str">
        <f t="shared" si="3"/>
        <v/>
      </c>
      <c r="G8" s="75" t="s">
        <v>43</v>
      </c>
      <c r="H8" s="31" t="str">
        <f t="shared" si="1"/>
        <v/>
      </c>
      <c r="I8" s="32" t="str">
        <f t="shared" si="2"/>
        <v/>
      </c>
      <c r="J8" s="62" t="s">
        <v>93</v>
      </c>
      <c r="K8" s="80" t="s">
        <v>94</v>
      </c>
      <c r="L8" s="78" t="s">
        <v>95</v>
      </c>
    </row>
    <row r="9" spans="1:15" ht="28.9">
      <c r="A9" s="41" t="str">
        <v>Clear Lake - Eastlake Gohman</v>
      </c>
      <c r="B9" s="42" t="str">
        <v>MN</v>
      </c>
      <c r="C9" s="35">
        <v>166857</v>
      </c>
      <c r="D9" s="36" t="s">
        <v>43</v>
      </c>
      <c r="E9" s="36" t="str">
        <f t="shared" si="0"/>
        <v/>
      </c>
      <c r="F9" s="37" t="str">
        <f t="shared" si="3"/>
        <v/>
      </c>
      <c r="G9" s="38">
        <v>175953.3</v>
      </c>
      <c r="H9" s="38">
        <f t="shared" si="1"/>
        <v>-9096.2999999999884</v>
      </c>
      <c r="I9" s="37">
        <f t="shared" si="2"/>
        <v>-5.1697240119963586E-2</v>
      </c>
      <c r="J9" s="88" t="s">
        <v>96</v>
      </c>
      <c r="K9" s="77" t="s">
        <v>97</v>
      </c>
    </row>
    <row r="10" spans="1:15" ht="15.6">
      <c r="A10" s="43" t="str">
        <v>Zumbrota - Eastlake Brenda Luhman</v>
      </c>
      <c r="B10" s="40" t="str">
        <v>MN</v>
      </c>
      <c r="C10" s="28">
        <v>171462</v>
      </c>
      <c r="D10" s="29" t="s">
        <v>43</v>
      </c>
      <c r="E10" s="29" t="str">
        <f t="shared" si="0"/>
        <v/>
      </c>
      <c r="F10" s="30" t="str">
        <f t="shared" si="3"/>
        <v/>
      </c>
      <c r="G10" s="31">
        <v>177314.6</v>
      </c>
      <c r="H10" s="31">
        <f t="shared" si="1"/>
        <v>-5852.6000000000058</v>
      </c>
      <c r="I10" s="32">
        <f t="shared" si="2"/>
        <v>-3.3006870274641824E-2</v>
      </c>
      <c r="J10" s="62"/>
      <c r="K10" s="62"/>
    </row>
    <row r="11" spans="1:15" ht="129.6">
      <c r="A11" s="41" t="str">
        <v>Cokato - Eastlake Carlson</v>
      </c>
      <c r="B11" s="42" t="str">
        <v>MN</v>
      </c>
      <c r="C11" s="35">
        <v>155585</v>
      </c>
      <c r="D11" s="36" t="s">
        <v>43</v>
      </c>
      <c r="E11" s="36" t="str">
        <f t="shared" si="0"/>
        <v/>
      </c>
      <c r="F11" s="37" t="str">
        <f t="shared" si="3"/>
        <v/>
      </c>
      <c r="G11" s="38">
        <v>195439.7</v>
      </c>
      <c r="H11" s="38">
        <f t="shared" si="1"/>
        <v>-39854.700000000012</v>
      </c>
      <c r="I11" s="37">
        <f t="shared" si="2"/>
        <v>-0.20392325612452336</v>
      </c>
      <c r="J11" s="88" t="s">
        <v>98</v>
      </c>
      <c r="K11" s="77" t="s">
        <v>99</v>
      </c>
      <c r="L11" s="78" t="s">
        <v>100</v>
      </c>
      <c r="M11" s="78" t="s">
        <v>101</v>
      </c>
    </row>
    <row r="12" spans="1:15" ht="72">
      <c r="A12" s="43" t="str">
        <v>North Branch - Cornille 2</v>
      </c>
      <c r="B12" s="40" t="str">
        <v>MN</v>
      </c>
      <c r="C12" s="28">
        <v>147463</v>
      </c>
      <c r="D12" s="29" t="s">
        <v>43</v>
      </c>
      <c r="E12" s="29" t="str">
        <f t="shared" si="0"/>
        <v/>
      </c>
      <c r="F12" s="30" t="str">
        <f t="shared" si="3"/>
        <v/>
      </c>
      <c r="G12" s="31">
        <v>178898.6</v>
      </c>
      <c r="H12" s="31">
        <f t="shared" si="1"/>
        <v>-31435.600000000006</v>
      </c>
      <c r="I12" s="32">
        <f t="shared" si="2"/>
        <v>-0.17571741757621359</v>
      </c>
      <c r="J12" s="62" t="s">
        <v>102</v>
      </c>
      <c r="K12" s="80" t="s">
        <v>103</v>
      </c>
      <c r="L12" s="78" t="s">
        <v>104</v>
      </c>
      <c r="M12" s="78" t="s">
        <v>105</v>
      </c>
    </row>
    <row r="13" spans="1:15" ht="86.45">
      <c r="A13" s="41" t="str">
        <v>Clear Lake - Eastlake Hammer</v>
      </c>
      <c r="B13" s="42" t="str">
        <v>MN</v>
      </c>
      <c r="C13" s="35">
        <v>193331.15</v>
      </c>
      <c r="D13" s="36" t="s">
        <v>43</v>
      </c>
      <c r="E13" s="36"/>
      <c r="F13" s="37"/>
      <c r="G13" s="38">
        <v>209933.6</v>
      </c>
      <c r="H13" s="38">
        <f t="shared" si="1"/>
        <v>-16602.450000000012</v>
      </c>
      <c r="I13" s="37">
        <f t="shared" si="2"/>
        <v>-7.9084291414047159E-2</v>
      </c>
      <c r="J13" s="88" t="s">
        <v>106</v>
      </c>
      <c r="K13" s="77" t="s">
        <v>107</v>
      </c>
      <c r="L13" s="78" t="s">
        <v>65</v>
      </c>
    </row>
    <row r="14" spans="1:15" ht="144">
      <c r="A14" s="43" t="str">
        <v>Eastlake - Hertzberg CSG 1</v>
      </c>
      <c r="B14" s="40" t="str">
        <v>MN</v>
      </c>
      <c r="C14" s="28">
        <v>202083.10312617201</v>
      </c>
      <c r="D14" s="29" t="s">
        <v>43</v>
      </c>
      <c r="E14" s="29"/>
      <c r="F14" s="30"/>
      <c r="G14" s="31">
        <v>204889.7</v>
      </c>
      <c r="H14" s="31">
        <f t="shared" si="1"/>
        <v>-2806.5968738280062</v>
      </c>
      <c r="I14" s="32">
        <f t="shared" si="2"/>
        <v>-1.369808669653968E-2</v>
      </c>
      <c r="J14" s="62" t="s">
        <v>108</v>
      </c>
      <c r="K14" s="80" t="s">
        <v>109</v>
      </c>
      <c r="L14" s="78" t="s">
        <v>110</v>
      </c>
      <c r="M14" s="78" t="s">
        <v>111</v>
      </c>
      <c r="N14" s="78" t="s">
        <v>112</v>
      </c>
    </row>
    <row r="15" spans="1:15" ht="15.6">
      <c r="A15" s="41" t="str">
        <v>Cokato - Eastlake Laurel Village</v>
      </c>
      <c r="B15" s="42" t="str">
        <v>MN</v>
      </c>
      <c r="C15" s="35">
        <v>212645</v>
      </c>
      <c r="D15" s="36" t="s">
        <v>43</v>
      </c>
      <c r="E15" s="36"/>
      <c r="F15" s="37"/>
      <c r="G15" s="38">
        <v>213345</v>
      </c>
      <c r="H15" s="38">
        <f t="shared" si="1"/>
        <v>-700</v>
      </c>
      <c r="I15" s="37">
        <f t="shared" si="2"/>
        <v>-3.2810705664533973E-3</v>
      </c>
      <c r="J15" s="88" t="s">
        <v>113</v>
      </c>
      <c r="K15" s="90" t="s">
        <v>114</v>
      </c>
    </row>
    <row r="16" spans="1:15" ht="15.6">
      <c r="A16" s="43" t="str">
        <v>St. Peter - Eastlake Paulson</v>
      </c>
      <c r="B16" s="40" t="str">
        <v>MN</v>
      </c>
      <c r="C16" s="28">
        <v>170931.53142857199</v>
      </c>
      <c r="D16" s="29" t="s">
        <v>43</v>
      </c>
      <c r="E16" s="29"/>
      <c r="F16" s="30"/>
      <c r="G16" s="31">
        <v>186906.2</v>
      </c>
      <c r="H16" s="31">
        <f t="shared" si="1"/>
        <v>-15974.668571428017</v>
      </c>
      <c r="I16" s="32">
        <f t="shared" si="2"/>
        <v>-8.5468906710574694E-2</v>
      </c>
      <c r="J16" s="62"/>
      <c r="K16" s="62"/>
    </row>
    <row r="17" spans="1:14" ht="98.25" customHeight="1">
      <c r="A17" s="41" t="str">
        <v>Felician Sisters Convent</v>
      </c>
      <c r="B17" s="42" t="str">
        <v>NJ</v>
      </c>
      <c r="C17" s="35">
        <v>36712.300000000003</v>
      </c>
      <c r="D17" s="36" t="s">
        <v>43</v>
      </c>
      <c r="E17" s="36"/>
      <c r="F17" s="37"/>
      <c r="G17" s="76" t="s">
        <v>43</v>
      </c>
      <c r="H17" s="38" t="str">
        <f t="shared" si="1"/>
        <v/>
      </c>
      <c r="I17" s="37" t="str">
        <f t="shared" si="2"/>
        <v/>
      </c>
      <c r="J17" s="88" t="s">
        <v>115</v>
      </c>
      <c r="K17" s="77" t="s">
        <v>116</v>
      </c>
      <c r="L17" s="78" t="s">
        <v>117</v>
      </c>
    </row>
    <row r="18" spans="1:14" ht="143.25" customHeight="1">
      <c r="A18" s="43" t="str">
        <v>Sussex County Fairgrounds</v>
      </c>
      <c r="B18" s="40" t="str">
        <v>NJ</v>
      </c>
      <c r="C18" s="28">
        <v>32793.699999999997</v>
      </c>
      <c r="D18" s="29" t="s">
        <v>43</v>
      </c>
      <c r="E18" s="29"/>
      <c r="F18" s="30"/>
      <c r="G18" s="86" t="s">
        <v>43</v>
      </c>
      <c r="H18" s="31" t="str">
        <f t="shared" si="1"/>
        <v/>
      </c>
      <c r="I18" s="32" t="str">
        <f t="shared" si="2"/>
        <v/>
      </c>
      <c r="J18" s="62" t="s">
        <v>118</v>
      </c>
      <c r="K18" s="80" t="s">
        <v>119</v>
      </c>
      <c r="L18" s="78" t="s">
        <v>120</v>
      </c>
      <c r="M18" s="78" t="s">
        <v>121</v>
      </c>
    </row>
    <row r="19" spans="1:14" ht="237.75" customHeight="1">
      <c r="A19" s="41" t="str">
        <v>Gateway Church</v>
      </c>
      <c r="B19" s="42" t="str">
        <v>NJ</v>
      </c>
      <c r="C19" s="35">
        <v>25984</v>
      </c>
      <c r="D19" s="36" t="s">
        <v>43</v>
      </c>
      <c r="E19" s="36"/>
      <c r="F19" s="37"/>
      <c r="G19" s="85" t="s">
        <v>43</v>
      </c>
      <c r="H19" s="38" t="str">
        <f t="shared" si="1"/>
        <v/>
      </c>
      <c r="I19" s="37" t="str">
        <f t="shared" si="2"/>
        <v/>
      </c>
      <c r="J19" s="60" t="s">
        <v>122</v>
      </c>
      <c r="K19" s="77" t="s">
        <v>123</v>
      </c>
      <c r="L19" s="78" t="s">
        <v>77</v>
      </c>
      <c r="M19" s="78" t="s">
        <v>124</v>
      </c>
    </row>
    <row r="20" spans="1:14" ht="15.6">
      <c r="A20" s="43" t="str">
        <v>Beaver Falls - Felician Sisters</v>
      </c>
      <c r="B20" s="40" t="str">
        <v>PA</v>
      </c>
      <c r="C20" s="28">
        <v>39677</v>
      </c>
      <c r="D20" s="29" t="s">
        <v>43</v>
      </c>
      <c r="E20" s="29"/>
      <c r="F20" s="30"/>
      <c r="G20" s="86" t="s">
        <v>43</v>
      </c>
      <c r="H20" s="31" t="str">
        <f t="shared" si="1"/>
        <v/>
      </c>
      <c r="I20" s="32" t="str">
        <f t="shared" si="2"/>
        <v/>
      </c>
      <c r="J20" s="62"/>
      <c r="K20" s="62"/>
    </row>
    <row r="21" spans="1:14" ht="72">
      <c r="A21" s="41" t="str">
        <v>Livonia - Felician Sisters Ground</v>
      </c>
      <c r="B21" s="42" t="str">
        <v>MI</v>
      </c>
      <c r="C21" s="35">
        <v>0</v>
      </c>
      <c r="D21" s="36" t="s">
        <v>43</v>
      </c>
      <c r="E21" s="36"/>
      <c r="F21" s="37"/>
      <c r="G21" s="85" t="s">
        <v>43</v>
      </c>
      <c r="H21" s="38" t="str">
        <f t="shared" si="1"/>
        <v/>
      </c>
      <c r="I21" s="37" t="str">
        <f t="shared" si="2"/>
        <v/>
      </c>
      <c r="J21" s="88" t="s">
        <v>125</v>
      </c>
      <c r="K21" s="77" t="s">
        <v>126</v>
      </c>
      <c r="L21" s="78" t="s">
        <v>80</v>
      </c>
      <c r="M21" s="78" t="s">
        <v>127</v>
      </c>
      <c r="N21" s="78" t="s">
        <v>80</v>
      </c>
    </row>
    <row r="22" spans="1:14" ht="15.6">
      <c r="A22" s="43" t="str">
        <v>Livonia - Felician Sisters Roof</v>
      </c>
      <c r="B22" s="40" t="str">
        <v>MI</v>
      </c>
      <c r="C22" s="28">
        <v>16168</v>
      </c>
      <c r="D22" s="29" t="s">
        <v>43</v>
      </c>
      <c r="E22" s="29"/>
      <c r="F22" s="30"/>
      <c r="G22" s="86" t="s">
        <v>43</v>
      </c>
      <c r="H22" s="31" t="str">
        <f t="shared" si="1"/>
        <v/>
      </c>
      <c r="I22" s="32" t="str">
        <f t="shared" si="2"/>
        <v/>
      </c>
      <c r="J22" s="62"/>
      <c r="K22" s="62"/>
    </row>
    <row r="23" spans="1:14" ht="15.6">
      <c r="A23" s="41" t="str">
        <v>Monmouth Worship Ctr</v>
      </c>
      <c r="B23" s="42" t="str">
        <v>NJ</v>
      </c>
      <c r="C23" s="35">
        <v>11787.28000000003</v>
      </c>
      <c r="D23" s="36" t="s">
        <v>43</v>
      </c>
      <c r="E23" s="36"/>
      <c r="F23" s="37"/>
      <c r="G23" s="85" t="s">
        <v>43</v>
      </c>
      <c r="H23" s="38" t="str">
        <f t="shared" si="1"/>
        <v/>
      </c>
      <c r="I23" s="37" t="str">
        <f t="shared" si="2"/>
        <v/>
      </c>
      <c r="J23" s="88"/>
      <c r="K23" s="89"/>
    </row>
    <row r="24" spans="1:14" ht="15.6">
      <c r="A24" s="43" t="str">
        <v xml:space="preserve"> Audubon - Senior Citizens United</v>
      </c>
      <c r="B24" s="40" t="str">
        <v>NJ</v>
      </c>
      <c r="C24" s="28">
        <v>8635.375</v>
      </c>
      <c r="D24" s="29" t="s">
        <v>43</v>
      </c>
      <c r="E24" s="29"/>
      <c r="F24" s="30"/>
      <c r="G24" s="86" t="s">
        <v>43</v>
      </c>
      <c r="H24" s="31" t="str">
        <f t="shared" si="1"/>
        <v/>
      </c>
      <c r="I24" s="32" t="str">
        <f t="shared" si="2"/>
        <v/>
      </c>
      <c r="J24" s="62"/>
      <c r="K24" s="62"/>
    </row>
    <row r="25" spans="1:14" ht="14.45">
      <c r="A25" s="8" t="str">
        <v>Hollister - PG&amp;E (Enerparc)</v>
      </c>
      <c r="B25" s="13" t="str">
        <v>CA</v>
      </c>
      <c r="C25" s="8"/>
      <c r="D25" s="8"/>
      <c r="E25" s="8"/>
      <c r="F25" s="9"/>
      <c r="G25" s="8"/>
      <c r="H25" s="8"/>
      <c r="I25" s="9"/>
      <c r="J25" s="8"/>
      <c r="K25" s="8"/>
    </row>
    <row r="26" spans="1:14" ht="14.45">
      <c r="A26" s="8" t="str">
        <v>Taos County - Kit Carson Electric Co-Op</v>
      </c>
      <c r="B26" s="13" t="str">
        <v>NM</v>
      </c>
      <c r="C26" s="8"/>
      <c r="D26" s="8"/>
      <c r="E26" s="8"/>
      <c r="F26" s="9"/>
      <c r="G26" s="8"/>
      <c r="H26" s="8"/>
      <c r="I26" s="9"/>
      <c r="J26" s="8"/>
      <c r="K26" s="8"/>
    </row>
    <row r="27" spans="1:14" ht="14.45">
      <c r="A27" s="8" t="str">
        <v>Commerce City - Adams City HS</v>
      </c>
      <c r="B27" s="13" t="str">
        <v>CO</v>
      </c>
      <c r="C27" s="8"/>
      <c r="D27" s="8"/>
      <c r="E27" s="8"/>
      <c r="F27" s="9"/>
      <c r="G27" s="8"/>
      <c r="H27" s="8"/>
      <c r="I27" s="9"/>
      <c r="J27" s="8"/>
      <c r="K27" s="8"/>
    </row>
    <row r="28" spans="1:14" ht="14.45">
      <c r="A28" s="8" t="str">
        <v>Commerce City - Adams City MS</v>
      </c>
      <c r="B28" s="13" t="str">
        <v>CO</v>
      </c>
      <c r="C28" s="8"/>
      <c r="D28" s="8"/>
      <c r="E28" s="8"/>
      <c r="F28" s="9"/>
      <c r="G28" s="8"/>
      <c r="H28" s="8"/>
      <c r="I28" s="9"/>
      <c r="J28" s="8"/>
      <c r="K28" s="8"/>
    </row>
    <row r="29" spans="1:14" ht="14.45">
      <c r="A29" s="8" t="str">
        <v>Commerce City - Central ES</v>
      </c>
      <c r="B29" s="13" t="str">
        <v>CO</v>
      </c>
      <c r="C29" s="8"/>
      <c r="D29" s="8"/>
      <c r="E29" s="8"/>
      <c r="F29" s="9"/>
      <c r="G29" s="8"/>
      <c r="H29" s="8"/>
      <c r="I29" s="9"/>
      <c r="J29" s="8"/>
      <c r="K29" s="8"/>
    </row>
    <row r="30" spans="1:14" ht="14.45">
      <c r="A30" s="8" t="str">
        <v>Commerce City - Dupont ES</v>
      </c>
      <c r="B30" s="13" t="str">
        <v>CO</v>
      </c>
      <c r="C30" s="8"/>
      <c r="D30" s="8"/>
      <c r="E30" s="8"/>
      <c r="F30" s="9"/>
      <c r="G30" s="8"/>
      <c r="H30" s="8"/>
      <c r="I30" s="9"/>
      <c r="J30" s="8"/>
      <c r="K30" s="8"/>
    </row>
    <row r="31" spans="1:14" ht="14.45">
      <c r="A31" s="8" t="str">
        <v>Commerce City - Educational Support Services</v>
      </c>
      <c r="B31" s="13" t="str">
        <v>CO</v>
      </c>
      <c r="C31" s="8"/>
      <c r="D31" s="8"/>
      <c r="E31" s="8"/>
      <c r="F31" s="9"/>
      <c r="G31" s="8"/>
      <c r="H31" s="8"/>
      <c r="I31" s="9"/>
      <c r="J31" s="8"/>
      <c r="K31" s="8"/>
    </row>
    <row r="32" spans="1:14"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20" priority="5" stopIfTrue="1" operator="lessThanOrEqual">
      <formula>-0.1</formula>
    </cfRule>
    <cfRule type="expression" dxfId="19" priority="6">
      <formula>AND(ISNUMBER(F2), F2&gt;=0.1)</formula>
    </cfRule>
  </conditionalFormatting>
  <hyperlinks>
    <hyperlink ref="K4" r:id="rId1" display="https://us3.assetplanner.com/service_request?ID=097850" xr:uid="{BE7DCD54-7901-4825-ADF1-D2306D6AC759}"/>
    <hyperlink ref="L4" r:id="rId2" display="https://us3.assetplanner.com/service_request?ID=095368" xr:uid="{07286541-05F5-4C1E-94A2-59A216F51208}"/>
    <hyperlink ref="M4" r:id="rId3" display="https://us3.assetplanner.com/service_request?ID=099290" xr:uid="{2BCCF8DF-5376-461F-B2E0-955F44511786}"/>
    <hyperlink ref="K5" r:id="rId4" display="https://us3.assetplanner.com/service_request?ID=097975" xr:uid="{8F43903F-8D72-42F3-9517-E4D6FC44998D}"/>
    <hyperlink ref="L5" r:id="rId5" display="https://us3.assetplanner.com/service_request?ID=097975" xr:uid="{D1005FAC-A6B1-4BDD-9C87-35D02BC75335}"/>
    <hyperlink ref="M5" r:id="rId6" display="https://us3.assetplanner.com/service_request?ID=099501" xr:uid="{B7080889-EA9A-404B-86A8-85A37740D859}"/>
    <hyperlink ref="N5" r:id="rId7" display="https://us3.assetplanner.com/service_request?ID=099508" xr:uid="{EA0DFC10-B90B-4249-8C76-B4E91F65C75E}"/>
    <hyperlink ref="O5" r:id="rId8" display="https://us3.assetplanner.com/service_request?ID=097783" xr:uid="{9C53DF09-1C9A-4C11-A0B8-3A6419FBAD73}"/>
    <hyperlink ref="K7" r:id="rId9" display="https://us3.assetplanner.com/service_request?ID=096262" xr:uid="{2100C41D-583C-4E8C-B812-6A068FC39851}"/>
    <hyperlink ref="L7" r:id="rId10" display="https://us3.assetplanner.com/service_request?ID=099066" xr:uid="{1BBDB912-EF4D-4269-9FDD-598D15480018}"/>
    <hyperlink ref="K8" r:id="rId11" display="https://us3.assetplanner.com/service_request?ID=098870" xr:uid="{F9FDE7A5-4B1A-4B72-BC07-2E3B089A9DE5}"/>
    <hyperlink ref="L8" r:id="rId12" display="https://us3.assetplanner.com/service_request?ID=099461" xr:uid="{B0B849F0-5AF8-44E7-9572-85F406DAB67F}"/>
    <hyperlink ref="K9" r:id="rId13" display="https://us3.assetplanner.com/service_request?ID=100445" xr:uid="{EA7E0885-0787-4AF4-BDD1-69FFFCBDE494}"/>
    <hyperlink ref="K11" r:id="rId14" display="https://us3.assetplanner.com/service_request?ID=100131" xr:uid="{AD914194-840F-4C0A-BD08-3A0D87844E4A}"/>
    <hyperlink ref="L11" r:id="rId15" display="https://us3.assetplanner.com/service_request?ID=100417" xr:uid="{F78C8A4A-DD8E-46F3-B81C-2E480F067524}"/>
    <hyperlink ref="M11" r:id="rId16" display="https://us3.assetplanner.com/service_request?ID=100617" xr:uid="{5C952256-4313-4790-BB0F-1861BC139E54}"/>
    <hyperlink ref="K12" r:id="rId17" display="https://us3.assetplanner.com/service_request?ID=099457" xr:uid="{4E905212-3C02-42D4-B97F-E73BB8E1EF14}"/>
    <hyperlink ref="L12" r:id="rId18" display="https://us3.assetplanner.com/service_request?ID=100618" xr:uid="{F74DD3DC-D9BC-4A96-B357-32AB6E6B59CE}"/>
    <hyperlink ref="M12" r:id="rId19" display="https://us3.assetplanner.com/service_request?ID=098046" xr:uid="{A9E6212E-0771-4839-B54D-8349394292BA}"/>
    <hyperlink ref="K13" r:id="rId20" display="https://us3.assetplanner.com/service_request?ID=098047" xr:uid="{C682C554-2381-4B67-98E8-AE95C05D2E9E}"/>
    <hyperlink ref="L13" r:id="rId21" display="https://us3.assetplanner.com/service_request?ID=099230" xr:uid="{424B386B-31D3-40E1-8EB4-09214F5497D4}"/>
    <hyperlink ref="K14" r:id="rId22" display="https://us3.assetplanner.com/service_request?ID=099167" xr:uid="{208C404D-541F-4148-927D-50616181A8B8}"/>
    <hyperlink ref="L14" r:id="rId23" display="https://us3.assetplanner.com/service_request?ID=099789" xr:uid="{C6DD9109-C21A-4D5F-9288-AEDDEA00832F}"/>
    <hyperlink ref="M14" r:id="rId24" display="https://us3.assetplanner.com/service_request?ID=100621" xr:uid="{890D57B9-F0F4-4454-8D02-E1923166B472}"/>
    <hyperlink ref="N14" r:id="rId25" display="https://us3.assetplanner.com/service_request?ID=099110" xr:uid="{A887106B-D2FE-47C9-AB52-64708D3983C8}"/>
    <hyperlink ref="K15" r:id="rId26" display="https://us3.assetplanner.com/service_request?ID=098048" xr:uid="{CAFB54BD-C979-40C1-8FAA-C0BE279C8213}"/>
    <hyperlink ref="K17" r:id="rId27" display="https://us3.assetplanner.com/service_request?ID=098818" xr:uid="{9EACFAF0-0E8E-4280-B475-DC5A5031EC1A}"/>
    <hyperlink ref="L17" r:id="rId28" display="https://us3.assetplanner.com/service_request?ID=099746" xr:uid="{BF66982E-2E73-41F7-A5A5-500CF32F3880}"/>
    <hyperlink ref="K18" r:id="rId29" display="https://us3.assetplanner.com/service_request?ID=098819" xr:uid="{55247E6D-CB0F-4BC9-80D4-B270C45AB548}"/>
    <hyperlink ref="L18" r:id="rId30" display="https://us3.assetplanner.com/service_request?ID=099691" xr:uid="{75DFF452-B723-478D-B8D6-8EA9D016F0B6}"/>
    <hyperlink ref="M18" r:id="rId31" display="https://us3.assetplanner.com/service_request?ID=101068" xr:uid="{62DA8944-F67F-4F70-B3D8-5CE3E16208B8}"/>
    <hyperlink ref="K19" r:id="rId32" display="https://us3.assetplanner.com/service_request?ID=098076" xr:uid="{1F5E7AB2-2CF2-4FEA-89B7-E23D22CB2BFB}"/>
    <hyperlink ref="L19" r:id="rId33" display="https://us3.assetplanner.com/service_request?ID=098231" xr:uid="{3CF58C1B-3924-4F28-89C3-3D2ECA65AA11}"/>
    <hyperlink ref="M19" r:id="rId34" display="https://us3.assetplanner.com/service_request?ID=099730" xr:uid="{DC1F240B-EE21-4D9C-BB9A-CFF9690664B2}"/>
    <hyperlink ref="K21" r:id="rId35" display="https://us3.assetplanner.com/service_request?ID=098015" xr:uid="{8726E27A-7B45-4F77-9FF2-7DD68F2E6A40}"/>
    <hyperlink ref="L21" r:id="rId36" display="https://us3.assetplanner.com/service_request?ID=098016" xr:uid="{8682D32A-12FB-44BD-B7AC-CF9D53213355}"/>
    <hyperlink ref="M21" r:id="rId37" display="https://us3.assetplanner.com/service_request?ID=099500" xr:uid="{08FBD7B1-401E-4DAE-AC09-6D65A7702800}"/>
    <hyperlink ref="N21" r:id="rId38" display="https://us3.assetplanner.com/service_request?ID=098016" xr:uid="{7FF8A864-CACE-4D85-8CE1-745730A9261D}"/>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P327"/>
  <sheetViews>
    <sheetView workbookViewId="0">
      <pane xSplit="2" ySplit="3" topLeftCell="C10" activePane="bottomRight" state="frozen"/>
      <selection pane="bottomRight" activeCell="N4" sqref="N4"/>
      <selection pane="bottomLeft" activeCell="H13" sqref="H13"/>
      <selection pane="topRight" activeCell="H13" sqref="H13"/>
    </sheetView>
  </sheetViews>
  <sheetFormatPr defaultRowHeight="13.9"/>
  <cols>
    <col min="1" max="1" width="47.140625"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99" t="str" cm="1">
        <f t="array" ref="A1">portfolio</f>
        <v>Clean Capital</v>
      </c>
      <c r="B1" s="99"/>
      <c r="C1" s="99"/>
      <c r="D1" s="100" t="s">
        <v>128</v>
      </c>
      <c r="E1" s="100"/>
      <c r="F1" s="100"/>
      <c r="G1" s="98" t="s">
        <v>129</v>
      </c>
      <c r="H1" s="98"/>
      <c r="I1" s="98"/>
      <c r="J1" s="4"/>
      <c r="K1" s="4"/>
    </row>
    <row r="2" spans="1:16" ht="19.5" customHeight="1">
      <c r="A2" s="101" t="s">
        <v>2</v>
      </c>
      <c r="B2" s="101"/>
      <c r="C2" s="5">
        <f>SUM(C4:C85)</f>
        <v>2827723.5569098927</v>
      </c>
      <c r="D2" s="5">
        <f>SUM(D4:D85)</f>
        <v>943768.39424758288</v>
      </c>
      <c r="E2" s="5">
        <f>C2-D2</f>
        <v>1883955.1626623098</v>
      </c>
      <c r="F2" s="6">
        <f>IFERROR(E2/D2, 0)</f>
        <v>1.9962049737470693</v>
      </c>
      <c r="G2" s="5">
        <f>SUM(G4:G85)</f>
        <v>3193582.9870000007</v>
      </c>
      <c r="H2" s="7">
        <f>C2-G2</f>
        <v>-365859.43009010796</v>
      </c>
      <c r="I2" s="6">
        <f>IFERROR(H2/G2, 0)</f>
        <v>-0.11456080257798164</v>
      </c>
      <c r="J2" s="11" t="str">
        <f ca="1">IF(AND(TODAY()&gt;DATE(2024, 5, 1), COUNTA(Sites[Site])&lt;&gt;(COUNT(C:C)-1)), "Some sites are missing actual data; if new sites were added, make sure they are aligned correctly (including prior months!)", "")</f>
        <v/>
      </c>
      <c r="K2" s="4"/>
    </row>
    <row r="3" spans="1:16" ht="14.25" customHeight="1">
      <c r="A3" s="12" t="s">
        <v>3</v>
      </c>
      <c r="B3" s="12" t="s">
        <v>4</v>
      </c>
      <c r="C3" s="19" t="s">
        <v>5</v>
      </c>
      <c r="D3" s="20" t="s">
        <v>6</v>
      </c>
      <c r="E3" s="20" t="s">
        <v>7</v>
      </c>
      <c r="F3" s="21" t="s">
        <v>8</v>
      </c>
      <c r="G3" s="22" t="s">
        <v>9</v>
      </c>
      <c r="H3" s="23" t="s">
        <v>7</v>
      </c>
      <c r="I3" s="24" t="s">
        <v>8</v>
      </c>
      <c r="J3" s="10" t="s">
        <v>42</v>
      </c>
      <c r="K3" s="10" t="s">
        <v>21</v>
      </c>
    </row>
    <row r="4" spans="1:16" ht="106.5">
      <c r="A4" s="39" t="str" cm="1">
        <f t="array" ref="A4:A46">Sites[Site]</f>
        <v>Lexington - Cotting School</v>
      </c>
      <c r="B4" s="40" t="str" cm="1">
        <f t="array" ref="B4:B46">Sites[State]</f>
        <v>MA</v>
      </c>
      <c r="C4" s="28">
        <v>35088</v>
      </c>
      <c r="D4" s="29" t="s">
        <v>43</v>
      </c>
      <c r="E4" s="29" t="str">
        <f>IF(AND(ISNUMBER(C4),ISNUMBER(D4)), C4-D4, "")</f>
        <v/>
      </c>
      <c r="F4" s="30" t="str">
        <f>IFERROR(E4/D4, "")</f>
        <v/>
      </c>
      <c r="G4" s="75" t="s">
        <v>43</v>
      </c>
      <c r="H4" s="31" t="str">
        <f>IF(AND(ISNUMBER(C4),ISNUMBER(G4)), C4-G4, "")</f>
        <v/>
      </c>
      <c r="I4" s="32" t="str">
        <f>IFERROR(H4/G4, "")</f>
        <v/>
      </c>
      <c r="J4" s="49" t="s">
        <v>130</v>
      </c>
      <c r="K4" s="69" t="s">
        <v>131</v>
      </c>
      <c r="L4" s="97" t="s">
        <v>32</v>
      </c>
      <c r="M4" s="97" t="s">
        <v>86</v>
      </c>
      <c r="N4" s="97" t="s">
        <v>132</v>
      </c>
    </row>
    <row r="5" spans="1:16" ht="229.5">
      <c r="A5" s="41" t="str">
        <v>Pacoima - Whiteman Airport</v>
      </c>
      <c r="B5" s="42" t="str">
        <v>CA</v>
      </c>
      <c r="C5" s="35">
        <v>2023</v>
      </c>
      <c r="D5" s="36" t="s">
        <v>43</v>
      </c>
      <c r="E5" s="36" t="str">
        <f>IF(AND(ISNUMBER(C5),ISNUMBER(D5)), C5-D5, "")</f>
        <v/>
      </c>
      <c r="F5" s="37" t="str">
        <f>IFERROR(E5/D5, "")</f>
        <v/>
      </c>
      <c r="G5" s="38">
        <v>4608.7</v>
      </c>
      <c r="H5" s="38">
        <f t="shared" ref="H5:H46" si="0">IF(AND(ISNUMBER(C5),ISNUMBER(G5)), C5-G5, "")</f>
        <v>-2585.6999999999998</v>
      </c>
      <c r="I5" s="37">
        <f t="shared" ref="I5:I46" si="1">IFERROR(H5/G5, "")</f>
        <v>-0.56104758391737364</v>
      </c>
      <c r="J5" s="50" t="s">
        <v>133</v>
      </c>
      <c r="K5" s="77" t="s">
        <v>134</v>
      </c>
      <c r="L5" s="97" t="s">
        <v>135</v>
      </c>
      <c r="M5" s="97" t="s">
        <v>135</v>
      </c>
      <c r="N5" s="97" t="s">
        <v>135</v>
      </c>
      <c r="O5" s="97" t="s">
        <v>136</v>
      </c>
    </row>
    <row r="6" spans="1:16" ht="15.6">
      <c r="A6" s="43" t="str">
        <v>Hyannis - Sturgis Charter School</v>
      </c>
      <c r="B6" s="40" t="str">
        <v>MA</v>
      </c>
      <c r="C6" s="28">
        <v>35801.705320000001</v>
      </c>
      <c r="D6" s="29" t="s">
        <v>43</v>
      </c>
      <c r="E6" s="29" t="str">
        <f t="shared" ref="E6:E46" si="2">IF(AND(ISNUMBER(C6),ISNUMBER(D6)), C6-D6, "")</f>
        <v/>
      </c>
      <c r="F6" s="30" t="str">
        <f t="shared" ref="F6:F47" si="3">IFERROR(E6/D6, "")</f>
        <v/>
      </c>
      <c r="G6" s="31">
        <v>31250</v>
      </c>
      <c r="H6" s="31">
        <f t="shared" si="0"/>
        <v>4551.7053200000009</v>
      </c>
      <c r="I6" s="32">
        <f t="shared" si="1"/>
        <v>0.14565457024000003</v>
      </c>
      <c r="J6" s="49"/>
      <c r="K6" s="49"/>
    </row>
    <row r="7" spans="1:16" ht="60.75">
      <c r="A7" s="41" t="str">
        <v>South Dennis - Tony Kent Arena</v>
      </c>
      <c r="B7" s="42" t="str">
        <v>MA</v>
      </c>
      <c r="C7" s="35">
        <v>40411.9</v>
      </c>
      <c r="D7" s="36" t="s">
        <v>43</v>
      </c>
      <c r="E7" s="36" t="str">
        <f t="shared" si="2"/>
        <v/>
      </c>
      <c r="F7" s="37" t="str">
        <f t="shared" si="3"/>
        <v/>
      </c>
      <c r="G7" s="85" t="s">
        <v>43</v>
      </c>
      <c r="H7" s="38" t="str">
        <f t="shared" si="0"/>
        <v/>
      </c>
      <c r="I7" s="37" t="str">
        <f t="shared" si="1"/>
        <v/>
      </c>
      <c r="J7" s="50" t="s">
        <v>91</v>
      </c>
      <c r="K7" s="70" t="s">
        <v>137</v>
      </c>
      <c r="L7" s="97" t="s">
        <v>53</v>
      </c>
    </row>
    <row r="8" spans="1:16" ht="76.5">
      <c r="A8" s="43" t="str">
        <v xml:space="preserve"> Caropolis - Felician Sisters</v>
      </c>
      <c r="B8" s="40" t="str">
        <v>PA</v>
      </c>
      <c r="C8" s="28">
        <v>56475.3</v>
      </c>
      <c r="D8" s="29" t="s">
        <v>43</v>
      </c>
      <c r="E8" s="29" t="str">
        <f t="shared" si="2"/>
        <v/>
      </c>
      <c r="F8" s="30" t="str">
        <f t="shared" si="3"/>
        <v/>
      </c>
      <c r="G8" s="86" t="s">
        <v>43</v>
      </c>
      <c r="H8" s="31" t="str">
        <f t="shared" si="0"/>
        <v/>
      </c>
      <c r="I8" s="32" t="str">
        <f t="shared" si="1"/>
        <v/>
      </c>
      <c r="J8" s="49" t="s">
        <v>138</v>
      </c>
      <c r="K8" s="69" t="s">
        <v>94</v>
      </c>
      <c r="L8" s="97" t="s">
        <v>95</v>
      </c>
    </row>
    <row r="9" spans="1:16" ht="167.25">
      <c r="A9" s="41" t="str">
        <v>Clear Lake - Eastlake Gohman</v>
      </c>
      <c r="B9" s="42" t="str">
        <v>MN</v>
      </c>
      <c r="C9" s="35">
        <v>198397</v>
      </c>
      <c r="D9" s="36" t="s">
        <v>43</v>
      </c>
      <c r="E9" s="36" t="str">
        <f t="shared" si="2"/>
        <v/>
      </c>
      <c r="F9" s="37" t="str">
        <f t="shared" si="3"/>
        <v/>
      </c>
      <c r="G9" s="38">
        <v>199753.9</v>
      </c>
      <c r="H9" s="38">
        <f t="shared" si="0"/>
        <v>-1356.8999999999942</v>
      </c>
      <c r="I9" s="37">
        <f t="shared" si="1"/>
        <v>-6.7928586125226799E-3</v>
      </c>
      <c r="J9" s="50" t="s">
        <v>139</v>
      </c>
      <c r="K9" s="77" t="s">
        <v>140</v>
      </c>
      <c r="L9" s="97" t="s">
        <v>141</v>
      </c>
    </row>
    <row r="10" spans="1:16" ht="15.6">
      <c r="A10" s="43" t="str">
        <v>Zumbrota - Eastlake Brenda Luhman</v>
      </c>
      <c r="B10" s="40" t="str">
        <v>MN</v>
      </c>
      <c r="C10" s="28">
        <v>205051</v>
      </c>
      <c r="D10" s="29" t="s">
        <v>43</v>
      </c>
      <c r="E10" s="29" t="str">
        <f t="shared" si="2"/>
        <v/>
      </c>
      <c r="F10" s="30" t="str">
        <f t="shared" si="3"/>
        <v/>
      </c>
      <c r="G10" s="31">
        <v>194233.4</v>
      </c>
      <c r="H10" s="31">
        <f t="shared" si="0"/>
        <v>10817.600000000006</v>
      </c>
      <c r="I10" s="32">
        <f t="shared" si="1"/>
        <v>5.5693819909449181E-2</v>
      </c>
      <c r="J10" s="49"/>
      <c r="K10" s="49"/>
    </row>
    <row r="11" spans="1:16" ht="121.5">
      <c r="A11" s="41" t="str">
        <v>Cokato - Eastlake Carlson</v>
      </c>
      <c r="B11" s="42" t="str">
        <v>MN</v>
      </c>
      <c r="C11" s="35">
        <v>188253</v>
      </c>
      <c r="D11" s="36" t="s">
        <v>43</v>
      </c>
      <c r="E11" s="36" t="str">
        <f t="shared" si="2"/>
        <v/>
      </c>
      <c r="F11" s="37" t="str">
        <f t="shared" si="3"/>
        <v/>
      </c>
      <c r="G11" s="38">
        <v>198830.9</v>
      </c>
      <c r="H11" s="38">
        <f t="shared" si="0"/>
        <v>-10577.899999999994</v>
      </c>
      <c r="I11" s="37">
        <f t="shared" si="1"/>
        <v>-5.320048342586587E-2</v>
      </c>
      <c r="J11" s="60" t="s">
        <v>142</v>
      </c>
      <c r="K11" s="77" t="s">
        <v>143</v>
      </c>
      <c r="L11" s="97" t="s">
        <v>144</v>
      </c>
      <c r="M11" s="97" t="s">
        <v>145</v>
      </c>
    </row>
    <row r="12" spans="1:16" ht="290.25">
      <c r="A12" s="43" t="str">
        <v>North Branch - Cornille 2</v>
      </c>
      <c r="B12" s="40" t="str">
        <v>MN</v>
      </c>
      <c r="C12" s="28">
        <v>185597</v>
      </c>
      <c r="D12" s="29" t="s">
        <v>43</v>
      </c>
      <c r="E12" s="29" t="str">
        <f t="shared" si="2"/>
        <v/>
      </c>
      <c r="F12" s="30" t="str">
        <f t="shared" si="3"/>
        <v/>
      </c>
      <c r="G12" s="31">
        <v>204259.6</v>
      </c>
      <c r="H12" s="31">
        <f t="shared" si="0"/>
        <v>-18662.600000000006</v>
      </c>
      <c r="I12" s="32">
        <f t="shared" si="1"/>
        <v>-9.1367064265278131E-2</v>
      </c>
      <c r="J12" s="49" t="s">
        <v>146</v>
      </c>
      <c r="K12" s="69" t="s">
        <v>147</v>
      </c>
      <c r="L12" s="97" t="s">
        <v>148</v>
      </c>
      <c r="M12" s="97" t="s">
        <v>149</v>
      </c>
      <c r="N12" s="97" t="s">
        <v>150</v>
      </c>
      <c r="O12" s="97" t="s">
        <v>151</v>
      </c>
      <c r="P12" s="97" t="s">
        <v>152</v>
      </c>
    </row>
    <row r="13" spans="1:16" ht="15.6">
      <c r="A13" s="41" t="str">
        <v>Clear Lake - Eastlake Hammer</v>
      </c>
      <c r="B13" s="42" t="str">
        <v>MN</v>
      </c>
      <c r="C13" s="35">
        <v>260043.817499998</v>
      </c>
      <c r="D13" s="36" t="s">
        <v>43</v>
      </c>
      <c r="E13" s="36" t="str">
        <f t="shared" si="2"/>
        <v/>
      </c>
      <c r="F13" s="37" t="str">
        <f t="shared" si="3"/>
        <v/>
      </c>
      <c r="G13" s="38">
        <v>246556.3</v>
      </c>
      <c r="H13" s="38">
        <f t="shared" si="0"/>
        <v>13487.517499998008</v>
      </c>
      <c r="I13" s="37">
        <f t="shared" si="1"/>
        <v>5.4703601165324141E-2</v>
      </c>
      <c r="J13" s="50"/>
      <c r="K13" s="51"/>
    </row>
    <row r="14" spans="1:16" ht="91.5" customHeight="1">
      <c r="A14" s="43" t="str">
        <v>Eastlake - Hertzberg CSG 1</v>
      </c>
      <c r="B14" s="40" t="str">
        <v>MN</v>
      </c>
      <c r="C14" s="28">
        <v>254551.63250000001</v>
      </c>
      <c r="D14" s="29" t="s">
        <v>43</v>
      </c>
      <c r="E14" s="29" t="str">
        <f t="shared" si="2"/>
        <v/>
      </c>
      <c r="F14" s="30" t="str">
        <f t="shared" si="3"/>
        <v/>
      </c>
      <c r="G14" s="31">
        <v>255012.1</v>
      </c>
      <c r="H14" s="31">
        <f t="shared" si="0"/>
        <v>-460.46749999999884</v>
      </c>
      <c r="I14" s="32">
        <f t="shared" si="1"/>
        <v>-1.8056692211859706E-3</v>
      </c>
      <c r="J14" s="49" t="s">
        <v>153</v>
      </c>
      <c r="K14" s="69" t="s">
        <v>154</v>
      </c>
      <c r="L14" s="97" t="s">
        <v>112</v>
      </c>
    </row>
    <row r="15" spans="1:16" ht="106.5" customHeight="1">
      <c r="A15" s="41" t="str">
        <v>Cokato - Eastlake Laurel Village</v>
      </c>
      <c r="B15" s="42" t="str">
        <v>MN</v>
      </c>
      <c r="C15" s="35">
        <v>242819.80499999999</v>
      </c>
      <c r="D15" s="36" t="s">
        <v>43</v>
      </c>
      <c r="E15" s="36" t="str">
        <f t="shared" si="2"/>
        <v/>
      </c>
      <c r="F15" s="37" t="str">
        <f t="shared" si="3"/>
        <v/>
      </c>
      <c r="G15" s="38">
        <v>258683</v>
      </c>
      <c r="H15" s="38">
        <f t="shared" si="0"/>
        <v>-15863.195000000007</v>
      </c>
      <c r="I15" s="37">
        <f t="shared" si="1"/>
        <v>-6.132291259959103E-2</v>
      </c>
      <c r="J15" s="50" t="s">
        <v>155</v>
      </c>
      <c r="K15" s="77" t="s">
        <v>156</v>
      </c>
      <c r="L15" s="97" t="s">
        <v>157</v>
      </c>
    </row>
    <row r="16" spans="1:16" ht="28.9">
      <c r="A16" s="43" t="str">
        <v>St. Peter - Eastlake Paulson</v>
      </c>
      <c r="B16" s="40" t="str">
        <v>MN</v>
      </c>
      <c r="C16" s="28">
        <v>201936.795220895</v>
      </c>
      <c r="D16" s="29" t="s">
        <v>43</v>
      </c>
      <c r="E16" s="29" t="str">
        <f t="shared" si="2"/>
        <v/>
      </c>
      <c r="F16" s="30" t="str">
        <f t="shared" si="3"/>
        <v/>
      </c>
      <c r="G16" s="31">
        <v>210220.3</v>
      </c>
      <c r="H16" s="31">
        <f t="shared" si="0"/>
        <v>-8283.5047791049874</v>
      </c>
      <c r="I16" s="32">
        <f t="shared" si="1"/>
        <v>-3.9403924259954856E-2</v>
      </c>
      <c r="J16" s="49" t="s">
        <v>158</v>
      </c>
      <c r="K16" s="69" t="s">
        <v>159</v>
      </c>
    </row>
    <row r="17" spans="1:14" ht="121.5">
      <c r="A17" s="41" t="str">
        <v>Felician Sisters Convent</v>
      </c>
      <c r="B17" s="42" t="str">
        <v>NJ</v>
      </c>
      <c r="C17" s="35">
        <v>3676.9</v>
      </c>
      <c r="D17" s="36" t="s">
        <v>43</v>
      </c>
      <c r="E17" s="36" t="str">
        <f t="shared" si="2"/>
        <v/>
      </c>
      <c r="F17" s="37" t="str">
        <f t="shared" si="3"/>
        <v/>
      </c>
      <c r="G17" s="85" t="s">
        <v>43</v>
      </c>
      <c r="H17" s="38" t="str">
        <f t="shared" si="0"/>
        <v/>
      </c>
      <c r="I17" s="37" t="str">
        <f t="shared" si="1"/>
        <v/>
      </c>
      <c r="J17" s="50" t="s">
        <v>160</v>
      </c>
      <c r="K17" s="77" t="s">
        <v>161</v>
      </c>
      <c r="L17" s="97" t="s">
        <v>117</v>
      </c>
      <c r="M17" s="97" t="s">
        <v>162</v>
      </c>
    </row>
    <row r="18" spans="1:14" ht="106.5">
      <c r="A18" s="43" t="str">
        <v>Sussex County Fairgrounds</v>
      </c>
      <c r="B18" s="40" t="str">
        <v>NJ</v>
      </c>
      <c r="C18" s="28">
        <v>38854.14</v>
      </c>
      <c r="D18" s="29" t="s">
        <v>43</v>
      </c>
      <c r="E18" s="29" t="str">
        <f t="shared" si="2"/>
        <v/>
      </c>
      <c r="F18" s="30" t="str">
        <f t="shared" si="3"/>
        <v/>
      </c>
      <c r="G18" s="86" t="s">
        <v>43</v>
      </c>
      <c r="H18" s="31" t="str">
        <f t="shared" si="0"/>
        <v/>
      </c>
      <c r="I18" s="32" t="str">
        <f t="shared" si="1"/>
        <v/>
      </c>
      <c r="J18" s="49" t="s">
        <v>163</v>
      </c>
      <c r="K18" s="69" t="s">
        <v>164</v>
      </c>
      <c r="L18" s="97" t="s">
        <v>121</v>
      </c>
    </row>
    <row r="19" spans="1:14" ht="198">
      <c r="A19" s="41" t="str">
        <v>Gateway Church</v>
      </c>
      <c r="B19" s="42" t="str">
        <v>NJ</v>
      </c>
      <c r="C19" s="35">
        <v>26806</v>
      </c>
      <c r="D19" s="36" t="s">
        <v>43</v>
      </c>
      <c r="E19" s="36" t="str">
        <f t="shared" si="2"/>
        <v/>
      </c>
      <c r="F19" s="37" t="str">
        <f t="shared" si="3"/>
        <v/>
      </c>
      <c r="G19" s="85" t="s">
        <v>43</v>
      </c>
      <c r="H19" s="38" t="str">
        <f t="shared" si="0"/>
        <v/>
      </c>
      <c r="I19" s="37" t="str">
        <f t="shared" si="1"/>
        <v/>
      </c>
      <c r="J19" s="60" t="s">
        <v>165</v>
      </c>
      <c r="K19" s="77" t="s">
        <v>166</v>
      </c>
      <c r="L19" s="97" t="s">
        <v>124</v>
      </c>
      <c r="M19" s="97" t="s">
        <v>167</v>
      </c>
    </row>
    <row r="20" spans="1:14" ht="15.6">
      <c r="A20" s="43" t="str">
        <v>Beaver Falls - Felician Sisters</v>
      </c>
      <c r="B20" s="40" t="str">
        <v>PA</v>
      </c>
      <c r="C20" s="28">
        <v>39310</v>
      </c>
      <c r="D20" s="29" t="s">
        <v>43</v>
      </c>
      <c r="E20" s="29" t="str">
        <f t="shared" si="2"/>
        <v/>
      </c>
      <c r="F20" s="30" t="str">
        <f t="shared" si="3"/>
        <v/>
      </c>
      <c r="G20" s="86" t="s">
        <v>43</v>
      </c>
      <c r="H20" s="31" t="str">
        <f t="shared" si="0"/>
        <v/>
      </c>
      <c r="I20" s="32" t="str">
        <f t="shared" si="1"/>
        <v/>
      </c>
      <c r="J20" s="49"/>
      <c r="K20" s="49"/>
    </row>
    <row r="21" spans="1:14" ht="76.5">
      <c r="A21" s="41" t="str">
        <v>Livonia - Felician Sisters Ground</v>
      </c>
      <c r="B21" s="42" t="str">
        <v>MI</v>
      </c>
      <c r="C21" s="35">
        <v>0</v>
      </c>
      <c r="D21" s="36" t="s">
        <v>43</v>
      </c>
      <c r="E21" s="36" t="str">
        <f t="shared" si="2"/>
        <v/>
      </c>
      <c r="F21" s="37" t="str">
        <f t="shared" si="3"/>
        <v/>
      </c>
      <c r="G21" s="85" t="s">
        <v>43</v>
      </c>
      <c r="H21" s="38" t="str">
        <f t="shared" si="0"/>
        <v/>
      </c>
      <c r="I21" s="37" t="str">
        <f t="shared" si="1"/>
        <v/>
      </c>
      <c r="J21" s="50" t="s">
        <v>125</v>
      </c>
      <c r="K21" s="77" t="s">
        <v>126</v>
      </c>
      <c r="L21" s="97" t="s">
        <v>80</v>
      </c>
      <c r="M21" s="97" t="s">
        <v>127</v>
      </c>
      <c r="N21" s="97" t="s">
        <v>80</v>
      </c>
    </row>
    <row r="22" spans="1:14" ht="15.6">
      <c r="A22" s="43" t="str">
        <v>Livonia - Felician Sisters Roof</v>
      </c>
      <c r="B22" s="40" t="str">
        <v>MI</v>
      </c>
      <c r="C22" s="28">
        <v>16092</v>
      </c>
      <c r="D22" s="29" t="s">
        <v>43</v>
      </c>
      <c r="E22" s="29" t="str">
        <f t="shared" si="2"/>
        <v/>
      </c>
      <c r="F22" s="30" t="str">
        <f t="shared" si="3"/>
        <v/>
      </c>
      <c r="G22" s="86" t="s">
        <v>43</v>
      </c>
      <c r="H22" s="31" t="str">
        <f t="shared" si="0"/>
        <v/>
      </c>
      <c r="I22" s="32" t="str">
        <f t="shared" si="1"/>
        <v/>
      </c>
      <c r="J22" s="49"/>
      <c r="K22" s="49"/>
    </row>
    <row r="23" spans="1:14" ht="15.6">
      <c r="A23" s="41" t="str">
        <v>Monmouth Worship Ctr</v>
      </c>
      <c r="B23" s="42" t="str">
        <v>NJ</v>
      </c>
      <c r="C23" s="35">
        <v>12020.5</v>
      </c>
      <c r="D23" s="36" t="s">
        <v>43</v>
      </c>
      <c r="E23" s="36" t="str">
        <f t="shared" si="2"/>
        <v/>
      </c>
      <c r="F23" s="37" t="str">
        <f t="shared" si="3"/>
        <v/>
      </c>
      <c r="G23" s="85" t="s">
        <v>43</v>
      </c>
      <c r="H23" s="38" t="str">
        <f t="shared" si="0"/>
        <v/>
      </c>
      <c r="I23" s="37" t="str">
        <f t="shared" si="1"/>
        <v/>
      </c>
      <c r="J23" s="50"/>
      <c r="K23" s="51"/>
    </row>
    <row r="24" spans="1:14" ht="15.6">
      <c r="A24" s="43" t="str">
        <v xml:space="preserve"> Audubon - Senior Citizens United</v>
      </c>
      <c r="B24" s="40" t="str">
        <v>NJ</v>
      </c>
      <c r="C24" s="28">
        <v>8373.4</v>
      </c>
      <c r="D24" s="29" t="s">
        <v>43</v>
      </c>
      <c r="E24" s="29" t="str">
        <f t="shared" si="2"/>
        <v/>
      </c>
      <c r="F24" s="30" t="str">
        <f t="shared" si="3"/>
        <v/>
      </c>
      <c r="G24" s="86" t="s">
        <v>43</v>
      </c>
      <c r="H24" s="31" t="str">
        <f t="shared" si="0"/>
        <v/>
      </c>
      <c r="I24" s="32" t="str">
        <f t="shared" si="1"/>
        <v/>
      </c>
      <c r="J24" s="49"/>
      <c r="K24" s="49"/>
    </row>
    <row r="25" spans="1:14" ht="106.5">
      <c r="A25" s="41" t="str">
        <v>Hollister - PG&amp;E (Enerparc)</v>
      </c>
      <c r="B25" s="42" t="str">
        <v>CA</v>
      </c>
      <c r="C25" s="35">
        <v>0</v>
      </c>
      <c r="D25" s="36">
        <v>0</v>
      </c>
      <c r="E25" s="36">
        <f t="shared" si="2"/>
        <v>0</v>
      </c>
      <c r="F25" s="37" t="str">
        <f t="shared" si="3"/>
        <v/>
      </c>
      <c r="G25" s="74">
        <v>378519.7</v>
      </c>
      <c r="H25" s="38">
        <f t="shared" si="0"/>
        <v>-378519.7</v>
      </c>
      <c r="I25" s="37">
        <f t="shared" si="1"/>
        <v>-1</v>
      </c>
      <c r="J25" s="50" t="s">
        <v>168</v>
      </c>
      <c r="K25" s="77" t="s">
        <v>169</v>
      </c>
      <c r="L25" s="97" t="s">
        <v>170</v>
      </c>
      <c r="M25" s="97" t="s">
        <v>171</v>
      </c>
    </row>
    <row r="26" spans="1:14" ht="28.9">
      <c r="A26" s="43" t="str">
        <v>Taos County - Kit Carson Electric Co-Op</v>
      </c>
      <c r="B26" s="40" t="str">
        <v>NM</v>
      </c>
      <c r="C26" s="28">
        <v>208950</v>
      </c>
      <c r="D26" s="29">
        <v>262727.8</v>
      </c>
      <c r="E26" s="29">
        <f t="shared" si="2"/>
        <v>-53777.799999999988</v>
      </c>
      <c r="F26" s="30">
        <f t="shared" si="3"/>
        <v>-0.20469017743839818</v>
      </c>
      <c r="G26" s="31">
        <v>222002.7</v>
      </c>
      <c r="H26" s="31">
        <f t="shared" si="0"/>
        <v>-13052.700000000012</v>
      </c>
      <c r="I26" s="32">
        <f t="shared" si="1"/>
        <v>-5.8795230868813809E-2</v>
      </c>
      <c r="J26" s="49" t="s">
        <v>172</v>
      </c>
      <c r="K26" s="69" t="s">
        <v>173</v>
      </c>
    </row>
    <row r="27" spans="1:14" ht="15.6">
      <c r="A27" s="41" t="str">
        <v>Commerce City - Adams City HS</v>
      </c>
      <c r="B27" s="42" t="str">
        <v>CO</v>
      </c>
      <c r="C27" s="35">
        <v>16933</v>
      </c>
      <c r="D27" s="36">
        <v>13265.67</v>
      </c>
      <c r="E27" s="36">
        <f t="shared" si="2"/>
        <v>3667.33</v>
      </c>
      <c r="F27" s="37">
        <f t="shared" si="3"/>
        <v>0.27645267822884179</v>
      </c>
      <c r="G27" s="74">
        <v>14930.87</v>
      </c>
      <c r="H27" s="38">
        <f t="shared" si="0"/>
        <v>2002.1299999999992</v>
      </c>
      <c r="I27" s="37">
        <f t="shared" si="1"/>
        <v>0.1340933247694206</v>
      </c>
      <c r="J27" s="50" t="s">
        <v>174</v>
      </c>
      <c r="K27" s="77" t="s">
        <v>175</v>
      </c>
    </row>
    <row r="28" spans="1:14" ht="15.6">
      <c r="A28" s="43" t="str">
        <v>Commerce City - Adams City MS</v>
      </c>
      <c r="B28" s="40" t="str">
        <v>CO</v>
      </c>
      <c r="C28" s="28">
        <v>14198</v>
      </c>
      <c r="D28" s="29">
        <v>12047.05</v>
      </c>
      <c r="E28" s="29">
        <f t="shared" si="2"/>
        <v>2150.9500000000007</v>
      </c>
      <c r="F28" s="30">
        <f t="shared" si="3"/>
        <v>0.17854578506771374</v>
      </c>
      <c r="G28" s="31">
        <v>13139.15</v>
      </c>
      <c r="H28" s="31">
        <f t="shared" si="0"/>
        <v>1058.8500000000004</v>
      </c>
      <c r="I28" s="32">
        <f t="shared" si="1"/>
        <v>8.0587404816902186E-2</v>
      </c>
      <c r="J28" s="49"/>
      <c r="K28" s="49"/>
    </row>
    <row r="29" spans="1:14" ht="15.6">
      <c r="A29" s="41" t="str">
        <v>Commerce City - Central ES</v>
      </c>
      <c r="B29" s="42" t="str">
        <v>CO</v>
      </c>
      <c r="C29" s="35">
        <v>3710.2</v>
      </c>
      <c r="D29" s="36">
        <v>3461.8870000000002</v>
      </c>
      <c r="E29" s="36">
        <f t="shared" si="2"/>
        <v>248.31299999999965</v>
      </c>
      <c r="F29" s="37">
        <f t="shared" si="3"/>
        <v>7.1727644489840259E-2</v>
      </c>
      <c r="G29" s="74">
        <v>3842.98</v>
      </c>
      <c r="H29" s="38">
        <f t="shared" si="0"/>
        <v>-132.7800000000002</v>
      </c>
      <c r="I29" s="37">
        <f t="shared" si="1"/>
        <v>-3.4551311742449922E-2</v>
      </c>
      <c r="J29" s="50"/>
      <c r="K29" s="51"/>
    </row>
    <row r="30" spans="1:14" ht="28.9">
      <c r="A30" s="43" t="str">
        <v>Commerce City - Dupont ES</v>
      </c>
      <c r="B30" s="40" t="str">
        <v>CO</v>
      </c>
      <c r="C30" s="28">
        <v>11670</v>
      </c>
      <c r="D30" s="29">
        <v>9782.4249999999993</v>
      </c>
      <c r="E30" s="29">
        <f t="shared" si="2"/>
        <v>1887.5750000000007</v>
      </c>
      <c r="F30" s="30">
        <f t="shared" si="3"/>
        <v>0.19295573439101255</v>
      </c>
      <c r="G30" s="31">
        <v>10978.82</v>
      </c>
      <c r="H30" s="31">
        <f t="shared" si="0"/>
        <v>691.18000000000029</v>
      </c>
      <c r="I30" s="32">
        <f t="shared" si="1"/>
        <v>6.2955763916340765E-2</v>
      </c>
      <c r="J30" s="49" t="s">
        <v>176</v>
      </c>
      <c r="K30" s="69" t="s">
        <v>177</v>
      </c>
    </row>
    <row r="31" spans="1:14" ht="15.6">
      <c r="A31" s="41" t="str">
        <v>Commerce City - Educational Support Services</v>
      </c>
      <c r="B31" s="42" t="str">
        <v>CO</v>
      </c>
      <c r="C31" s="35">
        <v>11891</v>
      </c>
      <c r="D31" s="36">
        <v>10164.36</v>
      </c>
      <c r="E31" s="36">
        <f t="shared" si="2"/>
        <v>1726.6399999999994</v>
      </c>
      <c r="F31" s="37">
        <f t="shared" si="3"/>
        <v>0.16987198406982823</v>
      </c>
      <c r="G31" s="74">
        <v>11375.6</v>
      </c>
      <c r="H31" s="38">
        <f t="shared" si="0"/>
        <v>515.39999999999964</v>
      </c>
      <c r="I31" s="37">
        <f t="shared" si="1"/>
        <v>4.5307500263722322E-2</v>
      </c>
      <c r="J31" s="50"/>
      <c r="K31" s="60"/>
    </row>
    <row r="32" spans="1:14" ht="15.6">
      <c r="A32" s="43" t="str">
        <v>Commerce City - Hanson ES</v>
      </c>
      <c r="B32" s="40" t="str">
        <v>CO</v>
      </c>
      <c r="C32" s="28">
        <v>14925</v>
      </c>
      <c r="D32" s="29">
        <v>13253.54</v>
      </c>
      <c r="E32" s="29">
        <f t="shared" si="2"/>
        <v>1671.4599999999991</v>
      </c>
      <c r="F32" s="30">
        <f t="shared" si="3"/>
        <v>0.12611423061310403</v>
      </c>
      <c r="G32" s="31">
        <v>14873.58</v>
      </c>
      <c r="H32" s="31">
        <f t="shared" si="0"/>
        <v>51.420000000000073</v>
      </c>
      <c r="I32" s="32">
        <f t="shared" si="1"/>
        <v>3.4571367485165018E-3</v>
      </c>
      <c r="J32" s="49" t="s">
        <v>178</v>
      </c>
      <c r="K32" s="69" t="s">
        <v>179</v>
      </c>
    </row>
    <row r="33" spans="1:12" ht="28.9">
      <c r="A33" s="41" t="str">
        <v>Commerce City - Kemp ES</v>
      </c>
      <c r="B33" s="42" t="str">
        <v>CO</v>
      </c>
      <c r="C33" s="35">
        <v>5886.4613689999996</v>
      </c>
      <c r="D33" s="36">
        <v>13247.98</v>
      </c>
      <c r="E33" s="36">
        <f t="shared" si="2"/>
        <v>-7361.5186309999999</v>
      </c>
      <c r="F33" s="37">
        <f t="shared" si="3"/>
        <v>-0.5556710253940601</v>
      </c>
      <c r="G33" s="74">
        <v>14866.23</v>
      </c>
      <c r="H33" s="38">
        <f t="shared" si="0"/>
        <v>-8979.768630999999</v>
      </c>
      <c r="I33" s="37">
        <f t="shared" si="1"/>
        <v>-0.6040380534271298</v>
      </c>
      <c r="J33" s="60" t="s">
        <v>180</v>
      </c>
      <c r="K33" s="77" t="s">
        <v>181</v>
      </c>
    </row>
    <row r="34" spans="1:12" ht="86.45">
      <c r="A34" s="43" t="str">
        <v>Commerce City -  Lester Arnold HS</v>
      </c>
      <c r="B34" s="40" t="str">
        <v>CO</v>
      </c>
      <c r="C34" s="28">
        <v>4738</v>
      </c>
      <c r="D34" s="29">
        <v>12807.06</v>
      </c>
      <c r="E34" s="29">
        <f t="shared" si="2"/>
        <v>-8069.0599999999995</v>
      </c>
      <c r="F34" s="30">
        <f t="shared" si="3"/>
        <v>-0.63004780175934205</v>
      </c>
      <c r="G34" s="31">
        <v>14432.74</v>
      </c>
      <c r="H34" s="31">
        <f t="shared" si="0"/>
        <v>-9694.74</v>
      </c>
      <c r="I34" s="32">
        <f t="shared" si="1"/>
        <v>-0.6717186064461772</v>
      </c>
      <c r="J34" s="62" t="s">
        <v>182</v>
      </c>
      <c r="K34" s="80" t="s">
        <v>183</v>
      </c>
    </row>
    <row r="35" spans="1:12" ht="76.5">
      <c r="A35" s="41" t="str">
        <v>Commerce City - Monaco ES</v>
      </c>
      <c r="B35" s="42" t="str">
        <v>CO</v>
      </c>
      <c r="C35" s="35">
        <v>7723</v>
      </c>
      <c r="D35" s="36">
        <v>13255.17</v>
      </c>
      <c r="E35" s="36">
        <f t="shared" si="2"/>
        <v>-5532.17</v>
      </c>
      <c r="F35" s="37">
        <f t="shared" si="3"/>
        <v>-0.41735941523194348</v>
      </c>
      <c r="G35" s="74">
        <v>14873.58</v>
      </c>
      <c r="H35" s="38">
        <f t="shared" si="0"/>
        <v>-7150.58</v>
      </c>
      <c r="I35" s="37">
        <f t="shared" si="1"/>
        <v>-0.48075715463257668</v>
      </c>
      <c r="J35" s="60" t="s">
        <v>184</v>
      </c>
      <c r="K35" s="77" t="s">
        <v>185</v>
      </c>
      <c r="L35" s="97" t="s">
        <v>186</v>
      </c>
    </row>
    <row r="36" spans="1:12" ht="15.6">
      <c r="A36" s="43" t="str">
        <v>Denver - Northgate / Old Fort Logan ES</v>
      </c>
      <c r="B36" s="40" t="str">
        <v>CO</v>
      </c>
      <c r="C36" s="28">
        <v>14110</v>
      </c>
      <c r="D36" s="29">
        <v>11489.7</v>
      </c>
      <c r="E36" s="29">
        <f t="shared" si="2"/>
        <v>2620.2999999999993</v>
      </c>
      <c r="F36" s="30">
        <f t="shared" si="3"/>
        <v>0.22805643315317189</v>
      </c>
      <c r="G36" s="31">
        <v>14384.82</v>
      </c>
      <c r="H36" s="31">
        <f t="shared" si="0"/>
        <v>-274.81999999999971</v>
      </c>
      <c r="I36" s="32">
        <f t="shared" si="1"/>
        <v>-1.9104861930840964E-2</v>
      </c>
      <c r="J36" s="62"/>
      <c r="K36" s="62"/>
    </row>
    <row r="37" spans="1:12" ht="15.6">
      <c r="A37" s="41" t="str">
        <v>Denver - Sheridan High School</v>
      </c>
      <c r="B37" s="42" t="str">
        <v>CO</v>
      </c>
      <c r="C37" s="35">
        <v>16526</v>
      </c>
      <c r="D37" s="36">
        <v>13256.88</v>
      </c>
      <c r="E37" s="36">
        <f t="shared" si="2"/>
        <v>3269.1200000000008</v>
      </c>
      <c r="F37" s="37">
        <f t="shared" si="3"/>
        <v>0.24659799289123843</v>
      </c>
      <c r="G37" s="74">
        <v>14317.74</v>
      </c>
      <c r="H37" s="38">
        <f t="shared" si="0"/>
        <v>2208.2600000000002</v>
      </c>
      <c r="I37" s="37">
        <f t="shared" si="1"/>
        <v>0.15423244171216968</v>
      </c>
      <c r="J37" s="60"/>
      <c r="K37" s="59"/>
    </row>
    <row r="38" spans="1:12" ht="15.6">
      <c r="A38" s="43" t="str">
        <v>Englewood -  Alice Terry Elementary</v>
      </c>
      <c r="B38" s="40" t="str">
        <v>CO</v>
      </c>
      <c r="C38" s="28">
        <v>15679</v>
      </c>
      <c r="D38" s="29">
        <v>13257.15</v>
      </c>
      <c r="E38" s="29">
        <f t="shared" si="2"/>
        <v>2421.8500000000004</v>
      </c>
      <c r="F38" s="30">
        <f t="shared" si="3"/>
        <v>0.18268255243396964</v>
      </c>
      <c r="G38" s="31">
        <v>14384.82</v>
      </c>
      <c r="H38" s="31">
        <f t="shared" si="0"/>
        <v>1294.1800000000003</v>
      </c>
      <c r="I38" s="32">
        <f t="shared" si="1"/>
        <v>8.9968452855162612E-2</v>
      </c>
      <c r="J38" s="62"/>
      <c r="K38" s="62"/>
    </row>
    <row r="39" spans="1:12" ht="28.9">
      <c r="A39" s="41" t="str">
        <v>Englewood - Sheridan Middle School</v>
      </c>
      <c r="B39" s="42" t="str">
        <v>CO</v>
      </c>
      <c r="C39" s="35">
        <v>6542</v>
      </c>
      <c r="D39" s="36">
        <v>7855.0709999999999</v>
      </c>
      <c r="E39" s="36">
        <f t="shared" si="2"/>
        <v>-1313.0709999999999</v>
      </c>
      <c r="F39" s="37">
        <f t="shared" si="3"/>
        <v>-0.16716220642690563</v>
      </c>
      <c r="G39" s="74">
        <v>8423.277</v>
      </c>
      <c r="H39" s="38">
        <f t="shared" si="0"/>
        <v>-1881.277</v>
      </c>
      <c r="I39" s="37">
        <f t="shared" si="1"/>
        <v>-0.22334264918510932</v>
      </c>
      <c r="J39" s="60" t="s">
        <v>187</v>
      </c>
      <c r="K39" s="77" t="s">
        <v>188</v>
      </c>
    </row>
    <row r="40" spans="1:12" ht="57.6">
      <c r="A40" s="43" t="str">
        <v>Goshen - NIPSCO</v>
      </c>
      <c r="B40" s="40" t="str">
        <v>IN</v>
      </c>
      <c r="C40" s="28">
        <v>49128</v>
      </c>
      <c r="D40" s="29">
        <v>54524.15</v>
      </c>
      <c r="E40" s="29">
        <f t="shared" si="2"/>
        <v>-5396.1500000000015</v>
      </c>
      <c r="F40" s="30">
        <f t="shared" si="3"/>
        <v>-9.8968071946100966E-2</v>
      </c>
      <c r="G40" s="31">
        <v>71872.850000000006</v>
      </c>
      <c r="H40" s="31">
        <f t="shared" si="0"/>
        <v>-22744.850000000006</v>
      </c>
      <c r="I40" s="32">
        <f t="shared" si="1"/>
        <v>-0.31645955322489649</v>
      </c>
      <c r="J40" s="62" t="s">
        <v>189</v>
      </c>
      <c r="K40" s="80" t="s">
        <v>190</v>
      </c>
    </row>
    <row r="41" spans="1:12" ht="23.25">
      <c r="A41" s="41" t="str">
        <v>Alamogordo - City of Alamogordo - Effluent</v>
      </c>
      <c r="B41" s="42" t="str">
        <v>NM</v>
      </c>
      <c r="C41" s="35">
        <v>26336</v>
      </c>
      <c r="D41" s="36">
        <v>31408.3</v>
      </c>
      <c r="E41" s="36">
        <f t="shared" si="2"/>
        <v>-5072.2999999999993</v>
      </c>
      <c r="F41" s="37">
        <f t="shared" si="3"/>
        <v>-0.16149552825208621</v>
      </c>
      <c r="G41" s="74">
        <v>35349.800000000003</v>
      </c>
      <c r="H41" s="38">
        <f t="shared" si="0"/>
        <v>-9013.8000000000029</v>
      </c>
      <c r="I41" s="37">
        <f t="shared" si="1"/>
        <v>-0.25498871280742752</v>
      </c>
      <c r="J41" s="60" t="s">
        <v>191</v>
      </c>
      <c r="K41" s="77" t="s">
        <v>192</v>
      </c>
      <c r="L41" s="97" t="s">
        <v>193</v>
      </c>
    </row>
    <row r="42" spans="1:12" ht="76.5">
      <c r="A42" s="43" t="str">
        <v>Alamogordo - City of Alamogordo - WWTP</v>
      </c>
      <c r="B42" s="40" t="str">
        <v>NM</v>
      </c>
      <c r="C42" s="28">
        <v>33510</v>
      </c>
      <c r="D42" s="29">
        <v>1.247583E-3</v>
      </c>
      <c r="E42" s="29">
        <f t="shared" si="2"/>
        <v>33509.998752416999</v>
      </c>
      <c r="F42" s="30">
        <f t="shared" si="3"/>
        <v>26859935.372970775</v>
      </c>
      <c r="G42" s="31">
        <v>149913.1</v>
      </c>
      <c r="H42" s="31">
        <f t="shared" si="0"/>
        <v>-116403.1</v>
      </c>
      <c r="I42" s="32">
        <f t="shared" si="1"/>
        <v>-0.7764705019107736</v>
      </c>
      <c r="J42" s="62" t="s">
        <v>194</v>
      </c>
      <c r="K42" s="80" t="s">
        <v>195</v>
      </c>
      <c r="L42" s="97" t="s">
        <v>196</v>
      </c>
    </row>
    <row r="43" spans="1:12" ht="15.6">
      <c r="A43" s="41" t="str">
        <v>Deming - Bilbo Booster</v>
      </c>
      <c r="B43" s="42" t="str">
        <v>NM</v>
      </c>
      <c r="C43" s="35">
        <v>13955</v>
      </c>
      <c r="D43" s="36">
        <v>0</v>
      </c>
      <c r="E43" s="36">
        <f t="shared" si="2"/>
        <v>13955</v>
      </c>
      <c r="F43" s="37" t="str">
        <f t="shared" si="3"/>
        <v/>
      </c>
      <c r="G43" s="74">
        <v>14175</v>
      </c>
      <c r="H43" s="38">
        <f t="shared" si="0"/>
        <v>-220</v>
      </c>
      <c r="I43" s="37">
        <f t="shared" si="1"/>
        <v>-1.5520282186948854E-2</v>
      </c>
      <c r="J43" s="60"/>
      <c r="K43" s="59"/>
    </row>
    <row r="44" spans="1:12" ht="43.15">
      <c r="A44" s="43" t="str">
        <v>Deming - Bilbo Well</v>
      </c>
      <c r="B44" s="40" t="str">
        <v>NM</v>
      </c>
      <c r="C44" s="28">
        <v>25230</v>
      </c>
      <c r="D44" s="29">
        <v>0</v>
      </c>
      <c r="E44" s="29">
        <f t="shared" si="2"/>
        <v>25230</v>
      </c>
      <c r="F44" s="30" t="str">
        <f t="shared" si="3"/>
        <v/>
      </c>
      <c r="G44" s="31">
        <v>25624.43</v>
      </c>
      <c r="H44" s="31">
        <f t="shared" si="0"/>
        <v>-394.43000000000029</v>
      </c>
      <c r="I44" s="32">
        <f t="shared" si="1"/>
        <v>-1.5392732638345527E-2</v>
      </c>
      <c r="J44" s="62" t="s">
        <v>197</v>
      </c>
      <c r="K44" s="80" t="s">
        <v>198</v>
      </c>
    </row>
    <row r="45" spans="1:12" ht="57.6">
      <c r="A45" s="41" t="str">
        <v>Deming - WWTP</v>
      </c>
      <c r="B45" s="42" t="str">
        <v>NM</v>
      </c>
      <c r="C45" s="35">
        <v>89500</v>
      </c>
      <c r="D45" s="36">
        <v>72718</v>
      </c>
      <c r="E45" s="36">
        <f t="shared" si="2"/>
        <v>16782</v>
      </c>
      <c r="F45" s="95">
        <f t="shared" si="3"/>
        <v>0.23078192469539865</v>
      </c>
      <c r="G45" s="74">
        <v>102941.5</v>
      </c>
      <c r="H45" s="38">
        <f t="shared" si="0"/>
        <v>-13441.5</v>
      </c>
      <c r="I45" s="37">
        <f t="shared" si="1"/>
        <v>-0.13057416105263669</v>
      </c>
      <c r="J45" s="60" t="s">
        <v>199</v>
      </c>
      <c r="K45" s="77" t="s">
        <v>200</v>
      </c>
    </row>
    <row r="46" spans="1:12" ht="91.5">
      <c r="A46" s="43" t="str">
        <v>Truth or Consequences - Walmart</v>
      </c>
      <c r="B46" s="40" t="str">
        <v>NM</v>
      </c>
      <c r="C46" s="28">
        <v>185000</v>
      </c>
      <c r="D46" s="29">
        <v>375246.2</v>
      </c>
      <c r="E46" s="93">
        <f t="shared" si="2"/>
        <v>-190246.2</v>
      </c>
      <c r="F46" s="92">
        <f t="shared" si="3"/>
        <v>-0.50699034393952558</v>
      </c>
      <c r="G46" s="94">
        <v>224951.5</v>
      </c>
      <c r="H46" s="31">
        <f t="shared" si="0"/>
        <v>-39951.5</v>
      </c>
      <c r="I46" s="32">
        <f t="shared" si="1"/>
        <v>-0.17760050499774396</v>
      </c>
      <c r="J46" s="62" t="s">
        <v>201</v>
      </c>
      <c r="K46" s="80" t="s">
        <v>202</v>
      </c>
      <c r="L46" s="97" t="s">
        <v>203</v>
      </c>
    </row>
    <row r="47" spans="1:12" ht="14.45">
      <c r="A47" s="8"/>
      <c r="B47" s="13"/>
      <c r="C47" s="8"/>
      <c r="D47" s="8"/>
      <c r="E47" s="8"/>
      <c r="F47" s="91" t="str">
        <f t="shared" si="3"/>
        <v/>
      </c>
      <c r="G47" s="8"/>
      <c r="H47" s="8"/>
      <c r="I47" s="9"/>
      <c r="J47" s="96"/>
      <c r="K47" s="96"/>
    </row>
    <row r="48" spans="1:12"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18" priority="5" stopIfTrue="1" operator="lessThanOrEqual">
      <formula>-0.1</formula>
    </cfRule>
    <cfRule type="expression" dxfId="17" priority="6">
      <formula>AND(ISNUMBER(F2), F2&gt;=0.1)</formula>
    </cfRule>
  </conditionalFormatting>
  <hyperlinks>
    <hyperlink ref="K4" r:id="rId1" display="https://us3.assetplanner.com/service_request?ID=095368" xr:uid="{DCAE6B13-345B-4B44-9C37-99AAE33CB13C}"/>
    <hyperlink ref="L4" r:id="rId2" display="https://us3.assetplanner.com/service_request?ID=097850" xr:uid="{AF379E99-5ACF-4627-8CEC-8331704C8EB1}"/>
    <hyperlink ref="M4" r:id="rId3" display="https://us3.assetplanner.com/service_request?ID=099290" xr:uid="{ABC80F1C-128B-470A-8899-F60875031240}"/>
    <hyperlink ref="N4" r:id="rId4" display="https://us3.assetplanner.com/service_request?ID=101343" xr:uid="{2603D974-4721-480F-AAFC-FB9E191CB2B6}"/>
    <hyperlink ref="K5" r:id="rId5" display="https://us3.assetplanner.com/service_request?ID=101243" xr:uid="{48A0E50E-CB87-4D09-B78B-FAF0A2A7C24F}"/>
    <hyperlink ref="L5" r:id="rId6" display="https://us3.assetplanner.com/service_request?ID=101243" xr:uid="{2A89D2A7-1656-4DCE-A190-9566085395C8}"/>
    <hyperlink ref="M5" r:id="rId7" display="https://us3.assetplanner.com/service_request?ID=101243" xr:uid="{665E4074-5831-4ED1-9BE8-49AB2153A006}"/>
    <hyperlink ref="N5" r:id="rId8" display="https://us3.assetplanner.com/service_request?ID=101243" xr:uid="{9AA680E0-9146-4083-BA65-01AFE3EF4527}"/>
    <hyperlink ref="O5" r:id="rId9" display="https://us3.assetplanner.com/service_request?ID=101245" xr:uid="{2524CAE2-6790-4C8A-8742-34F22BC4E220}"/>
    <hyperlink ref="K7" r:id="rId10" display="https://us3.assetplanner.com/service_request?ID=096262" xr:uid="{EBED6F70-AC5C-40E9-9D03-1987BED83858}"/>
    <hyperlink ref="L7" r:id="rId11" display="https://us3.assetplanner.com/service_request?ID=099066" xr:uid="{8A70A606-9A31-40D3-8563-8CD422ED456B}"/>
    <hyperlink ref="K8" r:id="rId12" display="https://us3.assetplanner.com/service_request?ID=098870" xr:uid="{F3B8B6B3-FA1D-47D8-8072-93912FA004FC}"/>
    <hyperlink ref="L8" r:id="rId13" display="https://us3.assetplanner.com/service_request?ID=099461" xr:uid="{C4CFD1D8-8939-4485-80C9-9109EC4C3F03}"/>
    <hyperlink ref="K9" r:id="rId14" display="https://us3.assetplanner.com/service_request?ID=101286" xr:uid="{F4E5BADC-5C41-4419-A871-C74AED476E8C}"/>
    <hyperlink ref="L9" r:id="rId15" display="https://us3.assetplanner.com/service_request?ID=101468" xr:uid="{8B3B8071-B41C-434B-8343-39AFD83E53C1}"/>
    <hyperlink ref="K11" r:id="rId16" display="https://us3.assetplanner.com/service_request?ID=100903" xr:uid="{20350F32-1E00-499E-923D-98AD328E31A2}"/>
    <hyperlink ref="L11" r:id="rId17" display="https://us3.assetplanner.com/service_request?ID=101277" xr:uid="{FCF67153-D4BE-42E5-9D2D-98FA762ADC0A}"/>
    <hyperlink ref="M11" r:id="rId18" display="https://us3.assetplanner.com/service_request?ID=101563" xr:uid="{DF89CF93-B819-4A18-80A5-557B1529A507}"/>
    <hyperlink ref="K12" r:id="rId19" display="https://us3.assetplanner.com/service_request?ID=100902" xr:uid="{16DC8D6A-1ADA-4F66-BD56-D9AC2F51CA0B}"/>
    <hyperlink ref="L12" r:id="rId20" display="https://us3.assetplanner.com/service_request?ID=101276" xr:uid="{A407A25B-E061-4054-A951-94B21242DC13}"/>
    <hyperlink ref="M12" r:id="rId21" display="https://us3.assetplanner.com/service_request?ID=101564" xr:uid="{9428DFF8-D143-41DC-A60E-2121AB492460}"/>
    <hyperlink ref="N12" r:id="rId22" display="https://us3.assetplanner.com/service_request?ID=101628" xr:uid="{2271C070-A310-49C2-B91A-DA9FDA53FCC0}"/>
    <hyperlink ref="O12" r:id="rId23" display="https://us3.assetplanner.com/service_request?ID=101867" xr:uid="{9CFD9937-A3C9-4514-B27D-6397103EC5CF}"/>
    <hyperlink ref="P12" r:id="rId24" display="https://us3.assetplanner.com/service_request?ID=102209" xr:uid="{DF3911C7-A352-4E1F-8926-A5DC92069B6D}"/>
    <hyperlink ref="K14" r:id="rId25" display="https://us3.assetplanner.com/service_request?ID=101470" xr:uid="{D490BA08-BB31-4F5E-80BC-E00146D39509}"/>
    <hyperlink ref="L14" r:id="rId26" display="https://us3.assetplanner.com/service_request?ID=099110" xr:uid="{2A1C21F8-237D-4771-A9E1-CBC9033BDE08}"/>
    <hyperlink ref="K15" r:id="rId27" display="https://us3.assetplanner.com/service_request?ID=101919" xr:uid="{8FE785D9-91CF-4D8C-B1FF-A82224A6191B}"/>
    <hyperlink ref="L15" r:id="rId28" display="https://us3.assetplanner.com/service_request?ID=102140" xr:uid="{AC241A7A-EB20-4E4C-8086-A2EA082B7620}"/>
    <hyperlink ref="K16" r:id="rId29" display="https://us3.assetplanner.com/service_request?ID=101596" xr:uid="{B9D0E94B-009F-450D-9E9E-3F8FEE4AB812}"/>
    <hyperlink ref="K17" r:id="rId30" display="https://us3.assetplanner.com/service_request?ID=099746" xr:uid="{8CEC4411-762B-4AA1-88D8-6FF55A21FD7A}"/>
    <hyperlink ref="L17" r:id="rId31" display="https://us3.assetplanner.com/service_request?ID=099746" xr:uid="{C302FC1A-BDF7-4AA9-B1E1-A5625FEE132B}"/>
    <hyperlink ref="M17" r:id="rId32" display="https://us3.assetplanner.com/service_request?ID=100930" xr:uid="{640C85DC-9DB9-46D7-81D5-A1458EFB1A56}"/>
    <hyperlink ref="K18" r:id="rId33" display="https://us3.assetplanner.com/service_request?ID=101068" xr:uid="{12D19595-BFBE-4471-BFEA-F497540A5EFD}"/>
    <hyperlink ref="L18" r:id="rId34" display="https://us3.assetplanner.com/service_request?ID=101068" xr:uid="{85CAF707-35C2-4B67-9B6D-3A05DF7C62E8}"/>
    <hyperlink ref="K19" r:id="rId35" display="https://us3.assetplanner.com/service_request?ID=098231" xr:uid="{68639C07-126C-4444-85FC-593BC29AA161}"/>
    <hyperlink ref="L19" r:id="rId36" display="https://us3.assetplanner.com/service_request?ID=099730" xr:uid="{46D9BCE5-5061-47C2-AEB8-F9D653416486}"/>
    <hyperlink ref="M19" r:id="rId37" display="https://us3.assetplanner.com/service_request?ID=098076" xr:uid="{732E3DE3-DAA8-4271-97EB-902FE1372F03}"/>
    <hyperlink ref="K21" r:id="rId38" display="https://us3.assetplanner.com/service_request?ID=098015" xr:uid="{DEBB15A5-9116-4075-9754-809887D51B9F}"/>
    <hyperlink ref="L21" r:id="rId39" display="https://us3.assetplanner.com/service_request?ID=098016" xr:uid="{2AF1B0B6-0D80-4986-AF0D-20C55B96B758}"/>
    <hyperlink ref="M21" r:id="rId40" display="https://us3.assetplanner.com/service_request?ID=099500" xr:uid="{42B9BBDD-FF7C-489E-9A65-627FAB398D84}"/>
    <hyperlink ref="N21" r:id="rId41" display="https://us3.assetplanner.com/service_request?ID=098016" xr:uid="{44C76CEB-A815-4214-823D-DC8A1ED4F29D}"/>
    <hyperlink ref="K25" r:id="rId42" display="https://us3.assetplanner.com/service_request?ID=101017" xr:uid="{FFA40B69-FFA6-4685-BA0B-D0EBA1CDE067}"/>
    <hyperlink ref="L25" r:id="rId43" display="https://us3.assetplanner.com/service_request?ID=101372" xr:uid="{4ADE7035-F222-4B10-B807-45E9F0EE1311}"/>
    <hyperlink ref="M25" r:id="rId44" display="https://us3.assetplanner.com/service_request?ID=102011" xr:uid="{7B530C22-6EE4-4C96-A9F3-FFC8B82D5166}"/>
    <hyperlink ref="K26" r:id="rId45" display="https://us3.assetplanner.com/service_request?ID=100843" xr:uid="{1C53C713-9B2A-4BAC-9C31-4FC282AC30B2}"/>
    <hyperlink ref="K27" r:id="rId46" display="https://us3.assetplanner.com/service_request?ID=101040" xr:uid="{773C69B9-BE07-4BB2-87D9-E2340D549453}"/>
    <hyperlink ref="K30" r:id="rId47" display="https://us3.assetplanner.com/service_request?ID=102137" xr:uid="{047F6E64-364D-4215-8362-B6B29E3359C6}"/>
    <hyperlink ref="K32" r:id="rId48" display="https://us3.assetplanner.com/service_request?ID=101917" xr:uid="{75E604CA-AA4A-41AA-BE8F-8A0DD11EC1A6}"/>
    <hyperlink ref="K33" r:id="rId49" display="https://us3.assetplanner.com/service_request?ID=100833" xr:uid="{0561FFE8-6BE2-4999-A3D5-434372D208F8}"/>
    <hyperlink ref="K34" r:id="rId50" display="https://us3.assetplanner.com/service_request?ID=100883" xr:uid="{31D34E5A-F849-40DD-8E53-A357355CE87B}"/>
    <hyperlink ref="K35" r:id="rId51" display="https://us3.assetplanner.com/service_request?ID=101936" xr:uid="{0147B273-1668-4238-A4B8-451CB8FE1556}"/>
    <hyperlink ref="L35" r:id="rId52" display="https://us3.assetplanner.com/service_request?ID=100884" xr:uid="{42E27904-21B7-4CC0-AA68-7A383605D4B6}"/>
    <hyperlink ref="K39" r:id="rId53" display="https://us3.assetplanner.com/service_request?ID=100857" xr:uid="{41316D24-1B95-4352-BD87-285FFCA1063A}"/>
    <hyperlink ref="K40" r:id="rId54" display="https://us3.assetplanner.com/service_request?ID=101963" xr:uid="{C1D3A211-56CD-48BB-8A63-99704FD45E12}"/>
    <hyperlink ref="K41" r:id="rId55" display="https://us3.assetplanner.com/service_request?ID=101818" xr:uid="{96364904-9355-4FDC-9A9A-9F9678F7CFF5}"/>
    <hyperlink ref="L41" r:id="rId56" display="https://us3.assetplanner.com/service_request?ID=101668" xr:uid="{FDD973FA-C8CC-483B-8E9F-15E1D08906ED}"/>
    <hyperlink ref="K42" r:id="rId57" display="https://us3.assetplanner.com/service_request?ID=100834" xr:uid="{1638DDC5-39AE-4690-A4E9-F9125F977AA6}"/>
    <hyperlink ref="L42" r:id="rId58" display="https://us3.assetplanner.com/service_request?ID=101034" xr:uid="{6C5DBD08-1B36-41E6-A377-CDEE8531E060}"/>
    <hyperlink ref="K44" r:id="rId59" display="https://us3.assetplanner.com/service_request?ID=100915" xr:uid="{EFC83C48-B761-463A-9EF6-B9AC451FD5B0}"/>
    <hyperlink ref="K45" r:id="rId60" display="https://us3.assetplanner.com/service_request?ID=101100" xr:uid="{7C757554-9A99-4959-91A2-5F506BE49D91}"/>
    <hyperlink ref="K46" r:id="rId61" display="https://us3.assetplanner.com/service_request?ID=100906" xr:uid="{B1E432F8-532D-4D81-A521-3799119722CE}"/>
    <hyperlink ref="L46" r:id="rId62" display="https://us3.assetplanner.com/service_request?ID=101057" xr:uid="{552A528C-03CD-495B-AC52-6309752BDD11}"/>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27"/>
  <sheetViews>
    <sheetView zoomScale="80" zoomScaleNormal="80" workbookViewId="0">
      <pane xSplit="2" ySplit="3" topLeftCell="H13" activePane="bottomRight" state="frozen"/>
      <selection pane="bottomRight" activeCell="H13" sqref="H13"/>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9" t="str" cm="1">
        <f t="array" ref="A1">portfolio</f>
        <v>Clean Capital</v>
      </c>
      <c r="B1" s="99"/>
      <c r="C1" s="99"/>
      <c r="D1" s="100" t="s">
        <v>204</v>
      </c>
      <c r="E1" s="100"/>
      <c r="F1" s="100"/>
      <c r="G1" s="98" t="s">
        <v>205</v>
      </c>
      <c r="H1" s="98"/>
      <c r="I1" s="98"/>
      <c r="J1" s="4"/>
      <c r="K1" s="4"/>
    </row>
    <row r="2" spans="1:11" ht="19.5" customHeight="1">
      <c r="A2" s="101" t="s">
        <v>2</v>
      </c>
      <c r="B2" s="101"/>
      <c r="C2" s="5">
        <f>SUM(C4:C85)</f>
        <v>0</v>
      </c>
      <c r="D2" s="5">
        <f>SUM(D4:D85)</f>
        <v>0</v>
      </c>
      <c r="E2" s="5">
        <f>C2-D2</f>
        <v>0</v>
      </c>
      <c r="F2" s="6">
        <f>IFERROR(E2/D2, 0)</f>
        <v>0</v>
      </c>
      <c r="G2" s="5">
        <f>SUM(G4:G85)</f>
        <v>0</v>
      </c>
      <c r="H2" s="7">
        <f>C2-G2</f>
        <v>0</v>
      </c>
      <c r="I2" s="6">
        <f>IFERROR(H2/G2, 0)</f>
        <v>0</v>
      </c>
      <c r="J2" s="11"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15.6">
      <c r="A4" s="39" t="str" cm="1">
        <f t="array" ref="A4:A46">Sites[Site]</f>
        <v>Lexington - Cotting School</v>
      </c>
      <c r="B4" s="40" t="str" cm="1">
        <f t="array" ref="B4:B46">Sites[State]</f>
        <v>MA</v>
      </c>
      <c r="C4" s="28"/>
      <c r="D4" s="29"/>
      <c r="E4" s="29" t="str">
        <f>IF(AND(ISNUMBER(C4),ISNUMBER(D4)), C4-D4, "")</f>
        <v/>
      </c>
      <c r="F4" s="30" t="str">
        <f>IFERROR(E4/D4, "")</f>
        <v/>
      </c>
      <c r="G4" s="31"/>
      <c r="H4" s="31" t="str">
        <f>IF(AND(ISNUMBER(C4),ISNUMBER(G4)), C4-G4, "")</f>
        <v/>
      </c>
      <c r="I4" s="32" t="str">
        <f>IFERROR(H4/G4, "")</f>
        <v/>
      </c>
      <c r="J4" s="57"/>
      <c r="K4" s="57"/>
    </row>
    <row r="5" spans="1:11" ht="15.6">
      <c r="A5" s="41" t="str">
        <v>Pacoima - Whiteman Airport</v>
      </c>
      <c r="B5" s="42" t="str">
        <v>CA</v>
      </c>
      <c r="C5" s="35"/>
      <c r="D5" s="58"/>
      <c r="E5" s="36" t="str">
        <f t="shared" ref="E5:E12" si="0">IF(AND(ISNUMBER(C5),ISNUMBER(D5)), C5-D5, "")</f>
        <v/>
      </c>
      <c r="F5" s="37" t="str">
        <f>IFERROR(E5/D5, "")</f>
        <v/>
      </c>
      <c r="G5" s="58"/>
      <c r="H5" s="38" t="str">
        <f t="shared" ref="H5:H12" si="1">IF(AND(ISNUMBER(C5),ISNUMBER(G5)), C5-G5, "")</f>
        <v/>
      </c>
      <c r="I5" s="37" t="str">
        <f t="shared" ref="I5:I12" si="2">IFERROR(H5/G5, "")</f>
        <v/>
      </c>
      <c r="J5" s="63"/>
      <c r="K5" s="64"/>
    </row>
    <row r="6" spans="1:11" ht="15.6">
      <c r="A6" s="43" t="str">
        <v>Hyannis - Sturgis Charter School</v>
      </c>
      <c r="B6" s="40" t="str">
        <v>MA</v>
      </c>
      <c r="C6" s="28"/>
      <c r="D6" s="29"/>
      <c r="E6" s="29" t="str">
        <f t="shared" si="0"/>
        <v/>
      </c>
      <c r="F6" s="30" t="str">
        <f t="shared" ref="F6:F12" si="3">IFERROR(E6/D6, "")</f>
        <v/>
      </c>
      <c r="G6" s="31"/>
      <c r="H6" s="31" t="str">
        <f t="shared" si="1"/>
        <v/>
      </c>
      <c r="I6" s="32" t="str">
        <f t="shared" si="2"/>
        <v/>
      </c>
      <c r="J6" s="57"/>
      <c r="K6" s="57"/>
    </row>
    <row r="7" spans="1:11" ht="15.6">
      <c r="A7" s="41" t="str">
        <v>South Dennis - Tony Kent Arena</v>
      </c>
      <c r="B7" s="42" t="str">
        <v>MA</v>
      </c>
      <c r="C7" s="35"/>
      <c r="D7" s="36"/>
      <c r="E7" s="36" t="str">
        <f t="shared" si="0"/>
        <v/>
      </c>
      <c r="F7" s="37" t="str">
        <f t="shared" si="3"/>
        <v/>
      </c>
      <c r="G7" s="38"/>
      <c r="H7" s="38" t="str">
        <f t="shared" si="1"/>
        <v/>
      </c>
      <c r="I7" s="37" t="str">
        <f t="shared" si="2"/>
        <v/>
      </c>
      <c r="J7" s="63"/>
      <c r="K7" s="63"/>
    </row>
    <row r="8" spans="1:11" ht="15.6">
      <c r="A8" s="43" t="str">
        <v xml:space="preserve"> Caropolis - Felician Sisters</v>
      </c>
      <c r="B8" s="40" t="str">
        <v>PA</v>
      </c>
      <c r="C8" s="28"/>
      <c r="D8" s="29"/>
      <c r="E8" s="29" t="str">
        <f t="shared" si="0"/>
        <v/>
      </c>
      <c r="F8" s="30" t="str">
        <f t="shared" si="3"/>
        <v/>
      </c>
      <c r="G8" s="31"/>
      <c r="H8" s="31" t="str">
        <f t="shared" si="1"/>
        <v/>
      </c>
      <c r="I8" s="32" t="str">
        <f t="shared" si="2"/>
        <v/>
      </c>
      <c r="J8" s="57"/>
      <c r="K8" s="57"/>
    </row>
    <row r="9" spans="1:11" ht="15.6">
      <c r="A9" s="41" t="str">
        <v>Clear Lake - Eastlake Gohman</v>
      </c>
      <c r="B9" s="42" t="str">
        <v>MN</v>
      </c>
      <c r="C9" s="35"/>
      <c r="D9" s="36"/>
      <c r="E9" s="36" t="str">
        <f t="shared" si="0"/>
        <v/>
      </c>
      <c r="F9" s="37" t="str">
        <f t="shared" si="3"/>
        <v/>
      </c>
      <c r="G9" s="38"/>
      <c r="H9" s="38" t="str">
        <f t="shared" si="1"/>
        <v/>
      </c>
      <c r="I9" s="37" t="str">
        <f t="shared" si="2"/>
        <v/>
      </c>
      <c r="J9" s="63"/>
      <c r="K9" s="63"/>
    </row>
    <row r="10" spans="1:11" ht="15.6">
      <c r="A10" s="43" t="str">
        <v>Zumbrota - Eastlake Brenda Luhman</v>
      </c>
      <c r="B10" s="40" t="str">
        <v>MN</v>
      </c>
      <c r="C10" s="28"/>
      <c r="D10" s="29"/>
      <c r="E10" s="29" t="str">
        <f t="shared" si="0"/>
        <v/>
      </c>
      <c r="F10" s="30" t="str">
        <f t="shared" si="3"/>
        <v/>
      </c>
      <c r="G10" s="31"/>
      <c r="H10" s="31" t="str">
        <f t="shared" si="1"/>
        <v/>
      </c>
      <c r="I10" s="32" t="str">
        <f t="shared" si="2"/>
        <v/>
      </c>
      <c r="J10" s="57"/>
      <c r="K10" s="57"/>
    </row>
    <row r="11" spans="1:11" ht="15.6">
      <c r="A11" s="41" t="str">
        <v>Cokato - Eastlake Carlson</v>
      </c>
      <c r="B11" s="42" t="str">
        <v>MN</v>
      </c>
      <c r="C11" s="35"/>
      <c r="D11" s="36"/>
      <c r="E11" s="36" t="str">
        <f t="shared" si="0"/>
        <v/>
      </c>
      <c r="F11" s="37" t="str">
        <f t="shared" si="3"/>
        <v/>
      </c>
      <c r="G11" s="38"/>
      <c r="H11" s="38" t="str">
        <f t="shared" si="1"/>
        <v/>
      </c>
      <c r="I11" s="37" t="str">
        <f t="shared" si="2"/>
        <v/>
      </c>
      <c r="J11" s="63"/>
      <c r="K11" s="63"/>
    </row>
    <row r="12" spans="1:11" ht="15.6">
      <c r="A12" s="43" t="str">
        <v>North Branch - Cornille 2</v>
      </c>
      <c r="B12" s="40" t="str">
        <v>MN</v>
      </c>
      <c r="C12" s="28"/>
      <c r="D12" s="29"/>
      <c r="E12" s="29" t="str">
        <f t="shared" si="0"/>
        <v/>
      </c>
      <c r="F12" s="30" t="str">
        <f t="shared" si="3"/>
        <v/>
      </c>
      <c r="G12" s="31"/>
      <c r="H12" s="31" t="str">
        <f t="shared" si="1"/>
        <v/>
      </c>
      <c r="I12" s="32" t="str">
        <f t="shared" si="2"/>
        <v/>
      </c>
      <c r="J12" s="57"/>
      <c r="K12" s="57"/>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8"/>
      <c r="G17" s="8"/>
      <c r="H17" s="8"/>
      <c r="I17" s="8"/>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16" priority="5" stopIfTrue="1" operator="lessThanOrEqual">
      <formula>-0.1</formula>
    </cfRule>
    <cfRule type="expression" dxfId="15" priority="6">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27"/>
  <sheetViews>
    <sheetView zoomScale="70" zoomScaleNormal="70" workbookViewId="0">
      <pane xSplit="2" ySplit="3" topLeftCell="C4" activePane="bottomRight" state="frozen"/>
      <selection pane="bottomRight" activeCell="H13" sqref="H13"/>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9" t="str" cm="1">
        <f t="array" ref="A1">portfolio</f>
        <v>Clean Capital</v>
      </c>
      <c r="B1" s="99"/>
      <c r="C1" s="99"/>
      <c r="D1" s="100" t="s">
        <v>206</v>
      </c>
      <c r="E1" s="100"/>
      <c r="F1" s="100"/>
      <c r="G1" s="98" t="s">
        <v>207</v>
      </c>
      <c r="H1" s="98"/>
      <c r="I1" s="98"/>
      <c r="J1" s="4"/>
      <c r="K1" s="4"/>
    </row>
    <row r="2" spans="1:11" ht="19.5" customHeight="1">
      <c r="A2" s="101" t="s">
        <v>2</v>
      </c>
      <c r="B2" s="101"/>
      <c r="C2" s="5">
        <f>SUM(C4:C85)</f>
        <v>0</v>
      </c>
      <c r="D2" s="5">
        <f>SUM(D4:D85)</f>
        <v>0</v>
      </c>
      <c r="E2" s="5">
        <f>C2-D2</f>
        <v>0</v>
      </c>
      <c r="F2" s="6">
        <f>IFERROR(E2/D2, 0)</f>
        <v>0</v>
      </c>
      <c r="G2" s="5">
        <f>SUM(G4:G85)</f>
        <v>0</v>
      </c>
      <c r="H2" s="7">
        <f>C2-G2</f>
        <v>0</v>
      </c>
      <c r="I2" s="6">
        <f>IFERROR(H2/G2, 0)</f>
        <v>0</v>
      </c>
      <c r="J2" s="11"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78" customHeight="1">
      <c r="A4" s="39" t="str" cm="1">
        <f t="array" ref="A4:A46">Sites[Site]</f>
        <v>Lexington - Cotting School</v>
      </c>
      <c r="B4" s="40" t="str" cm="1">
        <f t="array" ref="B4:B46">Sites[State]</f>
        <v>MA</v>
      </c>
      <c r="C4" s="28"/>
      <c r="D4" s="29"/>
      <c r="E4" s="29" t="str">
        <f>IF(AND(ISNUMBER(C4),ISNUMBER(D4)), C4-D4, "")</f>
        <v/>
      </c>
      <c r="F4" s="30" t="str">
        <f>IFERROR(E4/D4, "")</f>
        <v/>
      </c>
      <c r="G4" s="31"/>
      <c r="H4" s="31" t="str">
        <f>IF(AND(ISNUMBER(C4),ISNUMBER(G4)), C4-G4, "")</f>
        <v/>
      </c>
      <c r="I4" s="32" t="str">
        <f>IFERROR(H4/G4, "")</f>
        <v/>
      </c>
      <c r="J4" s="49"/>
      <c r="K4" s="49"/>
    </row>
    <row r="5" spans="1:11" ht="42.75" customHeight="1">
      <c r="A5" s="41" t="str">
        <v>Pacoima - Whiteman Airport</v>
      </c>
      <c r="B5" s="42" t="str">
        <v>CA</v>
      </c>
      <c r="C5" s="35"/>
      <c r="D5" s="36"/>
      <c r="E5" s="36" t="str">
        <f t="shared" ref="E5:E12" si="0">IF(AND(ISNUMBER(C5),ISNUMBER(D5)), C5-D5, "")</f>
        <v/>
      </c>
      <c r="F5" s="37" t="str">
        <f>IFERROR(E5/D5, "")</f>
        <v/>
      </c>
      <c r="G5" s="38"/>
      <c r="H5" s="38" t="str">
        <f t="shared" ref="H5:H12" si="1">IF(AND(ISNUMBER(C5),ISNUMBER(G5)), C5-G5, "")</f>
        <v/>
      </c>
      <c r="I5" s="37" t="str">
        <f t="shared" ref="I5:I12" si="2">IFERROR(H5/G5, "")</f>
        <v/>
      </c>
      <c r="J5" s="60"/>
      <c r="K5" s="50"/>
    </row>
    <row r="6" spans="1:11" ht="15.6">
      <c r="A6" s="43" t="str">
        <v>Hyannis - Sturgis Charter School</v>
      </c>
      <c r="B6" s="40" t="str">
        <v>MA</v>
      </c>
      <c r="C6" s="28"/>
      <c r="D6" s="29"/>
      <c r="E6" s="29" t="str">
        <f t="shared" si="0"/>
        <v/>
      </c>
      <c r="F6" s="30" t="str">
        <f t="shared" ref="F6:F12" si="3">IFERROR(E6/D6, "")</f>
        <v/>
      </c>
      <c r="G6" s="31"/>
      <c r="H6" s="31" t="str">
        <f t="shared" si="1"/>
        <v/>
      </c>
      <c r="I6" s="32" t="str">
        <f t="shared" si="2"/>
        <v/>
      </c>
      <c r="J6" s="49"/>
      <c r="K6" s="49"/>
    </row>
    <row r="7" spans="1:11" ht="15.6">
      <c r="A7" s="41" t="str">
        <v>South Dennis - Tony Kent Arena</v>
      </c>
      <c r="B7" s="42" t="str">
        <v>MA</v>
      </c>
      <c r="C7" s="35"/>
      <c r="D7" s="36"/>
      <c r="E7" s="36" t="str">
        <f t="shared" si="0"/>
        <v/>
      </c>
      <c r="F7" s="37" t="str">
        <f t="shared" si="3"/>
        <v/>
      </c>
      <c r="G7" s="38"/>
      <c r="H7" s="38" t="str">
        <f t="shared" si="1"/>
        <v/>
      </c>
      <c r="I7" s="37" t="str">
        <f t="shared" si="2"/>
        <v/>
      </c>
      <c r="J7" s="50"/>
      <c r="K7" s="51"/>
    </row>
    <row r="8" spans="1:11" ht="15.6">
      <c r="A8" s="43" t="str">
        <v xml:space="preserve"> Caropolis - Felician Sisters</v>
      </c>
      <c r="B8" s="40" t="str">
        <v>PA</v>
      </c>
      <c r="C8" s="28"/>
      <c r="D8" s="29"/>
      <c r="E8" s="29" t="str">
        <f t="shared" si="0"/>
        <v/>
      </c>
      <c r="F8" s="30" t="str">
        <f t="shared" si="3"/>
        <v/>
      </c>
      <c r="G8" s="31"/>
      <c r="H8" s="31" t="str">
        <f t="shared" si="1"/>
        <v/>
      </c>
      <c r="I8" s="32" t="str">
        <f t="shared" si="2"/>
        <v/>
      </c>
      <c r="J8" s="49"/>
      <c r="K8" s="49"/>
    </row>
    <row r="9" spans="1:11" ht="15.6">
      <c r="A9" s="41" t="str">
        <v>Clear Lake - Eastlake Gohman</v>
      </c>
      <c r="B9" s="42" t="str">
        <v>MN</v>
      </c>
      <c r="C9" s="35"/>
      <c r="D9" s="36"/>
      <c r="E9" s="36" t="str">
        <f t="shared" si="0"/>
        <v/>
      </c>
      <c r="F9" s="37" t="str">
        <f t="shared" si="3"/>
        <v/>
      </c>
      <c r="G9" s="38"/>
      <c r="H9" s="38" t="str">
        <f t="shared" si="1"/>
        <v/>
      </c>
      <c r="I9" s="37" t="str">
        <f t="shared" si="2"/>
        <v/>
      </c>
      <c r="J9" s="50"/>
      <c r="K9" s="51"/>
    </row>
    <row r="10" spans="1:11" ht="15.6">
      <c r="A10" s="43" t="str">
        <v>Zumbrota - Eastlake Brenda Luhman</v>
      </c>
      <c r="B10" s="40" t="str">
        <v>MN</v>
      </c>
      <c r="C10" s="28"/>
      <c r="D10" s="29"/>
      <c r="E10" s="29" t="str">
        <f t="shared" si="0"/>
        <v/>
      </c>
      <c r="F10" s="30" t="str">
        <f t="shared" si="3"/>
        <v/>
      </c>
      <c r="G10" s="31"/>
      <c r="H10" s="31" t="str">
        <f t="shared" si="1"/>
        <v/>
      </c>
      <c r="I10" s="32" t="str">
        <f t="shared" si="2"/>
        <v/>
      </c>
      <c r="J10" s="49"/>
      <c r="K10" s="49"/>
    </row>
    <row r="11" spans="1:11" ht="15.6">
      <c r="A11" s="41" t="str">
        <v>Cokato - Eastlake Carlson</v>
      </c>
      <c r="B11" s="42" t="str">
        <v>MN</v>
      </c>
      <c r="C11" s="35"/>
      <c r="D11" s="36"/>
      <c r="E11" s="36" t="str">
        <f t="shared" si="0"/>
        <v/>
      </c>
      <c r="F11" s="37" t="str">
        <f t="shared" si="3"/>
        <v/>
      </c>
      <c r="G11" s="38"/>
      <c r="H11" s="38" t="str">
        <f t="shared" si="1"/>
        <v/>
      </c>
      <c r="I11" s="37" t="str">
        <f t="shared" si="2"/>
        <v/>
      </c>
      <c r="J11" s="50"/>
      <c r="K11" s="51"/>
    </row>
    <row r="12" spans="1:11" ht="15.6">
      <c r="A12" s="43" t="str">
        <v>North Branch - Cornille 2</v>
      </c>
      <c r="B12" s="40" t="str">
        <v>MN</v>
      </c>
      <c r="C12" s="28"/>
      <c r="D12" s="29"/>
      <c r="E12" s="29" t="str">
        <f t="shared" si="0"/>
        <v/>
      </c>
      <c r="F12" s="30" t="str">
        <f t="shared" si="3"/>
        <v/>
      </c>
      <c r="G12" s="31"/>
      <c r="H12" s="31" t="str">
        <f t="shared" si="1"/>
        <v/>
      </c>
      <c r="I12" s="32" t="str">
        <f t="shared" si="2"/>
        <v/>
      </c>
      <c r="J12" s="49"/>
      <c r="K12" s="49"/>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8"/>
      <c r="G17" s="8"/>
      <c r="H17" s="8"/>
      <c r="I17" s="8"/>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sortState xmlns:xlrd2="http://schemas.microsoft.com/office/spreadsheetml/2017/richdata2" ref="A3:K12">
    <sortCondition ref="A3:A12"/>
  </sortState>
  <mergeCells count="4">
    <mergeCell ref="G1:I1"/>
    <mergeCell ref="A1:C1"/>
    <mergeCell ref="D1:F1"/>
    <mergeCell ref="A2:B2"/>
  </mergeCells>
  <conditionalFormatting sqref="F2 I2 F4:F85 I4:I85">
    <cfRule type="cellIs" dxfId="14" priority="5" stopIfTrue="1" operator="lessThanOrEqual">
      <formula>-0.1</formula>
    </cfRule>
    <cfRule type="expression" dxfId="13" priority="6">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27"/>
  <sheetViews>
    <sheetView zoomScale="90" zoomScaleNormal="90" workbookViewId="0">
      <pane xSplit="2" ySplit="3" topLeftCell="C4" activePane="bottomRight" state="frozen"/>
      <selection pane="bottomRight" activeCell="H13" sqref="H13"/>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9" t="str" cm="1">
        <f t="array" ref="A1">portfolio</f>
        <v>Clean Capital</v>
      </c>
      <c r="B1" s="99"/>
      <c r="C1" s="99"/>
      <c r="D1" s="100" t="s">
        <v>208</v>
      </c>
      <c r="E1" s="100"/>
      <c r="F1" s="100"/>
      <c r="G1" s="98" t="s">
        <v>209</v>
      </c>
      <c r="H1" s="98"/>
      <c r="I1" s="98"/>
      <c r="J1" s="4"/>
      <c r="K1" s="4"/>
    </row>
    <row r="2" spans="1:11" ht="19.5" customHeight="1">
      <c r="A2" s="101" t="s">
        <v>2</v>
      </c>
      <c r="B2" s="101"/>
      <c r="C2" s="5">
        <f>SUM(C4:C85)</f>
        <v>0</v>
      </c>
      <c r="D2" s="5">
        <f>SUM(D4:D85)</f>
        <v>0</v>
      </c>
      <c r="E2" s="5">
        <f>C2-D2</f>
        <v>0</v>
      </c>
      <c r="F2" s="6">
        <f>IFERROR(E2/D2, 0)</f>
        <v>0</v>
      </c>
      <c r="G2" s="5">
        <f>SUM(G4:G85)</f>
        <v>0</v>
      </c>
      <c r="H2" s="7">
        <f>C2-G2</f>
        <v>0</v>
      </c>
      <c r="I2" s="6">
        <f>IFERROR(H2/G2, 0)</f>
        <v>0</v>
      </c>
      <c r="J2" s="11"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15.6">
      <c r="A4" s="39" t="str" cm="1">
        <f t="array" ref="A4:A46">Sites[Site]</f>
        <v>Lexington - Cotting School</v>
      </c>
      <c r="B4" s="40" t="str" cm="1">
        <f t="array" ref="B4:B46">Sites[State]</f>
        <v>MA</v>
      </c>
      <c r="C4" s="28"/>
      <c r="D4" s="29"/>
      <c r="E4" s="29" t="str">
        <f>IF(AND(ISNUMBER(C4),ISNUMBER(D4)), C4-D4, "")</f>
        <v/>
      </c>
      <c r="F4" s="30" t="str">
        <f>IFERROR(E4/D4, "")</f>
        <v/>
      </c>
      <c r="G4" s="31"/>
      <c r="H4" s="31" t="str">
        <f>IF(AND(ISNUMBER(C4),ISNUMBER(G4)), C4-G4, "")</f>
        <v/>
      </c>
      <c r="I4" s="32" t="str">
        <f>IFERROR(H4/G4, "")</f>
        <v/>
      </c>
      <c r="J4" s="49"/>
      <c r="K4" s="49"/>
    </row>
    <row r="5" spans="1:11" ht="15.6">
      <c r="A5" s="41" t="str">
        <v>Pacoima - Whiteman Airport</v>
      </c>
      <c r="B5" s="42" t="str">
        <v>CA</v>
      </c>
      <c r="C5" s="35"/>
      <c r="D5" s="36"/>
      <c r="E5" s="36" t="str">
        <f t="shared" ref="E5:E12" si="0">IF(AND(ISNUMBER(C5),ISNUMBER(D5)), C5-D5, "")</f>
        <v/>
      </c>
      <c r="F5" s="37" t="str">
        <f>IFERROR(E5/D5, "")</f>
        <v/>
      </c>
      <c r="G5" s="38"/>
      <c r="H5" s="38" t="str">
        <f t="shared" ref="H5:H12" si="1">IF(AND(ISNUMBER(C5),ISNUMBER(G5)), C5-G5, "")</f>
        <v/>
      </c>
      <c r="I5" s="37" t="str">
        <f t="shared" ref="I5:I12" si="2">IFERROR(H5/G5, "")</f>
        <v/>
      </c>
      <c r="J5" s="50"/>
      <c r="K5" s="60"/>
    </row>
    <row r="6" spans="1:11" ht="15.6">
      <c r="A6" s="43" t="str">
        <v>Hyannis - Sturgis Charter School</v>
      </c>
      <c r="B6" s="40" t="str">
        <v>MA</v>
      </c>
      <c r="C6" s="28"/>
      <c r="D6" s="29"/>
      <c r="E6" s="29" t="str">
        <f t="shared" si="0"/>
        <v/>
      </c>
      <c r="F6" s="30" t="str">
        <f t="shared" ref="F6:F12" si="3">IFERROR(E6/D6, "")</f>
        <v/>
      </c>
      <c r="G6" s="31"/>
      <c r="H6" s="31" t="str">
        <f t="shared" si="1"/>
        <v/>
      </c>
      <c r="I6" s="32" t="str">
        <f t="shared" si="2"/>
        <v/>
      </c>
      <c r="J6" s="49"/>
      <c r="K6" s="49"/>
    </row>
    <row r="7" spans="1:11" ht="15.6">
      <c r="A7" s="41" t="str">
        <v>South Dennis - Tony Kent Arena</v>
      </c>
      <c r="B7" s="42" t="str">
        <v>MA</v>
      </c>
      <c r="C7" s="35"/>
      <c r="D7" s="36"/>
      <c r="E7" s="36" t="str">
        <f t="shared" si="0"/>
        <v/>
      </c>
      <c r="F7" s="37" t="str">
        <f t="shared" si="3"/>
        <v/>
      </c>
      <c r="G7" s="38"/>
      <c r="H7" s="38" t="str">
        <f t="shared" si="1"/>
        <v/>
      </c>
      <c r="I7" s="37" t="str">
        <f t="shared" si="2"/>
        <v/>
      </c>
      <c r="J7" s="50"/>
      <c r="K7" s="50"/>
    </row>
    <row r="8" spans="1:11" ht="15.6">
      <c r="A8" s="43" t="str">
        <v xml:space="preserve"> Caropolis - Felician Sisters</v>
      </c>
      <c r="B8" s="40" t="str">
        <v>PA</v>
      </c>
      <c r="C8" s="28"/>
      <c r="D8" s="29"/>
      <c r="E8" s="29" t="str">
        <f t="shared" si="0"/>
        <v/>
      </c>
      <c r="F8" s="30" t="str">
        <f t="shared" si="3"/>
        <v/>
      </c>
      <c r="G8" s="31"/>
      <c r="H8" s="31" t="str">
        <f t="shared" si="1"/>
        <v/>
      </c>
      <c r="I8" s="32" t="str">
        <f t="shared" si="2"/>
        <v/>
      </c>
      <c r="J8" s="49"/>
      <c r="K8" s="49"/>
    </row>
    <row r="9" spans="1:11" ht="15.6">
      <c r="A9" s="41" t="str">
        <v>Clear Lake - Eastlake Gohman</v>
      </c>
      <c r="B9" s="42" t="str">
        <v>MN</v>
      </c>
      <c r="C9" s="35"/>
      <c r="D9" s="36"/>
      <c r="E9" s="36" t="str">
        <f t="shared" si="0"/>
        <v/>
      </c>
      <c r="F9" s="37" t="str">
        <f t="shared" si="3"/>
        <v/>
      </c>
      <c r="G9" s="38"/>
      <c r="H9" s="38" t="str">
        <f t="shared" si="1"/>
        <v/>
      </c>
      <c r="I9" s="37" t="str">
        <f t="shared" si="2"/>
        <v/>
      </c>
      <c r="J9" s="50"/>
      <c r="K9" s="51"/>
    </row>
    <row r="10" spans="1:11" ht="15.6">
      <c r="A10" s="43" t="str">
        <v>Zumbrota - Eastlake Brenda Luhman</v>
      </c>
      <c r="B10" s="40" t="str">
        <v>MN</v>
      </c>
      <c r="C10" s="28"/>
      <c r="D10" s="29"/>
      <c r="E10" s="29" t="str">
        <f t="shared" si="0"/>
        <v/>
      </c>
      <c r="F10" s="30" t="str">
        <f t="shared" si="3"/>
        <v/>
      </c>
      <c r="G10" s="31"/>
      <c r="H10" s="31" t="str">
        <f t="shared" si="1"/>
        <v/>
      </c>
      <c r="I10" s="32" t="str">
        <f t="shared" si="2"/>
        <v/>
      </c>
      <c r="J10" s="49"/>
      <c r="K10" s="49"/>
    </row>
    <row r="11" spans="1:11" ht="15.6">
      <c r="A11" s="41" t="str">
        <v>Cokato - Eastlake Carlson</v>
      </c>
      <c r="B11" s="42" t="str">
        <v>MN</v>
      </c>
      <c r="C11" s="35"/>
      <c r="D11" s="36"/>
      <c r="E11" s="36" t="str">
        <f t="shared" si="0"/>
        <v/>
      </c>
      <c r="F11" s="37" t="str">
        <f t="shared" si="3"/>
        <v/>
      </c>
      <c r="G11" s="38"/>
      <c r="H11" s="38" t="str">
        <f t="shared" si="1"/>
        <v/>
      </c>
      <c r="I11" s="37" t="str">
        <f t="shared" si="2"/>
        <v/>
      </c>
      <c r="J11" s="50"/>
      <c r="K11" s="51"/>
    </row>
    <row r="12" spans="1:11" ht="15.6">
      <c r="A12" s="43" t="str">
        <v>North Branch - Cornille 2</v>
      </c>
      <c r="B12" s="40" t="str">
        <v>MN</v>
      </c>
      <c r="C12" s="28"/>
      <c r="D12" s="29"/>
      <c r="E12" s="29" t="str">
        <f t="shared" si="0"/>
        <v/>
      </c>
      <c r="F12" s="30" t="str">
        <f t="shared" si="3"/>
        <v/>
      </c>
      <c r="G12" s="31"/>
      <c r="H12" s="31" t="str">
        <f t="shared" si="1"/>
        <v/>
      </c>
      <c r="I12" s="32" t="str">
        <f t="shared" si="2"/>
        <v/>
      </c>
      <c r="J12" s="49"/>
      <c r="K12" s="49"/>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8"/>
      <c r="G17" s="8"/>
      <c r="H17" s="8"/>
      <c r="I17" s="8"/>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12" priority="5" stopIfTrue="1" operator="lessThanOrEqual">
      <formula>-0.1</formula>
    </cfRule>
    <cfRule type="expression" dxfId="11" priority="6">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6"/>
  <sheetViews>
    <sheetView zoomScale="70" zoomScaleNormal="70" workbookViewId="0">
      <pane xSplit="2" ySplit="3" topLeftCell="C4" activePane="bottomRight" state="frozen"/>
      <selection pane="bottomRight" activeCell="H13" sqref="H13"/>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9" t="str" cm="1">
        <f t="array" ref="A1">portfolio</f>
        <v>Clean Capital</v>
      </c>
      <c r="B1" s="99"/>
      <c r="C1" s="99"/>
      <c r="D1" s="100" t="s">
        <v>210</v>
      </c>
      <c r="E1" s="100"/>
      <c r="F1" s="100"/>
      <c r="G1" s="98" t="s">
        <v>211</v>
      </c>
      <c r="H1" s="98"/>
      <c r="I1" s="98"/>
      <c r="J1" s="4"/>
      <c r="K1" s="4"/>
    </row>
    <row r="2" spans="1:11" ht="19.5" customHeight="1">
      <c r="A2" s="101" t="s">
        <v>2</v>
      </c>
      <c r="B2" s="101"/>
      <c r="C2" s="5">
        <f>SUM(C4:C84)</f>
        <v>0</v>
      </c>
      <c r="D2" s="5">
        <f>SUM(D4:D84)</f>
        <v>0</v>
      </c>
      <c r="E2" s="5">
        <f>C2-D2</f>
        <v>0</v>
      </c>
      <c r="F2" s="6">
        <f>IFERROR(E2/D2, 0)</f>
        <v>0</v>
      </c>
      <c r="G2" s="5">
        <f>SUM(G4:G84)</f>
        <v>0</v>
      </c>
      <c r="H2" s="7">
        <f>C2-G2</f>
        <v>0</v>
      </c>
      <c r="I2" s="6">
        <f>IFERROR(H2/G2, 0)</f>
        <v>0</v>
      </c>
      <c r="J2" s="11"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15.6">
      <c r="A4" s="39" t="str" cm="1">
        <f t="array" ref="A4:A46">Sites[Site]</f>
        <v>Lexington - Cotting School</v>
      </c>
      <c r="B4" s="40" t="str" cm="1">
        <f t="array" ref="B4:B46">Sites[State]</f>
        <v>MA</v>
      </c>
      <c r="C4" s="28"/>
      <c r="D4" s="29"/>
      <c r="E4" s="29" t="str">
        <f>IF(AND(ISNUMBER(C4),ISNUMBER(D4)), C4-D4, "")</f>
        <v/>
      </c>
      <c r="F4" s="30" t="str">
        <f>IFERROR(E4/D4, "")</f>
        <v/>
      </c>
      <c r="G4" s="31"/>
      <c r="H4" s="31" t="str">
        <f>IF(AND(ISNUMBER(C4),ISNUMBER(G4)), C4-G4, "")</f>
        <v/>
      </c>
      <c r="I4" s="32" t="str">
        <f>IFERROR(H4/G4, "")</f>
        <v/>
      </c>
      <c r="J4" s="49"/>
      <c r="K4" s="49"/>
    </row>
    <row r="5" spans="1:11" ht="15.6">
      <c r="A5" s="41" t="str">
        <v>Pacoima - Whiteman Airport</v>
      </c>
      <c r="B5" s="42" t="str">
        <v>CA</v>
      </c>
      <c r="C5" s="61"/>
      <c r="D5" s="36"/>
      <c r="E5" s="36" t="str">
        <f t="shared" ref="E5:E12" si="0">IF(AND(ISNUMBER(C5),ISNUMBER(D5)), C5-D5, "")</f>
        <v/>
      </c>
      <c r="F5" s="37" t="str">
        <f>IFERROR(E5/D5, "")</f>
        <v/>
      </c>
      <c r="G5" s="38"/>
      <c r="H5" s="38" t="str">
        <f t="shared" ref="H5:H12" si="1">IF(AND(ISNUMBER(C5),ISNUMBER(G5)), C5-G5, "")</f>
        <v/>
      </c>
      <c r="I5" s="37" t="str">
        <f t="shared" ref="I5:I12" si="2">IFERROR(H5/G5, "")</f>
        <v/>
      </c>
      <c r="J5" s="50"/>
      <c r="K5" s="60"/>
    </row>
    <row r="6" spans="1:11" ht="15.6">
      <c r="A6" s="43" t="str">
        <v>Hyannis - Sturgis Charter School</v>
      </c>
      <c r="B6" s="40" t="str">
        <v>MA</v>
      </c>
      <c r="C6" s="28"/>
      <c r="D6" s="29"/>
      <c r="E6" s="29" t="str">
        <f t="shared" si="0"/>
        <v/>
      </c>
      <c r="F6" s="30" t="str">
        <f t="shared" ref="F6:F12" si="3">IFERROR(E6/D6, "")</f>
        <v/>
      </c>
      <c r="G6" s="31"/>
      <c r="H6" s="31" t="str">
        <f t="shared" si="1"/>
        <v/>
      </c>
      <c r="I6" s="32" t="str">
        <f t="shared" si="2"/>
        <v/>
      </c>
      <c r="J6" s="49"/>
      <c r="K6" s="49"/>
    </row>
    <row r="7" spans="1:11" ht="15.6">
      <c r="A7" s="41" t="str">
        <v>South Dennis - Tony Kent Arena</v>
      </c>
      <c r="B7" s="42" t="str">
        <v>MA</v>
      </c>
      <c r="C7" s="35"/>
      <c r="D7" s="36"/>
      <c r="E7" s="36" t="str">
        <f t="shared" si="0"/>
        <v/>
      </c>
      <c r="F7" s="37" t="str">
        <f t="shared" si="3"/>
        <v/>
      </c>
      <c r="G7" s="38"/>
      <c r="H7" s="38" t="str">
        <f t="shared" si="1"/>
        <v/>
      </c>
      <c r="I7" s="37" t="str">
        <f t="shared" si="2"/>
        <v/>
      </c>
      <c r="J7" s="50"/>
      <c r="K7" s="51"/>
    </row>
    <row r="8" spans="1:11" ht="15.6">
      <c r="A8" s="43" t="str">
        <v xml:space="preserve"> Caropolis - Felician Sisters</v>
      </c>
      <c r="B8" s="40" t="str">
        <v>PA</v>
      </c>
      <c r="C8" s="28"/>
      <c r="D8" s="29"/>
      <c r="E8" s="29" t="str">
        <f t="shared" si="0"/>
        <v/>
      </c>
      <c r="F8" s="30" t="str">
        <f t="shared" si="3"/>
        <v/>
      </c>
      <c r="G8" s="31"/>
      <c r="H8" s="31" t="str">
        <f t="shared" si="1"/>
        <v/>
      </c>
      <c r="I8" s="32" t="str">
        <f t="shared" si="2"/>
        <v/>
      </c>
      <c r="J8" s="49"/>
      <c r="K8" s="49"/>
    </row>
    <row r="9" spans="1:11" ht="15.6">
      <c r="A9" s="41" t="str">
        <v>Clear Lake - Eastlake Gohman</v>
      </c>
      <c r="B9" s="42" t="str">
        <v>MN</v>
      </c>
      <c r="C9" s="35"/>
      <c r="D9" s="36"/>
      <c r="E9" s="36" t="str">
        <f t="shared" si="0"/>
        <v/>
      </c>
      <c r="F9" s="37" t="str">
        <f t="shared" si="3"/>
        <v/>
      </c>
      <c r="G9" s="38"/>
      <c r="H9" s="38" t="str">
        <f t="shared" si="1"/>
        <v/>
      </c>
      <c r="I9" s="37" t="str">
        <f t="shared" si="2"/>
        <v/>
      </c>
      <c r="J9" s="50"/>
      <c r="K9" s="51"/>
    </row>
    <row r="10" spans="1:11" ht="15.6">
      <c r="A10" s="43" t="str">
        <v>Zumbrota - Eastlake Brenda Luhman</v>
      </c>
      <c r="B10" s="40" t="str">
        <v>MN</v>
      </c>
      <c r="C10" s="28"/>
      <c r="D10" s="29"/>
      <c r="E10" s="29" t="str">
        <f t="shared" si="0"/>
        <v/>
      </c>
      <c r="F10" s="30" t="str">
        <f t="shared" si="3"/>
        <v/>
      </c>
      <c r="G10" s="31"/>
      <c r="H10" s="31" t="str">
        <f t="shared" si="1"/>
        <v/>
      </c>
      <c r="I10" s="32" t="str">
        <f t="shared" si="2"/>
        <v/>
      </c>
      <c r="J10" s="49"/>
      <c r="K10" s="49"/>
    </row>
    <row r="11" spans="1:11" ht="15.6">
      <c r="A11" s="41" t="str">
        <v>Cokato - Eastlake Carlson</v>
      </c>
      <c r="B11" s="42" t="str">
        <v>MN</v>
      </c>
      <c r="C11" s="35"/>
      <c r="D11" s="36"/>
      <c r="E11" s="36" t="str">
        <f t="shared" si="0"/>
        <v/>
      </c>
      <c r="F11" s="37" t="str">
        <f t="shared" si="3"/>
        <v/>
      </c>
      <c r="G11" s="38"/>
      <c r="H11" s="38" t="str">
        <f t="shared" si="1"/>
        <v/>
      </c>
      <c r="I11" s="37" t="str">
        <f>IFERROR(H11/G11, "")</f>
        <v/>
      </c>
      <c r="J11" s="50"/>
      <c r="K11" s="51"/>
    </row>
    <row r="12" spans="1:11" ht="15.6">
      <c r="A12" s="43" t="str">
        <v>North Branch - Cornille 2</v>
      </c>
      <c r="B12" s="40" t="str">
        <v>MN</v>
      </c>
      <c r="C12" s="28"/>
      <c r="D12" s="29"/>
      <c r="E12" s="29" t="str">
        <f t="shared" si="0"/>
        <v/>
      </c>
      <c r="F12" s="30" t="str">
        <f t="shared" si="3"/>
        <v/>
      </c>
      <c r="G12" s="31"/>
      <c r="H12" s="31" t="str">
        <f t="shared" si="1"/>
        <v/>
      </c>
      <c r="I12" s="32" t="str">
        <f t="shared" si="2"/>
        <v/>
      </c>
      <c r="J12" s="49"/>
      <c r="K12" s="49"/>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9"/>
      <c r="G17" s="8"/>
      <c r="H17" s="8"/>
      <c r="I17" s="9"/>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C326" s="8"/>
      <c r="D326" s="8"/>
      <c r="E326" s="8"/>
      <c r="F326" s="9"/>
      <c r="G326" s="8"/>
      <c r="H326" s="8"/>
      <c r="I326" s="9"/>
      <c r="J326" s="8"/>
      <c r="K326" s="8"/>
    </row>
  </sheetData>
  <mergeCells count="4">
    <mergeCell ref="G1:I1"/>
    <mergeCell ref="A1:C1"/>
    <mergeCell ref="D1:F1"/>
    <mergeCell ref="A2:B2"/>
  </mergeCells>
  <conditionalFormatting sqref="F2 I2 F4:F84 I4:I84">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6"/>
  <sheetViews>
    <sheetView zoomScale="80" zoomScaleNormal="80" workbookViewId="0">
      <pane xSplit="2" ySplit="3" topLeftCell="C6" activePane="bottomRight" state="frozen"/>
      <selection pane="bottomRight" activeCell="H13" sqref="H13"/>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4.85546875" customWidth="1"/>
    <col min="11" max="11" width="20.5703125" bestFit="1" customWidth="1"/>
  </cols>
  <sheetData>
    <row r="1" spans="1:11" ht="19.5" customHeight="1">
      <c r="A1" s="99" t="str" cm="1">
        <f t="array" ref="A1">portfolio</f>
        <v>Clean Capital</v>
      </c>
      <c r="B1" s="99"/>
      <c r="C1" s="99"/>
      <c r="D1" s="100" t="s">
        <v>212</v>
      </c>
      <c r="E1" s="100"/>
      <c r="F1" s="100"/>
      <c r="G1" s="98" t="s">
        <v>213</v>
      </c>
      <c r="H1" s="98"/>
      <c r="I1" s="98"/>
      <c r="J1" s="4"/>
      <c r="K1" s="4"/>
    </row>
    <row r="2" spans="1:11" ht="19.5" customHeight="1">
      <c r="A2" s="101" t="s">
        <v>2</v>
      </c>
      <c r="B2" s="101"/>
      <c r="C2" s="5">
        <f>SUM(C4:C84)</f>
        <v>0</v>
      </c>
      <c r="D2" s="5">
        <f>SUM(D4:D84)</f>
        <v>0</v>
      </c>
      <c r="E2" s="5">
        <f>C2-D2</f>
        <v>0</v>
      </c>
      <c r="F2" s="6">
        <f>IFERROR(E2/D2, 0)</f>
        <v>0</v>
      </c>
      <c r="G2" s="5">
        <f>SUM(G4:G84)</f>
        <v>0</v>
      </c>
      <c r="H2" s="7">
        <f>C2-G2</f>
        <v>0</v>
      </c>
      <c r="I2" s="6">
        <f>IFERROR(H2/G2, 0)</f>
        <v>0</v>
      </c>
      <c r="J2" s="11"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15.6">
      <c r="A4" s="39" t="str" cm="1">
        <f t="array" ref="A4:A46">Sites[Site]</f>
        <v>Lexington - Cotting School</v>
      </c>
      <c r="B4" s="40" t="str" cm="1">
        <f t="array" ref="B4:B46">Sites[State]</f>
        <v>MA</v>
      </c>
      <c r="C4" s="28"/>
      <c r="D4" s="29"/>
      <c r="E4" s="29" t="str">
        <f>IF(AND(ISNUMBER(C4),ISNUMBER(D4)), C4-D4, "")</f>
        <v/>
      </c>
      <c r="F4" s="30" t="str">
        <f>IFERROR(E4/D4, "")</f>
        <v/>
      </c>
      <c r="G4" s="31"/>
      <c r="H4" s="31" t="str">
        <f>IF(AND(ISNUMBER(C4),ISNUMBER(G4)), C4-G4, "")</f>
        <v/>
      </c>
      <c r="I4" s="32" t="str">
        <f>IFERROR(H4/G4, "")</f>
        <v/>
      </c>
      <c r="J4" s="62"/>
      <c r="K4" s="62"/>
    </row>
    <row r="5" spans="1:11" ht="84" customHeight="1">
      <c r="A5" s="41" t="str">
        <v>Pacoima - Whiteman Airport</v>
      </c>
      <c r="B5" s="42" t="str">
        <v>CA</v>
      </c>
      <c r="C5" s="35"/>
      <c r="D5" s="36"/>
      <c r="E5" s="36" t="str">
        <f t="shared" ref="E5:E12" si="0">IF(AND(ISNUMBER(C5),ISNUMBER(D5)), C5-D5, "")</f>
        <v/>
      </c>
      <c r="F5" s="37" t="str">
        <f>IFERROR(E5/D5, "")</f>
        <v/>
      </c>
      <c r="G5" s="38"/>
      <c r="H5" s="38" t="str">
        <f t="shared" ref="H5:H12" si="1">IF(AND(ISNUMBER(C5),ISNUMBER(G5)), C5-G5, "")</f>
        <v/>
      </c>
      <c r="I5" s="37" t="str">
        <f t="shared" ref="I5:I12" si="2">IFERROR(H5/G5, "")</f>
        <v/>
      </c>
      <c r="J5" s="60"/>
      <c r="K5" s="60"/>
    </row>
    <row r="6" spans="1:11" ht="15.6">
      <c r="A6" s="43" t="str">
        <v>Hyannis - Sturgis Charter School</v>
      </c>
      <c r="B6" s="40" t="str">
        <v>MA</v>
      </c>
      <c r="C6" s="28"/>
      <c r="D6" s="29"/>
      <c r="E6" s="29" t="str">
        <f t="shared" si="0"/>
        <v/>
      </c>
      <c r="F6" s="30" t="str">
        <f t="shared" ref="F6:F12" si="3">IFERROR(E6/D6, "")</f>
        <v/>
      </c>
      <c r="G6" s="31"/>
      <c r="H6" s="31" t="str">
        <f t="shared" si="1"/>
        <v/>
      </c>
      <c r="I6" s="32" t="str">
        <f t="shared" si="2"/>
        <v/>
      </c>
      <c r="J6" s="62"/>
      <c r="K6" s="62"/>
    </row>
    <row r="7" spans="1:11" ht="15.6">
      <c r="A7" s="41" t="str">
        <v>South Dennis - Tony Kent Arena</v>
      </c>
      <c r="B7" s="42" t="str">
        <v>MA</v>
      </c>
      <c r="C7" s="35"/>
      <c r="D7" s="36"/>
      <c r="E7" s="36" t="str">
        <f t="shared" si="0"/>
        <v/>
      </c>
      <c r="F7" s="37" t="str">
        <f t="shared" si="3"/>
        <v/>
      </c>
      <c r="G7" s="38"/>
      <c r="H7" s="38" t="str">
        <f t="shared" si="1"/>
        <v/>
      </c>
      <c r="I7" s="37" t="str">
        <f t="shared" si="2"/>
        <v/>
      </c>
      <c r="J7" s="60"/>
      <c r="K7" s="59"/>
    </row>
    <row r="8" spans="1:11" ht="15.6">
      <c r="A8" s="43" t="str">
        <v xml:space="preserve"> Caropolis - Felician Sisters</v>
      </c>
      <c r="B8" s="40" t="str">
        <v>PA</v>
      </c>
      <c r="C8" s="28"/>
      <c r="D8" s="29"/>
      <c r="E8" s="29" t="str">
        <f t="shared" si="0"/>
        <v/>
      </c>
      <c r="F8" s="30" t="str">
        <f t="shared" si="3"/>
        <v/>
      </c>
      <c r="G8" s="31"/>
      <c r="H8" s="31" t="str">
        <f t="shared" si="1"/>
        <v/>
      </c>
      <c r="I8" s="32" t="str">
        <f t="shared" si="2"/>
        <v/>
      </c>
      <c r="J8" s="62"/>
      <c r="K8" s="62"/>
    </row>
    <row r="9" spans="1:11" ht="15.6">
      <c r="A9" s="41" t="str">
        <v>Clear Lake - Eastlake Gohman</v>
      </c>
      <c r="B9" s="42" t="str">
        <v>MN</v>
      </c>
      <c r="C9" s="35"/>
      <c r="D9" s="36"/>
      <c r="E9" s="36" t="str">
        <f t="shared" si="0"/>
        <v/>
      </c>
      <c r="F9" s="37" t="str">
        <f t="shared" si="3"/>
        <v/>
      </c>
      <c r="G9" s="38"/>
      <c r="H9" s="38" t="str">
        <f t="shared" si="1"/>
        <v/>
      </c>
      <c r="I9" s="37" t="str">
        <f t="shared" si="2"/>
        <v/>
      </c>
      <c r="J9" s="60"/>
      <c r="K9" s="59"/>
    </row>
    <row r="10" spans="1:11" ht="15.6">
      <c r="A10" s="43" t="str">
        <v>Zumbrota - Eastlake Brenda Luhman</v>
      </c>
      <c r="B10" s="40" t="str">
        <v>MN</v>
      </c>
      <c r="C10" s="28"/>
      <c r="D10" s="29"/>
      <c r="E10" s="29" t="str">
        <f t="shared" si="0"/>
        <v/>
      </c>
      <c r="F10" s="30" t="str">
        <f t="shared" si="3"/>
        <v/>
      </c>
      <c r="G10" s="31"/>
      <c r="H10" s="31" t="str">
        <f t="shared" si="1"/>
        <v/>
      </c>
      <c r="I10" s="32" t="str">
        <f t="shared" si="2"/>
        <v/>
      </c>
      <c r="J10" s="62"/>
      <c r="K10" s="62"/>
    </row>
    <row r="11" spans="1:11" ht="15.6">
      <c r="A11" s="41" t="str">
        <v>Cokato - Eastlake Carlson</v>
      </c>
      <c r="B11" s="42" t="str">
        <v>MN</v>
      </c>
      <c r="C11" s="35"/>
      <c r="D11" s="36"/>
      <c r="E11" s="36" t="str">
        <f t="shared" si="0"/>
        <v/>
      </c>
      <c r="F11" s="37" t="str">
        <f t="shared" si="3"/>
        <v/>
      </c>
      <c r="G11" s="38"/>
      <c r="H11" s="38" t="str">
        <f t="shared" si="1"/>
        <v/>
      </c>
      <c r="I11" s="37" t="str">
        <f t="shared" si="2"/>
        <v/>
      </c>
      <c r="J11" s="60"/>
      <c r="K11" s="59"/>
    </row>
    <row r="12" spans="1:11" ht="51" customHeight="1">
      <c r="A12" s="43" t="str">
        <v>North Branch - Cornille 2</v>
      </c>
      <c r="B12" s="40" t="str">
        <v>MN</v>
      </c>
      <c r="C12" s="28"/>
      <c r="D12" s="29"/>
      <c r="E12" s="29" t="str">
        <f t="shared" si="0"/>
        <v/>
      </c>
      <c r="F12" s="30" t="str">
        <f t="shared" si="3"/>
        <v/>
      </c>
      <c r="G12" s="31"/>
      <c r="H12" s="31" t="str">
        <f t="shared" si="1"/>
        <v/>
      </c>
      <c r="I12" s="32" t="str">
        <f t="shared" si="2"/>
        <v/>
      </c>
      <c r="J12" s="62"/>
      <c r="K12" s="62"/>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9"/>
      <c r="G17" s="8"/>
      <c r="H17" s="8"/>
      <c r="I17" s="9"/>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C326" s="8"/>
      <c r="D326" s="8"/>
      <c r="E326" s="8"/>
      <c r="F326" s="9"/>
      <c r="G326" s="8"/>
      <c r="H326" s="8"/>
      <c r="I326" s="9"/>
      <c r="J326" s="8"/>
      <c r="K326" s="8"/>
    </row>
  </sheetData>
  <mergeCells count="4">
    <mergeCell ref="G1:I1"/>
    <mergeCell ref="A1:C1"/>
    <mergeCell ref="D1:F1"/>
    <mergeCell ref="A2:B2"/>
  </mergeCells>
  <conditionalFormatting sqref="F2 I2 F4:F84 I4:I84">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6"/>
  <sheetViews>
    <sheetView workbookViewId="0">
      <pane xSplit="2" ySplit="3" topLeftCell="C4" activePane="bottomRight" state="frozen"/>
      <selection pane="bottomRight" activeCell="A13" sqref="A13"/>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9" t="str" cm="1">
        <f t="array" ref="A1">portfolio</f>
        <v>Clean Capital</v>
      </c>
      <c r="B1" s="99"/>
      <c r="C1" s="99"/>
      <c r="D1" s="100" t="s">
        <v>214</v>
      </c>
      <c r="E1" s="100"/>
      <c r="F1" s="100"/>
      <c r="G1" s="98" t="s">
        <v>215</v>
      </c>
      <c r="H1" s="98"/>
      <c r="I1" s="98"/>
      <c r="J1" s="4"/>
      <c r="K1" s="4"/>
    </row>
    <row r="2" spans="1:11" ht="19.5" customHeight="1">
      <c r="A2" s="101" t="s">
        <v>2</v>
      </c>
      <c r="B2" s="101"/>
      <c r="C2" s="5">
        <f>SUM(C4:C84)</f>
        <v>0</v>
      </c>
      <c r="D2" s="5">
        <f>SUM(D4:D84)</f>
        <v>0</v>
      </c>
      <c r="E2" s="5">
        <f>C2-D2</f>
        <v>0</v>
      </c>
      <c r="F2" s="6">
        <f>IFERROR(E2/D2, 0)</f>
        <v>0</v>
      </c>
      <c r="G2" s="5">
        <f>SUM(G4:G84)</f>
        <v>0</v>
      </c>
      <c r="H2" s="7">
        <f>C2-G2</f>
        <v>0</v>
      </c>
      <c r="I2" s="6">
        <f>IFERROR(H2/G2, 0)</f>
        <v>0</v>
      </c>
      <c r="J2" s="11"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15.6">
      <c r="A4" s="39" t="str" cm="1">
        <f t="array" ref="A4:A46">Sites[Site]</f>
        <v>Lexington - Cotting School</v>
      </c>
      <c r="B4" s="40" t="str" cm="1">
        <f t="array" ref="B4:B46">Sites[State]</f>
        <v>MA</v>
      </c>
      <c r="C4" s="28"/>
      <c r="D4" s="29"/>
      <c r="E4" s="29" t="str">
        <f>IF(AND(ISNUMBER(C4),ISNUMBER(D4)), C4-D4, "")</f>
        <v/>
      </c>
      <c r="F4" s="30" t="str">
        <f>IFERROR(E4/D4, "")</f>
        <v/>
      </c>
      <c r="G4" s="31"/>
      <c r="H4" s="31" t="str">
        <f>IF(AND(ISNUMBER(C4),ISNUMBER(G4)), C4-G4, "")</f>
        <v/>
      </c>
      <c r="I4" s="32" t="str">
        <f>IFERROR(H4/G4, "")</f>
        <v/>
      </c>
      <c r="J4" s="62"/>
      <c r="K4" s="62"/>
    </row>
    <row r="5" spans="1:11" ht="15.6">
      <c r="A5" s="41" t="str">
        <v>Pacoima - Whiteman Airport</v>
      </c>
      <c r="B5" s="42" t="str">
        <v>CA</v>
      </c>
      <c r="C5" s="35"/>
      <c r="D5" s="36"/>
      <c r="E5" s="36" t="str">
        <f t="shared" ref="E5:E12" si="0">IF(AND(ISNUMBER(C5),ISNUMBER(D5)), C5-D5, "")</f>
        <v/>
      </c>
      <c r="F5" s="37" t="str">
        <f>IFERROR(E5/D5, "")</f>
        <v/>
      </c>
      <c r="G5" s="38"/>
      <c r="H5" s="38" t="str">
        <f t="shared" ref="H5:H12" si="1">IF(AND(ISNUMBER(C5),ISNUMBER(G5)), C5-G5, "")</f>
        <v/>
      </c>
      <c r="I5" s="37" t="str">
        <f t="shared" ref="I5:I12" si="2">IFERROR(H5/G5, "")</f>
        <v/>
      </c>
      <c r="J5" s="60"/>
      <c r="K5" s="60"/>
    </row>
    <row r="6" spans="1:11" ht="49.5" customHeight="1">
      <c r="A6" s="43" t="str">
        <v>Hyannis - Sturgis Charter School</v>
      </c>
      <c r="B6" s="40" t="str">
        <v>MA</v>
      </c>
      <c r="C6" s="28"/>
      <c r="D6" s="29"/>
      <c r="E6" s="29" t="str">
        <f t="shared" si="0"/>
        <v/>
      </c>
      <c r="F6" s="30" t="str">
        <f t="shared" ref="F6:F12" si="3">IFERROR(E6/D6, "")</f>
        <v/>
      </c>
      <c r="G6" s="31"/>
      <c r="H6" s="31" t="str">
        <f t="shared" si="1"/>
        <v/>
      </c>
      <c r="I6" s="32" t="str">
        <f t="shared" si="2"/>
        <v/>
      </c>
      <c r="J6" s="62"/>
      <c r="K6" s="62"/>
    </row>
    <row r="7" spans="1:11" ht="15.6">
      <c r="A7" s="41" t="str">
        <v>South Dennis - Tony Kent Arena</v>
      </c>
      <c r="B7" s="42" t="str">
        <v>MA</v>
      </c>
      <c r="C7" s="35"/>
      <c r="D7" s="36"/>
      <c r="E7" s="36" t="str">
        <f t="shared" si="0"/>
        <v/>
      </c>
      <c r="F7" s="37" t="str">
        <f t="shared" si="3"/>
        <v/>
      </c>
      <c r="G7" s="38"/>
      <c r="H7" s="38" t="str">
        <f t="shared" si="1"/>
        <v/>
      </c>
      <c r="I7" s="37" t="str">
        <f t="shared" si="2"/>
        <v/>
      </c>
      <c r="J7" s="60"/>
      <c r="K7" s="59"/>
    </row>
    <row r="8" spans="1:11" ht="15.6">
      <c r="A8" s="43" t="str">
        <v xml:space="preserve"> Caropolis - Felician Sisters</v>
      </c>
      <c r="B8" s="40" t="str">
        <v>PA</v>
      </c>
      <c r="C8" s="28"/>
      <c r="D8" s="29"/>
      <c r="E8" s="29" t="str">
        <f t="shared" si="0"/>
        <v/>
      </c>
      <c r="F8" s="30" t="str">
        <f t="shared" si="3"/>
        <v/>
      </c>
      <c r="G8" s="31"/>
      <c r="H8" s="31" t="str">
        <f t="shared" si="1"/>
        <v/>
      </c>
      <c r="I8" s="32" t="str">
        <f t="shared" si="2"/>
        <v/>
      </c>
      <c r="J8" s="62"/>
      <c r="K8" s="62"/>
    </row>
    <row r="9" spans="1:11" ht="15.6">
      <c r="A9" s="41" t="str">
        <v>Clear Lake - Eastlake Gohman</v>
      </c>
      <c r="B9" s="42" t="str">
        <v>MN</v>
      </c>
      <c r="C9" s="35"/>
      <c r="D9" s="36"/>
      <c r="E9" s="36" t="str">
        <f t="shared" si="0"/>
        <v/>
      </c>
      <c r="F9" s="37" t="str">
        <f t="shared" si="3"/>
        <v/>
      </c>
      <c r="G9" s="38"/>
      <c r="H9" s="38" t="str">
        <f t="shared" si="1"/>
        <v/>
      </c>
      <c r="I9" s="37" t="str">
        <f t="shared" si="2"/>
        <v/>
      </c>
      <c r="J9" s="60"/>
      <c r="K9" s="65"/>
    </row>
    <row r="10" spans="1:11" ht="15.6">
      <c r="A10" s="43" t="str">
        <v>Zumbrota - Eastlake Brenda Luhman</v>
      </c>
      <c r="B10" s="40" t="str">
        <v>MN</v>
      </c>
      <c r="C10" s="28"/>
      <c r="D10" s="29"/>
      <c r="E10" s="29" t="str">
        <f t="shared" si="0"/>
        <v/>
      </c>
      <c r="F10" s="30" t="str">
        <f t="shared" si="3"/>
        <v/>
      </c>
      <c r="G10" s="31"/>
      <c r="H10" s="31" t="str">
        <f t="shared" si="1"/>
        <v/>
      </c>
      <c r="I10" s="32" t="str">
        <f t="shared" si="2"/>
        <v/>
      </c>
      <c r="J10" s="62"/>
      <c r="K10" s="62"/>
    </row>
    <row r="11" spans="1:11" ht="15.6">
      <c r="A11" s="41" t="str">
        <v>Cokato - Eastlake Carlson</v>
      </c>
      <c r="B11" s="42" t="str">
        <v>MN</v>
      </c>
      <c r="C11" s="35"/>
      <c r="D11" s="36"/>
      <c r="E11" s="36" t="str">
        <f t="shared" si="0"/>
        <v/>
      </c>
      <c r="F11" s="37" t="str">
        <f t="shared" si="3"/>
        <v/>
      </c>
      <c r="G11" s="38"/>
      <c r="H11" s="38" t="str">
        <f t="shared" si="1"/>
        <v/>
      </c>
      <c r="I11" s="37" t="str">
        <f t="shared" si="2"/>
        <v/>
      </c>
      <c r="J11" s="60"/>
      <c r="K11" s="59"/>
    </row>
    <row r="12" spans="1:11" ht="123" customHeight="1">
      <c r="A12" s="43" t="str">
        <v>North Branch - Cornille 2</v>
      </c>
      <c r="B12" s="40" t="str">
        <v>MN</v>
      </c>
      <c r="C12" s="28"/>
      <c r="D12" s="29"/>
      <c r="E12" s="29" t="str">
        <f t="shared" si="0"/>
        <v/>
      </c>
      <c r="F12" s="30" t="str">
        <f t="shared" si="3"/>
        <v/>
      </c>
      <c r="G12" s="31"/>
      <c r="H12" s="31" t="str">
        <f t="shared" si="1"/>
        <v/>
      </c>
      <c r="I12" s="32" t="str">
        <f t="shared" si="2"/>
        <v/>
      </c>
      <c r="J12" s="62"/>
      <c r="K12" s="62"/>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9"/>
      <c r="G17" s="8"/>
      <c r="H17" s="8"/>
      <c r="I17" s="9"/>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C326" s="8"/>
      <c r="D326" s="8"/>
      <c r="E326" s="8"/>
      <c r="F326" s="9"/>
      <c r="G326" s="8"/>
      <c r="H326" s="8"/>
      <c r="I326" s="9"/>
      <c r="J326" s="8"/>
      <c r="K326" s="8"/>
    </row>
  </sheetData>
  <mergeCells count="4">
    <mergeCell ref="G1:I1"/>
    <mergeCell ref="A1:C1"/>
    <mergeCell ref="D1:F1"/>
    <mergeCell ref="A2:B2"/>
  </mergeCells>
  <conditionalFormatting sqref="F2 I2 F4:F84 I4:I84">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6"/>
  <sheetViews>
    <sheetView workbookViewId="0">
      <pane xSplit="2" ySplit="3" topLeftCell="C4" activePane="bottomRight" state="frozen"/>
      <selection pane="bottomRight" activeCell="A13" sqref="A13:XFD20"/>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9" t="str" cm="1">
        <f t="array" ref="A1">portfolio</f>
        <v>Clean Capital</v>
      </c>
      <c r="B1" s="99"/>
      <c r="C1" s="99"/>
      <c r="D1" s="100" t="s">
        <v>216</v>
      </c>
      <c r="E1" s="100"/>
      <c r="F1" s="100"/>
      <c r="G1" s="98" t="s">
        <v>217</v>
      </c>
      <c r="H1" s="98"/>
      <c r="I1" s="98"/>
      <c r="J1" s="4"/>
      <c r="K1" s="4"/>
    </row>
    <row r="2" spans="1:11" ht="19.5" customHeight="1">
      <c r="A2" s="101" t="s">
        <v>2</v>
      </c>
      <c r="B2" s="101"/>
      <c r="C2" s="5">
        <f>SUM(C4:C84)</f>
        <v>0</v>
      </c>
      <c r="D2" s="5">
        <f>SUM(D4:D84)</f>
        <v>0</v>
      </c>
      <c r="E2" s="5">
        <f>C2-D2</f>
        <v>0</v>
      </c>
      <c r="F2" s="6">
        <f>IFERROR(E2/D2, 0)</f>
        <v>0</v>
      </c>
      <c r="G2" s="5">
        <f>SUM(G4:G84)</f>
        <v>0</v>
      </c>
      <c r="H2" s="7">
        <f>C2-G2</f>
        <v>0</v>
      </c>
      <c r="I2" s="6">
        <f>IFERROR(H2/G2, 0)</f>
        <v>0</v>
      </c>
      <c r="J2" s="11"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15.6">
      <c r="A4" s="39" t="str" cm="1">
        <f t="array" ref="A4:A46">Sites[Site]</f>
        <v>Lexington - Cotting School</v>
      </c>
      <c r="B4" s="40" t="str" cm="1">
        <f t="array" ref="B4:B46">Sites[State]</f>
        <v>MA</v>
      </c>
      <c r="C4" s="28"/>
      <c r="D4" s="29"/>
      <c r="E4" s="29" t="str">
        <f>IF(AND(ISNUMBER(C4),ISNUMBER(D4)), C4-D4, "")</f>
        <v/>
      </c>
      <c r="F4" s="30" t="str">
        <f>IFERROR(E4/D4, "")</f>
        <v/>
      </c>
      <c r="G4" s="31"/>
      <c r="H4" s="31" t="str">
        <f>IF(AND(ISNUMBER(C4),ISNUMBER(G4)), C4-G4, "")</f>
        <v/>
      </c>
      <c r="I4" s="32" t="str">
        <f>IFERROR(H4/G4, "")</f>
        <v/>
      </c>
      <c r="J4" s="49"/>
      <c r="K4" s="49"/>
    </row>
    <row r="5" spans="1:11" ht="15.6">
      <c r="A5" s="41" t="str">
        <v>Pacoima - Whiteman Airport</v>
      </c>
      <c r="B5" s="42" t="str">
        <v>CA</v>
      </c>
      <c r="C5" s="35"/>
      <c r="D5" s="36"/>
      <c r="E5" s="36" t="str">
        <f t="shared" ref="E5:E12" si="0">IF(AND(ISNUMBER(C5),ISNUMBER(D5)), C5-D5, "")</f>
        <v/>
      </c>
      <c r="F5" s="37" t="str">
        <f t="shared" ref="F5:F12" si="1">IFERROR(E5/D5, "")</f>
        <v/>
      </c>
      <c r="G5" s="38"/>
      <c r="H5" s="38" t="str">
        <f t="shared" ref="H5:H12" si="2">IF(AND(ISNUMBER(C5),ISNUMBER(G5)), C5-G5, "")</f>
        <v/>
      </c>
      <c r="I5" s="37" t="str">
        <f t="shared" ref="I5:I12" si="3">IFERROR(H5/G5, "")</f>
        <v/>
      </c>
      <c r="J5" s="60"/>
      <c r="K5" s="60"/>
    </row>
    <row r="6" spans="1:11" ht="15.6">
      <c r="A6" s="43" t="str">
        <v>Hyannis - Sturgis Charter School</v>
      </c>
      <c r="B6" s="40" t="str">
        <v>MA</v>
      </c>
      <c r="C6" s="28"/>
      <c r="D6" s="29"/>
      <c r="E6" s="29" t="str">
        <f t="shared" si="0"/>
        <v/>
      </c>
      <c r="F6" s="30" t="str">
        <f t="shared" si="1"/>
        <v/>
      </c>
      <c r="G6" s="31"/>
      <c r="H6" s="31" t="str">
        <f t="shared" si="2"/>
        <v/>
      </c>
      <c r="I6" s="32" t="str">
        <f t="shared" si="3"/>
        <v/>
      </c>
      <c r="J6" s="49"/>
      <c r="K6" s="49"/>
    </row>
    <row r="7" spans="1:11" ht="15.6">
      <c r="A7" s="41" t="str">
        <v>South Dennis - Tony Kent Arena</v>
      </c>
      <c r="B7" s="42" t="str">
        <v>MA</v>
      </c>
      <c r="C7" s="35"/>
      <c r="D7" s="36"/>
      <c r="E7" s="36" t="str">
        <f t="shared" si="0"/>
        <v/>
      </c>
      <c r="F7" s="37" t="str">
        <f t="shared" si="1"/>
        <v/>
      </c>
      <c r="G7" s="38"/>
      <c r="H7" s="38" t="str">
        <f t="shared" si="2"/>
        <v/>
      </c>
      <c r="I7" s="37" t="str">
        <f t="shared" si="3"/>
        <v/>
      </c>
      <c r="J7" s="60"/>
      <c r="K7" s="60"/>
    </row>
    <row r="8" spans="1:11" ht="15.6">
      <c r="A8" s="43" t="str">
        <v xml:space="preserve"> Caropolis - Felician Sisters</v>
      </c>
      <c r="B8" s="40" t="str">
        <v>PA</v>
      </c>
      <c r="C8" s="28"/>
      <c r="D8" s="29"/>
      <c r="E8" s="29" t="str">
        <f t="shared" si="0"/>
        <v/>
      </c>
      <c r="F8" s="30" t="str">
        <f t="shared" si="1"/>
        <v/>
      </c>
      <c r="G8" s="31"/>
      <c r="H8" s="31" t="str">
        <f t="shared" si="2"/>
        <v/>
      </c>
      <c r="I8" s="32" t="str">
        <f t="shared" si="3"/>
        <v/>
      </c>
      <c r="J8" s="49"/>
      <c r="K8" s="49"/>
    </row>
    <row r="9" spans="1:11" ht="15.6">
      <c r="A9" s="41" t="str">
        <v>Clear Lake - Eastlake Gohman</v>
      </c>
      <c r="B9" s="42" t="str">
        <v>MN</v>
      </c>
      <c r="C9" s="35"/>
      <c r="D9" s="36"/>
      <c r="E9" s="36" t="str">
        <f t="shared" si="0"/>
        <v/>
      </c>
      <c r="F9" s="37" t="str">
        <f t="shared" si="1"/>
        <v/>
      </c>
      <c r="G9" s="38"/>
      <c r="H9" s="38" t="str">
        <f t="shared" si="2"/>
        <v/>
      </c>
      <c r="I9" s="37" t="str">
        <f t="shared" si="3"/>
        <v/>
      </c>
      <c r="J9" s="60"/>
      <c r="K9" s="60"/>
    </row>
    <row r="10" spans="1:11" ht="15.6">
      <c r="A10" s="43" t="str">
        <v>Zumbrota - Eastlake Brenda Luhman</v>
      </c>
      <c r="B10" s="40" t="str">
        <v>MN</v>
      </c>
      <c r="C10" s="28"/>
      <c r="D10" s="29"/>
      <c r="E10" s="29" t="str">
        <f t="shared" si="0"/>
        <v/>
      </c>
      <c r="F10" s="30" t="str">
        <f t="shared" si="1"/>
        <v/>
      </c>
      <c r="G10" s="31"/>
      <c r="H10" s="31" t="str">
        <f t="shared" si="2"/>
        <v/>
      </c>
      <c r="I10" s="32" t="str">
        <f t="shared" si="3"/>
        <v/>
      </c>
      <c r="J10" s="49"/>
      <c r="K10" s="49"/>
    </row>
    <row r="11" spans="1:11" ht="15.6">
      <c r="A11" s="41" t="str">
        <v>Cokato - Eastlake Carlson</v>
      </c>
      <c r="B11" s="42" t="str">
        <v>MN</v>
      </c>
      <c r="C11" s="35"/>
      <c r="D11" s="36"/>
      <c r="E11" s="36" t="str">
        <f t="shared" si="0"/>
        <v/>
      </c>
      <c r="F11" s="37" t="str">
        <f t="shared" si="1"/>
        <v/>
      </c>
      <c r="G11" s="38"/>
      <c r="H11" s="38" t="str">
        <f t="shared" si="2"/>
        <v/>
      </c>
      <c r="I11" s="37" t="str">
        <f t="shared" si="3"/>
        <v/>
      </c>
      <c r="J11" s="60"/>
      <c r="K11" s="60"/>
    </row>
    <row r="12" spans="1:11" ht="15.6">
      <c r="A12" s="43" t="str">
        <v>North Branch - Cornille 2</v>
      </c>
      <c r="B12" s="40" t="str">
        <v>MN</v>
      </c>
      <c r="C12" s="28"/>
      <c r="D12" s="29"/>
      <c r="E12" s="29" t="str">
        <f t="shared" si="0"/>
        <v/>
      </c>
      <c r="F12" s="30" t="str">
        <f t="shared" si="1"/>
        <v/>
      </c>
      <c r="G12" s="31"/>
      <c r="H12" s="31" t="str">
        <f t="shared" si="2"/>
        <v/>
      </c>
      <c r="I12" s="32" t="str">
        <f t="shared" si="3"/>
        <v/>
      </c>
      <c r="J12" s="49"/>
      <c r="K12" s="49"/>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9"/>
      <c r="G17" s="8"/>
      <c r="H17" s="8"/>
      <c r="I17" s="9"/>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c r="B47" s="13"/>
      <c r="C47" s="8"/>
      <c r="D47" s="8"/>
      <c r="E47" s="8"/>
      <c r="F47" s="9"/>
      <c r="G47" s="8"/>
      <c r="H47" s="8"/>
      <c r="I47" s="9"/>
      <c r="J47" s="8"/>
      <c r="K47" s="8"/>
    </row>
    <row r="48" spans="1:11" ht="14.45">
      <c r="A48" s="8"/>
      <c r="B48" s="13"/>
      <c r="C48" s="8"/>
      <c r="D48" s="8"/>
      <c r="E48" s="8"/>
      <c r="F48" s="9"/>
      <c r="G48" s="8"/>
      <c r="H48" s="8"/>
      <c r="I48" s="9"/>
      <c r="J48" s="8"/>
      <c r="K48" s="8"/>
    </row>
    <row r="49" spans="1:11" ht="14.45">
      <c r="A49" s="8"/>
      <c r="B49" s="13"/>
      <c r="C49" s="8"/>
      <c r="D49" s="8"/>
      <c r="E49" s="8"/>
      <c r="F49" s="9"/>
      <c r="G49" s="8"/>
      <c r="H49" s="8"/>
      <c r="I49" s="9"/>
      <c r="J49" s="8"/>
      <c r="K49" s="8"/>
    </row>
    <row r="50" spans="1:11" ht="14.45">
      <c r="A50" s="8"/>
      <c r="B50" s="13"/>
      <c r="C50" s="8"/>
      <c r="D50" s="8"/>
      <c r="E50" s="8"/>
      <c r="F50" s="9"/>
      <c r="G50" s="8"/>
      <c r="H50" s="8"/>
      <c r="I50" s="9"/>
      <c r="J50" s="8"/>
      <c r="K50" s="8"/>
    </row>
    <row r="51" spans="1:11" ht="14.45">
      <c r="A51" s="8"/>
      <c r="B51" s="13"/>
      <c r="C51" s="8"/>
      <c r="D51" s="8"/>
      <c r="E51" s="8"/>
      <c r="F51" s="9"/>
      <c r="G51" s="8"/>
      <c r="H51" s="8"/>
      <c r="I51" s="9"/>
      <c r="J51" s="8"/>
      <c r="K51" s="8"/>
    </row>
    <row r="52" spans="1:11" ht="14.45">
      <c r="A52" s="8"/>
      <c r="B52" s="13"/>
      <c r="C52" s="8"/>
      <c r="D52" s="8"/>
      <c r="E52" s="8"/>
      <c r="F52" s="9"/>
      <c r="G52" s="8"/>
      <c r="H52" s="8"/>
      <c r="I52" s="9"/>
      <c r="J52" s="8"/>
      <c r="K52" s="8"/>
    </row>
    <row r="53" spans="1:11" ht="14.45">
      <c r="A53" s="8"/>
      <c r="B53" s="13"/>
      <c r="C53" s="8"/>
      <c r="D53" s="8"/>
      <c r="E53" s="8"/>
      <c r="F53" s="9"/>
      <c r="G53" s="8"/>
      <c r="H53" s="8"/>
      <c r="I53" s="9"/>
      <c r="J53" s="8"/>
      <c r="K53" s="8"/>
    </row>
    <row r="54" spans="1:11" ht="14.45">
      <c r="A54" s="8"/>
      <c r="B54" s="13"/>
      <c r="C54" s="8"/>
      <c r="D54" s="8"/>
      <c r="E54" s="8"/>
      <c r="F54" s="9"/>
      <c r="G54" s="8"/>
      <c r="H54" s="8"/>
      <c r="I54" s="9"/>
      <c r="J54" s="8"/>
      <c r="K54" s="8"/>
    </row>
    <row r="55" spans="1:11" ht="14.45">
      <c r="A55" s="8"/>
      <c r="B55" s="13"/>
      <c r="C55" s="8"/>
      <c r="D55" s="8"/>
      <c r="E55" s="8"/>
      <c r="F55" s="9"/>
      <c r="G55" s="8"/>
      <c r="H55" s="8"/>
      <c r="I55" s="9"/>
      <c r="J55" s="8"/>
      <c r="K55" s="8"/>
    </row>
    <row r="56" spans="1:11" ht="14.45">
      <c r="A56" s="8"/>
      <c r="B56" s="13"/>
      <c r="C56" s="8"/>
      <c r="D56" s="8"/>
      <c r="E56" s="8"/>
      <c r="F56" s="9"/>
      <c r="G56" s="8"/>
      <c r="H56" s="8"/>
      <c r="I56" s="9"/>
      <c r="J56" s="8"/>
      <c r="K56" s="8"/>
    </row>
    <row r="57" spans="1:11" ht="14.45">
      <c r="A57" s="8"/>
      <c r="B57" s="13"/>
      <c r="C57" s="8"/>
      <c r="D57" s="8"/>
      <c r="E57" s="8"/>
      <c r="F57" s="9"/>
      <c r="G57" s="8"/>
      <c r="H57" s="8"/>
      <c r="I57" s="9"/>
      <c r="J57" s="8"/>
      <c r="K57" s="8"/>
    </row>
    <row r="58" spans="1:11" ht="14.45">
      <c r="A58" s="8"/>
      <c r="B58" s="13"/>
      <c r="C58" s="8"/>
      <c r="D58" s="8"/>
      <c r="E58" s="8"/>
      <c r="F58" s="9"/>
      <c r="G58" s="8"/>
      <c r="H58" s="8"/>
      <c r="I58" s="9"/>
      <c r="J58" s="8"/>
      <c r="K58" s="8"/>
    </row>
    <row r="59" spans="1:11" ht="14.45">
      <c r="A59" s="8"/>
      <c r="B59" s="13"/>
      <c r="C59" s="8"/>
      <c r="D59" s="8"/>
      <c r="E59" s="8"/>
      <c r="F59" s="9"/>
      <c r="G59" s="8"/>
      <c r="H59" s="8"/>
      <c r="I59" s="9"/>
      <c r="J59" s="8"/>
      <c r="K59" s="8"/>
    </row>
    <row r="60" spans="1:11" ht="14.45">
      <c r="A60" s="8"/>
      <c r="B60" s="13"/>
      <c r="C60" s="8"/>
      <c r="D60" s="8"/>
      <c r="E60" s="8"/>
      <c r="F60" s="9"/>
      <c r="G60" s="8"/>
      <c r="H60" s="8"/>
      <c r="I60" s="9"/>
      <c r="J60" s="8"/>
      <c r="K60" s="8"/>
    </row>
    <row r="61" spans="1:11" ht="14.45">
      <c r="A61" s="8"/>
      <c r="B61" s="13"/>
      <c r="C61" s="8"/>
      <c r="D61" s="8"/>
      <c r="E61" s="8"/>
      <c r="F61" s="9"/>
      <c r="G61" s="8"/>
      <c r="H61" s="8"/>
      <c r="I61" s="9"/>
      <c r="J61" s="8"/>
      <c r="K61" s="8"/>
    </row>
    <row r="62" spans="1:11" ht="14.45">
      <c r="A62" s="8"/>
      <c r="B62" s="13"/>
      <c r="C62" s="8"/>
      <c r="D62" s="8"/>
      <c r="E62" s="8"/>
      <c r="F62" s="9"/>
      <c r="G62" s="8"/>
      <c r="H62" s="8"/>
      <c r="I62" s="9"/>
      <c r="J62" s="8"/>
      <c r="K62" s="8"/>
    </row>
    <row r="63" spans="1:11" ht="14.45">
      <c r="A63" s="8"/>
      <c r="B63" s="13"/>
      <c r="C63" s="8"/>
      <c r="D63" s="8"/>
      <c r="E63" s="8"/>
      <c r="F63" s="9"/>
      <c r="G63" s="8"/>
      <c r="H63" s="8"/>
      <c r="I63" s="9"/>
      <c r="J63" s="8"/>
      <c r="K63" s="8"/>
    </row>
    <row r="64" spans="1:11" ht="14.45">
      <c r="A64" s="8"/>
      <c r="B64" s="13"/>
      <c r="C64" s="8"/>
      <c r="D64" s="8"/>
      <c r="E64" s="8"/>
      <c r="F64" s="9"/>
      <c r="G64" s="8"/>
      <c r="H64" s="8"/>
      <c r="I64" s="9"/>
      <c r="J64" s="8"/>
      <c r="K64" s="8"/>
    </row>
    <row r="65" spans="1:11" ht="14.45">
      <c r="A65" s="8"/>
      <c r="B65" s="13"/>
      <c r="C65" s="8"/>
      <c r="D65" s="8"/>
      <c r="E65" s="8"/>
      <c r="F65" s="9"/>
      <c r="G65" s="8"/>
      <c r="H65" s="8"/>
      <c r="I65" s="9"/>
      <c r="J65" s="8"/>
      <c r="K65" s="8"/>
    </row>
    <row r="66" spans="1:11" ht="14.45">
      <c r="A66" s="8"/>
      <c r="B66" s="13"/>
      <c r="C66" s="8"/>
      <c r="D66" s="8"/>
      <c r="E66" s="8"/>
      <c r="F66" s="9"/>
      <c r="G66" s="8"/>
      <c r="H66" s="8"/>
      <c r="I66" s="9"/>
      <c r="J66" s="8"/>
      <c r="K66" s="8"/>
    </row>
    <row r="67" spans="1:11" ht="14.45">
      <c r="A67" s="8"/>
      <c r="B67" s="13"/>
      <c r="C67" s="8"/>
      <c r="D67" s="8"/>
      <c r="E67" s="8"/>
      <c r="F67" s="9"/>
      <c r="G67" s="8"/>
      <c r="H67" s="8"/>
      <c r="I67" s="9"/>
      <c r="J67" s="8"/>
      <c r="K67" s="8"/>
    </row>
    <row r="68" spans="1:11" ht="14.45">
      <c r="A68" s="8"/>
      <c r="B68" s="13"/>
      <c r="C68" s="8"/>
      <c r="D68" s="8"/>
      <c r="E68" s="8"/>
      <c r="F68" s="9"/>
      <c r="G68" s="8"/>
      <c r="H68" s="8"/>
      <c r="I68" s="9"/>
      <c r="J68" s="8"/>
      <c r="K68" s="8"/>
    </row>
    <row r="69" spans="1:11" ht="14.45">
      <c r="A69" s="8"/>
      <c r="B69" s="13"/>
      <c r="C69" s="8"/>
      <c r="D69" s="8"/>
      <c r="E69" s="8"/>
      <c r="F69" s="9"/>
      <c r="G69" s="8"/>
      <c r="H69" s="8"/>
      <c r="I69" s="9"/>
      <c r="J69" s="8"/>
      <c r="K69" s="8"/>
    </row>
    <row r="70" spans="1:11" ht="14.45">
      <c r="A70" s="8"/>
      <c r="B70" s="13"/>
      <c r="C70" s="8"/>
      <c r="D70" s="8"/>
      <c r="E70" s="8"/>
      <c r="F70" s="9"/>
      <c r="G70" s="8"/>
      <c r="H70" s="8"/>
      <c r="I70" s="9"/>
      <c r="J70" s="8"/>
      <c r="K70" s="8"/>
    </row>
    <row r="71" spans="1:11" ht="14.45">
      <c r="A71" s="8"/>
      <c r="B71" s="13"/>
      <c r="C71" s="8"/>
      <c r="D71" s="8"/>
      <c r="E71" s="8"/>
      <c r="F71" s="9"/>
      <c r="G71" s="8"/>
      <c r="H71" s="8"/>
      <c r="I71" s="9"/>
      <c r="J71" s="8"/>
      <c r="K71" s="8"/>
    </row>
    <row r="72" spans="1:11" ht="14.45">
      <c r="A72" s="8"/>
      <c r="B72" s="13"/>
      <c r="C72" s="8"/>
      <c r="D72" s="8"/>
      <c r="E72" s="8"/>
      <c r="F72" s="9"/>
      <c r="G72" s="8"/>
      <c r="H72" s="8"/>
      <c r="I72" s="9"/>
      <c r="J72" s="8"/>
      <c r="K72" s="8"/>
    </row>
    <row r="73" spans="1:11" ht="14.45">
      <c r="A73" s="8"/>
      <c r="B73" s="13"/>
      <c r="C73" s="8"/>
      <c r="D73" s="8"/>
      <c r="E73" s="8"/>
      <c r="F73" s="9"/>
      <c r="G73" s="8"/>
      <c r="H73" s="8"/>
      <c r="I73" s="9"/>
      <c r="J73" s="8"/>
      <c r="K73" s="8"/>
    </row>
    <row r="74" spans="1:11" ht="14.45">
      <c r="A74" s="8"/>
      <c r="B74" s="13"/>
      <c r="C74" s="8"/>
      <c r="D74" s="8"/>
      <c r="E74" s="8"/>
      <c r="F74" s="9"/>
      <c r="G74" s="8"/>
      <c r="H74" s="8"/>
      <c r="I74" s="9"/>
      <c r="J74" s="8"/>
      <c r="K74" s="8"/>
    </row>
    <row r="75" spans="1:11" ht="14.45">
      <c r="A75" s="8"/>
      <c r="B75" s="13"/>
      <c r="C75" s="8"/>
      <c r="D75" s="8"/>
      <c r="E75" s="8"/>
      <c r="F75" s="9"/>
      <c r="G75" s="8"/>
      <c r="H75" s="8"/>
      <c r="I75" s="9"/>
      <c r="J75" s="8"/>
      <c r="K75" s="8"/>
    </row>
    <row r="76" spans="1:11" ht="14.45">
      <c r="A76" s="8"/>
      <c r="B76" s="13"/>
      <c r="C76" s="8"/>
      <c r="D76" s="8"/>
      <c r="E76" s="8"/>
      <c r="F76" s="9"/>
      <c r="G76" s="8"/>
      <c r="H76" s="8"/>
      <c r="I76" s="9"/>
      <c r="J76" s="8"/>
      <c r="K76" s="8"/>
    </row>
    <row r="77" spans="1:11" ht="14.45">
      <c r="A77" s="8"/>
      <c r="B77" s="13"/>
      <c r="C77" s="8"/>
      <c r="D77" s="8"/>
      <c r="E77" s="8"/>
      <c r="F77" s="9"/>
      <c r="G77" s="8"/>
      <c r="H77" s="8"/>
      <c r="I77" s="9"/>
      <c r="J77" s="8"/>
      <c r="K77" s="8"/>
    </row>
    <row r="78" spans="1:11" ht="14.45">
      <c r="A78" s="8"/>
      <c r="B78" s="13"/>
      <c r="C78" s="8"/>
      <c r="D78" s="8"/>
      <c r="E78" s="8"/>
      <c r="F78" s="9"/>
      <c r="G78" s="8"/>
      <c r="H78" s="8"/>
      <c r="I78" s="9"/>
      <c r="J78" s="8"/>
      <c r="K78" s="8"/>
    </row>
    <row r="79" spans="1:11" ht="14.45">
      <c r="A79" s="8"/>
      <c r="B79" s="13"/>
      <c r="C79" s="8"/>
      <c r="D79" s="8"/>
      <c r="E79" s="8"/>
      <c r="F79" s="9"/>
      <c r="G79" s="8"/>
      <c r="H79" s="8"/>
      <c r="I79" s="9"/>
      <c r="J79" s="8"/>
      <c r="K79" s="8"/>
    </row>
    <row r="80" spans="1:11" ht="14.45">
      <c r="A80" s="8"/>
      <c r="B80" s="13"/>
      <c r="C80" s="8"/>
      <c r="D80" s="8"/>
      <c r="E80" s="8"/>
      <c r="F80" s="9"/>
      <c r="G80" s="8"/>
      <c r="H80" s="8"/>
      <c r="I80" s="9"/>
      <c r="J80" s="8"/>
      <c r="K80" s="8"/>
    </row>
    <row r="81" spans="1:11" ht="14.45">
      <c r="A81" s="8"/>
      <c r="B81" s="13"/>
      <c r="C81" s="8"/>
      <c r="D81" s="8"/>
      <c r="E81" s="8"/>
      <c r="F81" s="9"/>
      <c r="G81" s="8"/>
      <c r="H81" s="8"/>
      <c r="I81" s="9"/>
      <c r="J81" s="8"/>
      <c r="K81" s="8"/>
    </row>
    <row r="82" spans="1:11" ht="14.45">
      <c r="A82" s="8"/>
      <c r="B82" s="13"/>
      <c r="C82" s="8"/>
      <c r="D82" s="8"/>
      <c r="E82" s="8"/>
      <c r="F82" s="9"/>
      <c r="G82" s="8"/>
      <c r="H82" s="8"/>
      <c r="I82" s="9"/>
      <c r="J82" s="8"/>
      <c r="K82" s="8"/>
    </row>
    <row r="83" spans="1:11" ht="14.45">
      <c r="A83" s="8"/>
      <c r="B83" s="13"/>
      <c r="C83" s="8"/>
      <c r="D83" s="8"/>
      <c r="E83" s="8"/>
      <c r="F83" s="9"/>
      <c r="G83" s="8"/>
      <c r="H83" s="8"/>
      <c r="I83" s="9"/>
      <c r="J83" s="8"/>
      <c r="K83" s="8"/>
    </row>
    <row r="84" spans="1:11" ht="14.45">
      <c r="A84" s="8"/>
      <c r="B84" s="13"/>
      <c r="C84" s="8"/>
      <c r="D84" s="8"/>
      <c r="E84" s="8"/>
      <c r="F84" s="9"/>
      <c r="G84" s="8"/>
      <c r="H84" s="8"/>
      <c r="I84" s="9"/>
      <c r="J84" s="8"/>
      <c r="K84" s="8"/>
    </row>
    <row r="85" spans="1:11" ht="14.45">
      <c r="A85" s="8"/>
      <c r="B85" s="13"/>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C326" s="8"/>
      <c r="D326" s="8"/>
      <c r="E326" s="8"/>
      <c r="F326" s="9"/>
      <c r="G326" s="8"/>
      <c r="H326" s="8"/>
      <c r="I326" s="9"/>
      <c r="J326" s="8"/>
      <c r="K326" s="8"/>
    </row>
  </sheetData>
  <mergeCells count="4">
    <mergeCell ref="G1:I1"/>
    <mergeCell ref="A1:C1"/>
    <mergeCell ref="D1:F1"/>
    <mergeCell ref="A2:B2"/>
  </mergeCells>
  <conditionalFormatting sqref="F2 I2 F4:F84 I4:I84">
    <cfRule type="cellIs" dxfId="4" priority="19" stopIfTrue="1" operator="lessThanOrEqual">
      <formula>-0.1</formula>
    </cfRule>
    <cfRule type="expression" dxfId="3" priority="20">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46"/>
  <sheetViews>
    <sheetView workbookViewId="0">
      <pane ySplit="3" topLeftCell="A4" activePane="bottomLeft" state="frozen"/>
      <selection pane="bottomLeft" activeCell="B24" sqref="B24"/>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218</v>
      </c>
      <c r="B1" t="s">
        <v>219</v>
      </c>
    </row>
    <row r="3" spans="1:12" ht="13.15">
      <c r="A3" t="s">
        <v>220</v>
      </c>
      <c r="B3" t="s">
        <v>3</v>
      </c>
      <c r="C3" t="s">
        <v>4</v>
      </c>
      <c r="D3" t="s">
        <v>221</v>
      </c>
      <c r="E3" s="2" t="s">
        <v>222</v>
      </c>
    </row>
    <row r="4" spans="1:12" ht="14.45">
      <c r="A4" s="18" t="s">
        <v>223</v>
      </c>
      <c r="B4" t="s">
        <v>224</v>
      </c>
      <c r="C4" s="17" t="s">
        <v>225</v>
      </c>
      <c r="D4" s="16"/>
      <c r="E4" t="s">
        <v>226</v>
      </c>
      <c r="G4" s="3"/>
    </row>
    <row r="5" spans="1:12" ht="14.45">
      <c r="A5" s="18" t="s">
        <v>227</v>
      </c>
      <c r="B5" t="s">
        <v>228</v>
      </c>
      <c r="C5" s="17" t="s">
        <v>229</v>
      </c>
      <c r="D5" s="16"/>
      <c r="E5" t="s">
        <v>230</v>
      </c>
      <c r="G5" s="3"/>
    </row>
    <row r="6" spans="1:12" ht="12.75" customHeight="1">
      <c r="A6" s="18" t="s">
        <v>231</v>
      </c>
      <c r="B6" t="s">
        <v>231</v>
      </c>
      <c r="C6" s="17" t="s">
        <v>225</v>
      </c>
      <c r="D6" s="16"/>
      <c r="E6" t="s">
        <v>232</v>
      </c>
      <c r="K6" s="15"/>
      <c r="L6" s="15"/>
    </row>
    <row r="7" spans="1:12" ht="12.75" customHeight="1">
      <c r="A7" s="66" t="s">
        <v>233</v>
      </c>
      <c r="B7" s="67" t="s">
        <v>234</v>
      </c>
      <c r="C7" s="17" t="s">
        <v>225</v>
      </c>
      <c r="E7" t="s">
        <v>226</v>
      </c>
      <c r="K7" s="15"/>
      <c r="L7" s="15"/>
    </row>
    <row r="8" spans="1:12" ht="12.75" customHeight="1">
      <c r="A8" s="66" t="s">
        <v>235</v>
      </c>
      <c r="B8" s="67" t="s">
        <v>236</v>
      </c>
      <c r="C8" s="17" t="s">
        <v>237</v>
      </c>
      <c r="E8" s="72" t="s">
        <v>238</v>
      </c>
      <c r="K8" s="15"/>
      <c r="L8" s="15"/>
    </row>
    <row r="9" spans="1:12" ht="12.75" customHeight="1">
      <c r="A9" s="66" t="s">
        <v>239</v>
      </c>
      <c r="B9" s="67" t="s">
        <v>240</v>
      </c>
      <c r="C9" s="17" t="s">
        <v>241</v>
      </c>
      <c r="D9" t="s">
        <v>242</v>
      </c>
      <c r="E9" t="s">
        <v>232</v>
      </c>
      <c r="K9" s="15"/>
      <c r="L9" s="15"/>
    </row>
    <row r="10" spans="1:12" ht="12.75" customHeight="1">
      <c r="A10" s="66" t="s">
        <v>243</v>
      </c>
      <c r="B10" s="67" t="s">
        <v>244</v>
      </c>
      <c r="C10" s="17" t="s">
        <v>241</v>
      </c>
      <c r="D10" t="s">
        <v>242</v>
      </c>
      <c r="E10" t="s">
        <v>232</v>
      </c>
    </row>
    <row r="11" spans="1:12" ht="12.75" customHeight="1">
      <c r="A11" s="66" t="s">
        <v>245</v>
      </c>
      <c r="B11" s="67" t="s">
        <v>246</v>
      </c>
      <c r="C11" s="17" t="s">
        <v>241</v>
      </c>
      <c r="D11" t="s">
        <v>242</v>
      </c>
      <c r="E11" t="s">
        <v>232</v>
      </c>
    </row>
    <row r="12" spans="1:12" ht="12.75" customHeight="1">
      <c r="A12" s="66" t="s">
        <v>247</v>
      </c>
      <c r="B12" s="67" t="s">
        <v>248</v>
      </c>
      <c r="C12" s="17" t="s">
        <v>241</v>
      </c>
      <c r="D12" t="s">
        <v>242</v>
      </c>
      <c r="E12" t="s">
        <v>232</v>
      </c>
    </row>
    <row r="13" spans="1:12" ht="12.75" customHeight="1">
      <c r="A13" s="66" t="s">
        <v>249</v>
      </c>
      <c r="B13" s="67" t="s">
        <v>250</v>
      </c>
      <c r="C13" s="17" t="s">
        <v>241</v>
      </c>
      <c r="D13" t="s">
        <v>242</v>
      </c>
      <c r="E13" t="s">
        <v>232</v>
      </c>
    </row>
    <row r="14" spans="1:12" ht="12.75" customHeight="1">
      <c r="A14" s="66" t="s">
        <v>251</v>
      </c>
      <c r="B14" s="67" t="s">
        <v>252</v>
      </c>
      <c r="C14" s="17" t="s">
        <v>241</v>
      </c>
      <c r="E14" t="s">
        <v>232</v>
      </c>
    </row>
    <row r="15" spans="1:12" ht="12.75" customHeight="1">
      <c r="A15" s="66" t="s">
        <v>253</v>
      </c>
      <c r="B15" s="67" t="s">
        <v>254</v>
      </c>
      <c r="C15" s="17" t="s">
        <v>241</v>
      </c>
      <c r="D15" t="s">
        <v>242</v>
      </c>
      <c r="E15" t="s">
        <v>232</v>
      </c>
    </row>
    <row r="16" spans="1:12" ht="12.75" customHeight="1">
      <c r="A16" s="66" t="s">
        <v>255</v>
      </c>
      <c r="B16" s="67" t="s">
        <v>256</v>
      </c>
      <c r="C16" s="17" t="s">
        <v>241</v>
      </c>
      <c r="D16" t="s">
        <v>242</v>
      </c>
      <c r="E16" t="s">
        <v>232</v>
      </c>
    </row>
    <row r="17" spans="1:5" ht="12.75" customHeight="1">
      <c r="A17" s="66" t="s">
        <v>257</v>
      </c>
      <c r="B17" s="67" t="s">
        <v>258</v>
      </c>
      <c r="C17" s="17" t="s">
        <v>259</v>
      </c>
      <c r="E17" t="s">
        <v>260</v>
      </c>
    </row>
    <row r="18" spans="1:5" ht="12.75" customHeight="1">
      <c r="A18" s="66" t="s">
        <v>261</v>
      </c>
      <c r="B18" s="67" t="s">
        <v>262</v>
      </c>
      <c r="C18" s="17" t="s">
        <v>259</v>
      </c>
      <c r="E18" t="s">
        <v>260</v>
      </c>
    </row>
    <row r="19" spans="1:5" ht="12.75" customHeight="1">
      <c r="A19" s="66" t="s">
        <v>263</v>
      </c>
      <c r="B19" s="67" t="s">
        <v>264</v>
      </c>
      <c r="C19" s="17" t="s">
        <v>259</v>
      </c>
      <c r="E19" t="s">
        <v>265</v>
      </c>
    </row>
    <row r="20" spans="1:5" ht="12.75" customHeight="1">
      <c r="A20" s="66" t="s">
        <v>266</v>
      </c>
      <c r="B20" s="67" t="s">
        <v>267</v>
      </c>
      <c r="C20" s="17" t="s">
        <v>237</v>
      </c>
      <c r="E20" t="s">
        <v>265</v>
      </c>
    </row>
    <row r="21" spans="1:5" ht="12.75" customHeight="1">
      <c r="A21" s="66" t="s">
        <v>268</v>
      </c>
      <c r="B21" s="67" t="s">
        <v>269</v>
      </c>
      <c r="C21" s="17" t="s">
        <v>270</v>
      </c>
      <c r="E21" t="s">
        <v>265</v>
      </c>
    </row>
    <row r="22" spans="1:5" ht="12.75" customHeight="1">
      <c r="A22" s="66" t="s">
        <v>271</v>
      </c>
      <c r="B22" s="67" t="s">
        <v>272</v>
      </c>
      <c r="C22" s="17" t="s">
        <v>270</v>
      </c>
      <c r="E22" t="s">
        <v>265</v>
      </c>
    </row>
    <row r="23" spans="1:5" ht="12.75" customHeight="1">
      <c r="A23" s="66" t="s">
        <v>273</v>
      </c>
      <c r="B23" s="67" t="s">
        <v>273</v>
      </c>
      <c r="C23" s="17" t="s">
        <v>259</v>
      </c>
      <c r="E23" t="s">
        <v>274</v>
      </c>
    </row>
    <row r="24" spans="1:5" ht="12.75" customHeight="1">
      <c r="A24" s="66" t="s">
        <v>275</v>
      </c>
      <c r="B24" s="67" t="s">
        <v>276</v>
      </c>
      <c r="C24" s="17" t="s">
        <v>259</v>
      </c>
      <c r="E24" t="s">
        <v>274</v>
      </c>
    </row>
    <row r="25" spans="1:5" ht="12.75" customHeight="1">
      <c r="A25" s="66" t="s">
        <v>277</v>
      </c>
      <c r="B25" s="67" t="s">
        <v>278</v>
      </c>
      <c r="C25" s="17" t="s">
        <v>229</v>
      </c>
      <c r="D25" t="s">
        <v>279</v>
      </c>
      <c r="E25" t="s">
        <v>280</v>
      </c>
    </row>
    <row r="26" spans="1:5" ht="12.75" customHeight="1">
      <c r="A26" s="66" t="s">
        <v>281</v>
      </c>
      <c r="B26" s="67" t="s">
        <v>282</v>
      </c>
      <c r="C26" s="17" t="s">
        <v>283</v>
      </c>
      <c r="D26" t="s">
        <v>279</v>
      </c>
      <c r="E26" t="s">
        <v>280</v>
      </c>
    </row>
    <row r="27" spans="1:5" ht="12.75" customHeight="1">
      <c r="A27" s="66" t="s">
        <v>284</v>
      </c>
      <c r="B27" s="67" t="s">
        <v>285</v>
      </c>
      <c r="C27" s="17" t="s">
        <v>286</v>
      </c>
      <c r="D27" t="s">
        <v>279</v>
      </c>
      <c r="E27" t="s">
        <v>280</v>
      </c>
    </row>
    <row r="28" spans="1:5" ht="12.75" customHeight="1">
      <c r="A28" s="66" t="s">
        <v>287</v>
      </c>
      <c r="B28" s="67" t="s">
        <v>288</v>
      </c>
      <c r="C28" s="17" t="s">
        <v>286</v>
      </c>
      <c r="D28" t="s">
        <v>279</v>
      </c>
      <c r="E28" t="s">
        <v>280</v>
      </c>
    </row>
    <row r="29" spans="1:5" ht="12.75" customHeight="1">
      <c r="A29" s="66" t="s">
        <v>289</v>
      </c>
      <c r="B29" s="67" t="s">
        <v>290</v>
      </c>
      <c r="C29" s="17" t="s">
        <v>286</v>
      </c>
      <c r="E29" t="s">
        <v>280</v>
      </c>
    </row>
    <row r="30" spans="1:5" ht="12.75" customHeight="1">
      <c r="A30" s="66" t="s">
        <v>291</v>
      </c>
      <c r="B30" s="67" t="s">
        <v>292</v>
      </c>
      <c r="C30" s="17" t="s">
        <v>286</v>
      </c>
      <c r="D30" t="s">
        <v>279</v>
      </c>
      <c r="E30" t="s">
        <v>280</v>
      </c>
    </row>
    <row r="31" spans="1:5" ht="12.75" customHeight="1">
      <c r="A31" s="66" t="s">
        <v>293</v>
      </c>
      <c r="B31" s="67" t="s">
        <v>294</v>
      </c>
      <c r="C31" s="17" t="s">
        <v>286</v>
      </c>
      <c r="D31" t="s">
        <v>279</v>
      </c>
      <c r="E31" t="s">
        <v>280</v>
      </c>
    </row>
    <row r="32" spans="1:5" ht="12.75" customHeight="1">
      <c r="A32" s="66" t="s">
        <v>295</v>
      </c>
      <c r="B32" s="67" t="s">
        <v>296</v>
      </c>
      <c r="C32" s="17" t="s">
        <v>286</v>
      </c>
      <c r="D32" t="s">
        <v>279</v>
      </c>
      <c r="E32" t="s">
        <v>280</v>
      </c>
    </row>
    <row r="33" spans="1:5" ht="12.75" customHeight="1">
      <c r="A33" s="66" t="s">
        <v>297</v>
      </c>
      <c r="B33" s="67" t="s">
        <v>298</v>
      </c>
      <c r="C33" s="17" t="s">
        <v>286</v>
      </c>
      <c r="E33" t="s">
        <v>280</v>
      </c>
    </row>
    <row r="34" spans="1:5" ht="12.75" customHeight="1">
      <c r="A34" s="66" t="s">
        <v>299</v>
      </c>
      <c r="B34" s="67" t="s">
        <v>300</v>
      </c>
      <c r="C34" s="17" t="s">
        <v>286</v>
      </c>
      <c r="D34" t="s">
        <v>279</v>
      </c>
      <c r="E34" t="s">
        <v>280</v>
      </c>
    </row>
    <row r="35" spans="1:5" ht="12.75" customHeight="1">
      <c r="A35" s="66" t="s">
        <v>301</v>
      </c>
      <c r="B35" s="67" t="s">
        <v>302</v>
      </c>
      <c r="C35" s="17" t="s">
        <v>286</v>
      </c>
      <c r="D35" t="s">
        <v>279</v>
      </c>
      <c r="E35" t="s">
        <v>280</v>
      </c>
    </row>
    <row r="36" spans="1:5" ht="12.75" customHeight="1">
      <c r="A36" s="66" t="s">
        <v>303</v>
      </c>
      <c r="B36" s="67" t="s">
        <v>304</v>
      </c>
      <c r="C36" s="17" t="s">
        <v>286</v>
      </c>
      <c r="D36" t="s">
        <v>279</v>
      </c>
      <c r="E36" t="s">
        <v>280</v>
      </c>
    </row>
    <row r="37" spans="1:5" ht="12.75" customHeight="1">
      <c r="A37" s="66" t="s">
        <v>305</v>
      </c>
      <c r="B37" s="67" t="s">
        <v>306</v>
      </c>
      <c r="C37" s="17" t="s">
        <v>286</v>
      </c>
      <c r="D37" t="s">
        <v>279</v>
      </c>
      <c r="E37" t="s">
        <v>280</v>
      </c>
    </row>
    <row r="38" spans="1:5" ht="12.75" customHeight="1">
      <c r="A38" s="66" t="s">
        <v>307</v>
      </c>
      <c r="B38" s="67" t="s">
        <v>308</v>
      </c>
      <c r="C38" s="17" t="s">
        <v>286</v>
      </c>
      <c r="D38" t="s">
        <v>279</v>
      </c>
      <c r="E38" t="s">
        <v>280</v>
      </c>
    </row>
    <row r="39" spans="1:5" ht="12.75" customHeight="1">
      <c r="A39" s="66" t="s">
        <v>309</v>
      </c>
      <c r="B39" s="67" t="s">
        <v>310</v>
      </c>
      <c r="C39" s="17" t="s">
        <v>286</v>
      </c>
      <c r="D39" t="s">
        <v>279</v>
      </c>
      <c r="E39" t="s">
        <v>280</v>
      </c>
    </row>
    <row r="40" spans="1:5" ht="12.75" customHeight="1">
      <c r="A40" s="66" t="s">
        <v>311</v>
      </c>
      <c r="B40" s="67" t="s">
        <v>312</v>
      </c>
      <c r="C40" s="17" t="s">
        <v>313</v>
      </c>
      <c r="D40" t="s">
        <v>279</v>
      </c>
      <c r="E40" t="s">
        <v>280</v>
      </c>
    </row>
    <row r="41" spans="1:5" ht="12.75" customHeight="1">
      <c r="A41" s="66" t="s">
        <v>314</v>
      </c>
      <c r="B41" s="67" t="s">
        <v>315</v>
      </c>
      <c r="C41" s="17" t="s">
        <v>283</v>
      </c>
      <c r="D41" t="s">
        <v>279</v>
      </c>
      <c r="E41" t="s">
        <v>280</v>
      </c>
    </row>
    <row r="42" spans="1:5" ht="12.75" customHeight="1">
      <c r="A42" s="66" t="s">
        <v>316</v>
      </c>
      <c r="B42" s="67" t="s">
        <v>317</v>
      </c>
      <c r="C42" s="17" t="s">
        <v>283</v>
      </c>
      <c r="D42" t="s">
        <v>279</v>
      </c>
      <c r="E42" t="s">
        <v>280</v>
      </c>
    </row>
    <row r="43" spans="1:5" ht="12.75" customHeight="1">
      <c r="A43" s="66" t="s">
        <v>318</v>
      </c>
      <c r="B43" s="67" t="s">
        <v>319</v>
      </c>
      <c r="C43" s="17" t="s">
        <v>283</v>
      </c>
      <c r="D43" t="s">
        <v>242</v>
      </c>
      <c r="E43" t="s">
        <v>280</v>
      </c>
    </row>
    <row r="44" spans="1:5" ht="12.75" customHeight="1">
      <c r="A44" s="66" t="s">
        <v>320</v>
      </c>
      <c r="B44" s="67" t="s">
        <v>321</v>
      </c>
      <c r="C44" s="17" t="s">
        <v>283</v>
      </c>
      <c r="D44" t="s">
        <v>279</v>
      </c>
      <c r="E44" t="s">
        <v>280</v>
      </c>
    </row>
    <row r="45" spans="1:5" ht="12.75" customHeight="1">
      <c r="A45" s="66" t="s">
        <v>322</v>
      </c>
      <c r="B45" s="67" t="s">
        <v>323</v>
      </c>
      <c r="C45" s="17" t="s">
        <v>283</v>
      </c>
      <c r="D45" t="s">
        <v>279</v>
      </c>
      <c r="E45" t="s">
        <v>280</v>
      </c>
    </row>
    <row r="46" spans="1:5" ht="12.75" customHeight="1">
      <c r="A46" s="66" t="s">
        <v>324</v>
      </c>
      <c r="B46" s="67" t="s">
        <v>325</v>
      </c>
      <c r="C46" s="17" t="s">
        <v>283</v>
      </c>
      <c r="D46" t="s">
        <v>279</v>
      </c>
      <c r="E46" t="s">
        <v>280</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xml version="1.0" encoding="utf-8"?>
<?mso-contentType ?>
<FormTemplates xmlns="http://schemas.microsoft.com/sharepoint/v3/contenttype/forms">
  <Display>DocumentLibraryForm</Display>
  <Edit>DocumentLibraryForm</Edit>
  <New>DocumentLibraryForm</New>
</FormTemplates>
</file>

<file path=customXml/item11.xml>��
</file>

<file path=customXml/item12.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3.xml>��
</file>

<file path=customXml/item14.xml>��
</file>

<file path=customXml/item15.xml>��
</file>

<file path=customXml/item16.xml>��
</file>

<file path=customXml/item17.xml>��
</file>

<file path=customXml/item18.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9.xml>��
</file>

<file path=customXml/item20.xml>��
</file>

<file path=customXml/itemProps1.xml><?xml version="1.0" encoding="utf-8"?>
<ds:datastoreItem xmlns:ds="http://schemas.openxmlformats.org/officeDocument/2006/customXml" ds:itemID="{89CF5C07-45EB-4100-9AFB-2C6AF77FA787}"/>
</file>

<file path=customXml/itemProps2.xml><?xml version="1.0" encoding="utf-8"?>
<ds:datastoreItem xmlns:ds="http://schemas.openxmlformats.org/officeDocument/2006/customXml" ds:itemID="{0389C43E-394D-44C0-87DC-4780FCFCFB40}"/>
</file>

<file path=customXml/itemProps3.xml><?xml version="1.0" encoding="utf-8"?>
<ds:datastoreItem xmlns:ds="http://schemas.openxmlformats.org/officeDocument/2006/customXml" ds:itemID="{BE26B669-A686-459C-A5E9-FEC3409C4C81}"/>
</file>

<file path=customXml/itemProps4.xml><?xml version="1.0" encoding="utf-8"?>
<ds:datastoreItem xmlns:ds="http://schemas.openxmlformats.org/officeDocument/2006/customXml" ds:itemID="{66B09F59-6532-46F8-924A-9A02417E070D}"/>
</file>

<file path=customXml/itemProps5.xml><?xml version="1.0" encoding="utf-8"?>
<ds:datastoreItem xmlns:ds="http://schemas.openxmlformats.org/officeDocument/2006/customXml" ds:itemID="{E3716282-BFD2-4ED2-BA47-BFA1123827F0}"/>
</file>

<file path=customXml/itemProps6.xml><?xml version="1.0" encoding="utf-8"?>
<ds:datastoreItem xmlns:ds="http://schemas.openxmlformats.org/officeDocument/2006/customXml" ds:itemID="{2BC74AAC-D69B-4AF1-9649-B21EF3C1C463}"/>
</file>

<file path=customXml/itemProps7.xml><?xml version="1.0" encoding="utf-8"?>
<ds:datastoreItem xmlns:ds="http://schemas.openxmlformats.org/officeDocument/2006/customXml" ds:itemID="{078388C9-06F9-42F4-B857-EF76B5CAF1FD}"/>
</file>

<file path=customXml/itemProps8.xml><?xml version="1.0" encoding="utf-8"?>
<ds:datastoreItem xmlns:ds="http://schemas.openxmlformats.org/officeDocument/2006/customXml" ds:itemID="{F6B2B1A1-1C4B-4AC9-9A7D-7A102DD1C942}"/>
</file>

<file path=customXml/itemProps9.xml><?xml version="1.0" encoding="utf-8"?>
<ds:datastoreItem xmlns:ds="http://schemas.openxmlformats.org/officeDocument/2006/customXml" ds:itemID="{F12EFA50-0068-4A8C-85A0-F1B26389EBC3}"/>
</file>

<file path=customXml/itemProps10.xml><?xml version="1.0" encoding="utf-8"?>
<ds:datastoreItem xmlns:ds="http://schemas.openxmlformats.org/officeDocument/2006/customXml" ds:itemID="{7946C510-7D04-49D8-9B25-EEC04582A1CA}"/>
</file>

<file path=customXml/itemProps11.xml><?xml version="1.0" encoding="utf-8"?>
<ds:datastoreItem xmlns:ds="http://schemas.openxmlformats.org/officeDocument/2006/customXml" ds:itemID="{14966E4F-347B-477B-B74C-9DAC05405806}"/>
</file>

<file path=customXml/itemProps12.xml><?xml version="1.0" encoding="utf-8"?>
<ds:datastoreItem xmlns:ds="http://schemas.openxmlformats.org/officeDocument/2006/customXml" ds:itemID="{8D732231-4216-4543-A665-18A2886B0EB7}"/>
</file>

<file path=customXml/itemProps13.xml><?xml version="1.0" encoding="utf-8"?>
<ds:datastoreItem xmlns:ds="http://schemas.openxmlformats.org/officeDocument/2006/customXml" ds:itemID="{1954BBA4-0359-438C-B0EC-A756015F7C02}"/>
</file>

<file path=customXml/itemProps14.xml><?xml version="1.0" encoding="utf-8"?>
<ds:datastoreItem xmlns:ds="http://schemas.openxmlformats.org/officeDocument/2006/customXml" ds:itemID="{98A113BB-8B7A-453C-8BD4-8EFC67FC2D3F}"/>
</file>

<file path=customXml/itemProps15.xml><?xml version="1.0" encoding="utf-8"?>
<ds:datastoreItem xmlns:ds="http://schemas.openxmlformats.org/officeDocument/2006/customXml" ds:itemID="{3AEAA9D8-2182-46BA-A58E-96C72DDA1C54}"/>
</file>

<file path=customXml/itemProps16.xml><?xml version="1.0" encoding="utf-8"?>
<ds:datastoreItem xmlns:ds="http://schemas.openxmlformats.org/officeDocument/2006/customXml" ds:itemID="{BF5C6359-7763-4C37-8EAF-2BC4698CB285}"/>
</file>

<file path=customXml/itemProps17.xml><?xml version="1.0" encoding="utf-8"?>
<ds:datastoreItem xmlns:ds="http://schemas.openxmlformats.org/officeDocument/2006/customXml" ds:itemID="{CB52044A-5C0B-44A2-99D0-C1C315EC302D}"/>
</file>

<file path=customXml/itemProps18.xml><?xml version="1.0" encoding="utf-8"?>
<ds:datastoreItem xmlns:ds="http://schemas.openxmlformats.org/officeDocument/2006/customXml" ds:itemID="{0F6C3C6A-5F82-4BFA-9310-8B457A7DEBF1}"/>
</file>

<file path=customXml/itemProps19.xml><?xml version="1.0" encoding="utf-8"?>
<ds:datastoreItem xmlns:ds="http://schemas.openxmlformats.org/officeDocument/2006/customXml" ds:itemID="{E20E8303-6A67-485C-B6F4-303542CC295C}"/>
</file>

<file path=customXml/itemProps20.xml><?xml version="1.0" encoding="utf-8"?>
<ds:datastoreItem xmlns:ds="http://schemas.openxmlformats.org/officeDocument/2006/customXml" ds:itemID="{D3A7101F-9A85-4235-8B03-415370C100B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Kusuma Potlada [AGS]</cp:lastModifiedBy>
  <cp:revision/>
  <dcterms:created xsi:type="dcterms:W3CDTF">2021-01-01T16:39:53Z</dcterms:created>
  <dcterms:modified xsi:type="dcterms:W3CDTF">2025-07-07T04:54:36Z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2025-02-19T13:13:26Z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d8975808-c643-4fb8-ab79-3a8e3636f2c1</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