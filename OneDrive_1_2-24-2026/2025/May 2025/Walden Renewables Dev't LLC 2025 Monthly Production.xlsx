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B1BF5425-608E-44AA-B504-34A7EA7BBAE9}" xr6:coauthVersionLast="47" xr6:coauthVersionMax="47" xr10:uidLastSave="{00000000-0000-0000-0000-000000000000}"/>
  <bookViews>
    <workbookView xWindow="-108" yWindow="-108" windowWidth="23256" windowHeight="1389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E2" i="20" l="1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<sst xmlns="http://schemas.openxmlformats.org/spreadsheetml/2006/main" count="251" uniqueCount="65">
  <si>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</si>
  <si>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</si>
  <si>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</si>
  <si>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</si>
  <si>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</si>
  <si>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</si>
  <si>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</si>
  <si>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</si>
  <si>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</si>
  <si>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</si>
  <si>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</si>
  <si>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</si>
  <si>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</si>
  <si>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</si>
  <si>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</si>
  <si>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</si>
  <si>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</si>
  <si>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</si>
  <si>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</si>
  <si>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</si>
  <si>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</si>
  <si>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</si>
  <si>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</si>
  <si>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</si>
  <si>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</si>
  <si>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</si>
  <si>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</si>
  <si>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</si>
  <si>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</si>
  <si>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</si>
  <si>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</si>
  <si>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</si>
  <si>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</si>
  <si>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 Actual v. Expected</t>
  </si>
  <si>
    <t>April Actual v. Forecasted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</si>
  <si>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</si>
  <si>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</si>
  <si>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 Actual v. Expected</t>
  </si>
  <si>
    <t>May Actual v. Forecasted</t>
  </si>
  <si>
    <t xml:space="preserve">1. Inverter 32 started late for the production on 05/04, 05/18, 05/20 and 05/31  due to  "Alarm E34 - Insulation fault". </t>
  </si>
  <si>
    <t>1. SR099174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</si>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</sst>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J11" sqref="J11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SUM(C4:C60)</f>
        <v>2755916</v>
      </c>
      <c r="D2" s="6">
        <f>SUM(D4:D60)</f>
        <v>3417520.753</v>
      </c>
      <c r="E2" s="6">
        <f>C2-D2</f>
        <v>-661604.75300000003</v>
      </c>
      <c r="F2" s="7">
        <f>IFERROR(E2/D2, 0)</f>
        <v>-0.19359202205845391</v>
      </c>
      <c r="G2" s="6">
        <f>SUM(G4:G60)</f>
        <v>3173947.23</v>
      </c>
      <c r="H2" s="8">
        <f>C2-G2</f>
        <v>-418031.23</v>
      </c>
      <c r="I2" s="7">
        <f>IFERROR(H2/G2, 0)</f>
        <v>-0.1317070510967506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2755916</v>
      </c>
      <c r="D4" s="14">
        <f>SUM('1st Qtr'!D4, '2nd Qtr'!D4, '3rd Qtr'!D4, '4th Qtr'!D4)</f>
        <v>3417520.753</v>
      </c>
      <c r="E4" s="14">
        <f>IF(AND(ISNUMBER(C4),ISNUMBER(D4)), C4-D4, "")</f>
        <v>-661604.75300000003</v>
      </c>
      <c r="F4" s="15">
        <f>IFERROR(E4/D4, "")</f>
        <v>-0.19359202205845391</v>
      </c>
      <c r="G4" s="16">
        <f>SUM('1st Qtr'!G4,'2nd Qtr'!G4,'3rd Qtr'!G4,'4th Qtr'!G4)</f>
        <v>3173947.23</v>
      </c>
      <c r="H4" s="16">
        <f>SUM('1st Qtr'!H4, '2nd Qtr'!H4, '3rd Qtr'!H4, '4th Qtr'!H4)</f>
        <v>-418031.23</v>
      </c>
      <c r="I4" s="17">
        <f>IFERROR(H4/G4, "")</f>
        <v>-0.1317070510967506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H4" sqref="H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SUM(C4:C90)</f>
        <v>1548514</v>
      </c>
      <c r="D2" s="6">
        <f>SUM(D4:D90)</f>
        <v>1554422.31</v>
      </c>
      <c r="E2" s="6">
        <f>C2-D2</f>
        <v>-5908.3100000000559</v>
      </c>
      <c r="F2" s="7">
        <f>IFERROR(E2/D2, 0)</f>
        <v>-3.800968348170489E-3</v>
      </c>
      <c r="G2" s="6">
        <f>SUM(G4:G90)</f>
        <v>1678737.1099999999</v>
      </c>
      <c r="H2" s="8">
        <f>C2-G2</f>
        <v>-130223.10999999987</v>
      </c>
      <c r="I2" s="7">
        <f>IFERROR(H2/G2, 0)</f>
        <v>-7.7572068446142756E-2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1548514</v>
      </c>
      <c r="D4" s="14">
        <f>SUM(Apr!D4, May!D4, Jun!D4)</f>
        <v>1554422.31</v>
      </c>
      <c r="E4" s="14">
        <f>IF(AND(ISNUMBER(C4),ISNUMBER(D4)), C4-D4, "")</f>
        <v>-5908.3100000000559</v>
      </c>
      <c r="F4" s="15">
        <f>IFERROR(E4/D4, "")</f>
        <v>-3.800968348170489E-3</v>
      </c>
      <c r="G4" s="16">
        <f>SUM(Apr!G4,May!G4,Jun!G4)</f>
        <v>1678737.1099999999</v>
      </c>
      <c r="H4" s="16">
        <f>SUM(Apr!H4, May!H4, Jun!H4)</f>
        <v>-130223.10999999999</v>
      </c>
      <c r="I4" s="17">
        <f>IFERROR(H4/G4, "")</f>
        <v>-7.7572068446142825E-2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H12" sqref="H12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47" t="str" cm="1">
        <f t="array" ref="A1">portfolio</f>
        <v>Walden Renewables Dev't LLC</v>
      </c>
      <c r="B1" s="47"/>
      <c r="C1" s="47"/>
      <c r="D1" s="48" t="s">
        <v>24</v>
      </c>
      <c r="E1" s="48"/>
      <c r="F1" s="48"/>
      <c r="G1" s="46" t="s">
        <v>25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29</v>
      </c>
      <c r="E1" s="48"/>
      <c r="F1" s="48"/>
      <c r="G1" s="46" t="s">
        <v>30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33</v>
      </c>
      <c r="E1" s="48"/>
      <c r="F1" s="48"/>
      <c r="G1" s="46" t="s">
        <v>34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35</v>
      </c>
      <c r="K4" s="43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topLeftCell="B1" workbookViewId="0">
      <pane ySplit="2" topLeftCell="A3" activePane="bottomLeft" state="frozen"/>
      <selection pane="bottomLeft" activeCell="J10" sqref="J10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37</v>
      </c>
      <c r="E1" s="48"/>
      <c r="F1" s="48"/>
      <c r="G1" s="46" t="s">
        <v>38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39</v>
      </c>
      <c r="K4" s="43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9174" xr:uid="{FDF0FF4E-1EE4-4001-AF1B-BD24385AF4D8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41</v>
      </c>
      <c r="E1" s="48"/>
      <c r="F1" s="48"/>
      <c r="G1" s="46" t="s">
        <v>42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43</v>
      </c>
      <c r="E1" s="48"/>
      <c r="F1" s="48"/>
      <c r="G1" s="46" t="s">
        <v>44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53</v>
      </c>
      <c r="E1" s="48"/>
      <c r="F1" s="48"/>
      <c r="G1" s="46" t="s">
        <v>54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55</v>
      </c>
      <c r="B1" t="s">
        <v>56</v>
      </c>
    </row>
    <row r="3" spans="1:7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7" ht="14.45">
      <c r="A4" t="s">
        <v>60</v>
      </c>
      <c r="B4" t="s">
        <v>61</v>
      </c>
      <c r="C4" s="4" t="s">
        <v>62</v>
      </c>
      <c r="D4" t="s">
        <v>63</v>
      </c>
      <c r="E4" t="s">
        <v>64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84F1B64F-96FE-439A-9808-7B3DD7715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2025-06-10T08:28:18Z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