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77975221-7619-44A8-87B6-8A4DDC15A423}" xr6:coauthVersionLast="47" xr6:coauthVersionMax="47" xr10:uidLastSave="{76837D5C-6418-4B49-A3C1-30DC2139EB54}"/>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1" l="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E4" i="27"/>
  <c r="F4" i="27"/>
  <c r="G2" i="27"/>
  <c r="D2" i="27"/>
  <c r="C2" i="27"/>
  <c r="J2" i="27" s="1"/>
  <c r="A1" i="27" a="1"/>
  <c r="A1" i="27"/>
  <c r="H4" i="26"/>
  <c r="I4" i="26"/>
  <c r="E4" i="26"/>
  <c r="F4" i="26" s="1"/>
  <c r="G2" i="26"/>
  <c r="D2" i="26"/>
  <c r="C2" i="26"/>
  <c r="J2" i="26" s="1"/>
  <c r="A1" i="26" a="1"/>
  <c r="A1" i="26"/>
  <c r="H4" i="19"/>
  <c r="I4" i="19"/>
  <c r="E4" i="19"/>
  <c r="F4" i="19"/>
  <c r="G2" i="19"/>
  <c r="D2" i="19"/>
  <c r="E2" i="19" s="1"/>
  <c r="F2" i="19" s="1"/>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H2" i="20" l="1"/>
  <c r="I2" i="20" s="1"/>
  <c r="E2" i="2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<sst xmlns="http://schemas.openxmlformats.org/spreadsheetml/2006/main" count="263" uniqueCount="74">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</sst>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15" sqref="E15"/>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0</v>
      </c>
      <c r="E1" s="61"/>
      <c r="F1" s="61"/>
      <c r="G1" s="59" t="s">
        <v>1</v>
      </c>
      <c r="H1" s="59"/>
      <c r="I1" s="59"/>
    </row>
    <row r="2" spans="1:9" ht="19.5" customHeight="1">
      <c r="A2" s="62" t="s">
        <v>2</v>
      </c>
      <c r="B2" s="62"/>
      <c r="C2" s="5">
        <f>SUM(C4:C79)</f>
        <v>3197658.1129999999</v>
      </c>
      <c r="D2" s="5">
        <f>SUM(D4:D79)</f>
        <v>3587701.727</v>
      </c>
      <c r="E2" s="5">
        <f>C2-D2</f>
        <v>-390043.61400000006</v>
      </c>
      <c r="F2" s="6">
        <f>IFERROR(E2/D2, 0)</f>
        <v>-0.10871684540123423</v>
      </c>
      <c r="G2" s="5">
        <f>SUM(G4:G79)</f>
        <v>3544917.8099999996</v>
      </c>
      <c r="H2" s="7">
        <f>C2-G2</f>
        <v>-347259.69699999969</v>
      </c>
      <c r="I2" s="6">
        <f>IFERROR(H2/G2, 0)</f>
        <v>-9.7959872587285668E-2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3197658.1129999999</v>
      </c>
      <c r="D4" s="12">
        <f>SUM('1st Qtr'!D4, '2nd Qtr'!D4, '3rd Qtr'!D4, '4th Qtr'!D4)</f>
        <v>3587701.727</v>
      </c>
      <c r="E4" s="12">
        <f>IF(AND(ISNUMBER(C4),ISNUMBER(D4)), C4-D4, "")</f>
        <v>-390043.61400000006</v>
      </c>
      <c r="F4" s="13">
        <f>IFERROR(E4/D4, "")</f>
        <v>-0.10871684540123423</v>
      </c>
      <c r="G4" s="14">
        <f>SUM('1st Qtr'!G4, '2nd Qtr'!G4, '3rd Qtr'!G4, '4th Qtr'!G4)</f>
        <v>3544917.8099999996</v>
      </c>
      <c r="H4" s="14">
        <f>SUM('1st Qtr'!H4, '2nd Qtr'!H4, '3rd Qtr'!H4, '4th Qtr'!H4)</f>
        <v>-347259.69699999999</v>
      </c>
      <c r="I4" s="15">
        <f>IFERROR(H4/G4, "")</f>
        <v>-9.7959872587285751E-2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F4" sqref="F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10</v>
      </c>
      <c r="E1" s="61"/>
      <c r="F1" s="61"/>
      <c r="G1" s="59" t="s">
        <v>11</v>
      </c>
      <c r="H1" s="59"/>
      <c r="I1" s="59"/>
    </row>
    <row r="2" spans="1:9" ht="19.5" customHeight="1">
      <c r="A2" s="62" t="s">
        <v>2</v>
      </c>
      <c r="B2" s="62"/>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12</v>
      </c>
      <c r="E1" s="61"/>
      <c r="F1" s="61"/>
      <c r="G1" s="59" t="s">
        <v>13</v>
      </c>
      <c r="H1" s="59"/>
      <c r="I1" s="59"/>
    </row>
    <row r="2" spans="1:9" ht="19.5" customHeight="1">
      <c r="A2" s="62" t="s">
        <v>2</v>
      </c>
      <c r="B2" s="62"/>
      <c r="C2" s="5">
        <f>SUM(C4:C79)</f>
        <v>1631364.1129999999</v>
      </c>
      <c r="D2" s="5">
        <f>SUM(D4:D79)</f>
        <v>1803434.0410000002</v>
      </c>
      <c r="E2" s="5">
        <f>C2-D2</f>
        <v>-172069.92800000031</v>
      </c>
      <c r="F2" s="6">
        <f>IFERROR(E2/D2, 0)</f>
        <v>-9.5412376659247219E-2</v>
      </c>
      <c r="G2" s="5">
        <f>SUM(G4:G79)</f>
        <v>1732171.67</v>
      </c>
      <c r="H2" s="7">
        <f>C2-G2</f>
        <v>-100807.55700000003</v>
      </c>
      <c r="I2" s="6">
        <f>IFERROR(H2/G2, 0)</f>
        <v>-5.8197209171536694E-2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1631364.1129999999</v>
      </c>
      <c r="D4" s="12">
        <f>SUM(Apr!D4, May!D4, Jun!D4)</f>
        <v>1803434.0410000002</v>
      </c>
      <c r="E4" s="12">
        <f>IF(AND(ISNUMBER(C4),ISNUMBER(D4)), C4-D4, "")</f>
        <v>-172069.92800000031</v>
      </c>
      <c r="F4" s="13">
        <f>IFERROR(E4/D4, "")</f>
        <v>-9.5412376659247219E-2</v>
      </c>
      <c r="G4" s="14">
        <f>SUM(Apr!G4,May!G4,Jun!G4)</f>
        <v>1732171.67</v>
      </c>
      <c r="H4" s="14">
        <f>SUM(Apr!H4, May!H4, Jun!H4)</f>
        <v>-100807.55700000003</v>
      </c>
      <c r="I4" s="15">
        <f>IFERROR(H4/G4, "")</f>
        <v>-5.8197209171536694E-2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14</v>
      </c>
      <c r="E1" s="61"/>
      <c r="F1" s="61"/>
      <c r="G1" s="59" t="s">
        <v>15</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0</v>
      </c>
      <c r="D4" s="12">
        <f>SUM(Jul!D4, Aug!D4, Sep!D4)</f>
        <v>0</v>
      </c>
      <c r="E4" s="12">
        <f>IF(AND(ISNUMBER(C4),ISNUMBER(D4)), C4-D4, "")</f>
        <v>0</v>
      </c>
      <c r="F4" s="13" t="str">
        <f>IFERROR(E4/D4, "")</f>
        <v/>
      </c>
      <c r="G4" s="14">
        <f>SUM(Jul!G4,Aug!H4,Sep!G4)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16</v>
      </c>
      <c r="E1" s="61"/>
      <c r="F1" s="61"/>
      <c r="G1" s="59" t="s">
        <v>17</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18</v>
      </c>
      <c r="E1" s="61"/>
      <c r="F1" s="61"/>
      <c r="G1" s="59" t="s">
        <v>19</v>
      </c>
      <c r="H1" s="59"/>
      <c r="I1" s="59"/>
      <c r="J1" s="4"/>
      <c r="K1" s="4"/>
    </row>
    <row r="2" spans="1:11" ht="19.5" customHeight="1">
      <c r="A2" s="62" t="s">
        <v>2</v>
      </c>
      <c r="B2" s="62"/>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E4" activePane="bottomRight" state="frozen"/>
      <selection pane="bottomRight" activeCell="J11" sqref="J11"/>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0" t="str" cm="1">
        <f t="array" ref="A1">portfolio</f>
        <v>Freepoint</v>
      </c>
      <c r="B1" s="60"/>
      <c r="C1" s="60"/>
      <c r="D1" s="61" t="s">
        <v>24</v>
      </c>
      <c r="E1" s="61"/>
      <c r="F1" s="61"/>
      <c r="G1" s="59" t="s">
        <v>25</v>
      </c>
      <c r="H1" s="59"/>
      <c r="I1" s="59"/>
      <c r="J1" s="4"/>
      <c r="K1" s="4"/>
    </row>
    <row r="2" spans="1:16" ht="19.5" customHeight="1">
      <c r="A2" s="62" t="s">
        <v>2</v>
      </c>
      <c r="B2" s="62"/>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C18" sqref="C18"/>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0" t="str" cm="1">
        <f t="array" ref="A1">portfolio</f>
        <v>Freepoint</v>
      </c>
      <c r="B1" s="60"/>
      <c r="C1" s="60"/>
      <c r="D1" s="61" t="s">
        <v>32</v>
      </c>
      <c r="E1" s="61"/>
      <c r="F1" s="61"/>
      <c r="G1" s="59" t="s">
        <v>33</v>
      </c>
      <c r="H1" s="59"/>
      <c r="I1" s="59"/>
      <c r="J1" s="4"/>
      <c r="K1" s="4"/>
    </row>
    <row r="2" spans="1:15" ht="19.5" customHeight="1">
      <c r="A2" s="62" t="s">
        <v>2</v>
      </c>
      <c r="B2" s="62"/>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D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0" t="str" cm="1">
        <f t="array" ref="A1">portfolio</f>
        <v>Freepoint</v>
      </c>
      <c r="B1" s="60"/>
      <c r="C1" s="60"/>
      <c r="D1" s="61" t="s">
        <v>39</v>
      </c>
      <c r="E1" s="61"/>
      <c r="F1" s="61"/>
      <c r="G1" s="59" t="s">
        <v>40</v>
      </c>
      <c r="H1" s="59"/>
      <c r="I1" s="59"/>
      <c r="J1" s="4"/>
      <c r="K1" s="4"/>
    </row>
    <row r="2" spans="1:14" ht="19.5" customHeight="1">
      <c r="A2" s="62" t="s">
        <v>2</v>
      </c>
      <c r="B2" s="62"/>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tabSelected="1" workbookViewId="0">
      <pane xSplit="2" ySplit="3" topLeftCell="C4" activePane="bottomRight" state="frozen"/>
      <selection pane="bottomRight" activeCell="H12" sqref="H12"/>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0" t="str" cm="1">
        <f t="array" ref="A1">portfolio</f>
        <v>Freepoint</v>
      </c>
      <c r="B1" s="60"/>
      <c r="C1" s="60"/>
      <c r="D1" s="61" t="s">
        <v>45</v>
      </c>
      <c r="E1" s="61"/>
      <c r="F1" s="61"/>
      <c r="G1" s="59" t="s">
        <v>46</v>
      </c>
      <c r="H1" s="59"/>
      <c r="I1" s="59"/>
      <c r="J1" s="4"/>
      <c r="K1" s="4"/>
    </row>
    <row r="2" spans="1:13" ht="19.5" customHeight="1">
      <c r="A2" s="62" t="s">
        <v>2</v>
      </c>
      <c r="B2" s="62"/>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52.25">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3" t="s">
        <v>48</v>
      </c>
      <c r="L4" s="58" t="s">
        <v>38</v>
      </c>
      <c r="M4" s="58"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1"/>
  <sheetViews>
    <sheetView workbookViewId="0">
      <pane xSplit="2" ySplit="3" topLeftCell="J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s>
  <sheetData>
    <row r="1" spans="1:11" ht="19.5" customHeight="1">
      <c r="A1" s="60" t="str" cm="1">
        <f t="array" ref="A1">portfolio</f>
        <v>Freepoint</v>
      </c>
      <c r="B1" s="60"/>
      <c r="C1" s="60"/>
      <c r="D1" s="61" t="s">
        <v>50</v>
      </c>
      <c r="E1" s="61"/>
      <c r="F1" s="61"/>
      <c r="G1" s="59" t="s">
        <v>51</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1"/>
  <sheetViews>
    <sheetView zoomScale="80" zoomScaleNormal="80" workbookViewId="0">
      <pane xSplit="2" ySplit="3" topLeftCell="D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52</v>
      </c>
      <c r="E1" s="61"/>
      <c r="F1" s="61"/>
      <c r="G1" s="59" t="s">
        <v>53</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1"/>
  <sheetViews>
    <sheetView zoomScale="90" zoomScaleNormal="90" workbookViewId="0">
      <pane xSplit="2" ySplit="3" topLeftCell="E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54</v>
      </c>
      <c r="E1" s="61"/>
      <c r="F1" s="61"/>
      <c r="G1" s="59" t="s">
        <v>55</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56</v>
      </c>
      <c r="E1" s="61"/>
      <c r="F1" s="61"/>
      <c r="G1" s="59" t="s">
        <v>57</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58</v>
      </c>
      <c r="E1" s="61"/>
      <c r="F1" s="61"/>
      <c r="G1" s="59" t="s">
        <v>59</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60</v>
      </c>
      <c r="E1" s="61"/>
      <c r="F1" s="61"/>
      <c r="G1" s="59" t="s">
        <v>61</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62</v>
      </c>
      <c r="E1" s="61"/>
      <c r="F1" s="61"/>
      <c r="G1" s="59" t="s">
        <v>63</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64</v>
      </c>
      <c r="B1" t="s">
        <v>65</v>
      </c>
    </row>
    <row r="3" spans="1:12" ht="13.15">
      <c r="A3" t="s">
        <v>66</v>
      </c>
      <c r="B3" t="s">
        <v>3</v>
      </c>
      <c r="C3" t="s">
        <v>4</v>
      </c>
      <c r="D3" t="s">
        <v>67</v>
      </c>
      <c r="E3" s="2" t="s">
        <v>68</v>
      </c>
    </row>
    <row r="4" spans="1:12" ht="14.45">
      <c r="A4" s="44" t="s">
        <v>69</v>
      </c>
      <c r="B4" t="s">
        <v>70</v>
      </c>
      <c r="C4" s="42" t="s">
        <v>71</v>
      </c>
      <c r="D4" s="41" t="s">
        <v>72</v>
      </c>
      <c r="E4" t="s">
        <v>73</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5C6359-7763-4C37-8EAF-2BC4698CB285}"/>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89CF5C07-45EB-4100-9AFB-2C6AF77FA787}"/>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078388C9-06F9-42F4-B857-EF76B5CAF1FD}"/>
</file>

<file path=customXml/itemProps10.xml><?xml version="1.0" encoding="utf-8"?>
<ds:datastoreItem xmlns:ds="http://schemas.openxmlformats.org/officeDocument/2006/customXml" ds:itemID="{8D732231-4216-4543-A665-18A2886B0EB7}"/>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8BA0CC8B-6A71-4B6F-8F56-82CC4846BB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2025-06-13T18:22:14Z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