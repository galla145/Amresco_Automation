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codeName="ThisWorkbook" defaultThemeVersion="166925"/>
  <mc:AlternateContent xmlns:mc="http://schemas.openxmlformats.org/markup-compatibility/2006">
    <mc:Choice Requires="x15">
      <x15ac:absPath xmlns:x15ac="http://schemas.microsoft.com/office/spreadsheetml/2010/11/ac" url="https://libsysit-my.sharepoint.com/personal/kusumapotlada_amgsol_com/Documents/Microsoft Teams Chat Files/"/>
    </mc:Choice>
  </mc:AlternateContent>
  <xr:revisionPtr revIDLastSave="225" documentId="13_ncr:1_{F18271FF-01D5-436D-946D-CDA7FF04DB59}" xr6:coauthVersionLast="47" xr6:coauthVersionMax="47" xr10:uidLastSave="{F5377C1F-CC83-4ACD-8CA4-D0D1244D04BB}"/>
  <bookViews>
    <workbookView xWindow="-98" yWindow="-98" windowWidth="21795" windowHeight="12975"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3" l="1" a="1"/>
  <c r="B4" i="33" s="1"/>
  <c r="B4" i="32" a="1"/>
  <c r="B4" i="32" s="1"/>
  <c r="B4" i="31" a="1"/>
  <c r="B4" i="31" s="1"/>
  <c r="B4" i="28" a="1"/>
  <c r="B4" i="28" s="1"/>
  <c r="B4" i="27" a="1"/>
  <c r="B4" i="27" s="1"/>
  <c r="B4" i="26" a="1"/>
  <c r="B4" i="26" s="1"/>
  <c r="B4" i="19" a="1"/>
  <c r="B4" i="19" s="1"/>
  <c r="B4" i="20" a="1"/>
  <c r="B4" i="20" s="1"/>
  <c r="B4" i="21" a="1"/>
  <c r="B4" i="21" s="1"/>
  <c r="B4" i="4" a="1"/>
  <c r="B4" i="4" s="1"/>
  <c r="B4" i="72" a="1"/>
  <c r="B4" i="72" s="1"/>
  <c r="B4" i="3" a="1"/>
  <c r="B4" i="3" s="1"/>
  <c r="H6" i="20"/>
  <c r="I6" i="20" s="1"/>
  <c r="H7" i="20"/>
  <c r="I7" i="20" s="1"/>
  <c r="H8" i="20"/>
  <c r="I8" i="20" s="1"/>
  <c r="E6" i="20"/>
  <c r="F6" i="20" s="1"/>
  <c r="E7" i="20"/>
  <c r="F7" i="20" s="1"/>
  <c r="E8" i="20"/>
  <c r="F8" i="20" s="1"/>
  <c r="H8" i="18"/>
  <c r="G5" i="18"/>
  <c r="G6" i="18"/>
  <c r="G7" i="18"/>
  <c r="G8" i="18"/>
  <c r="G4" i="18"/>
  <c r="D5" i="18"/>
  <c r="D6" i="18"/>
  <c r="D7" i="18"/>
  <c r="D8" i="18"/>
  <c r="D4" i="18"/>
  <c r="C5" i="18"/>
  <c r="C6" i="18"/>
  <c r="C7" i="18"/>
  <c r="C8" i="18"/>
  <c r="C4" i="18"/>
  <c r="H5" i="30"/>
  <c r="H6" i="30"/>
  <c r="H7" i="30"/>
  <c r="H8" i="30"/>
  <c r="H4" i="30"/>
  <c r="G5" i="30"/>
  <c r="G6" i="30"/>
  <c r="G7" i="30"/>
  <c r="G8" i="30"/>
  <c r="G4" i="30"/>
  <c r="D5" i="30"/>
  <c r="D6" i="30"/>
  <c r="D7" i="30"/>
  <c r="D8" i="30"/>
  <c r="D4" i="30"/>
  <c r="C5" i="30"/>
  <c r="C6" i="30"/>
  <c r="C7" i="30"/>
  <c r="C8" i="30"/>
  <c r="C4" i="30"/>
  <c r="H5" i="29"/>
  <c r="H6" i="29"/>
  <c r="H7" i="29"/>
  <c r="H8" i="29"/>
  <c r="H4" i="29"/>
  <c r="G5" i="29"/>
  <c r="G6" i="29"/>
  <c r="G7" i="29"/>
  <c r="G8" i="29"/>
  <c r="G4" i="29"/>
  <c r="D5" i="29"/>
  <c r="E5" i="29" s="1"/>
  <c r="F5" i="29" s="1"/>
  <c r="D6" i="29"/>
  <c r="D7" i="29"/>
  <c r="D8" i="29"/>
  <c r="D4" i="29"/>
  <c r="C5" i="29"/>
  <c r="C6" i="29"/>
  <c r="C7" i="29"/>
  <c r="C8" i="29"/>
  <c r="C4" i="29"/>
  <c r="G5" i="1"/>
  <c r="G6" i="1"/>
  <c r="G7" i="1"/>
  <c r="G8" i="1"/>
  <c r="G4" i="1"/>
  <c r="D5" i="1"/>
  <c r="D6" i="1"/>
  <c r="D7" i="1"/>
  <c r="D8" i="1"/>
  <c r="D4" i="1"/>
  <c r="C5" i="1"/>
  <c r="C6" i="1"/>
  <c r="C7" i="1"/>
  <c r="C8" i="1"/>
  <c r="C4" i="1"/>
  <c r="H5" i="4"/>
  <c r="I5" i="4" s="1"/>
  <c r="H6" i="4"/>
  <c r="I6" i="4" s="1"/>
  <c r="H7" i="4"/>
  <c r="I7" i="4" s="1"/>
  <c r="H8" i="4"/>
  <c r="I8" i="4" s="1"/>
  <c r="E5" i="4"/>
  <c r="F5" i="4" s="1"/>
  <c r="E6" i="4"/>
  <c r="F6" i="4" s="1"/>
  <c r="E7" i="4"/>
  <c r="F7" i="4" s="1"/>
  <c r="E8" i="4"/>
  <c r="F8" i="4" s="1"/>
  <c r="A4" i="20" a="1"/>
  <c r="A4" i="20" s="1"/>
  <c r="A4" i="19" a="1"/>
  <c r="A4" i="19" s="1"/>
  <c r="A4" i="26" a="1"/>
  <c r="A4" i="26"/>
  <c r="A4" i="27" a="1"/>
  <c r="A4" i="27"/>
  <c r="A4" i="28" a="1"/>
  <c r="A4" i="28"/>
  <c r="A4" i="31" a="1"/>
  <c r="A4" i="31"/>
  <c r="A4" i="32" a="1"/>
  <c r="A4" i="32" s="1"/>
  <c r="A4" i="33" a="1"/>
  <c r="A4" i="33" s="1"/>
  <c r="A4" i="21" a="1"/>
  <c r="A4" i="21"/>
  <c r="A4" i="4" a="1"/>
  <c r="A4" i="4" s="1"/>
  <c r="A4" i="72" a="1"/>
  <c r="A4" i="72" s="1"/>
  <c r="A4" i="3" a="1"/>
  <c r="A4" i="3" s="1"/>
  <c r="H4" i="3"/>
  <c r="I4" i="3" s="1"/>
  <c r="H5" i="3"/>
  <c r="I5" i="3" s="1"/>
  <c r="H6" i="3"/>
  <c r="I6" i="3" s="1"/>
  <c r="H7" i="3"/>
  <c r="I7" i="3" s="1"/>
  <c r="H8" i="3"/>
  <c r="I8" i="3" s="1"/>
  <c r="E4" i="3"/>
  <c r="F4" i="3" s="1"/>
  <c r="E5" i="3"/>
  <c r="F5" i="3" s="1"/>
  <c r="E6" i="3"/>
  <c r="F6" i="3" s="1"/>
  <c r="E7" i="3"/>
  <c r="F7" i="3" s="1"/>
  <c r="E8" i="3"/>
  <c r="F8" i="3" s="1"/>
  <c r="H4" i="72"/>
  <c r="H5" i="72"/>
  <c r="H6" i="72"/>
  <c r="H7" i="72"/>
  <c r="H8" i="72"/>
  <c r="E4" i="72"/>
  <c r="F4" i="72" s="1"/>
  <c r="E5" i="72"/>
  <c r="F5" i="72" s="1"/>
  <c r="E6" i="72"/>
  <c r="F6" i="72" s="1"/>
  <c r="E7" i="72"/>
  <c r="F7" i="72" s="1"/>
  <c r="E8" i="72"/>
  <c r="F8" i="72" s="1"/>
  <c r="H12" i="31"/>
  <c r="I12" i="31" s="1"/>
  <c r="G2" i="31"/>
  <c r="E7" i="27"/>
  <c r="F7" i="27" s="1"/>
  <c r="H6" i="19"/>
  <c r="E6" i="19"/>
  <c r="F6" i="19" s="1"/>
  <c r="H5" i="19"/>
  <c r="I5" i="19" s="1"/>
  <c r="E5" i="19"/>
  <c r="F5" i="19" s="1"/>
  <c r="H4" i="19"/>
  <c r="I4" i="19" s="1"/>
  <c r="E4" i="19"/>
  <c r="F4" i="19" s="1"/>
  <c r="H12" i="19"/>
  <c r="I12" i="19" s="1"/>
  <c r="E12" i="19"/>
  <c r="F12" i="19" s="1"/>
  <c r="H11" i="19"/>
  <c r="E11" i="19"/>
  <c r="H10" i="19"/>
  <c r="E10" i="19"/>
  <c r="H9" i="19"/>
  <c r="E9" i="19"/>
  <c r="H8" i="19"/>
  <c r="I8" i="19" s="1"/>
  <c r="E8" i="19"/>
  <c r="F8" i="19" s="1"/>
  <c r="H7" i="19"/>
  <c r="I7" i="19" s="1"/>
  <c r="E7" i="19"/>
  <c r="F7" i="19" s="1"/>
  <c r="H4" i="21"/>
  <c r="I4" i="21" s="1"/>
  <c r="H5" i="21"/>
  <c r="I5" i="21" s="1"/>
  <c r="H6" i="21"/>
  <c r="I6" i="21" s="1"/>
  <c r="H7" i="21"/>
  <c r="I7" i="21" s="1"/>
  <c r="E4" i="21"/>
  <c r="F4" i="21" s="1"/>
  <c r="E5" i="21"/>
  <c r="F5" i="21" s="1"/>
  <c r="E6" i="21"/>
  <c r="F6" i="21" s="1"/>
  <c r="E7" i="21"/>
  <c r="F7" i="21" s="1"/>
  <c r="E4" i="32"/>
  <c r="F4" i="32" s="1"/>
  <c r="H4" i="32"/>
  <c r="I4" i="32"/>
  <c r="E5" i="32"/>
  <c r="F5" i="32" s="1"/>
  <c r="H5" i="32"/>
  <c r="I5" i="32" s="1"/>
  <c r="E6" i="32"/>
  <c r="F6" i="32" s="1"/>
  <c r="H6" i="32"/>
  <c r="I6" i="32" s="1"/>
  <c r="E7" i="32"/>
  <c r="F7" i="32" s="1"/>
  <c r="H7" i="32"/>
  <c r="I7" i="32" s="1"/>
  <c r="E8" i="32"/>
  <c r="F8" i="32" s="1"/>
  <c r="H8" i="32"/>
  <c r="I8" i="32" s="1"/>
  <c r="E4" i="33"/>
  <c r="F4" i="33" s="1"/>
  <c r="H4" i="33"/>
  <c r="I4" i="33" s="1"/>
  <c r="E5" i="33"/>
  <c r="F5" i="33" s="1"/>
  <c r="H5" i="33"/>
  <c r="I5" i="33" s="1"/>
  <c r="E6" i="33"/>
  <c r="F6" i="33" s="1"/>
  <c r="H6" i="33"/>
  <c r="I6" i="33" s="1"/>
  <c r="E7" i="33"/>
  <c r="F7" i="33" s="1"/>
  <c r="H7" i="33"/>
  <c r="I7" i="33" s="1"/>
  <c r="E8" i="33"/>
  <c r="F8" i="33" s="1"/>
  <c r="H8" i="33"/>
  <c r="I8" i="33"/>
  <c r="H4" i="20"/>
  <c r="I4" i="20" s="1"/>
  <c r="H5" i="20"/>
  <c r="I5" i="20" s="1"/>
  <c r="E4" i="20"/>
  <c r="F4" i="20" s="1"/>
  <c r="E5" i="20"/>
  <c r="F5" i="20" s="1"/>
  <c r="H12" i="33"/>
  <c r="I12" i="33" s="1"/>
  <c r="E12" i="33"/>
  <c r="F12" i="33" s="1"/>
  <c r="H11" i="33"/>
  <c r="I11" i="33" s="1"/>
  <c r="E11" i="33"/>
  <c r="F11" i="33" s="1"/>
  <c r="H12" i="32"/>
  <c r="I12" i="32" s="1"/>
  <c r="E12" i="32"/>
  <c r="F12" i="32" s="1"/>
  <c r="H11" i="32"/>
  <c r="I11" i="32" s="1"/>
  <c r="E11" i="32"/>
  <c r="F11" i="32" s="1"/>
  <c r="E12" i="31"/>
  <c r="F12" i="31" s="1"/>
  <c r="H11" i="31"/>
  <c r="I11" i="31" s="1"/>
  <c r="E11" i="31"/>
  <c r="F11" i="31" s="1"/>
  <c r="H12" i="28"/>
  <c r="I12" i="28" s="1"/>
  <c r="E12" i="28"/>
  <c r="F12" i="28" s="1"/>
  <c r="H11" i="28"/>
  <c r="I11" i="28" s="1"/>
  <c r="E11" i="28"/>
  <c r="F11" i="28" s="1"/>
  <c r="H12" i="27"/>
  <c r="I12" i="27" s="1"/>
  <c r="E12" i="27"/>
  <c r="F12" i="27" s="1"/>
  <c r="H11" i="27"/>
  <c r="I11" i="27" s="1"/>
  <c r="E11" i="27"/>
  <c r="F11" i="27" s="1"/>
  <c r="H12" i="26"/>
  <c r="I12" i="26" s="1"/>
  <c r="E12" i="26"/>
  <c r="F12" i="26" s="1"/>
  <c r="H11" i="26"/>
  <c r="I11" i="26" s="1"/>
  <c r="E11" i="26"/>
  <c r="F11" i="26" s="1"/>
  <c r="I11" i="19"/>
  <c r="F11" i="19"/>
  <c r="H4" i="4"/>
  <c r="I4" i="4" s="1"/>
  <c r="E4" i="4"/>
  <c r="F4" i="4" s="1"/>
  <c r="A4" i="30" a="1"/>
  <c r="A4" i="30" s="1"/>
  <c r="B4" i="34" a="1"/>
  <c r="B4" i="34" s="1"/>
  <c r="A4" i="34" a="1"/>
  <c r="A4" i="34" s="1"/>
  <c r="A1" i="34" a="1"/>
  <c r="A1" i="34" s="1"/>
  <c r="B4" i="30" a="1"/>
  <c r="B4" i="30" s="1"/>
  <c r="A1" i="30" a="1"/>
  <c r="A1" i="30" s="1"/>
  <c r="B4" i="29" a="1"/>
  <c r="B4" i="29" s="1"/>
  <c r="A4" i="29" a="1"/>
  <c r="A4" i="29" s="1"/>
  <c r="A1" i="29" a="1"/>
  <c r="A1" i="29" s="1"/>
  <c r="B4" i="18" a="1"/>
  <c r="B4" i="18" s="1"/>
  <c r="A4" i="18" a="1"/>
  <c r="A4" i="18" s="1"/>
  <c r="A1" i="18" a="1"/>
  <c r="A1" i="18" s="1"/>
  <c r="B4" i="1" a="1"/>
  <c r="B4" i="1" s="1"/>
  <c r="A4" i="1" a="1"/>
  <c r="A4" i="1" s="1"/>
  <c r="A1" i="1" a="1"/>
  <c r="A1" i="1" s="1"/>
  <c r="H10" i="33"/>
  <c r="I10" i="33" s="1"/>
  <c r="E10" i="33"/>
  <c r="F10" i="33" s="1"/>
  <c r="H9" i="33"/>
  <c r="I9" i="33" s="1"/>
  <c r="E9" i="33"/>
  <c r="F9" i="33" s="1"/>
  <c r="G2" i="33"/>
  <c r="D2" i="33"/>
  <c r="C2" i="33"/>
  <c r="A1" i="33" a="1"/>
  <c r="A1" i="33" s="1"/>
  <c r="H10" i="32"/>
  <c r="I10" i="32" s="1"/>
  <c r="E10" i="32"/>
  <c r="F10" i="32" s="1"/>
  <c r="H9" i="32"/>
  <c r="I9" i="32" s="1"/>
  <c r="E9" i="32"/>
  <c r="F9" i="32" s="1"/>
  <c r="G2" i="32"/>
  <c r="D2" i="32"/>
  <c r="C2" i="32"/>
  <c r="A1" i="32" a="1"/>
  <c r="A1" i="32"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G2" i="28"/>
  <c r="D2" i="28"/>
  <c r="C2" i="28"/>
  <c r="A1" i="28" a="1"/>
  <c r="A1" i="28" s="1"/>
  <c r="H10" i="27"/>
  <c r="I10" i="27" s="1"/>
  <c r="E10" i="27"/>
  <c r="F10" i="27" s="1"/>
  <c r="H9" i="27"/>
  <c r="I9" i="27" s="1"/>
  <c r="E9" i="27"/>
  <c r="F9" i="27" s="1"/>
  <c r="H8" i="27"/>
  <c r="I8" i="27" s="1"/>
  <c r="E8" i="27"/>
  <c r="F8" i="27" s="1"/>
  <c r="H7" i="27"/>
  <c r="I7" i="27" s="1"/>
  <c r="H6" i="27"/>
  <c r="I6" i="27" s="1"/>
  <c r="E6" i="27"/>
  <c r="F6" i="27" s="1"/>
  <c r="H5" i="27"/>
  <c r="I5" i="27" s="1"/>
  <c r="E5" i="27"/>
  <c r="F5" i="27" s="1"/>
  <c r="H4" i="27"/>
  <c r="I4" i="27" s="1"/>
  <c r="E4" i="27"/>
  <c r="F4" i="27" s="1"/>
  <c r="G2" i="27"/>
  <c r="D2" i="27"/>
  <c r="C2" i="27"/>
  <c r="A1" i="27" a="1"/>
  <c r="A1" i="27" s="1"/>
  <c r="H10" i="26"/>
  <c r="E10" i="26"/>
  <c r="F10" i="26" s="1"/>
  <c r="H9" i="26"/>
  <c r="I9" i="26" s="1"/>
  <c r="E9" i="26"/>
  <c r="F9" i="26" s="1"/>
  <c r="H8" i="26"/>
  <c r="I8" i="26" s="1"/>
  <c r="E8" i="26"/>
  <c r="F8" i="26" s="1"/>
  <c r="H7" i="26"/>
  <c r="E7" i="26"/>
  <c r="F7" i="26" s="1"/>
  <c r="H6" i="26"/>
  <c r="I6" i="26" s="1"/>
  <c r="E6" i="26"/>
  <c r="F6" i="26" s="1"/>
  <c r="H5" i="26"/>
  <c r="I5" i="26" s="1"/>
  <c r="E5" i="26"/>
  <c r="F5" i="26" s="1"/>
  <c r="H4" i="26"/>
  <c r="E4" i="26"/>
  <c r="F4" i="26" s="1"/>
  <c r="G2" i="26"/>
  <c r="D2" i="26"/>
  <c r="C2" i="26"/>
  <c r="A1" i="26" a="1"/>
  <c r="A1" i="26" s="1"/>
  <c r="I10" i="19"/>
  <c r="F10" i="19"/>
  <c r="I9" i="19"/>
  <c r="F9" i="19"/>
  <c r="I6" i="19"/>
  <c r="G2" i="19"/>
  <c r="D2" i="19"/>
  <c r="C2" i="19"/>
  <c r="J2" i="19" s="1"/>
  <c r="A1" i="19" a="1"/>
  <c r="A1" i="19" s="1"/>
  <c r="G2" i="20"/>
  <c r="D2" i="20"/>
  <c r="C2" i="20"/>
  <c r="A1" i="20" a="1"/>
  <c r="A1" i="20" s="1"/>
  <c r="G2" i="21"/>
  <c r="D2" i="21"/>
  <c r="C2" i="21"/>
  <c r="A1" i="21" a="1"/>
  <c r="A1" i="21" s="1"/>
  <c r="G2" i="4"/>
  <c r="D2" i="4"/>
  <c r="C2" i="4"/>
  <c r="A1" i="4" a="1"/>
  <c r="A1" i="4" s="1"/>
  <c r="G2" i="3"/>
  <c r="D2" i="3"/>
  <c r="C2" i="3"/>
  <c r="J2" i="3" s="1"/>
  <c r="A1" i="3" a="1"/>
  <c r="A1" i="3" s="1"/>
  <c r="G2" i="72"/>
  <c r="D2" i="72"/>
  <c r="C2" i="72"/>
  <c r="J2" i="72" s="1"/>
  <c r="A1" i="72" a="1"/>
  <c r="A1" i="72" s="1"/>
  <c r="H7" i="18" l="1"/>
  <c r="H6" i="18"/>
  <c r="I6" i="18" s="1"/>
  <c r="H5" i="18"/>
  <c r="H4" i="18"/>
  <c r="I4" i="18" s="1"/>
  <c r="I8" i="72"/>
  <c r="H8" i="1"/>
  <c r="I7" i="72"/>
  <c r="H7" i="1"/>
  <c r="I7" i="1" s="1"/>
  <c r="I6" i="72"/>
  <c r="H6" i="1"/>
  <c r="I5" i="72"/>
  <c r="H5" i="1"/>
  <c r="I4" i="72"/>
  <c r="H4" i="1"/>
  <c r="E8" i="1"/>
  <c r="F8" i="1" s="1"/>
  <c r="I7" i="29"/>
  <c r="C5" i="34"/>
  <c r="C7" i="34"/>
  <c r="G7" i="34"/>
  <c r="G2" i="29"/>
  <c r="G6" i="34"/>
  <c r="D8" i="34"/>
  <c r="G5" i="34"/>
  <c r="C8" i="34"/>
  <c r="D5" i="34"/>
  <c r="G8" i="34"/>
  <c r="G2" i="30"/>
  <c r="D6" i="34"/>
  <c r="C6" i="34"/>
  <c r="G4" i="34"/>
  <c r="E7" i="30"/>
  <c r="F7" i="30" s="1"/>
  <c r="D7" i="34"/>
  <c r="E6" i="30"/>
  <c r="F6" i="30" s="1"/>
  <c r="E7" i="29"/>
  <c r="F7" i="29" s="1"/>
  <c r="E8" i="29"/>
  <c r="F8" i="29" s="1"/>
  <c r="E8" i="30"/>
  <c r="F8" i="30" s="1"/>
  <c r="I6" i="30"/>
  <c r="E6" i="29"/>
  <c r="F6" i="29" s="1"/>
  <c r="I8" i="29"/>
  <c r="I7" i="18"/>
  <c r="E6" i="18"/>
  <c r="F6" i="18" s="1"/>
  <c r="E7" i="18"/>
  <c r="F7" i="18" s="1"/>
  <c r="I8" i="18"/>
  <c r="E8" i="18"/>
  <c r="F8" i="18" s="1"/>
  <c r="I6" i="1"/>
  <c r="E6" i="1"/>
  <c r="F6" i="1" s="1"/>
  <c r="E7" i="1"/>
  <c r="F7" i="1" s="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I4" i="30"/>
  <c r="I4" i="26"/>
  <c r="I7" i="26"/>
  <c r="I10" i="26"/>
  <c r="I4" i="29"/>
  <c r="I5" i="29"/>
  <c r="C4" i="34"/>
  <c r="I5" i="18"/>
  <c r="C2" i="29"/>
  <c r="C2" i="30"/>
  <c r="E4" i="29"/>
  <c r="F4" i="29" s="1"/>
  <c r="C2" i="18"/>
  <c r="I5"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G2" i="34"/>
  <c r="I5" i="30"/>
  <c r="H5" i="34"/>
  <c r="I5" i="34" s="1"/>
  <c r="I8" i="30"/>
  <c r="H8" i="34"/>
  <c r="I8" i="34" s="1"/>
  <c r="I7" i="30"/>
  <c r="H7" i="34"/>
  <c r="I7" i="34" s="1"/>
  <c r="I6" i="29"/>
  <c r="H6" i="34"/>
  <c r="I6" i="34" s="1"/>
  <c r="E6" i="34"/>
  <c r="F6" i="34" s="1"/>
  <c r="E2" i="29"/>
  <c r="F2" i="29"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<sst xmlns="http://schemas.openxmlformats.org/spreadsheetml/2006/main" count="346" uniqueCount="139">
  <si>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</si>
  <si>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</si>
  <si>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</si>
  <si>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</si>
  <si>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</si>
  <si>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</si>
  <si>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</si>
  <si>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</si>
  <si>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</si>
  <si>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</si>
  <si>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</si>
  <si>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</si>
  <si>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</si>
  <si>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</si>
  <si>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</si>
  <si>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</si>
  <si>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</si>
  <si>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</si>
  <si>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</si>
  <si>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</si>
  <si>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</si>
  <si>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</si>
  <si>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57 was offline throughout the month due to fault permanent power module failure. 
2.  Inverters 29, 30, 32, 64, 68, 69, 78, and 80 are offline due to a hunt. The LOTO has been applied to the inverters, and all trackers are stuck.</t>
  </si>
  <si>
    <t>1. SR094033
2. 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</si>
  <si>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</si>
  <si>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</si>
  <si>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</si>
  <si>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</si>
  <si>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</si>
  <si>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</si>
  <si>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</si>
  <si>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</si>
  <si>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</si>
  <si>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</si>
  <si>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</si>
  <si>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</si>
  <si>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</si>
  <si>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</si>
  <si>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</si>
  <si>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</si>
  <si>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</si>
  <si>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</si>
  <si>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March Actual v. Expected</t>
  </si>
  <si>
    <t>March Actual v. Forecasted</t>
  </si>
  <si>
    <t>1.Inverter 13 has been underproducing by approximately 30 kW compared to its peers since the MC4 connectors were replaced in early December 2024 to resolve ongoing tripping issues. On 03/11, technician replaced 3 fuses with no continuity and inverter started producing inline with peers.
2.Inverter 28 tripped offline at 12:15PM on 03/31 due to  permanent fault of power module - Fault0010 and Power Module Protection - Protect0120.
3.Strings down on inverters 29 and 30 from 03/17.
4.Inverter 66 tripped offline at 16:15 on 03/31 due to AC SPD Fault.
5.Inverter 64 was offline from 12/18/24 which was LOTO'd.
6.Inverters 29, 30, 64, 68, 69, 78,79 and 80 are offline from 12/26/24 and confirmed with Hunt these inverters are LOTOd and back online at 12:15PM on 03/17.
7.Soltec Tracker Full T01: Motors 22, 77, 138 were stuck.
Soltec Tracker Full T02: Motors 4, 21, 23, 32, 37, 58, 61, 83 were stuck.
Soltec Tracker Full T03: Motors 13, 52 were stuck.
Soltec Tracker Full T04: Motors 1, 11, 27, 28, 29, 32, 39, 51, 57, 65, 75, 88, 94, 112, 113 were stuck. 
8.Inverter 9 was offline from 02/18 due to Bus (sum) Over Voltage fault and inverter power head was being RMA'D from 02/24. On 03/07, the technician replaced the RMA'd inverter power head with a new unit, and the inverter is now operating in line with peer inverters.
9.Inverter 60 was derating by approximately 50 kW due to an external fan fault issue from 02/27/25 and producing normal after technician replaced RMA'D fan with new fan on 03/10.</t>
  </si>
  <si>
    <t>1.SR098364
2.SR099220
3.SR099222
4.SR099295
5.SR099221
6.SR095849
7.SR099224
8.SR097304
9.SR097884</t>
  </si>
  <si>
    <t>SR099220</t>
  </si>
  <si>
    <t>SR099222</t>
  </si>
  <si>
    <t>SR099295</t>
  </si>
  <si>
    <t>SR099221</t>
  </si>
  <si>
    <t>SR095849</t>
  </si>
  <si>
    <t>SR099224</t>
  </si>
  <si>
    <t xml:space="preserve">1.Inverter 21 was derating approximately by 50KW due to external fan fault on high irradiance days. Additionally 5 trackers were stuck.
2.12 trackers were stuck from 02/18. On 03/10 technician checked in and worked with erika and brought back 5 trackers back online and 4 trackers were still truck.  One new tracker has no lights good fuse and module is only putting out 30 V. Will need a new module.
</t>
  </si>
  <si>
    <t>1.SR097728,SR098569, SR096181 &amp; SR098568.</t>
  </si>
  <si>
    <t>SR098569</t>
  </si>
  <si>
    <t>SR096181</t>
  </si>
  <si>
    <t>SR098568</t>
  </si>
  <si>
    <t xml:space="preserve">1. Inverter 15 tripped offline at 13:30 on 03/08 due to Inverter Over Current and self resolved and back online on 03/09. Inverter 15 tripped offline at 14:30 on 03/11 due to Inverter Over Current and self-resolved and back online on 03/12.
2.Inverter 18 tripped offline at 12:15PM on 03/22 due to Inverter Over Current - ProtectOO30 and self resolved and back online on 03/23. On 03/26, technician performed firmware upgrade for inverter. Inverter 18 tripped offline at 11:45AM on 03/01 due to Inverter Over Current and self resolved and back online on 03/02
3.All inverters tripped offline from 13:15 on 03/29 due to Grid Phase Voltage Out of Range - GridV.OutLim fault additionally meter stopped communicating.
4.NCU 1 motors 10 and 46 were stuck. On 03/17, the technician ran several reset commands via the Mission Control dashboard—motor 10 resumed tracking, while motor 46 remained stuck and requires motor replacement.
5.NCU 2 motor 7 was stuck and motor was being RMA'd
6.Site tripped tripped offline on 03/16 at 14:15, and later back online on 03/17 (We started monitoring these sites again from 03/21 as per the information provided. Due to this we dont have any SR's for this issue.).
7.Inverter 7 tripped offline at 15:15 on 03/17 and back online on 03/18. (We started monitoring these sites again from 03/21 as per the information provided.Due to this we dont have any SR's for this issue.).
</t>
  </si>
  <si>
    <t>1.SR098302
2.SR098925, SR097945
3.SR099141
4.SR097757
5.SR098566</t>
  </si>
  <si>
    <t>SR098925</t>
  </si>
  <si>
    <t>SR099141</t>
  </si>
  <si>
    <t>SR097757</t>
  </si>
  <si>
    <t>SR098566</t>
  </si>
  <si>
    <t xml:space="preserve">1.Hukseflux SR15-D1-POA &amp; Huskseflux SR15-D1-BPOA  stopped communicating from 03/16/25. Huskseflux SR15-D1-BPOA has resumed communication on 03/29. 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t>
  </si>
  <si>
    <t>1.SR099420, SR097908
2.SR091277 
3.SR096700</t>
  </si>
  <si>
    <t xml:space="preserve">1. Site was not communicated for whole month due to bad modem.
</t>
  </si>
  <si>
    <t>1.SR097305 &amp; SR098700</t>
  </si>
  <si>
    <t>SR098700</t>
  </si>
  <si>
    <t>April Actual v. Expected</t>
  </si>
  <si>
    <t>April Actual v. Forecasted</t>
  </si>
  <si>
    <t xml:space="preserve">1.Inverter 28 tripped offline at 12:15 on 03/31 due to a permanent power module fault (Fault0010) and Power Module Protection error (Protect0120). The technician initiated an RMA for the powerhead on 04/07 and replaced it with a new unit on 04/24. The inverter is  back online and producing in line with its peers.
2.Inverter 64 was offline from 12/18/24 which was LOTO'd.
3.Inverters 29 and 30 have strings down due to missing panels caused by storm damage.
4.Inverter 66 tripped offline at 16:15 on 03/31 due to an AC SPD fault. The technician RMA’d the powerhead on 04/07 and replaced it with a new one on 04/11. The inverter is now back online and producing normally.
5.Inverter 50 tripped offline at 09:45 on 04/12 due to Permanent fault of power module - Fault0010 Power Module Protection - Protect0120 fault. On 04/14 technician RMA'D powerhead of the inverter and on 04/24 technician replaced with new powerhead and inverter started for production according to peers.
6.Inverter 36 tripped offline at 14:15 on 04/15 due to Bus (sum) Over Voltage (firmware) - Protect0090. On 04/24, Technicians responded to a permanent power failure. Chint was contacted for an RMA, and the inverter was replaced using a spare from inventory. The unit has been commissioned and is now producing power.
7.Inverter 42 was tripped offline at 16:30 on 04/16 due to Bus Imbalance - Protect0070 fault. On 04/24, Technicians responded to a permanent power failure. Chint was contacted for an RMA, and the inverter was replaced using a spare from inventory. The unit has been commissioned and is now producing power.
8.Soltec Tracker Full T01: Motors 22, 77, 138 were stuck.
Soltec Tracker Full T02: Motors 4, 21, 23, 32, 37, 58, 61, 83 were stuck.
Soltec Tracker Full T03: Motors 13, 52 were stuck.
Soltec Tracker Full T04: Motors 1, 11, 27, 28, 29, 32, 39, 51, 57, 65, 75, 88, 94, 112, 113 were stuck. </t>
  </si>
  <si>
    <t>1.SR099220
2.SR099221
3.SR099222
4.SR099295
5.SR099759
6.SR099835
7.SR099913
8.SR099224</t>
  </si>
  <si>
    <t>SR099759</t>
  </si>
  <si>
    <t>SR099835</t>
  </si>
  <si>
    <t>SR099913</t>
  </si>
  <si>
    <t>1.Inverter 21 was derating by 50 kW from 02/24 due to an "External Fan Error" fault. This issue occurred on days with high irradiance and was resolved on 04/22  after the technician replaced the faulted fan.
2.Mutiple trackers are stuck, and Solectria is actively working on troubleshooting the issue.</t>
  </si>
  <si>
    <t>1.SR098569,SR099625
2.SR098568,SR098376,</t>
  </si>
  <si>
    <t>SR099625</t>
  </si>
  <si>
    <t>SR098376</t>
  </si>
  <si>
    <t>1. Site tripped offline at 11:45 on 03/31 due to blown MV fuse and  back online at 12:15 on 04/03 after technician along with MV crew replaced MV fuse and utility re-energized the site.
2.Inverter 18 was tripped offline at 11:30 on 04/16 due to Inverter Over Current fault and back online on 04/17.
3.Inverter 15 tripped offline at 13:00 on 04/21 due to an Inverter Over Current fault and was back online on 04/22. It tripped again at 15:00 on 04/28 with the same fault and was restored on 04/29.
4.Site tripped offline at 15:56 on 04/27 due to Grid Phase Voltage Out of Range - GridV.OutLim fault and back online at 13:30 on 04/28.
5.Inverter 7 tripped offline at 18:00 on 04/29 due to Inverter Over Current fault and back online on 04/30.
6.NCU 2 motor 7 was stuck and motor was being RMA'd and on 04/17/25, the technician confirmed a defective tracker motor, replaced it, power cycled the controller, cleared the fault in Mission Control, and verified the tracker is now operating correctly with its peers.</t>
  </si>
  <si>
    <t>1.SR099141
2.SR099914
3.SR100087 &amp; SR100473
4.SR100473
5.SR100673
6.SR098566</t>
  </si>
  <si>
    <t>SR099914</t>
  </si>
  <si>
    <t>SR100087</t>
  </si>
  <si>
    <t>SR100473</t>
  </si>
  <si>
    <t>SR100673</t>
  </si>
  <si>
    <t xml:space="preserve">1.On 04/18 the technician attempted to add a new tracker using the Soltec computer onsite, but the system showed it wasn't connected to the server. The previously installed tracker (C30) remains in stow and Soltec has not responded.
2.The POA sensor (Hukseflux SR15-D1-POA) stopped communicating on 03/16/25 due to a fault and is currently being RMA'd. Additionally, the wire for the BPOA was found to be damaged.
</t>
  </si>
  <si>
    <t>1.SR098567
2.SR099419 &amp; SR099420</t>
  </si>
  <si>
    <t>SR099419</t>
  </si>
  <si>
    <t>SR099420</t>
  </si>
  <si>
    <t>1. Site was not communicated for whole month due to bad modem.
2. Inverter 19 all 3 external fans were RMA'D due to external fan fault.
3. The client reported that the site tripped offline between 10:30 AM and 11:30 AM on 04/23 and was producing at a steady but low output of 23.824 kW. Normal production resumed on 04/24, but data backfilling is progressing slowly with 4,962,922 files in the queue. Confirmation is needed to proceed with the internet provider switch.
4.Stuck tracker reported by Nick Lindsholm. Troubleshooting will proceed once communication is restored. A Soltec ticket cannot be created until the serial number of the affected unit is identified.</t>
  </si>
  <si>
    <t>1.SR097305 &amp; SR098700
2.SR099878
3.SR100221
4.SR100415</t>
  </si>
  <si>
    <t>SR099878</t>
  </si>
  <si>
    <t>SR100221</t>
  </si>
  <si>
    <t>SR100415</t>
  </si>
  <si>
    <t>May Actual v. Expected</t>
  </si>
  <si>
    <t>May Actual v. Forecasted</t>
  </si>
  <si>
    <t>1. Site production was low on 05/25, 05/26, 05/27, 05/28 due to technician was on site for preventive maintenance work.
2. Inverter 58 tripped offline at 11:30 on 05/03 due to a "Permanent Fault of Power Module". A technician later replaced the power head on site, and the inverter came back online at 08:45 on 05/05.
3. Inverter 14 tripped offline at 10:15 on 05/06 due to "Permanent fault of power module - Fault0010". Later, a technician on site replaced the power head, and the inverter came back online at 09:30 on 05/08.
4. Inverter 21 tripped offline at 10:12 on 05/13 due to "Grid Line Voltage Out of Range - GridV.OutLim". Later, a technician on site power-cycled the inverter, and it came back online at 17:04 on 05/13.
5. Inverter 72 tripped offline at 17:30 on 05/23 due to "Permanent fault of power module - Fault0010, Power Module Protection - Protect0120". Later, with support from Chint, the technician was able to remotely reset the inverter, and it came back online at 13:30 on 05/27.
6. Inverter 72 tripped offline at 11:06 on 05/29 due to "Permanent fault of power module - Fault0010, Power Module Protection - Protect0120". Inverter RMA dispatch has been scheduled for the month of June</t>
  </si>
  <si>
    <t>1. PM9696
2. SR100960
3. SR101064
4. SR101885
5. SR101923
6. SR102146</t>
  </si>
  <si>
    <t>1. The weather station Hukseflux SR15 – POA has been communicating intermittently since 05/14.</t>
  </si>
  <si>
    <t>1. SR102509</t>
  </si>
  <si>
    <t>1. Inverter 15 tripped offline at 14:40 on 05/07 due to 'Inverter Over Current - Protect0030' and came back online at 06:00 on 05/08.
2. The site tripped offline due to "Grid Phase Voltage Out of Range - GridV.OutLim" at 10:45 on 05/10 and came back online at 07:15 on 05/12.
3. The site tripped offline due to "Grid Phase Voltage Out of Range - GridV.OutLim" at 11:15 on 05/24 and came back online at 11:03 on 05/27.</t>
  </si>
  <si>
    <t>1. SR100087
2. SR100473
3. SR101911</t>
  </si>
  <si>
    <t>1. The Hukseflux SR15-D1-BPOA had intermittent communication since 03/16. During a site visit on 05/22, the technician found the SCADA was defective, installed a new one, and stated that the BPOA will remain offline until the correct cable is installed. Additional troubleshooting was also recommended.</t>
  </si>
  <si>
    <t>1. SR099420</t>
  </si>
  <si>
    <t>1. The site has been experiencing a power quality issue affecting generation since 05/10.</t>
  </si>
  <si>
    <t>1. SR101462</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</si>
  <si>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</si>
  <si>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</si>
  <si>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</si>
  <si>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</si>
  <si>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</si>
  <si>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</si>
  <si>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</si>
  <si>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</si>
  <si>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</si>
  <si>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</si>
  <si>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</si>
  <si>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</si>
  <si>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</si>
  <si>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</si>
  <si>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</si>
  <si>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True Green Capital Management LLC</t>
  </si>
  <si>
    <t>Site DAS Name</t>
  </si>
  <si>
    <t>Update</t>
  </si>
  <si>
    <t>DAS</t>
  </si>
  <si>
    <t>Fund IV - WestSide Solar MN</t>
  </si>
  <si>
    <t>Rochester - 5516 Valleyhigh NW</t>
  </si>
  <si>
    <t>MN</t>
  </si>
  <si>
    <t>AEF</t>
  </si>
  <si>
    <t>Powertrack</t>
  </si>
  <si>
    <t>Fund IV - Hemings</t>
  </si>
  <si>
    <t>Warsaw - Hemings</t>
  </si>
  <si>
    <t>VA</t>
  </si>
  <si>
    <t>Fund IV - Randolf</t>
  </si>
  <si>
    <t>Mount Jackson - Randolf</t>
  </si>
  <si>
    <t>Fund IV -  Monroe Solar</t>
  </si>
  <si>
    <t>Callands Gretna - Monroe</t>
  </si>
  <si>
    <t>Fund IV - Smallmouth Bass</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</si>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</sst>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75">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3" fillId="0" borderId="0" xfId="0" applyFont="1"/>
    <xf numFmtId="164" fontId="28" fillId="44" borderId="0" xfId="1" applyNumberFormat="1" applyFont="1" applyFill="1" applyAlignment="1">
      <alignment horizontal="center" vertical="center"/>
    </xf>
    <xf numFmtId="3" fontId="30" fillId="4" borderId="0" xfId="1" applyNumberFormat="1" applyFont="1" applyFill="1" applyBorder="1" applyAlignment="1">
      <alignment vertical="center" wrapText="1"/>
    </xf>
    <xf numFmtId="49" fontId="28"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Fill="1" applyBorder="1" applyAlignment="1">
      <alignment vertical="center" wrapText="1"/>
    </xf>
    <xf numFmtId="49" fontId="28" fillId="0" borderId="0" xfId="0" applyNumberFormat="1" applyFont="1" applyAlignment="1">
      <alignment vertical="top" wrapText="1"/>
    </xf>
    <xf numFmtId="9" fontId="30" fillId="37" borderId="0" xfId="2" applyFont="1" applyFill="1" applyAlignment="1">
      <alignment horizontal="center" vertical="center"/>
    </xf>
    <xf numFmtId="3" fontId="30" fillId="0" borderId="0" xfId="1" applyNumberFormat="1" applyFont="1" applyAlignment="1">
      <alignment vertical="center"/>
    </xf>
    <xf numFmtId="0" fontId="6" fillId="45" borderId="1" xfId="0" applyFont="1" applyFill="1" applyBorder="1" applyAlignment="1">
      <alignment horizontal="left" vertical="top"/>
    </xf>
    <xf numFmtId="49" fontId="38" fillId="38" borderId="0" xfId="45" applyNumberFormat="1" applyFill="1" applyBorder="1" applyAlignment="1">
      <alignment horizontal="left" vertical="top" wrapText="1"/>
    </xf>
    <xf numFmtId="49" fontId="38" fillId="0" borderId="0" xfId="45" applyNumberFormat="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0" fontId="35" fillId="0" borderId="0" xfId="0" applyFont="1" applyAlignment="1">
      <alignment horizontal="center" vertical="center"/>
    </xf>
    <xf numFmtId="0" fontId="38" fillId="0" borderId="0" xfId="45"/>
    <xf numFmtId="49" fontId="38" fillId="38" borderId="0" xfId="45" applyNumberFormat="1" applyFill="1" applyBorder="1" applyAlignment="1">
      <alignment vertical="top" wrapText="1"/>
    </xf>
    <xf numFmtId="49" fontId="38" fillId="38" borderId="0" xfId="45" applyNumberFormat="1" applyFill="1" applyAlignment="1">
      <alignment horizontal="left" vertical="top" wrapText="1"/>
    </xf>
    <xf numFmtId="49" fontId="1" fillId="0" borderId="0" xfId="0" applyNumberFormat="1" applyFont="1" applyAlignment="1">
      <alignment horizontal="left" vertical="top" wrapText="1"/>
    </xf>
    <xf numFmtId="49" fontId="36" fillId="38" borderId="0" xfId="2" applyNumberFormat="1" applyFont="1" applyFill="1" applyAlignment="1">
      <alignment horizontal="left" vertical="top" wrapText="1"/>
    </xf>
    <xf numFmtId="49" fontId="1" fillId="0" borderId="0" xfId="0" applyNumberFormat="1" applyFont="1" applyAlignment="1">
      <alignment horizontal="left" vertical="center" wrapText="1"/>
    </xf>
    <xf numFmtId="49" fontId="38" fillId="0" borderId="0" xfId="45" applyNumberFormat="1" applyAlignment="1">
      <alignment horizontal="left" vertical="center" wrapText="1"/>
    </xf>
    <xf numFmtId="3" fontId="30" fillId="4" borderId="0" xfId="1" applyNumberFormat="1" applyFont="1" applyFill="1" applyAlignment="1">
      <alignment vertical="center"/>
    </xf>
    <xf numFmtId="0" fontId="35" fillId="0" borderId="0" xfId="0" applyFont="1" applyAlignment="1">
      <alignment vertical="center"/>
    </xf>
    <xf numFmtId="0" fontId="35" fillId="0" borderId="0" xfId="0" applyFont="1" applyAlignment="1">
      <alignment horizontal="right" vertical="center"/>
    </xf>
    <xf numFmtId="0" fontId="38" fillId="0" borderId="0" xfId="45" applyAlignment="1">
      <alignment vertical="top"/>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 totalsRowShown="0">
  <autoFilter ref="A3:E8" xr:uid="{C9C95D9E-67ED-41E0-9F41-9C3DA4ACF4CD}"/>
  <sortState xmlns:xlrd2="http://schemas.microsoft.com/office/spreadsheetml/2017/richdata2" ref="A3:D4">
    <sortCondition ref="C3"/>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5130" TargetMode="External"/><Relationship Id="rId2" Type="http://schemas.openxmlformats.org/officeDocument/2006/relationships/hyperlink" Target="https://us3.assetplanner.com/service_request?ID=096181" TargetMode="External"/><Relationship Id="rId1" Type="http://schemas.openxmlformats.org/officeDocument/2006/relationships/hyperlink" Target="https://us3.assetplanner.com/service_request?ID=094033" TargetMode="External"/><Relationship Id="rId6" Type="http://schemas.openxmlformats.org/officeDocument/2006/relationships/printerSettings" Target="../printerSettings/printerSettings3.bin"/><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127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074" TargetMode="External"/><Relationship Id="rId2" Type="http://schemas.openxmlformats.org/officeDocument/2006/relationships/hyperlink" Target="https://us3.assetplanner.com/service_request?ID=097728" TargetMode="External"/><Relationship Id="rId1" Type="http://schemas.openxmlformats.org/officeDocument/2006/relationships/hyperlink" Target="https://us3.assetplanner.com/service_request?ID=096391" TargetMode="External"/><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790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28" TargetMode="External"/><Relationship Id="rId13" Type="http://schemas.openxmlformats.org/officeDocument/2006/relationships/hyperlink" Target="https://us3.assetplanner.com/service_request?ID=098925" TargetMode="External"/><Relationship Id="rId18" Type="http://schemas.openxmlformats.org/officeDocument/2006/relationships/hyperlink" Target="https://us3.assetplanner.com/service_request?ID=097305" TargetMode="External"/><Relationship Id="rId3" Type="http://schemas.openxmlformats.org/officeDocument/2006/relationships/hyperlink" Target="https://us3.assetplanner.com/service_request?ID=099222" TargetMode="External"/><Relationship Id="rId7" Type="http://schemas.openxmlformats.org/officeDocument/2006/relationships/hyperlink" Target="https://us3.assetplanner.com/service_request?ID=099224" TargetMode="External"/><Relationship Id="rId12" Type="http://schemas.openxmlformats.org/officeDocument/2006/relationships/hyperlink" Target="https://us3.assetplanner.com/service_request?ID=098302" TargetMode="External"/><Relationship Id="rId17" Type="http://schemas.openxmlformats.org/officeDocument/2006/relationships/hyperlink" Target="https://us3.assetplanner.com/service_request?ID=099420" TargetMode="External"/><Relationship Id="rId2" Type="http://schemas.openxmlformats.org/officeDocument/2006/relationships/hyperlink" Target="https://us3.assetplanner.com/service_request?ID=099220" TargetMode="External"/><Relationship Id="rId16"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8364" TargetMode="External"/><Relationship Id="rId6" Type="http://schemas.openxmlformats.org/officeDocument/2006/relationships/hyperlink" Target="https://us3.assetplanner.com/service_request?ID=095849" TargetMode="External"/><Relationship Id="rId11" Type="http://schemas.openxmlformats.org/officeDocument/2006/relationships/hyperlink" Target="https://us3.assetplanner.com/service_request?ID=098568" TargetMode="External"/><Relationship Id="rId5" Type="http://schemas.openxmlformats.org/officeDocument/2006/relationships/hyperlink" Target="https://us3.assetplanner.com/service_request?ID=099221" TargetMode="External"/><Relationship Id="rId15" Type="http://schemas.openxmlformats.org/officeDocument/2006/relationships/hyperlink" Target="https://us3.assetplanner.com/service_request?ID=097757" TargetMode="External"/><Relationship Id="rId10" Type="http://schemas.openxmlformats.org/officeDocument/2006/relationships/hyperlink" Target="https://us3.assetplanner.com/service_request?ID=096181" TargetMode="External"/><Relationship Id="rId19" Type="http://schemas.openxmlformats.org/officeDocument/2006/relationships/hyperlink" Target="https://us3.assetplanner.com/service_request?ID=098700"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14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224" TargetMode="External"/><Relationship Id="rId13" Type="http://schemas.openxmlformats.org/officeDocument/2006/relationships/hyperlink" Target="https://us3.assetplanner.com/service_request?ID=099141" TargetMode="External"/><Relationship Id="rId18" Type="http://schemas.openxmlformats.org/officeDocument/2006/relationships/hyperlink" Target="https://us3.assetplanner.com/service_request?ID=100673" TargetMode="External"/><Relationship Id="rId26" Type="http://schemas.openxmlformats.org/officeDocument/2006/relationships/hyperlink" Target="https://us3.assetplanner.com/service_request?ID=100221" TargetMode="External"/><Relationship Id="rId3" Type="http://schemas.openxmlformats.org/officeDocument/2006/relationships/hyperlink" Target="https://us3.assetplanner.com/service_request?ID=099222" TargetMode="External"/><Relationship Id="rId21" Type="http://schemas.openxmlformats.org/officeDocument/2006/relationships/hyperlink" Target="https://us3.assetplanner.com/service_request?ID=099419" TargetMode="External"/><Relationship Id="rId7" Type="http://schemas.openxmlformats.org/officeDocument/2006/relationships/hyperlink" Target="https://us3.assetplanner.com/service_request?ID=099913" TargetMode="External"/><Relationship Id="rId12" Type="http://schemas.openxmlformats.org/officeDocument/2006/relationships/hyperlink" Target="https://us3.assetplanner.com/service_request?ID=098376" TargetMode="External"/><Relationship Id="rId17" Type="http://schemas.openxmlformats.org/officeDocument/2006/relationships/hyperlink" Target="https://us3.assetplanner.com/service_request?ID=100473" TargetMode="External"/><Relationship Id="rId25" Type="http://schemas.openxmlformats.org/officeDocument/2006/relationships/hyperlink" Target="https://us3.assetplanner.com/service_request?ID=099878"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0473" TargetMode="External"/><Relationship Id="rId20" Type="http://schemas.openxmlformats.org/officeDocument/2006/relationships/hyperlink" Target="https://us3.assetplanner.com/service_request?ID=098567" TargetMode="External"/><Relationship Id="rId1" Type="http://schemas.openxmlformats.org/officeDocument/2006/relationships/hyperlink" Target="https://us3.assetplanner.com/service_request?ID=099220" TargetMode="External"/><Relationship Id="rId6" Type="http://schemas.openxmlformats.org/officeDocument/2006/relationships/hyperlink" Target="https://us3.assetplanner.com/service_request?ID=099835" TargetMode="External"/><Relationship Id="rId11" Type="http://schemas.openxmlformats.org/officeDocument/2006/relationships/hyperlink" Target="https://us3.assetplanner.com/service_request?ID=098568" TargetMode="External"/><Relationship Id="rId24" Type="http://schemas.openxmlformats.org/officeDocument/2006/relationships/hyperlink" Target="https://us3.assetplanner.com/service_request?ID=098700" TargetMode="External"/><Relationship Id="rId5" Type="http://schemas.openxmlformats.org/officeDocument/2006/relationships/hyperlink" Target="https://us3.assetplanner.com/service_request?ID=099759" TargetMode="External"/><Relationship Id="rId15" Type="http://schemas.openxmlformats.org/officeDocument/2006/relationships/hyperlink" Target="https://us3.assetplanner.com/service_request?ID=100087" TargetMode="External"/><Relationship Id="rId23" Type="http://schemas.openxmlformats.org/officeDocument/2006/relationships/hyperlink" Target="https://us3.assetplanner.com/service_request?ID=097305" TargetMode="External"/><Relationship Id="rId10" Type="http://schemas.openxmlformats.org/officeDocument/2006/relationships/hyperlink" Target="https://us3.assetplanner.com/service_request?ID=099625" TargetMode="External"/><Relationship Id="rId19" Type="http://schemas.openxmlformats.org/officeDocument/2006/relationships/hyperlink" Target="https://us3.assetplanner.com/service_request?ID=098566"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914" TargetMode="External"/><Relationship Id="rId22" Type="http://schemas.openxmlformats.org/officeDocument/2006/relationships/hyperlink" Target="https://us3.assetplanner.com/service_request?ID=099420" TargetMode="External"/><Relationship Id="rId27" Type="http://schemas.openxmlformats.org/officeDocument/2006/relationships/hyperlink" Target="https://us3.assetplanner.com/service_request?ID=100415"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0087" TargetMode="External"/><Relationship Id="rId2" Type="http://schemas.openxmlformats.org/officeDocument/2006/relationships/hyperlink" Target="https://us3.assetplanner.com/service_request?ID=102509" TargetMode="External"/><Relationship Id="rId1" Type="http://schemas.openxmlformats.org/officeDocument/2006/relationships/hyperlink" Target="https://us3.assetplanner.com/service_request?ID=100960" TargetMode="External"/><Relationship Id="rId5" Type="http://schemas.openxmlformats.org/officeDocument/2006/relationships/hyperlink" Target="https://us3.assetplanner.com/service_request?ID=101462" TargetMode="External"/><Relationship Id="rId4" Type="http://schemas.openxmlformats.org/officeDocument/2006/relationships/hyperlink" Target="https://us3.assetplanner.com/service_request?ID=09942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xSplit="2" ySplit="3" topLeftCell="C4" activePane="bottomRight" state="frozen"/>
      <selection pane="bottomRight" activeCell="G23" sqref="G23"/>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True Green Capital Management LLC</v>
      </c>
      <c r="B1" s="72"/>
      <c r="C1" s="72"/>
      <c r="D1" s="73" t="s">
        <v>0</v>
      </c>
      <c r="E1" s="73"/>
      <c r="F1" s="73"/>
      <c r="G1" s="71" t="s">
        <v>1</v>
      </c>
      <c r="H1" s="71"/>
      <c r="I1" s="71"/>
    </row>
    <row r="2" spans="1:9" ht="19.5" customHeight="1">
      <c r="A2" s="74" t="s">
        <v>2</v>
      </c>
      <c r="B2" s="74"/>
      <c r="C2" s="5">
        <f>SUM(C4:C86)</f>
        <v>16141914.003231175</v>
      </c>
      <c r="D2" s="5">
        <f>SUM(D4:D86)</f>
        <v>15033381.189999999</v>
      </c>
      <c r="E2" s="5">
        <f>C2-D2</f>
        <v>1108532.8132311758</v>
      </c>
      <c r="F2" s="6">
        <f>IFERROR(E2/D2, 0)</f>
        <v>7.3738089869533591E-2</v>
      </c>
      <c r="G2" s="5">
        <f>SUM(G4:G86)</f>
        <v>18043302.199999999</v>
      </c>
      <c r="H2" s="7">
        <f>C2-G2</f>
        <v>-1901388.196768824</v>
      </c>
      <c r="I2" s="6">
        <f>IFERROR(H2/G2, 0)</f>
        <v>-0.10537916927250846</v>
      </c>
    </row>
    <row r="3" spans="1:9" ht="14.25" customHeight="1">
      <c r="A3" s="8" t="s">
        <v>3</v>
      </c>
      <c r="B3" s="8" t="s">
        <v>4</v>
      </c>
      <c r="C3" s="23" t="s">
        <v>5</v>
      </c>
      <c r="D3" s="34" t="s">
        <v>6</v>
      </c>
      <c r="E3" s="34" t="s">
        <v>7</v>
      </c>
      <c r="F3" s="35" t="s">
        <v>8</v>
      </c>
      <c r="G3" s="36" t="s">
        <v>9</v>
      </c>
      <c r="H3" s="37" t="s">
        <v>7</v>
      </c>
      <c r="I3" s="38" t="s">
        <v>8</v>
      </c>
    </row>
    <row r="4" spans="1:9" ht="15.75">
      <c r="A4" s="12" t="str" cm="1">
        <f t="array" ref="A4:A8">Sites[Site]</f>
        <v>Rochester - 5516 Valleyhigh NW</v>
      </c>
      <c r="B4" s="9" t="str" cm="1">
        <f t="array" ref="B4:B8">Sites[State]</f>
        <v>MN</v>
      </c>
      <c r="C4" s="24">
        <f>SUM('1st Qtr'!C4, '2nd Qtr'!C4, '3rd Qtr'!C4, '4th Qtr'!C4)</f>
        <v>7718415</v>
      </c>
      <c r="D4" s="13">
        <f>SUM('1st Qtr'!D4, '2nd Qtr'!D4, '3rd Qtr'!D4, '4th Qtr'!D4)</f>
        <v>8310660.5999999996</v>
      </c>
      <c r="E4" s="13">
        <f>IF(AND(ISNUMBER(C4),ISNUMBER(D4)), C4-D4, "")</f>
        <v>-592245.59999999963</v>
      </c>
      <c r="F4" s="14">
        <f>IFERROR(E4/D4, "")</f>
        <v>-7.12633602195233E-2</v>
      </c>
      <c r="G4" s="15">
        <f>SUM('1st Qtr'!G4, '2nd Qtr'!G4, '3rd Qtr'!G4, '4th Qtr'!G4)</f>
        <v>8300452.5999999996</v>
      </c>
      <c r="H4" s="15">
        <f>SUM('1st Qtr'!H4, '2nd Qtr'!H4, '3rd Qtr'!H4, '4th Qtr'!H4)</f>
        <v>-582037.6</v>
      </c>
      <c r="I4" s="52">
        <f>IFERROR(H4/G4, "")</f>
        <v>-7.012118833134473E-2</v>
      </c>
    </row>
    <row r="5" spans="1:9" ht="15.75">
      <c r="A5" s="17" t="str">
        <v>Warsaw - Hemings</v>
      </c>
      <c r="B5" s="10" t="str">
        <v>VA</v>
      </c>
      <c r="C5" s="18">
        <f>SUM('1st Qtr'!C5, '2nd Qtr'!C5, '3rd Qtr'!C5, '4th Qtr'!C5)</f>
        <v>4051425.3</v>
      </c>
      <c r="D5" s="18">
        <f>SUM('1st Qtr'!D5, '2nd Qtr'!D5, '3rd Qtr'!D5, '4th Qtr'!D5)</f>
        <v>3710904.6</v>
      </c>
      <c r="E5" s="18">
        <f t="shared" ref="E5:E6" si="0">IF(AND(ISNUMBER(C5),ISNUMBER(D5)), C5-D5, "")</f>
        <v>340520.69999999972</v>
      </c>
      <c r="F5" s="19">
        <f>IFERROR(E5/D5, "")</f>
        <v>9.1762181113467511E-2</v>
      </c>
      <c r="G5" s="20">
        <f>SUM('1st Qtr'!G5, '2nd Qtr'!G5, '3rd Qtr'!G5, '4th Qtr'!G5)</f>
        <v>4327830</v>
      </c>
      <c r="H5" s="53">
        <f>SUM('1st Qtr'!H5, '2nd Qtr'!H5, '3rd Qtr'!H5, '4th Qtr'!H5)</f>
        <v>-276404.70000000007</v>
      </c>
      <c r="I5" s="19">
        <f>IFERROR(H5/G5, "")</f>
        <v>-6.3866810849779229E-2</v>
      </c>
    </row>
    <row r="6" spans="1:9" ht="15.75">
      <c r="A6" s="12" t="str">
        <v>Mount Jackson - Randolf</v>
      </c>
      <c r="B6" s="9" t="str">
        <v>VA</v>
      </c>
      <c r="C6" s="24">
        <f>SUM('1st Qtr'!C6, '2nd Qtr'!C6, '3rd Qtr'!C6, '4th Qtr'!C6)</f>
        <v>2263046.203231175</v>
      </c>
      <c r="D6" s="13">
        <f>SUM('1st Qtr'!D6, '2nd Qtr'!D6, '3rd Qtr'!D6, '4th Qtr'!D6)</f>
        <v>2383235.5</v>
      </c>
      <c r="E6" s="13">
        <f t="shared" si="0"/>
        <v>-120189.29676882504</v>
      </c>
      <c r="F6" s="14">
        <f t="shared" ref="F6:F8" si="1">IFERROR(E6/D6, "")</f>
        <v>-5.0431145712970887E-2</v>
      </c>
      <c r="G6" s="15">
        <f>SUM('1st Qtr'!G6, '2nd Qtr'!G6, '3rd Qtr'!G6, '4th Qtr'!G6)</f>
        <v>2884035.5</v>
      </c>
      <c r="H6" s="15">
        <f>SUM('1st Qtr'!H6, '2nd Qtr'!H6, '3rd Qtr'!H6, '4th Qtr'!H6)</f>
        <v>-620989.29676882504</v>
      </c>
      <c r="I6" s="16">
        <f t="shared" ref="I6:I8" si="2">IFERROR(H6/G6, "")</f>
        <v>-0.21531957452286044</v>
      </c>
    </row>
    <row r="7" spans="1:9" ht="15.75">
      <c r="A7" s="17" t="str">
        <v>Callands Gretna - Monroe</v>
      </c>
      <c r="B7" s="10" t="str">
        <v>VA</v>
      </c>
      <c r="C7" s="18">
        <f>SUM('1st Qtr'!C7, '2nd Qtr'!C7, '3rd Qtr'!C7, '4th Qtr'!C7)</f>
        <v>1901817</v>
      </c>
      <c r="D7" s="18">
        <f>SUM('1st Qtr'!D7, '2nd Qtr'!D7, '3rd Qtr'!D7, '4th Qtr'!D7)</f>
        <v>628580.49</v>
      </c>
      <c r="E7" s="18">
        <f t="shared" ref="E7:E8" si="3">IF(AND(ISNUMBER(C7),ISNUMBER(D7)), C7-D7, "")</f>
        <v>1273236.51</v>
      </c>
      <c r="F7" s="19">
        <f t="shared" si="1"/>
        <v>2.025574338140848</v>
      </c>
      <c r="G7" s="20">
        <f>SUM('1st Qtr'!G7, '2nd Qtr'!G7, '3rd Qtr'!G7, '4th Qtr'!G7)</f>
        <v>1993299.0999999999</v>
      </c>
      <c r="H7" s="20">
        <f>SUM('1st Qtr'!H7, '2nd Qtr'!H7, '3rd Qtr'!H7, '4th Qtr'!H7)</f>
        <v>-91482.099999999977</v>
      </c>
      <c r="I7" s="19">
        <f t="shared" si="2"/>
        <v>-4.5894818293952963E-2</v>
      </c>
    </row>
    <row r="8" spans="1:9" ht="15.75">
      <c r="A8" s="12" t="str">
        <v>Rockbridge Baths - Small Mouth Bass</v>
      </c>
      <c r="B8" s="9" t="str">
        <v>VA</v>
      </c>
      <c r="C8" s="24">
        <f>SUM('1st Qtr'!C8, '2nd Qtr'!C8, '3rd Qtr'!C8, '4th Qtr'!C8)</f>
        <v>207210.5</v>
      </c>
      <c r="D8" s="13">
        <f>SUM('1st Qtr'!D8, '2nd Qtr'!D8, '3rd Qtr'!D8, '4th Qtr'!D8)</f>
        <v>0</v>
      </c>
      <c r="E8" s="13">
        <f t="shared" si="3"/>
        <v>207210.5</v>
      </c>
      <c r="F8" s="14" t="str">
        <f t="shared" si="1"/>
        <v/>
      </c>
      <c r="G8" s="15">
        <f>SUM('1st Qtr'!G8, '2nd Qtr'!G8, '3rd Qtr'!G8, '4th Qtr'!G8)</f>
        <v>537685</v>
      </c>
      <c r="H8" s="15">
        <f>SUM('1st Qtr'!H8, '2nd Qtr'!H8, '3rd Qtr'!H8, '4th Qtr'!H8)</f>
        <v>-330474.5</v>
      </c>
      <c r="I8" s="16">
        <f t="shared" si="2"/>
        <v>-0.61462473381254823</v>
      </c>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1"/>
      <c r="G13" s="21"/>
      <c r="H13" s="21"/>
      <c r="I13" s="21"/>
    </row>
    <row r="14" spans="1:9" ht="13.15">
      <c r="A14" s="21"/>
      <c r="B14" s="21"/>
      <c r="C14" s="21"/>
      <c r="D14" s="21"/>
      <c r="E14" s="21"/>
      <c r="F14" s="21"/>
      <c r="G14" s="21"/>
      <c r="H14" s="21"/>
      <c r="I14" s="21"/>
    </row>
    <row r="15" spans="1:9" ht="13.15">
      <c r="A15" s="21"/>
      <c r="B15" s="21"/>
      <c r="C15" s="21"/>
      <c r="D15" s="21"/>
      <c r="E15" s="21"/>
      <c r="F15" s="21"/>
      <c r="G15" s="21"/>
      <c r="H15" s="21"/>
      <c r="I15" s="21"/>
    </row>
    <row r="16" spans="1:9" ht="13.15">
      <c r="A16" s="21"/>
      <c r="B16" s="21"/>
      <c r="C16" s="21"/>
      <c r="D16" s="21"/>
      <c r="E16" s="21"/>
      <c r="F16" s="21"/>
      <c r="G16" s="21"/>
      <c r="H16" s="21"/>
      <c r="I16" s="21"/>
    </row>
    <row r="17" spans="1:9" ht="13.15">
      <c r="A17" s="21"/>
      <c r="B17" s="21"/>
      <c r="C17" s="21"/>
      <c r="D17" s="21"/>
      <c r="E17" s="21"/>
      <c r="F17" s="21"/>
      <c r="G17" s="21"/>
      <c r="H17" s="21"/>
      <c r="I17" s="21"/>
    </row>
    <row r="18" spans="1:9" ht="13.15">
      <c r="A18" s="21"/>
      <c r="B18" s="21"/>
      <c r="C18" s="21"/>
      <c r="D18" s="21"/>
      <c r="E18" s="21"/>
      <c r="F18" s="21"/>
      <c r="G18" s="21"/>
      <c r="H18" s="21"/>
      <c r="I18" s="21"/>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sheetData>
  <autoFilter ref="A2:I2" xr:uid="{D5C25034-9971-4A61-864F-C938F31EB1B8}"/>
  <mergeCells count="4">
    <mergeCell ref="G1:I1"/>
    <mergeCell ref="A1:C1"/>
    <mergeCell ref="D1:F1"/>
    <mergeCell ref="A2:B2"/>
  </mergeCells>
  <conditionalFormatting sqref="F2 I2 F4:F86 I4:I86">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xSplit="2" ySplit="3" topLeftCell="C4" activePane="bottomRight" state="frozen"/>
      <selection pane="bottomRight" activeCell="D6" sqref="D6"/>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True Green Capital Management LLC</v>
      </c>
      <c r="B1" s="72"/>
      <c r="C1" s="72"/>
      <c r="D1" s="73" t="s">
        <v>10</v>
      </c>
      <c r="E1" s="73"/>
      <c r="F1" s="73"/>
      <c r="G1" s="71" t="s">
        <v>11</v>
      </c>
      <c r="H1" s="71"/>
      <c r="I1" s="71"/>
    </row>
    <row r="2" spans="1:9" ht="19.5" customHeight="1">
      <c r="A2" s="74" t="s">
        <v>2</v>
      </c>
      <c r="B2" s="74"/>
      <c r="C2" s="5">
        <f>SUM(C4:C86)</f>
        <v>7849609.1976322765</v>
      </c>
      <c r="D2" s="5">
        <f>SUM(D4:D86)</f>
        <v>7880724.5899999999</v>
      </c>
      <c r="E2" s="5">
        <f>C2-D2</f>
        <v>-31115.392367723398</v>
      </c>
      <c r="F2" s="6">
        <f>IFERROR(E2/D2, 0)</f>
        <v>-3.9482907964080239E-3</v>
      </c>
      <c r="G2" s="5">
        <f>SUM(G4:G86)</f>
        <v>8287872.7999999998</v>
      </c>
      <c r="H2" s="7">
        <f>C2-G2</f>
        <v>-438263.60236772336</v>
      </c>
      <c r="I2" s="6">
        <f>IFERROR(H2/G2, 0)</f>
        <v>-5.2880107229411555E-2</v>
      </c>
    </row>
    <row r="3" spans="1:9" ht="14.25" customHeight="1">
      <c r="A3" s="8" t="s">
        <v>3</v>
      </c>
      <c r="B3" s="8" t="s">
        <v>4</v>
      </c>
      <c r="C3" s="23" t="s">
        <v>5</v>
      </c>
      <c r="D3" s="34" t="s">
        <v>6</v>
      </c>
      <c r="E3" s="34" t="s">
        <v>7</v>
      </c>
      <c r="F3" s="35" t="s">
        <v>8</v>
      </c>
      <c r="G3" s="36" t="s">
        <v>9</v>
      </c>
      <c r="H3" s="37" t="s">
        <v>7</v>
      </c>
      <c r="I3" s="38" t="s">
        <v>8</v>
      </c>
    </row>
    <row r="4" spans="1:9" ht="15.75">
      <c r="A4" s="12" t="str" cm="1">
        <f t="array" ref="A4:A8">Sites[Site]</f>
        <v>Rochester - 5516 Valleyhigh NW</v>
      </c>
      <c r="B4" s="9" t="str" cm="1">
        <f t="array" ref="B4:B8">Sites[State]</f>
        <v>MN</v>
      </c>
      <c r="C4" s="24">
        <f>SUM(Jan!C4, Feb!C4, Mar!C4)</f>
        <v>3600100</v>
      </c>
      <c r="D4" s="13">
        <f>SUM(Jan!D4, Feb!D4, Mar!D4)</f>
        <v>3879318.6</v>
      </c>
      <c r="E4" s="13">
        <f>IF(AND(ISNUMBER(C4),ISNUMBER(D4)), C4-D4, "")</f>
        <v>-279218.60000000009</v>
      </c>
      <c r="F4" s="14">
        <f>IFERROR(E4/D4, "")</f>
        <v>-7.1976197056874913E-2</v>
      </c>
      <c r="G4" s="15">
        <f>SUM(Jan!G4, Feb!G4, Mar!G4)</f>
        <v>3751976.6</v>
      </c>
      <c r="H4" s="15">
        <f>SUM(Jan!H4, Feb!H4, Mar!H4)</f>
        <v>-151876.59999999998</v>
      </c>
      <c r="I4" s="16">
        <f>IFERROR(H4/G4, "")</f>
        <v>-4.047909040797322E-2</v>
      </c>
    </row>
    <row r="5" spans="1:9" ht="15.75">
      <c r="A5" s="17" t="str">
        <v>Warsaw - Hemings</v>
      </c>
      <c r="B5" s="10" t="str">
        <v>VA</v>
      </c>
      <c r="C5" s="11">
        <f>SUM(Jan!C5, Feb!C5, Mar!C5)</f>
        <v>2066881.5999999999</v>
      </c>
      <c r="D5" s="18">
        <f>SUM(Jan!D5, Feb!D5, Mar!D5)</f>
        <v>2273767</v>
      </c>
      <c r="E5" s="18">
        <f t="shared" ref="E5:E6" si="0">IF(AND(ISNUMBER(C5),ISNUMBER(D5)), C5-D5, "")</f>
        <v>-206885.40000000014</v>
      </c>
      <c r="F5" s="19">
        <f>IFERROR(E5/D5, "")</f>
        <v>-9.098795083225332E-2</v>
      </c>
      <c r="G5" s="20">
        <f>SUM(Jan!G5, Feb!G5, Mar!G5)</f>
        <v>2102775</v>
      </c>
      <c r="H5" s="15">
        <f>SUM(Jan!H5, Feb!H5, Mar!H5)</f>
        <v>-35893.400000000023</v>
      </c>
      <c r="I5" s="19">
        <f>IFERROR(H5/G5, "")</f>
        <v>-1.7069539061478296E-2</v>
      </c>
    </row>
    <row r="6" spans="1:9" ht="15.75">
      <c r="A6" s="12" t="str">
        <v>Mount Jackson - Randolf</v>
      </c>
      <c r="B6" s="9" t="str">
        <v>VA</v>
      </c>
      <c r="C6" s="24">
        <f>SUM(Jan!C6, Feb!C6, Mar!C6)</f>
        <v>1190682.5976322768</v>
      </c>
      <c r="D6" s="13">
        <f>SUM(Jan!D6, Feb!D6, Mar!D6)</f>
        <v>1219182.5</v>
      </c>
      <c r="E6" s="13">
        <f t="shared" si="0"/>
        <v>-28499.902367723174</v>
      </c>
      <c r="F6" s="14">
        <f t="shared" ref="F6:F8" si="1">IFERROR(E6/D6, "")</f>
        <v>-2.3376239707938045E-2</v>
      </c>
      <c r="G6" s="15">
        <f>SUM(Jan!G6, Feb!G6, Mar!G6)</f>
        <v>1427826.5</v>
      </c>
      <c r="H6" s="15">
        <f>SUM(Jan!H6, Feb!H6, Mar!H6)</f>
        <v>-237143.90236772309</v>
      </c>
      <c r="I6" s="16">
        <f t="shared" ref="I6:I8" si="2">IFERROR(H6/G6, "")</f>
        <v>-0.166087337899754</v>
      </c>
    </row>
    <row r="7" spans="1:9" ht="15.75">
      <c r="A7" s="17" t="str">
        <v>Callands Gretna - Monroe</v>
      </c>
      <c r="B7" s="10" t="str">
        <v>VA</v>
      </c>
      <c r="C7" s="11">
        <f>SUM(Jan!C7, Feb!C7, Mar!C7)</f>
        <v>991945</v>
      </c>
      <c r="D7" s="18">
        <f>SUM(Jan!D7, Feb!D7, Mar!D7)</f>
        <v>508456.49</v>
      </c>
      <c r="E7" s="18">
        <f t="shared" ref="E7:E8" si="3">IF(AND(ISNUMBER(C7),ISNUMBER(D7)), C7-D7, "")</f>
        <v>483488.51</v>
      </c>
      <c r="F7" s="19">
        <f t="shared" si="1"/>
        <v>0.9508945593358441</v>
      </c>
      <c r="G7" s="20">
        <f>SUM(Jan!G7, Feb!G7, Mar!G7)</f>
        <v>1005294.7</v>
      </c>
      <c r="H7" s="15">
        <f>SUM(Jan!H7, Feb!H7, Mar!H7)</f>
        <v>-13349.700000000012</v>
      </c>
      <c r="I7" s="19">
        <f t="shared" si="2"/>
        <v>-1.327938961580123E-2</v>
      </c>
    </row>
    <row r="8" spans="1:9" ht="15.75">
      <c r="A8" s="12" t="str">
        <v>Rockbridge Baths - Small Mouth Bass</v>
      </c>
      <c r="B8" s="9" t="str">
        <v>VA</v>
      </c>
      <c r="C8" s="24">
        <f>SUM(Jan!C8, Feb!C8, Mar!C8)</f>
        <v>0</v>
      </c>
      <c r="D8" s="13">
        <f>SUM(Jan!D8, Feb!D8, Mar!D8)</f>
        <v>0</v>
      </c>
      <c r="E8" s="13">
        <f t="shared" si="3"/>
        <v>0</v>
      </c>
      <c r="F8" s="14" t="str">
        <f t="shared" si="1"/>
        <v/>
      </c>
      <c r="G8" s="15">
        <f>SUM(Jan!G8, Feb!G8, Mar!G8)</f>
        <v>0</v>
      </c>
      <c r="H8" s="15">
        <f>SUM(Jan!H8, Feb!H8, Mar!H8)</f>
        <v>0</v>
      </c>
      <c r="I8" s="16" t="str">
        <f t="shared" si="2"/>
        <v/>
      </c>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1"/>
      <c r="G13" s="21"/>
      <c r="H13" s="21"/>
      <c r="I13" s="21"/>
    </row>
    <row r="14" spans="1:9" ht="13.15">
      <c r="A14" s="21"/>
      <c r="B14" s="21"/>
      <c r="C14" s="21"/>
      <c r="D14" s="21"/>
      <c r="E14" s="21"/>
      <c r="F14" s="21"/>
      <c r="G14" s="21"/>
      <c r="H14" s="21"/>
      <c r="I14" s="21"/>
    </row>
    <row r="15" spans="1:9" ht="13.15">
      <c r="A15" s="21"/>
      <c r="B15" s="21"/>
      <c r="C15" s="21"/>
      <c r="D15" s="21"/>
      <c r="E15" s="21"/>
      <c r="F15" s="21"/>
      <c r="G15" s="21"/>
      <c r="H15" s="21"/>
      <c r="I15" s="21"/>
    </row>
    <row r="16" spans="1:9" ht="13.15">
      <c r="A16" s="21"/>
      <c r="B16" s="21"/>
      <c r="C16" s="21"/>
      <c r="D16" s="21"/>
      <c r="E16" s="21"/>
      <c r="F16" s="21"/>
      <c r="G16" s="21"/>
      <c r="H16" s="21"/>
      <c r="I16" s="21"/>
    </row>
    <row r="17" spans="1:9" ht="13.15">
      <c r="A17" s="21"/>
      <c r="B17" s="21"/>
      <c r="C17" s="21"/>
      <c r="D17" s="21"/>
      <c r="E17" s="21"/>
      <c r="F17" s="21"/>
      <c r="G17" s="21"/>
      <c r="H17" s="21"/>
      <c r="I17" s="21"/>
    </row>
    <row r="18" spans="1:9" ht="13.15">
      <c r="A18" s="21"/>
      <c r="B18" s="21"/>
      <c r="C18" s="21"/>
      <c r="D18" s="21"/>
      <c r="E18" s="21"/>
      <c r="F18" s="21"/>
      <c r="G18" s="21"/>
      <c r="H18" s="21"/>
      <c r="I18" s="21"/>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44" priority="1" stopIfTrue="1" operator="lessThanOrEqual">
      <formula>-0.1</formula>
    </cfRule>
    <cfRule type="expression" dxfId="4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xSplit="2" ySplit="3" topLeftCell="C4" activePane="bottomRight" state="frozen"/>
      <selection pane="bottomRight" activeCell="H8" sqref="H8"/>
      <selection pane="bottomLeft" activeCell="D12" sqref="D12"/>
      <selection pane="topRight" activeCell="D12" sqref="D12"/>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True Green Capital Management LLC</v>
      </c>
      <c r="B1" s="72"/>
      <c r="C1" s="72"/>
      <c r="D1" s="73" t="s">
        <v>12</v>
      </c>
      <c r="E1" s="73"/>
      <c r="F1" s="73"/>
      <c r="G1" s="71" t="s">
        <v>13</v>
      </c>
      <c r="H1" s="71"/>
      <c r="I1" s="71"/>
    </row>
    <row r="2" spans="1:9" ht="19.5" customHeight="1">
      <c r="A2" s="74" t="s">
        <v>2</v>
      </c>
      <c r="B2" s="74"/>
      <c r="C2" s="5">
        <f>SUM(C4:C86)</f>
        <v>8292304.8055988979</v>
      </c>
      <c r="D2" s="5">
        <f>SUM(D4:D86)</f>
        <v>7152656.5999999996</v>
      </c>
      <c r="E2" s="5">
        <f>C2-D2</f>
        <v>1139648.2055988982</v>
      </c>
      <c r="F2" s="6">
        <f>IFERROR(E2/D2, 0)</f>
        <v>0.15933215717344773</v>
      </c>
      <c r="G2" s="5">
        <f>SUM(G4:G86)</f>
        <v>9755429.4000000004</v>
      </c>
      <c r="H2" s="7">
        <f>C2-G2</f>
        <v>-1463124.5944011025</v>
      </c>
      <c r="I2" s="6">
        <f>IFERROR(H2/G2, 0)</f>
        <v>-0.14998054256854162</v>
      </c>
    </row>
    <row r="3" spans="1:9" ht="14.25" customHeight="1">
      <c r="A3" s="8" t="s">
        <v>3</v>
      </c>
      <c r="B3" s="8" t="s">
        <v>4</v>
      </c>
      <c r="C3" s="23" t="s">
        <v>5</v>
      </c>
      <c r="D3" s="34" t="s">
        <v>6</v>
      </c>
      <c r="E3" s="34" t="s">
        <v>7</v>
      </c>
      <c r="F3" s="35" t="s">
        <v>8</v>
      </c>
      <c r="G3" s="36" t="s">
        <v>9</v>
      </c>
      <c r="H3" s="37" t="s">
        <v>7</v>
      </c>
      <c r="I3" s="38" t="s">
        <v>8</v>
      </c>
    </row>
    <row r="4" spans="1:9" ht="15.75">
      <c r="A4" s="12" t="str" cm="1">
        <f t="array" ref="A4:A8">Sites[Site]</f>
        <v>Rochester - 5516 Valleyhigh NW</v>
      </c>
      <c r="B4" s="9" t="str" cm="1">
        <f t="array" ref="B4:B8">Sites[State]</f>
        <v>MN</v>
      </c>
      <c r="C4" s="24">
        <f>SUM(Apr!C4, May!C4, Jun!C4)</f>
        <v>4118315</v>
      </c>
      <c r="D4" s="13">
        <f>SUM(Apr!D4,May!D4,Jun!D4)</f>
        <v>4431342</v>
      </c>
      <c r="E4" s="13">
        <f>IF(AND(ISNUMBER(C4),ISNUMBER(D4)), C4-D4, "")</f>
        <v>-313027</v>
      </c>
      <c r="F4" s="14">
        <f>IFERROR(E4/D4, "")</f>
        <v>-7.063932325692758E-2</v>
      </c>
      <c r="G4" s="15">
        <f>SUM(Apr!G4,May!G4,Jun!G4)</f>
        <v>4548476</v>
      </c>
      <c r="H4" s="15">
        <f>SUM(Apr!H4,May!H4,Jun!G4)</f>
        <v>-430161</v>
      </c>
      <c r="I4" s="16">
        <f>IFERROR(H4/G4, "")</f>
        <v>-9.4572555730754654E-2</v>
      </c>
    </row>
    <row r="5" spans="1:9" ht="15.75">
      <c r="A5" s="17" t="str">
        <v>Warsaw - Hemings</v>
      </c>
      <c r="B5" s="10" t="str">
        <v>VA</v>
      </c>
      <c r="C5" s="11">
        <f>SUM(Apr!C5, May!C5, Jun!C5)</f>
        <v>1984543.7</v>
      </c>
      <c r="D5" s="18">
        <f>SUM(Apr!D5,May!D5,Jun!D5)</f>
        <v>1437137.6</v>
      </c>
      <c r="E5" s="18">
        <f t="shared" ref="E5:E6" si="0">IF(AND(ISNUMBER(C5),ISNUMBER(D5)), C5-D5, "")</f>
        <v>547406.09999999986</v>
      </c>
      <c r="F5" s="19">
        <f>IFERROR(E5/D5, "")</f>
        <v>0.38090027009243921</v>
      </c>
      <c r="G5" s="20">
        <f>SUM(Apr!G5,May!G5,Jun!G5)</f>
        <v>2225055</v>
      </c>
      <c r="H5" s="20">
        <f>SUM(Apr!H5,May!H5,Jun!G5)</f>
        <v>-240511.30000000005</v>
      </c>
      <c r="I5" s="19">
        <f>IFERROR(H5/G5, "")</f>
        <v>-0.10809229434778019</v>
      </c>
    </row>
    <row r="6" spans="1:9" ht="15.75">
      <c r="A6" s="12" t="str">
        <v>Mount Jackson - Randolf</v>
      </c>
      <c r="B6" s="9" t="str">
        <v>VA</v>
      </c>
      <c r="C6" s="24">
        <f>SUM(Apr!C6, May!C6, Jun!C6)</f>
        <v>1072363.6055988981</v>
      </c>
      <c r="D6" s="13">
        <f>SUM(Apr!D6,May!D6,Jun!D6)</f>
        <v>1164053</v>
      </c>
      <c r="E6" s="13">
        <f t="shared" si="0"/>
        <v>-91689.394401101861</v>
      </c>
      <c r="F6" s="14">
        <f t="shared" ref="F6:F8" si="1">IFERROR(E6/D6, "")</f>
        <v>-7.8767370902443332E-2</v>
      </c>
      <c r="G6" s="15">
        <f>SUM(Apr!G6,May!G6,Jun!G6)</f>
        <v>1456209</v>
      </c>
      <c r="H6" s="15">
        <f>SUM(Apr!H6,May!H6,Jun!G6)</f>
        <v>-383845.39440110198</v>
      </c>
      <c r="I6" s="16">
        <f t="shared" ref="I6:I8" si="2">IFERROR(H6/G6, "")</f>
        <v>-0.26359224149905813</v>
      </c>
    </row>
    <row r="7" spans="1:9" ht="15.75">
      <c r="A7" s="17" t="str">
        <v>Callands Gretna - Monroe</v>
      </c>
      <c r="B7" s="10" t="str">
        <v>VA</v>
      </c>
      <c r="C7" s="11">
        <f>SUM(Apr!C7, May!C7, Jun!C7)</f>
        <v>909872</v>
      </c>
      <c r="D7" s="18">
        <f>SUM(Apr!D7,May!D7,Jun!D7)</f>
        <v>120124</v>
      </c>
      <c r="E7" s="18">
        <f t="shared" ref="E7:E8" si="3">IF(AND(ISNUMBER(C7),ISNUMBER(D7)), C7-D7, "")</f>
        <v>789748</v>
      </c>
      <c r="F7" s="19">
        <f t="shared" si="1"/>
        <v>6.5744397455962176</v>
      </c>
      <c r="G7" s="20">
        <f>SUM(Apr!G7,May!G7,Jun!G7)</f>
        <v>988004.39999999991</v>
      </c>
      <c r="H7" s="20">
        <f>SUM(Apr!H7,May!H7,Jun!G7)</f>
        <v>-78132.399999999965</v>
      </c>
      <c r="I7" s="19">
        <f t="shared" si="2"/>
        <v>-7.9081024335519126E-2</v>
      </c>
    </row>
    <row r="8" spans="1:9" ht="15.75">
      <c r="A8" s="12" t="str">
        <v>Rockbridge Baths - Small Mouth Bass</v>
      </c>
      <c r="B8" s="9" t="str">
        <v>VA</v>
      </c>
      <c r="C8" s="24">
        <f>SUM(Apr!C8, May!C8, Jun!C8)</f>
        <v>207210.5</v>
      </c>
      <c r="D8" s="13">
        <f>SUM(Apr!D8,May!D8,Jun!D8)</f>
        <v>0</v>
      </c>
      <c r="E8" s="13">
        <f t="shared" si="3"/>
        <v>207210.5</v>
      </c>
      <c r="F8" s="14" t="str">
        <f t="shared" si="1"/>
        <v/>
      </c>
      <c r="G8" s="15">
        <f>SUM(Apr!G8,May!G8,Jun!G8)</f>
        <v>537685</v>
      </c>
      <c r="H8" s="15">
        <f>SUM(Apr!H8,May!H8,Jun!G8)</f>
        <v>-330474.5</v>
      </c>
      <c r="I8" s="16">
        <f t="shared" si="2"/>
        <v>-0.61462473381254823</v>
      </c>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1"/>
      <c r="G13" s="21"/>
      <c r="H13" s="21"/>
      <c r="I13" s="21"/>
    </row>
    <row r="14" spans="1:9" ht="13.15">
      <c r="A14" s="21"/>
      <c r="B14" s="21"/>
      <c r="C14" s="21"/>
      <c r="D14" s="21"/>
      <c r="E14" s="21"/>
      <c r="F14" s="21"/>
      <c r="G14" s="21"/>
      <c r="H14" s="21"/>
      <c r="I14" s="21"/>
    </row>
    <row r="15" spans="1:9" ht="13.15">
      <c r="A15" s="21"/>
      <c r="B15" s="21"/>
      <c r="C15" s="21"/>
      <c r="D15" s="21"/>
      <c r="E15" s="21"/>
      <c r="F15" s="21"/>
      <c r="G15" s="21"/>
      <c r="H15" s="21"/>
      <c r="I15" s="21"/>
    </row>
    <row r="16" spans="1:9" ht="13.15">
      <c r="A16" s="21"/>
      <c r="B16" s="21"/>
      <c r="C16" s="21"/>
      <c r="D16" s="21"/>
      <c r="E16" s="21"/>
      <c r="F16" s="21"/>
      <c r="G16" s="21"/>
      <c r="H16" s="21"/>
      <c r="I16" s="21"/>
    </row>
    <row r="17" spans="1:9" ht="13.15">
      <c r="A17" s="21"/>
      <c r="B17" s="21"/>
      <c r="C17" s="21"/>
      <c r="D17" s="21"/>
      <c r="E17" s="21"/>
      <c r="F17" s="21"/>
      <c r="G17" s="21"/>
      <c r="H17" s="21"/>
      <c r="I17" s="21"/>
    </row>
    <row r="18" spans="1:9" ht="13.15">
      <c r="A18" s="21"/>
      <c r="B18" s="21"/>
      <c r="C18" s="21"/>
      <c r="D18" s="21"/>
      <c r="E18" s="21"/>
      <c r="F18" s="21"/>
      <c r="G18" s="21"/>
      <c r="H18" s="21"/>
      <c r="I18" s="21"/>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xSplit="2" ySplit="3" topLeftCell="D4" activePane="bottomRight" state="frozen"/>
      <selection pane="bottomRight" activeCell="D4" sqref="D4"/>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True Green Capital Management LLC</v>
      </c>
      <c r="B1" s="72"/>
      <c r="C1" s="72"/>
      <c r="D1" s="73" t="s">
        <v>14</v>
      </c>
      <c r="E1" s="73"/>
      <c r="F1" s="73"/>
      <c r="G1" s="71" t="s">
        <v>15</v>
      </c>
      <c r="H1" s="71"/>
      <c r="I1" s="71"/>
    </row>
    <row r="2" spans="1:9" ht="19.5" customHeight="1">
      <c r="A2" s="74" t="s">
        <v>2</v>
      </c>
      <c r="B2" s="74"/>
      <c r="C2" s="5">
        <f>SUM(C4:C86)</f>
        <v>0</v>
      </c>
      <c r="D2" s="5">
        <f>SUM(D4:D86)</f>
        <v>0</v>
      </c>
      <c r="E2" s="5">
        <f>C2-D2</f>
        <v>0</v>
      </c>
      <c r="F2" s="6">
        <f>IFERROR(E2/D2, 0)</f>
        <v>0</v>
      </c>
      <c r="G2" s="5">
        <f>SUM(G4:G86)</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75">
      <c r="A4" s="12" t="str" cm="1">
        <f t="array" ref="A4:A8">Sites[Site]</f>
        <v>Rochester - 5516 Valleyhigh NW</v>
      </c>
      <c r="B4" s="9" t="str" cm="1">
        <f t="array" ref="B4:B8">Sites[State]</f>
        <v>MN</v>
      </c>
      <c r="C4" s="24">
        <f>SUM(Jul!C4, Aug!C4, Sep!C4)</f>
        <v>0</v>
      </c>
      <c r="D4" s="13">
        <f>SUM(Jul!D4, Aug!D4, Sep!D4)</f>
        <v>0</v>
      </c>
      <c r="E4" s="13">
        <f>IF(AND(ISNUMBER(C4),ISNUMBER(D4)), C4-D4, "")</f>
        <v>0</v>
      </c>
      <c r="F4" s="14" t="str">
        <f>IFERROR(E4/D4, "")</f>
        <v/>
      </c>
      <c r="G4" s="15">
        <f>SUM(Jul!G4,Aug!G4,Sep!G4)</f>
        <v>0</v>
      </c>
      <c r="H4" s="15">
        <f>SUM(Jul!H4, Aug!H4, Sep!H4)</f>
        <v>0</v>
      </c>
      <c r="I4" s="16" t="str">
        <f>IFERROR(H4/G4, "")</f>
        <v/>
      </c>
    </row>
    <row r="5" spans="1:9" ht="15.75">
      <c r="A5" s="17" t="str">
        <v>Warsaw - Hemings</v>
      </c>
      <c r="B5" s="10" t="str">
        <v>VA</v>
      </c>
      <c r="C5" s="11">
        <f>SUM(Jul!C5, Aug!C5, Sep!C5)</f>
        <v>0</v>
      </c>
      <c r="D5" s="18">
        <f>SUM(Jul!D5, Aug!D5, Sep!D5)</f>
        <v>0</v>
      </c>
      <c r="E5" s="18">
        <f t="shared" ref="E5:E6" si="0">IF(AND(ISNUMBER(C5),ISNUMBER(D5)), C5-D5, "")</f>
        <v>0</v>
      </c>
      <c r="F5" s="19" t="str">
        <f>IFERROR(E5/D5, "")</f>
        <v/>
      </c>
      <c r="G5" s="53">
        <f>SUM(Jul!G5,Aug!G5,Sep!G5)</f>
        <v>0</v>
      </c>
      <c r="H5" s="20">
        <f>SUM(Jul!H5, Aug!H5, Sep!H5)</f>
        <v>0</v>
      </c>
      <c r="I5" s="19" t="str">
        <f>IFERROR(H5/G5, "")</f>
        <v/>
      </c>
    </row>
    <row r="6" spans="1:9" ht="15.75">
      <c r="A6" s="12" t="str">
        <v>Mount Jackson - Randolf</v>
      </c>
      <c r="B6" s="9" t="str">
        <v>VA</v>
      </c>
      <c r="C6" s="24">
        <f>SUM(Jul!C6, Aug!C6, Sep!C6)</f>
        <v>0</v>
      </c>
      <c r="D6" s="13">
        <f>SUM(Jul!D6, Aug!D6, Sep!D6)</f>
        <v>0</v>
      </c>
      <c r="E6" s="13">
        <f t="shared" si="0"/>
        <v>0</v>
      </c>
      <c r="F6" s="14" t="str">
        <f t="shared" ref="F6:F8" si="1">IFERROR(E6/D6, "")</f>
        <v/>
      </c>
      <c r="G6" s="15">
        <f>SUM(Jul!G6,Aug!G6,Sep!G6)</f>
        <v>0</v>
      </c>
      <c r="H6" s="15">
        <f>SUM(Jul!H6, Aug!H6, Sep!H6)</f>
        <v>0</v>
      </c>
      <c r="I6" s="16" t="str">
        <f t="shared" ref="I6:I8" si="2">IFERROR(H6/G6, "")</f>
        <v/>
      </c>
    </row>
    <row r="7" spans="1:9" ht="15.75">
      <c r="A7" s="17" t="str">
        <v>Callands Gretna - Monroe</v>
      </c>
      <c r="B7" s="10" t="str">
        <v>VA</v>
      </c>
      <c r="C7" s="11">
        <f>SUM(Jul!C7, Aug!C7, Sep!C7)</f>
        <v>0</v>
      </c>
      <c r="D7" s="18">
        <f>SUM(Jul!D7, Aug!D7, Sep!D7)</f>
        <v>0</v>
      </c>
      <c r="E7" s="18">
        <f t="shared" ref="E7:E8" si="3">IF(AND(ISNUMBER(C7),ISNUMBER(D7)), C7-D7, "")</f>
        <v>0</v>
      </c>
      <c r="F7" s="19" t="str">
        <f t="shared" si="1"/>
        <v/>
      </c>
      <c r="G7" s="53">
        <f>SUM(Jul!G7,Aug!G7,Sep!G7)</f>
        <v>0</v>
      </c>
      <c r="H7" s="20">
        <f>SUM(Jul!H7, Aug!H7, Sep!H7)</f>
        <v>0</v>
      </c>
      <c r="I7" s="19" t="str">
        <f t="shared" si="2"/>
        <v/>
      </c>
    </row>
    <row r="8" spans="1:9" ht="15.75">
      <c r="A8" s="12" t="str">
        <v>Rockbridge Baths - Small Mouth Bass</v>
      </c>
      <c r="B8" s="9" t="str">
        <v>VA</v>
      </c>
      <c r="C8" s="24">
        <f>SUM(Jul!C8, Aug!C8, Sep!C8)</f>
        <v>0</v>
      </c>
      <c r="D8" s="13">
        <f>SUM(Jul!D8, Aug!D8, Sep!D8)</f>
        <v>0</v>
      </c>
      <c r="E8" s="13">
        <f t="shared" si="3"/>
        <v>0</v>
      </c>
      <c r="F8" s="14" t="str">
        <f t="shared" si="1"/>
        <v/>
      </c>
      <c r="G8" s="15">
        <f>SUM(Jul!G8,Aug!G8,Sep!G8)</f>
        <v>0</v>
      </c>
      <c r="H8" s="15">
        <f>SUM(Jul!H8, Aug!H8, Sep!H8)</f>
        <v>0</v>
      </c>
      <c r="I8" s="16" t="str">
        <f t="shared" si="2"/>
        <v/>
      </c>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1"/>
      <c r="G13" s="21"/>
      <c r="H13" s="21"/>
      <c r="I13" s="21"/>
    </row>
    <row r="14" spans="1:9" ht="13.15">
      <c r="A14" s="21"/>
      <c r="B14" s="21"/>
      <c r="C14" s="21"/>
      <c r="D14" s="21"/>
      <c r="E14" s="21"/>
      <c r="F14" s="21"/>
      <c r="G14" s="21"/>
      <c r="H14" s="21"/>
      <c r="I14" s="21"/>
    </row>
    <row r="15" spans="1:9" ht="13.15">
      <c r="A15" s="21"/>
      <c r="B15" s="21"/>
      <c r="C15" s="21"/>
      <c r="D15" s="21"/>
      <c r="E15" s="21"/>
      <c r="F15" s="21"/>
      <c r="G15" s="21"/>
      <c r="H15" s="21"/>
      <c r="I15" s="21"/>
    </row>
    <row r="16" spans="1:9" ht="13.15">
      <c r="A16" s="21"/>
      <c r="B16" s="21"/>
      <c r="C16" s="21"/>
      <c r="D16" s="21"/>
      <c r="E16" s="21"/>
      <c r="F16" s="21"/>
      <c r="G16" s="21"/>
      <c r="H16" s="21"/>
      <c r="I16" s="21"/>
    </row>
    <row r="17" spans="1:9" ht="13.15">
      <c r="A17" s="21"/>
      <c r="B17" s="21"/>
      <c r="C17" s="21"/>
      <c r="D17" s="21"/>
      <c r="E17" s="21"/>
      <c r="F17" s="21"/>
      <c r="G17" s="21"/>
      <c r="H17" s="21"/>
      <c r="I17" s="21"/>
    </row>
    <row r="18" spans="1:9" ht="13.15">
      <c r="A18" s="21"/>
      <c r="B18" s="21"/>
      <c r="C18" s="21"/>
      <c r="D18" s="21"/>
      <c r="E18" s="21"/>
      <c r="F18" s="21"/>
      <c r="G18" s="21"/>
      <c r="H18" s="21"/>
      <c r="I18" s="21"/>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0" priority="5" stopIfTrue="1" operator="lessThanOrEqual">
      <formula>-0.1</formula>
    </cfRule>
    <cfRule type="expression" dxfId="39"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xSplit="2" ySplit="3" topLeftCell="C4" activePane="bottomRight" state="frozen"/>
      <selection pane="bottomRight" activeCell="D16" sqref="D16"/>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2" t="str" cm="1">
        <f t="array" ref="A1">portfolio</f>
        <v>True Green Capital Management LLC</v>
      </c>
      <c r="B1" s="72"/>
      <c r="C1" s="72"/>
      <c r="D1" s="73" t="s">
        <v>16</v>
      </c>
      <c r="E1" s="73"/>
      <c r="F1" s="73"/>
      <c r="G1" s="71" t="s">
        <v>17</v>
      </c>
      <c r="H1" s="71"/>
      <c r="I1" s="71"/>
    </row>
    <row r="2" spans="1:9" ht="19.5" customHeight="1">
      <c r="A2" s="74" t="s">
        <v>2</v>
      </c>
      <c r="B2" s="74"/>
      <c r="C2" s="5">
        <f>SUM(C4:C86)</f>
        <v>0</v>
      </c>
      <c r="D2" s="5">
        <f>SUM(D4:D86)</f>
        <v>0</v>
      </c>
      <c r="E2" s="5">
        <f>C2-D2</f>
        <v>0</v>
      </c>
      <c r="F2" s="6">
        <f>IFERROR(E2/D2, 0)</f>
        <v>0</v>
      </c>
      <c r="G2" s="5">
        <f>SUM(G4:G86)</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75">
      <c r="A4" s="12" t="str" cm="1">
        <f t="array" ref="A4:A8">Sites[Site]</f>
        <v>Rochester - 5516 Valleyhigh NW</v>
      </c>
      <c r="B4" s="9" t="str" cm="1">
        <f t="array" ref="B4:B8">Sites[State]</f>
        <v>MN</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75">
      <c r="A5" s="17" t="str">
        <v>Warsaw - Hemings</v>
      </c>
      <c r="B5" s="10" t="str">
        <v>VA</v>
      </c>
      <c r="C5" s="11">
        <f>SUM(Oct!C5, Nov!C5, Dec!C5)</f>
        <v>0</v>
      </c>
      <c r="D5" s="18">
        <f>SUM(Oct!D5, Nov!D5, Dec!D5)</f>
        <v>0</v>
      </c>
      <c r="E5" s="18">
        <f t="shared" ref="E5:E6" si="0">IF(AND(ISNUMBER(C5),ISNUMBER(D5)), C5-D5, "")</f>
        <v>0</v>
      </c>
      <c r="F5" s="19" t="str">
        <f>IFERROR(E5/D5, "")</f>
        <v/>
      </c>
      <c r="G5" s="20">
        <f>SUM(Oct!G5,Nov!G5,Dec!G5)</f>
        <v>0</v>
      </c>
      <c r="H5" s="20">
        <f>SUM(Oct!H5, Nov!H5, Dec!H5)</f>
        <v>0</v>
      </c>
      <c r="I5" s="19" t="str">
        <f>IFERROR(H5/G5, "")</f>
        <v/>
      </c>
    </row>
    <row r="6" spans="1:9" ht="15.75">
      <c r="A6" s="12" t="str">
        <v>Mount Jackson - Randolf</v>
      </c>
      <c r="B6" s="9" t="str">
        <v>VA</v>
      </c>
      <c r="C6" s="24">
        <f>SUM(Oct!C6, Nov!C6, Dec!C6)</f>
        <v>0</v>
      </c>
      <c r="D6" s="13">
        <f>SUM(Oct!D6, Nov!D6, Dec!D6)</f>
        <v>0</v>
      </c>
      <c r="E6" s="13">
        <f t="shared" si="0"/>
        <v>0</v>
      </c>
      <c r="F6" s="14" t="str">
        <f t="shared" ref="F6:F8" si="1">IFERROR(E6/D6, "")</f>
        <v/>
      </c>
      <c r="G6" s="15">
        <f>SUM(Oct!G6,Nov!G6,Dec!G6)</f>
        <v>0</v>
      </c>
      <c r="H6" s="15">
        <f>SUM(Oct!H6, Nov!H6, Dec!H6)</f>
        <v>0</v>
      </c>
      <c r="I6" s="16" t="str">
        <f t="shared" ref="I6:I8" si="2">IFERROR(H6/G6, "")</f>
        <v/>
      </c>
    </row>
    <row r="7" spans="1:9" ht="15.75">
      <c r="A7" s="17" t="str">
        <v>Callands Gretna - Monroe</v>
      </c>
      <c r="B7" s="10" t="str">
        <v>VA</v>
      </c>
      <c r="C7" s="11">
        <f>SUM(Oct!C7, Nov!C7, Dec!C7)</f>
        <v>0</v>
      </c>
      <c r="D7" s="18">
        <f>SUM(Oct!D7, Nov!D7, Dec!D7)</f>
        <v>0</v>
      </c>
      <c r="E7" s="18">
        <f t="shared" ref="E7:E8" si="3">IF(AND(ISNUMBER(C7),ISNUMBER(D7)), C7-D7, "")</f>
        <v>0</v>
      </c>
      <c r="F7" s="19" t="str">
        <f t="shared" si="1"/>
        <v/>
      </c>
      <c r="G7" s="20">
        <f>SUM(Oct!G7,Nov!G7,Dec!G7)</f>
        <v>0</v>
      </c>
      <c r="H7" s="20">
        <f>SUM(Oct!H7, Nov!H7, Dec!H7)</f>
        <v>0</v>
      </c>
      <c r="I7" s="19" t="str">
        <f t="shared" si="2"/>
        <v/>
      </c>
    </row>
    <row r="8" spans="1:9" ht="15.75">
      <c r="A8" s="12" t="str">
        <v>Rockbridge Baths - Small Mouth Bass</v>
      </c>
      <c r="B8" s="9" t="str">
        <v>VA</v>
      </c>
      <c r="C8" s="24">
        <f>SUM(Oct!C8, Nov!C8, Dec!C8)</f>
        <v>0</v>
      </c>
      <c r="D8" s="13">
        <f>SUM(Oct!D8, Nov!D8, Dec!D8)</f>
        <v>0</v>
      </c>
      <c r="E8" s="13">
        <f t="shared" si="3"/>
        <v>0</v>
      </c>
      <c r="F8" s="14" t="str">
        <f t="shared" si="1"/>
        <v/>
      </c>
      <c r="G8" s="15">
        <f>SUM(Oct!G8,Nov!G8,Dec!G8)</f>
        <v>0</v>
      </c>
      <c r="H8" s="15">
        <f>SUM(Oct!H8, Nov!H8, Dec!H8)</f>
        <v>0</v>
      </c>
      <c r="I8" s="16" t="str">
        <f t="shared" si="2"/>
        <v/>
      </c>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1"/>
      <c r="G13" s="21"/>
      <c r="H13" s="21"/>
      <c r="I13" s="21"/>
    </row>
    <row r="14" spans="1:9" ht="13.15">
      <c r="A14" s="21"/>
      <c r="B14" s="21"/>
      <c r="C14" s="21"/>
      <c r="D14" s="21"/>
      <c r="E14" s="21"/>
      <c r="F14" s="21"/>
      <c r="G14" s="21"/>
      <c r="H14" s="21"/>
      <c r="I14" s="21"/>
    </row>
    <row r="15" spans="1:9" ht="13.15">
      <c r="A15" s="21"/>
      <c r="B15" s="21"/>
      <c r="C15" s="21"/>
      <c r="D15" s="21"/>
      <c r="E15" s="21"/>
      <c r="F15" s="21"/>
      <c r="G15" s="21"/>
      <c r="H15" s="21"/>
      <c r="I15" s="21"/>
    </row>
    <row r="16" spans="1:9" ht="13.15">
      <c r="A16" s="21"/>
      <c r="B16" s="21"/>
      <c r="C16" s="21"/>
      <c r="D16" s="21"/>
      <c r="E16" s="21"/>
      <c r="F16" s="21"/>
      <c r="G16" s="21"/>
      <c r="H16" s="21"/>
      <c r="I16" s="21"/>
    </row>
    <row r="17" spans="1:9" ht="13.15">
      <c r="A17" s="21"/>
      <c r="B17" s="21"/>
      <c r="C17" s="21"/>
      <c r="D17" s="21"/>
      <c r="E17" s="21"/>
      <c r="F17" s="21"/>
      <c r="G17" s="21"/>
      <c r="H17" s="21"/>
      <c r="I17" s="21"/>
    </row>
    <row r="18" spans="1:9" ht="13.15">
      <c r="A18" s="21"/>
      <c r="B18" s="21"/>
      <c r="C18" s="21"/>
      <c r="D18" s="21"/>
      <c r="E18" s="21"/>
      <c r="F18" s="21"/>
      <c r="G18" s="21"/>
      <c r="H18" s="21"/>
      <c r="I18" s="21"/>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19"/>
  <sheetViews>
    <sheetView zoomScale="70" zoomScaleNormal="70" workbookViewId="0">
      <pane xSplit="2" ySplit="3" topLeftCell="C4" activePane="bottomRight" state="frozen"/>
      <selection pane="bottomRight" activeCell="H13" sqref="H13"/>
      <selection pane="bottomLeft" activeCell="A4" sqref="A4"/>
      <selection pane="topRight" activeCell="A4" sqref="A4"/>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2" t="str" cm="1">
        <f t="array" ref="A1">portfolio</f>
        <v>True Green Capital Management LLC</v>
      </c>
      <c r="B1" s="72"/>
      <c r="C1" s="72"/>
      <c r="D1" s="73" t="s">
        <v>18</v>
      </c>
      <c r="E1" s="73"/>
      <c r="F1" s="73"/>
      <c r="G1" s="71" t="s">
        <v>19</v>
      </c>
      <c r="H1" s="71"/>
      <c r="I1" s="71"/>
      <c r="J1" s="4"/>
      <c r="K1" s="4"/>
    </row>
    <row r="2" spans="1:13" ht="19.5" customHeight="1">
      <c r="A2" s="74" t="s">
        <v>2</v>
      </c>
      <c r="B2" s="74"/>
      <c r="C2" s="5">
        <f>SUM(C4:C77)</f>
        <v>1608150.403231174</v>
      </c>
      <c r="D2" s="5">
        <f>SUM(D4:D77)</f>
        <v>1762398</v>
      </c>
      <c r="E2" s="5">
        <f>C2-D2</f>
        <v>-154247.59676882601</v>
      </c>
      <c r="F2" s="6">
        <f>IFERROR(E2/D2, 0)</f>
        <v>-8.7521432031145069E-2</v>
      </c>
      <c r="G2" s="5">
        <f>SUM(G4:G77)</f>
        <v>2081938.1</v>
      </c>
      <c r="H2" s="7">
        <f>C2-G2</f>
        <v>-473787.69676882611</v>
      </c>
      <c r="I2" s="6">
        <f>IFERROR(H2/G2, 0)</f>
        <v>-0.227570501144499</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4" t="s">
        <v>6</v>
      </c>
      <c r="E3" s="34" t="s">
        <v>7</v>
      </c>
      <c r="F3" s="35" t="s">
        <v>8</v>
      </c>
      <c r="G3" s="39" t="s">
        <v>9</v>
      </c>
      <c r="H3" s="37" t="s">
        <v>7</v>
      </c>
      <c r="I3" s="38" t="s">
        <v>8</v>
      </c>
      <c r="J3" s="54" t="s">
        <v>20</v>
      </c>
      <c r="K3" s="54" t="s">
        <v>21</v>
      </c>
    </row>
    <row r="4" spans="1:13" ht="57">
      <c r="A4" s="31" t="str" cm="1">
        <f t="array" ref="A4:A8">Sites[Site]</f>
        <v>Rochester - 5516 Valleyhigh NW</v>
      </c>
      <c r="B4" s="28" t="str" cm="1">
        <f t="array" ref="B4:B8">Sites[State]</f>
        <v>MN</v>
      </c>
      <c r="C4" s="24">
        <v>748299</v>
      </c>
      <c r="D4" s="13">
        <v>805370.6</v>
      </c>
      <c r="E4" s="13">
        <f t="shared" ref="E4:E8" si="0">IF(AND(ISNUMBER(C4),ISNUMBER(D4)), C4-D4, "")</f>
        <v>-57071.599999999977</v>
      </c>
      <c r="F4" s="14">
        <f t="shared" ref="F4:F8" si="1">IFERROR(E4/D4, "")</f>
        <v>-7.0863773770733593E-2</v>
      </c>
      <c r="G4" s="15">
        <v>885341.6</v>
      </c>
      <c r="H4" s="15">
        <f t="shared" ref="H4:H8" si="2">IF(AND(ISNUMBER(C4),ISNUMBER(G4)), C4-G4, "")</f>
        <v>-137042.59999999998</v>
      </c>
      <c r="I4" s="16">
        <f t="shared" ref="I4:I8" si="3">IFERROR(H4/G4, "")</f>
        <v>-0.15479064803912973</v>
      </c>
      <c r="J4" s="64" t="s">
        <v>22</v>
      </c>
      <c r="K4" s="62" t="s">
        <v>23</v>
      </c>
      <c r="L4" s="58"/>
      <c r="M4" s="58"/>
    </row>
    <row r="5" spans="1:13" ht="15.75">
      <c r="A5" s="29" t="str">
        <v>Warsaw - Hemings</v>
      </c>
      <c r="B5" s="30" t="str">
        <v>VA</v>
      </c>
      <c r="C5" s="11">
        <v>479142.19999999902</v>
      </c>
      <c r="D5" s="18">
        <v>554593.9</v>
      </c>
      <c r="E5" s="18">
        <f t="shared" si="0"/>
        <v>-75451.700000001001</v>
      </c>
      <c r="F5" s="19">
        <f t="shared" si="1"/>
        <v>-0.13604855733177196</v>
      </c>
      <c r="G5" s="20">
        <v>548915</v>
      </c>
      <c r="H5" s="20">
        <f t="shared" si="2"/>
        <v>-69772.800000000978</v>
      </c>
      <c r="I5" s="19">
        <f t="shared" si="3"/>
        <v>-0.1271103904976198</v>
      </c>
      <c r="J5" s="63" t="s">
        <v>24</v>
      </c>
      <c r="K5" s="66" t="s">
        <v>25</v>
      </c>
      <c r="L5" s="57"/>
      <c r="M5" s="57"/>
    </row>
    <row r="6" spans="1:13" ht="99.75">
      <c r="A6" s="31" t="str">
        <v>Mount Jackson - Randolf</v>
      </c>
      <c r="B6" s="28" t="str">
        <v>VA</v>
      </c>
      <c r="C6" s="24">
        <v>127473.20323117499</v>
      </c>
      <c r="D6" s="13">
        <v>147694.20000000001</v>
      </c>
      <c r="E6" s="13">
        <f t="shared" si="0"/>
        <v>-20220.996768825018</v>
      </c>
      <c r="F6" s="14">
        <f t="shared" si="1"/>
        <v>-0.13691124478026231</v>
      </c>
      <c r="G6" s="15">
        <v>364481.5</v>
      </c>
      <c r="H6" s="15">
        <f t="shared" si="2"/>
        <v>-237008.29676882501</v>
      </c>
      <c r="I6" s="16">
        <f t="shared" si="3"/>
        <v>-0.65026152704273055</v>
      </c>
      <c r="J6" s="64" t="s">
        <v>26</v>
      </c>
      <c r="K6" s="62" t="s">
        <v>27</v>
      </c>
      <c r="L6" s="58"/>
      <c r="M6" s="58"/>
    </row>
    <row r="7" spans="1:13" ht="27.75" customHeight="1">
      <c r="A7" s="29" t="str">
        <v>Callands Gretna - Monroe</v>
      </c>
      <c r="B7" s="30" t="str">
        <v>VA</v>
      </c>
      <c r="C7" s="11">
        <v>253236</v>
      </c>
      <c r="D7" s="18">
        <v>254739.3</v>
      </c>
      <c r="E7" s="18">
        <f t="shared" si="0"/>
        <v>-1503.2999999999884</v>
      </c>
      <c r="F7" s="19">
        <f t="shared" si="1"/>
        <v>-5.9013273570273153E-3</v>
      </c>
      <c r="G7" s="20">
        <v>283200</v>
      </c>
      <c r="H7" s="20">
        <f t="shared" si="2"/>
        <v>-29964</v>
      </c>
      <c r="I7" s="19">
        <f t="shared" si="3"/>
        <v>-0.10580508474576271</v>
      </c>
      <c r="J7" s="65" t="s">
        <v>28</v>
      </c>
      <c r="K7" s="66" t="s">
        <v>29</v>
      </c>
      <c r="L7" s="57"/>
      <c r="M7" s="57"/>
    </row>
    <row r="8" spans="1:13" ht="15.75">
      <c r="A8" s="31" t="str">
        <v>Rockbridge Baths - Small Mouth Bass</v>
      </c>
      <c r="B8" s="28" t="str">
        <v>VA</v>
      </c>
      <c r="C8" s="24">
        <v>0</v>
      </c>
      <c r="D8" s="13">
        <v>0</v>
      </c>
      <c r="E8" s="13">
        <f t="shared" si="0"/>
        <v>0</v>
      </c>
      <c r="F8" s="14" t="str">
        <f t="shared" si="1"/>
        <v/>
      </c>
      <c r="G8" s="15">
        <v>0</v>
      </c>
      <c r="H8" s="15">
        <f t="shared" si="2"/>
        <v>0</v>
      </c>
      <c r="I8" s="16" t="str">
        <f t="shared" si="3"/>
        <v/>
      </c>
      <c r="J8" s="64" t="s">
        <v>30</v>
      </c>
      <c r="K8" s="62" t="s">
        <v>31</v>
      </c>
      <c r="L8" s="58"/>
      <c r="M8" s="58"/>
    </row>
    <row r="9" spans="1:13" ht="14.25">
      <c r="A9" s="21"/>
      <c r="B9" s="32"/>
      <c r="C9" s="21"/>
      <c r="D9" s="21"/>
      <c r="E9" s="21"/>
      <c r="F9" s="21"/>
      <c r="G9" s="21"/>
      <c r="H9" s="21"/>
      <c r="I9" s="21"/>
      <c r="J9" s="21"/>
      <c r="K9" s="21"/>
      <c r="L9" s="58"/>
      <c r="M9" s="58"/>
    </row>
    <row r="10" spans="1:13" ht="14.25">
      <c r="A10" s="21"/>
      <c r="B10" s="32"/>
      <c r="C10" s="21"/>
      <c r="D10" s="21"/>
      <c r="E10" s="21"/>
      <c r="F10" s="22"/>
      <c r="G10" s="21"/>
      <c r="H10" s="21"/>
      <c r="I10" s="22"/>
      <c r="J10" s="21"/>
      <c r="K10" s="21"/>
    </row>
    <row r="11" spans="1:13" ht="14.25">
      <c r="A11" s="21"/>
      <c r="B11" s="32"/>
      <c r="C11" s="21"/>
      <c r="D11" s="21"/>
      <c r="E11" s="21"/>
      <c r="F11" s="22"/>
      <c r="G11" s="21"/>
      <c r="H11" s="21"/>
      <c r="I11" s="22"/>
      <c r="J11" s="21"/>
      <c r="K11" s="21"/>
    </row>
    <row r="12" spans="1:13" ht="14.25">
      <c r="A12" s="21"/>
      <c r="B12" s="32"/>
      <c r="C12" s="21"/>
      <c r="D12" s="21"/>
      <c r="E12" s="21"/>
      <c r="F12" s="22"/>
      <c r="G12" s="21"/>
      <c r="H12" s="21"/>
      <c r="I12" s="22"/>
      <c r="J12" s="21"/>
      <c r="K12" s="21"/>
    </row>
    <row r="13" spans="1:13" ht="14.25">
      <c r="A13" s="21"/>
      <c r="B13" s="32"/>
      <c r="C13" s="21"/>
      <c r="D13" s="21"/>
      <c r="E13" s="21"/>
      <c r="F13" s="22"/>
      <c r="G13" s="21"/>
      <c r="H13" s="21"/>
      <c r="I13" s="22"/>
      <c r="J13" s="21"/>
      <c r="K13" s="21"/>
    </row>
    <row r="14" spans="1:13" ht="14.25">
      <c r="A14" s="21"/>
      <c r="B14" s="32"/>
      <c r="C14" s="21"/>
      <c r="D14" s="21"/>
      <c r="E14" s="21"/>
      <c r="F14" s="22"/>
      <c r="G14" s="21"/>
      <c r="H14" s="21"/>
      <c r="I14" s="22"/>
      <c r="J14" s="21"/>
      <c r="K14" s="21"/>
    </row>
    <row r="15" spans="1:13" ht="14.25">
      <c r="A15" s="21"/>
      <c r="B15" s="32"/>
      <c r="C15" s="21"/>
      <c r="D15" s="21"/>
      <c r="E15" s="21"/>
      <c r="F15" s="22"/>
      <c r="G15" s="21"/>
      <c r="H15" s="21"/>
      <c r="I15" s="22"/>
      <c r="J15" s="21"/>
      <c r="K15" s="21"/>
    </row>
    <row r="16" spans="1:13"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sheetData>
  <mergeCells count="4">
    <mergeCell ref="D1:F1"/>
    <mergeCell ref="A1:C1"/>
    <mergeCell ref="G1:I1"/>
    <mergeCell ref="A2:B2"/>
  </mergeCells>
  <phoneticPr fontId="5" type="noConversion"/>
  <conditionalFormatting sqref="F2 I2 F4:F77 I4:I77">
    <cfRule type="cellIs" dxfId="36" priority="4" stopIfTrue="1" operator="lessThanOrEqual">
      <formula>-0.1</formula>
    </cfRule>
    <cfRule type="expression" dxfId="35" priority="5">
      <formula>AND(ISNUMBER(F2), F2&gt;=0.1)</formula>
    </cfRule>
  </conditionalFormatting>
  <hyperlinks>
    <hyperlink ref="K4" r:id="rId1" display="https://us3.assetplanner.com/service_request?ID=094033" xr:uid="{B96E5958-578C-41FB-A667-FA809AF7E3C2}"/>
    <hyperlink ref="K5" r:id="rId2" display="https://us3.assetplanner.com/service_request?ID=096181" xr:uid="{5F1BA13F-13F7-4B40-B11E-E6F74B042B10}"/>
    <hyperlink ref="K6" r:id="rId3" display="https://us3.assetplanner.com/service_request?ID=095130" xr:uid="{4E3DE006-C8EB-42DE-8B08-2E74E2ABD32D}"/>
    <hyperlink ref="K7" r:id="rId4" display="https://us3.assetplanner.com/service_request?ID=091277" xr:uid="{EFC1BB31-E3A0-4690-B8C7-14D99F953198}"/>
    <hyperlink ref="K8" r:id="rId5" display="https://us3.assetplanner.com/service_request?ID=094062" xr:uid="{7271350E-C612-4CA0-805D-D838493CA858}"/>
  </hyperlinks>
  <pageMargins left="0.4" right="0.7" top="0.25" bottom="0.25" header="0.3" footer="0.3"/>
  <pageSetup fitToHeight="99" orientation="landscape"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zoomScale="70" zoomScaleNormal="70" workbookViewId="0">
      <pane xSplit="2" ySplit="3" topLeftCell="C6" activePane="bottomRight" state="frozen"/>
      <selection pane="bottomRight" activeCell="G13" sqref="G13"/>
      <selection pane="bottomLeft" activeCell="D18" sqref="D18"/>
      <selection pane="topRight" activeCell="D18" sqref="D18"/>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2" t="str" cm="1">
        <f t="array" ref="A1">portfolio</f>
        <v>True Green Capital Management LLC</v>
      </c>
      <c r="B1" s="72"/>
      <c r="C1" s="72"/>
      <c r="D1" s="73" t="s">
        <v>32</v>
      </c>
      <c r="E1" s="73"/>
      <c r="F1" s="73"/>
      <c r="G1" s="71" t="s">
        <v>33</v>
      </c>
      <c r="H1" s="71"/>
      <c r="I1" s="71"/>
      <c r="J1" s="4"/>
      <c r="K1" s="4"/>
    </row>
    <row r="2" spans="1:14" ht="19.5" customHeight="1">
      <c r="A2" s="74" t="s">
        <v>2</v>
      </c>
      <c r="B2" s="74"/>
      <c r="C2" s="5">
        <f>SUM(C4:C86)</f>
        <v>2408512.6</v>
      </c>
      <c r="D2" s="5">
        <f>SUM(D4:D86)</f>
        <v>2367744.39</v>
      </c>
      <c r="E2" s="5">
        <f>C2-D2</f>
        <v>40768.209999999963</v>
      </c>
      <c r="F2" s="6">
        <f>IFERROR(E2/D2, 0)</f>
        <v>1.7218163485966474E-2</v>
      </c>
      <c r="G2" s="5">
        <f>SUM(G4:G86)</f>
        <v>2545793.2000000002</v>
      </c>
      <c r="H2" s="7">
        <f>C2-G2</f>
        <v>-137280.60000000009</v>
      </c>
      <c r="I2" s="6">
        <f>IFERROR(H2/G2, 0)</f>
        <v>-5.3924490017492423E-2</v>
      </c>
      <c r="J2" s="26"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327" customHeight="1">
      <c r="A4" s="31" t="str" cm="1">
        <f t="array" ref="A4:A8">Sites[Site]</f>
        <v>Rochester - 5516 Valleyhigh NW</v>
      </c>
      <c r="B4" s="28" t="str" cm="1">
        <f t="array" ref="B4:B8">Sites[State]</f>
        <v>MN</v>
      </c>
      <c r="C4" s="43">
        <v>1053549</v>
      </c>
      <c r="D4" s="13">
        <v>1144122</v>
      </c>
      <c r="E4" s="13">
        <f t="shared" ref="E4:E8" si="0">IF(AND(ISNUMBER(C4),ISNUMBER(D4)), C4-D4, "")</f>
        <v>-90573</v>
      </c>
      <c r="F4" s="14">
        <f t="shared" ref="F4:F8" si="1">IFERROR(E4/D4, "")</f>
        <v>-7.9163760508057707E-2</v>
      </c>
      <c r="G4" s="67">
        <v>1113658</v>
      </c>
      <c r="H4" s="15">
        <f t="shared" ref="H4:H8" si="2">IF(AND(ISNUMBER(C4),ISNUMBER(G4)), C4-G4, "")</f>
        <v>-60109</v>
      </c>
      <c r="I4" s="16">
        <f t="shared" ref="I4:I8" si="3">IFERROR(H4/G4, "")</f>
        <v>-5.3974379926332861E-2</v>
      </c>
      <c r="J4" s="64" t="s">
        <v>34</v>
      </c>
      <c r="K4" s="62" t="s">
        <v>35</v>
      </c>
      <c r="L4" s="60"/>
    </row>
    <row r="5" spans="1:14" ht="139.15" customHeight="1">
      <c r="A5" s="29" t="str">
        <v>Warsaw - Hemings</v>
      </c>
      <c r="B5" s="30" t="str">
        <v>VA</v>
      </c>
      <c r="C5" s="48">
        <v>638142.1</v>
      </c>
      <c r="D5" s="59">
        <v>701308.1</v>
      </c>
      <c r="E5" s="18">
        <f t="shared" si="0"/>
        <v>-63166</v>
      </c>
      <c r="F5" s="19">
        <f t="shared" si="1"/>
        <v>-9.0068829947921605E-2</v>
      </c>
      <c r="G5" s="68">
        <v>663175</v>
      </c>
      <c r="H5" s="20">
        <f t="shared" si="2"/>
        <v>-25032.900000000023</v>
      </c>
      <c r="I5" s="19">
        <f t="shared" si="3"/>
        <v>-3.7747050175293131E-2</v>
      </c>
      <c r="J5" s="63" t="s">
        <v>36</v>
      </c>
      <c r="K5" s="66" t="s">
        <v>37</v>
      </c>
      <c r="L5" s="60"/>
      <c r="M5" s="60"/>
      <c r="N5" s="60"/>
    </row>
    <row r="6" spans="1:14" ht="128.25">
      <c r="A6" s="31" t="str">
        <v>Mount Jackson - Randolf</v>
      </c>
      <c r="B6" s="28" t="str">
        <v>VA</v>
      </c>
      <c r="C6" s="43">
        <v>437522.5</v>
      </c>
      <c r="D6" s="13">
        <v>422842.5</v>
      </c>
      <c r="E6" s="13">
        <f t="shared" si="0"/>
        <v>14680</v>
      </c>
      <c r="F6" s="14">
        <f t="shared" si="1"/>
        <v>3.4717418424117727E-2</v>
      </c>
      <c r="G6" s="67">
        <v>449760.2</v>
      </c>
      <c r="H6" s="15">
        <f t="shared" si="2"/>
        <v>-12237.700000000012</v>
      </c>
      <c r="I6" s="16">
        <f t="shared" si="3"/>
        <v>-2.7209388469677867E-2</v>
      </c>
      <c r="J6" s="64" t="s">
        <v>38</v>
      </c>
      <c r="K6" s="62" t="s">
        <v>39</v>
      </c>
      <c r="L6" s="60"/>
    </row>
    <row r="7" spans="1:14" ht="143.25" customHeight="1">
      <c r="A7" s="29" t="str">
        <v>Callands Gretna - Monroe</v>
      </c>
      <c r="B7" s="30" t="str">
        <v>VA</v>
      </c>
      <c r="C7" s="48">
        <v>279299</v>
      </c>
      <c r="D7" s="68">
        <v>99471.79</v>
      </c>
      <c r="E7" s="18">
        <f t="shared" si="0"/>
        <v>179827.21000000002</v>
      </c>
      <c r="F7" s="19">
        <f t="shared" si="1"/>
        <v>1.8078211923199536</v>
      </c>
      <c r="G7" s="69">
        <v>319200</v>
      </c>
      <c r="H7" s="20">
        <f t="shared" si="2"/>
        <v>-39901</v>
      </c>
      <c r="I7" s="19">
        <f t="shared" si="3"/>
        <v>-0.1250031328320802</v>
      </c>
      <c r="J7" s="65" t="s">
        <v>40</v>
      </c>
      <c r="K7" s="66" t="s">
        <v>41</v>
      </c>
      <c r="L7" s="60"/>
      <c r="M7" s="60"/>
      <c r="N7" s="60"/>
    </row>
    <row r="8" spans="1:14" ht="15.75">
      <c r="A8" s="31" t="str">
        <v>Rockbridge Baths - Small Mouth Bass</v>
      </c>
      <c r="B8" s="28" t="str">
        <v>VA</v>
      </c>
      <c r="C8" s="43">
        <v>0</v>
      </c>
      <c r="D8" s="13">
        <v>0</v>
      </c>
      <c r="E8" s="13">
        <f t="shared" si="0"/>
        <v>0</v>
      </c>
      <c r="F8" s="14" t="str">
        <f t="shared" si="1"/>
        <v/>
      </c>
      <c r="G8" s="67">
        <v>0</v>
      </c>
      <c r="H8" s="15">
        <f t="shared" si="2"/>
        <v>0</v>
      </c>
      <c r="I8" s="16" t="str">
        <f t="shared" si="3"/>
        <v/>
      </c>
      <c r="J8" s="64" t="s">
        <v>30</v>
      </c>
      <c r="K8" s="62" t="s">
        <v>31</v>
      </c>
      <c r="L8" s="60"/>
    </row>
    <row r="9" spans="1:14" ht="14.25">
      <c r="A9" s="21"/>
      <c r="B9" s="32"/>
      <c r="C9" s="21"/>
      <c r="D9" s="21"/>
      <c r="E9" s="21"/>
      <c r="F9" s="21"/>
      <c r="G9" s="21"/>
      <c r="H9" s="21"/>
      <c r="I9" s="21"/>
      <c r="J9" s="21"/>
      <c r="K9" s="21"/>
    </row>
    <row r="10" spans="1:14" ht="14.25">
      <c r="A10" s="21"/>
      <c r="B10" s="32"/>
      <c r="C10" s="21"/>
      <c r="D10" s="21"/>
      <c r="E10" s="21"/>
      <c r="F10" s="21"/>
      <c r="G10" s="21"/>
      <c r="H10" s="21"/>
      <c r="I10" s="21"/>
      <c r="J10" s="21"/>
      <c r="K10" s="21"/>
    </row>
    <row r="11" spans="1:14" ht="14.25">
      <c r="A11" s="21"/>
      <c r="B11" s="32"/>
      <c r="C11" s="21"/>
      <c r="D11" s="21"/>
      <c r="E11" s="21"/>
      <c r="F11" s="21"/>
      <c r="G11" s="21"/>
      <c r="H11" s="21"/>
      <c r="I11" s="21"/>
      <c r="J11" s="21"/>
      <c r="K11" s="21"/>
    </row>
    <row r="12" spans="1:14" ht="14.25">
      <c r="A12" s="21"/>
      <c r="B12" s="32"/>
      <c r="C12" s="21"/>
      <c r="D12" s="21"/>
      <c r="E12" s="21"/>
      <c r="F12" s="21"/>
      <c r="G12" s="21"/>
      <c r="H12" s="21"/>
      <c r="I12" s="21"/>
      <c r="J12" s="21"/>
      <c r="K12" s="21"/>
    </row>
    <row r="13" spans="1:14" ht="14.25">
      <c r="A13" s="21"/>
      <c r="B13" s="32"/>
      <c r="C13" s="21"/>
      <c r="D13" s="21"/>
      <c r="E13" s="21"/>
      <c r="F13" s="21"/>
      <c r="G13" s="21"/>
      <c r="H13" s="21"/>
      <c r="I13" s="21"/>
      <c r="J13" s="21"/>
      <c r="K13" s="21"/>
    </row>
    <row r="14" spans="1:14" ht="14.25">
      <c r="A14" s="21"/>
      <c r="B14" s="32"/>
      <c r="C14" s="21"/>
      <c r="D14" s="21"/>
      <c r="E14" s="21"/>
      <c r="F14" s="21"/>
      <c r="G14" s="21"/>
      <c r="H14" s="21"/>
      <c r="I14" s="21"/>
      <c r="J14" s="21"/>
      <c r="K14" s="21"/>
    </row>
    <row r="15" spans="1:14" ht="14.25">
      <c r="A15" s="21"/>
      <c r="B15" s="32"/>
      <c r="C15" s="21"/>
      <c r="D15" s="21"/>
      <c r="E15" s="21"/>
      <c r="F15" s="21"/>
      <c r="G15" s="21"/>
      <c r="H15" s="21"/>
      <c r="I15" s="21"/>
      <c r="J15" s="21"/>
      <c r="K15" s="21"/>
    </row>
    <row r="16" spans="1:14"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3.9">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4" priority="1" stopIfTrue="1" operator="lessThanOrEqual">
      <formula>-0.1</formula>
    </cfRule>
    <cfRule type="expression" dxfId="33" priority="2">
      <formula>AND(ISNUMBER(F2), F2&gt;=0.1)</formula>
    </cfRule>
  </conditionalFormatting>
  <hyperlinks>
    <hyperlink ref="K4" r:id="rId1" display="https://us3.assetplanner.com/service_request?ID=096391" xr:uid="{AF57967D-9475-4ABE-B7CF-C6489C607D3C}"/>
    <hyperlink ref="K5" r:id="rId2" display="https://us3.assetplanner.com/service_request?ID=097728" xr:uid="{EC48DE9C-ABC0-460B-99A7-DCCF0E0A7976}"/>
    <hyperlink ref="K6" r:id="rId3" display="https://us3.assetplanner.com/service_request?ID=096074" xr:uid="{0ECC0078-D9AE-4CEB-9685-37351D6D315A}"/>
    <hyperlink ref="K7" r:id="rId4" display="https://us3.assetplanner.com/service_request?ID=097908" xr:uid="{F31F562D-AA52-4A3B-875E-ADD09F0F3B14}"/>
    <hyperlink ref="K8" r:id="rId5" display="https://us3.assetplanner.com/service_request?ID=094062" xr:uid="{1D226DED-7F58-4D4C-9091-9313AA961B3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9"/>
  <sheetViews>
    <sheetView zoomScale="60" zoomScaleNormal="60" workbookViewId="0">
      <pane xSplit="2" ySplit="3" topLeftCell="C6" activePane="bottomRight" state="frozen"/>
      <selection pane="bottomRight" activeCell="J7" sqref="J7"/>
      <selection pane="bottomLeft" activeCell="A4" sqref="A4"/>
      <selection pane="topRight" activeCell="A4" sqref="A4"/>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6.28515625" customWidth="1"/>
    <col min="11" max="11" width="20.5703125" bestFit="1" customWidth="1"/>
  </cols>
  <sheetData>
    <row r="1" spans="1:17" ht="19.5" customHeight="1">
      <c r="A1" s="72" t="str" cm="1">
        <f t="array" ref="A1">portfolio</f>
        <v>True Green Capital Management LLC</v>
      </c>
      <c r="B1" s="72"/>
      <c r="C1" s="72"/>
      <c r="D1" s="73" t="s">
        <v>42</v>
      </c>
      <c r="E1" s="73"/>
      <c r="F1" s="73"/>
      <c r="G1" s="71" t="s">
        <v>43</v>
      </c>
      <c r="H1" s="71"/>
      <c r="I1" s="71"/>
      <c r="J1" s="4"/>
      <c r="K1" s="4"/>
    </row>
    <row r="2" spans="1:17" ht="19.5" customHeight="1">
      <c r="A2" s="74" t="s">
        <v>2</v>
      </c>
      <c r="B2" s="74"/>
      <c r="C2" s="5">
        <f>SUM(C4:C87)</f>
        <v>3832946.1944011026</v>
      </c>
      <c r="D2" s="5">
        <f>SUM(D4:D87)</f>
        <v>3750582.1999999997</v>
      </c>
      <c r="E2" s="5">
        <f>C2-D2</f>
        <v>82363.994401102886</v>
      </c>
      <c r="F2" s="6">
        <f>IFERROR(E2/D2, 0)</f>
        <v>2.1960322427036234E-2</v>
      </c>
      <c r="G2" s="5">
        <f>SUM(G4:G87)</f>
        <v>3660141.5</v>
      </c>
      <c r="H2" s="7">
        <f>C2-G2</f>
        <v>172804.69440110261</v>
      </c>
      <c r="I2" s="6">
        <f>IFERROR(H2/G2, 0)</f>
        <v>4.7212572082555443E-2</v>
      </c>
      <c r="J2" s="26"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313.5" customHeight="1">
      <c r="A4" s="47" t="str" cm="1">
        <f t="array" ref="A4:A8">Sites[Site]</f>
        <v>Rochester - 5516 Valleyhigh NW</v>
      </c>
      <c r="B4" s="28" t="str" cm="1">
        <f t="array" ref="B4:B8">Sites[State]</f>
        <v>MN</v>
      </c>
      <c r="C4" s="43">
        <v>1798252</v>
      </c>
      <c r="D4" s="13">
        <v>1929826</v>
      </c>
      <c r="E4" s="13">
        <f t="shared" ref="E4:E8" si="0">IF(AND(ISNUMBER(C4),ISNUMBER(D4)), C4-D4, "")</f>
        <v>-131574</v>
      </c>
      <c r="F4" s="14">
        <f t="shared" ref="F4:F8" si="1">IFERROR(E4/D4, "")</f>
        <v>-6.8179203720957232E-2</v>
      </c>
      <c r="G4" s="44">
        <v>1752977</v>
      </c>
      <c r="H4" s="15">
        <f t="shared" ref="H4:H8" si="2">IF(AND(ISNUMBER(C4),ISNUMBER(G4)), C4-G4, "")</f>
        <v>45275</v>
      </c>
      <c r="I4" s="16">
        <f t="shared" ref="I4:I8" si="3">IFERROR(H4/G4, "")</f>
        <v>2.582749231735499E-2</v>
      </c>
      <c r="J4" s="40" t="s">
        <v>44</v>
      </c>
      <c r="K4" s="61" t="s">
        <v>45</v>
      </c>
      <c r="L4" s="70" t="s">
        <v>46</v>
      </c>
      <c r="M4" s="70" t="s">
        <v>47</v>
      </c>
      <c r="N4" s="70" t="s">
        <v>48</v>
      </c>
      <c r="O4" s="70" t="s">
        <v>49</v>
      </c>
      <c r="P4" s="70" t="s">
        <v>50</v>
      </c>
      <c r="Q4" s="70" t="s">
        <v>51</v>
      </c>
    </row>
    <row r="5" spans="1:17" ht="76.5" customHeight="1">
      <c r="A5" s="29" t="str">
        <v>Warsaw - Hemings</v>
      </c>
      <c r="B5" s="30" t="str">
        <v>VA</v>
      </c>
      <c r="C5" s="11">
        <v>949597.30000000098</v>
      </c>
      <c r="D5" s="18">
        <v>1017865</v>
      </c>
      <c r="E5" s="18">
        <f t="shared" si="0"/>
        <v>-68267.699999999022</v>
      </c>
      <c r="F5" s="19">
        <f t="shared" si="1"/>
        <v>-6.7069503323131288E-2</v>
      </c>
      <c r="G5" s="20">
        <v>890685</v>
      </c>
      <c r="H5" s="20">
        <f t="shared" si="2"/>
        <v>58912.300000000978</v>
      </c>
      <c r="I5" s="19">
        <f t="shared" si="3"/>
        <v>6.6142687931200123E-2</v>
      </c>
      <c r="J5" s="45" t="s">
        <v>52</v>
      </c>
      <c r="K5" s="56" t="s">
        <v>53</v>
      </c>
      <c r="L5" s="57" t="s">
        <v>54</v>
      </c>
      <c r="M5" s="57" t="s">
        <v>55</v>
      </c>
      <c r="N5" s="57" t="s">
        <v>56</v>
      </c>
      <c r="O5" s="58"/>
    </row>
    <row r="6" spans="1:17" ht="286.5" customHeight="1">
      <c r="A6" s="47" t="str">
        <v>Mount Jackson - Randolf</v>
      </c>
      <c r="B6" s="28" t="str">
        <v>VA</v>
      </c>
      <c r="C6" s="43">
        <v>625686.89440110198</v>
      </c>
      <c r="D6" s="13">
        <v>648645.80000000005</v>
      </c>
      <c r="E6" s="13">
        <f t="shared" si="0"/>
        <v>-22958.905598898069</v>
      </c>
      <c r="F6" s="14">
        <f t="shared" si="1"/>
        <v>-3.5395134908601994E-2</v>
      </c>
      <c r="G6" s="44">
        <v>613584.80000000005</v>
      </c>
      <c r="H6" s="15">
        <f t="shared" si="2"/>
        <v>12102.094401101931</v>
      </c>
      <c r="I6" s="16">
        <f t="shared" si="3"/>
        <v>1.972358898248772E-2</v>
      </c>
      <c r="J6" s="40" t="s">
        <v>57</v>
      </c>
      <c r="K6" s="61" t="s">
        <v>58</v>
      </c>
      <c r="L6" s="57" t="s">
        <v>59</v>
      </c>
      <c r="M6" s="57" t="s">
        <v>60</v>
      </c>
      <c r="N6" s="57" t="s">
        <v>61</v>
      </c>
      <c r="O6" s="57" t="s">
        <v>62</v>
      </c>
    </row>
    <row r="7" spans="1:17" ht="168.75" customHeight="1">
      <c r="A7" s="29" t="str">
        <v>Callands Gretna - Monroe</v>
      </c>
      <c r="B7" s="30" t="str">
        <v>VA</v>
      </c>
      <c r="C7" s="11">
        <v>459410</v>
      </c>
      <c r="D7" s="18">
        <v>154245.4</v>
      </c>
      <c r="E7" s="18">
        <f t="shared" si="0"/>
        <v>305164.59999999998</v>
      </c>
      <c r="F7" s="19">
        <f t="shared" si="1"/>
        <v>1.978435661614544</v>
      </c>
      <c r="G7" s="20">
        <v>402894.7</v>
      </c>
      <c r="H7" s="20">
        <f t="shared" si="2"/>
        <v>56515.299999999988</v>
      </c>
      <c r="I7" s="19">
        <f t="shared" si="3"/>
        <v>0.14027312843777787</v>
      </c>
      <c r="J7" s="45" t="s">
        <v>63</v>
      </c>
      <c r="K7" s="56" t="s">
        <v>64</v>
      </c>
      <c r="L7" s="58"/>
      <c r="M7" s="58"/>
      <c r="N7" s="58"/>
      <c r="O7" s="58"/>
    </row>
    <row r="8" spans="1:17" ht="38.25" customHeight="1">
      <c r="A8" s="31" t="str">
        <v>Rockbridge Baths - Small Mouth Bass</v>
      </c>
      <c r="B8" s="28" t="str">
        <v>VA</v>
      </c>
      <c r="C8" s="43">
        <v>0</v>
      </c>
      <c r="D8" s="13">
        <v>0</v>
      </c>
      <c r="E8" s="13">
        <f t="shared" si="0"/>
        <v>0</v>
      </c>
      <c r="F8" s="14" t="str">
        <f t="shared" si="1"/>
        <v/>
      </c>
      <c r="G8" s="44">
        <v>0</v>
      </c>
      <c r="H8" s="15">
        <f t="shared" si="2"/>
        <v>0</v>
      </c>
      <c r="I8" s="16" t="str">
        <f t="shared" si="3"/>
        <v/>
      </c>
      <c r="J8" s="40" t="s">
        <v>65</v>
      </c>
      <c r="K8" s="61" t="s">
        <v>66</v>
      </c>
      <c r="L8" s="57" t="s">
        <v>67</v>
      </c>
      <c r="M8" s="58"/>
      <c r="N8" s="58"/>
      <c r="O8" s="58"/>
    </row>
    <row r="9" spans="1:17" ht="14.25">
      <c r="A9" s="21"/>
      <c r="B9" s="32"/>
      <c r="C9" s="21"/>
      <c r="D9" s="21"/>
      <c r="E9" s="21"/>
      <c r="F9" s="21"/>
      <c r="G9" s="21"/>
      <c r="H9" s="21"/>
      <c r="I9" s="21"/>
      <c r="J9" s="21"/>
      <c r="K9" s="21"/>
    </row>
    <row r="10" spans="1:17" ht="14.25">
      <c r="A10" s="21"/>
      <c r="B10" s="32"/>
      <c r="C10" s="21"/>
      <c r="D10" s="21"/>
      <c r="E10" s="21"/>
      <c r="F10" s="21"/>
      <c r="G10" s="21"/>
      <c r="H10" s="21"/>
      <c r="I10" s="21"/>
      <c r="J10" s="21"/>
      <c r="K10" s="21"/>
    </row>
    <row r="11" spans="1:17" ht="14.25">
      <c r="A11" s="21"/>
      <c r="B11" s="32"/>
      <c r="C11" s="21"/>
      <c r="D11" s="21"/>
      <c r="E11" s="21"/>
      <c r="F11" s="21"/>
      <c r="G11" s="21"/>
      <c r="H11" s="21"/>
      <c r="I11" s="21"/>
      <c r="J11" s="21"/>
      <c r="K11" s="21"/>
    </row>
    <row r="12" spans="1:17" ht="14.25">
      <c r="A12" s="21"/>
      <c r="B12" s="32"/>
      <c r="C12" s="21"/>
      <c r="D12" s="21"/>
      <c r="E12" s="21"/>
      <c r="F12" s="21"/>
      <c r="G12" s="21"/>
      <c r="H12" s="21"/>
      <c r="I12" s="21"/>
      <c r="J12" s="21"/>
      <c r="K12" s="21"/>
    </row>
    <row r="13" spans="1:17" ht="14.25">
      <c r="A13" s="21"/>
      <c r="B13" s="32"/>
      <c r="C13" s="21"/>
      <c r="D13" s="21"/>
      <c r="E13" s="21"/>
      <c r="F13" s="21"/>
      <c r="G13" s="21"/>
      <c r="H13" s="21"/>
      <c r="I13" s="21"/>
      <c r="J13" s="21"/>
      <c r="K13" s="21"/>
    </row>
    <row r="14" spans="1:17" ht="14.25">
      <c r="A14" s="21"/>
      <c r="B14" s="32"/>
      <c r="C14" s="21"/>
      <c r="D14" s="21"/>
      <c r="E14" s="21"/>
      <c r="F14" s="21"/>
      <c r="G14" s="21"/>
      <c r="H14" s="21"/>
      <c r="I14" s="21"/>
      <c r="J14" s="21"/>
      <c r="K14" s="21"/>
    </row>
    <row r="15" spans="1:17" ht="14.25">
      <c r="A15" s="21"/>
      <c r="B15" s="32"/>
      <c r="C15" s="21"/>
      <c r="D15" s="21"/>
      <c r="E15" s="21"/>
      <c r="F15" s="21"/>
      <c r="G15" s="21"/>
      <c r="H15" s="21"/>
      <c r="I15" s="21"/>
      <c r="J15" s="21"/>
      <c r="K15" s="21"/>
    </row>
    <row r="16" spans="1:17"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3.9">
      <c r="C329" s="21"/>
      <c r="D329" s="21"/>
      <c r="E329" s="21"/>
      <c r="F329" s="22"/>
      <c r="G329" s="21"/>
      <c r="H329" s="21"/>
      <c r="I329" s="22"/>
      <c r="J329" s="21"/>
      <c r="K329" s="21"/>
    </row>
  </sheetData>
  <mergeCells count="4">
    <mergeCell ref="G1:I1"/>
    <mergeCell ref="A1:C1"/>
    <mergeCell ref="D1:F1"/>
    <mergeCell ref="A2:B2"/>
  </mergeCells>
  <conditionalFormatting sqref="F2 I2 F4:F87 I4:I87">
    <cfRule type="cellIs" dxfId="32" priority="3" stopIfTrue="1" operator="lessThanOrEqual">
      <formula>-0.1</formula>
    </cfRule>
    <cfRule type="expression" dxfId="31" priority="4">
      <formula>AND(ISNUMBER(F2), F2&gt;=0.1)</formula>
    </cfRule>
  </conditionalFormatting>
  <hyperlinks>
    <hyperlink ref="K4" r:id="rId1" display="https://us3.assetplanner.com/service_request?ID=098364" xr:uid="{BAB12039-9BD3-4BD0-886A-4ECAEF7AB914}"/>
    <hyperlink ref="L4" r:id="rId2" display="https://us3.assetplanner.com/service_request?ID=099220" xr:uid="{FC693153-DC4C-4072-8408-52DFC7AF7B63}"/>
    <hyperlink ref="M4" r:id="rId3" display="https://us3.assetplanner.com/service_request?ID=099222" xr:uid="{439BDE70-BB25-4E4F-A71F-09795D42F7CA}"/>
    <hyperlink ref="N4" r:id="rId4" display="https://us3.assetplanner.com/service_request?ID=099295" xr:uid="{83217E1F-3D35-41E7-B551-D7AFC6A9C1AA}"/>
    <hyperlink ref="O4" r:id="rId5" display="https://us3.assetplanner.com/service_request?ID=099221" xr:uid="{613E78AE-10EE-4926-81CD-6FDB007A25F3}"/>
    <hyperlink ref="P4" r:id="rId6" display="https://us3.assetplanner.com/service_request?ID=095849" xr:uid="{901D640C-B70A-4D09-B303-CD748E6A6301}"/>
    <hyperlink ref="Q4" r:id="rId7" display="https://us3.assetplanner.com/service_request?ID=099224" xr:uid="{2AA371F8-1835-4961-9424-C68F8DFF4842}"/>
    <hyperlink ref="K5" r:id="rId8" display="https://us3.assetplanner.com/service_request?ID=097728" xr:uid="{290E5873-5915-4E55-8D8F-173BC98DA3E4}"/>
    <hyperlink ref="L5" r:id="rId9" display="https://us3.assetplanner.com/service_request?ID=098569" xr:uid="{B8C7C021-BAE2-4A6F-B767-87924F900F75}"/>
    <hyperlink ref="M5" r:id="rId10" display="https://us3.assetplanner.com/service_request?ID=096181" xr:uid="{DF1AF786-3DC1-46D9-BE2F-77BC401FD397}"/>
    <hyperlink ref="N5" r:id="rId11" display="https://us3.assetplanner.com/service_request?ID=098568" xr:uid="{A8F60548-5483-4E68-AB00-FF89D52F08C4}"/>
    <hyperlink ref="K6" r:id="rId12" display="https://us3.assetplanner.com/service_request?ID=098302" xr:uid="{3306C2D3-381C-41F8-80AE-F298A552F90B}"/>
    <hyperlink ref="L6" r:id="rId13" display="https://us3.assetplanner.com/service_request?ID=098925" xr:uid="{BAF36F4E-B293-4EAF-A241-318894037937}"/>
    <hyperlink ref="M6" r:id="rId14" display="https://us3.assetplanner.com/service_request?ID=099141" xr:uid="{B8EAC716-369F-46DD-8047-D43675B887D5}"/>
    <hyperlink ref="N6" r:id="rId15" display="https://us3.assetplanner.com/service_request?ID=097757" xr:uid="{9366CC2E-6DFE-440A-8B4A-0C5349C11BCD}"/>
    <hyperlink ref="O6" r:id="rId16" display="https://us3.assetplanner.com/service_request?ID=098566" xr:uid="{163C79E7-6CB4-43C9-8A93-1FE0F19754C5}"/>
    <hyperlink ref="K7" r:id="rId17" display="https://us3.assetplanner.com/service_request?ID=099420" xr:uid="{6D2FB8B7-A908-47C9-8CB9-C93BBC4251AD}"/>
    <hyperlink ref="K8" r:id="rId18" display="https://us3.assetplanner.com/service_request?ID=097305" xr:uid="{5E01914B-C5E3-4826-8717-664D4C0D2405}"/>
    <hyperlink ref="L8" r:id="rId19" display="https://us3.assetplanner.com/service_request?ID=098700" xr:uid="{C0ADFAEF-189B-4618-B472-754E02C2825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R328"/>
  <sheetViews>
    <sheetView zoomScale="60" zoomScaleNormal="60" workbookViewId="0">
      <pane xSplit="2" ySplit="3" topLeftCell="C6" activePane="bottomRight" state="frozen"/>
      <selection pane="bottomRight" activeCell="J14" sqref="J14"/>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58"/>
  </cols>
  <sheetData>
    <row r="1" spans="1:18" ht="19.5" customHeight="1">
      <c r="A1" s="72" t="str" cm="1">
        <f t="array" ref="A1">portfolio</f>
        <v>True Green Capital Management LLC</v>
      </c>
      <c r="B1" s="72"/>
      <c r="C1" s="72"/>
      <c r="D1" s="73" t="s">
        <v>68</v>
      </c>
      <c r="E1" s="73"/>
      <c r="F1" s="73"/>
      <c r="G1" s="71" t="s">
        <v>69</v>
      </c>
      <c r="H1" s="71"/>
      <c r="I1" s="71"/>
      <c r="J1" s="4"/>
      <c r="K1" s="4"/>
    </row>
    <row r="2" spans="1:18" ht="19.5" customHeight="1">
      <c r="A2" s="74" t="s">
        <v>2</v>
      </c>
      <c r="B2" s="74"/>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c r="J2" s="26" t="str">
        <f ca="1">IF(AND(TODAY()&gt;DATE(2024, 4,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row>
    <row r="4" spans="1:18" ht="246.75" customHeight="1">
      <c r="A4" s="31" t="str" cm="1">
        <f t="array" ref="A4:A8">Sites[Site]</f>
        <v>Rochester - 5516 Valleyhigh NW</v>
      </c>
      <c r="B4" s="28" t="str" cm="1">
        <f t="array" ref="B4:B8">Sites[State]</f>
        <v>MN</v>
      </c>
      <c r="C4" s="24">
        <v>1778353</v>
      </c>
      <c r="D4" s="13">
        <v>1925780</v>
      </c>
      <c r="E4" s="13">
        <f t="shared" ref="E4:E7" si="0">IF(AND(ISNUMBER(C4),ISNUMBER(D4)), C4-D4, "")</f>
        <v>-147427</v>
      </c>
      <c r="F4" s="14">
        <f t="shared" ref="F4:F7" si="1">IFERROR(E4/D4, "")</f>
        <v>-7.6554435086043052E-2</v>
      </c>
      <c r="G4" s="15">
        <v>2098765</v>
      </c>
      <c r="H4" s="15">
        <f t="shared" ref="H4:H7" si="2">IF(AND(ISNUMBER(C4),ISNUMBER(G4)), C4-G4, "")</f>
        <v>-320412</v>
      </c>
      <c r="I4" s="16">
        <f t="shared" ref="I4:I7" si="3">IFERROR(H4/G4, "")</f>
        <v>-0.15266692554907291</v>
      </c>
      <c r="J4" s="46" t="s">
        <v>70</v>
      </c>
      <c r="K4" s="62" t="s">
        <v>71</v>
      </c>
      <c r="L4" s="57" t="s">
        <v>49</v>
      </c>
      <c r="M4" s="57" t="s">
        <v>47</v>
      </c>
      <c r="N4" s="57" t="s">
        <v>48</v>
      </c>
      <c r="O4" s="57" t="s">
        <v>72</v>
      </c>
      <c r="P4" s="57" t="s">
        <v>73</v>
      </c>
      <c r="Q4" s="57" t="s">
        <v>74</v>
      </c>
      <c r="R4" s="57" t="s">
        <v>51</v>
      </c>
    </row>
    <row r="5" spans="1:18" ht="71.25">
      <c r="A5" s="29" t="str">
        <v>Warsaw - Hemings</v>
      </c>
      <c r="B5" s="30" t="str">
        <v>VA</v>
      </c>
      <c r="C5" s="11">
        <v>997106.80000000098</v>
      </c>
      <c r="D5" s="18">
        <v>1042780</v>
      </c>
      <c r="E5" s="18">
        <f t="shared" si="0"/>
        <v>-45673.199999999022</v>
      </c>
      <c r="F5" s="19">
        <f t="shared" si="1"/>
        <v>-4.3799459138072289E-2</v>
      </c>
      <c r="G5" s="20">
        <v>1046855</v>
      </c>
      <c r="H5" s="20">
        <f t="shared" si="2"/>
        <v>-49748.199999999022</v>
      </c>
      <c r="I5" s="19">
        <f t="shared" si="3"/>
        <v>-4.7521576531610418E-2</v>
      </c>
      <c r="J5" s="45" t="s">
        <v>75</v>
      </c>
      <c r="K5" s="56" t="s">
        <v>76</v>
      </c>
      <c r="L5" s="57" t="s">
        <v>77</v>
      </c>
      <c r="M5" s="57" t="s">
        <v>56</v>
      </c>
      <c r="N5" s="57" t="s">
        <v>78</v>
      </c>
    </row>
    <row r="6" spans="1:18" ht="228">
      <c r="A6" s="31" t="str">
        <v>Mount Jackson - Randolf</v>
      </c>
      <c r="B6" s="28" t="str">
        <v>VA</v>
      </c>
      <c r="C6" s="24">
        <v>563764.205598898</v>
      </c>
      <c r="D6" s="13">
        <v>600437.80000000005</v>
      </c>
      <c r="E6" s="13">
        <f t="shared" si="0"/>
        <v>-36673.594401102047</v>
      </c>
      <c r="F6" s="14">
        <f t="shared" si="1"/>
        <v>-6.1078090688331158E-2</v>
      </c>
      <c r="G6" s="15">
        <v>698984.1</v>
      </c>
      <c r="H6" s="15">
        <f t="shared" si="2"/>
        <v>-135219.89440110198</v>
      </c>
      <c r="I6" s="16">
        <f t="shared" si="3"/>
        <v>-0.19345203188613586</v>
      </c>
      <c r="J6" s="46" t="s">
        <v>79</v>
      </c>
      <c r="K6" s="62" t="s">
        <v>80</v>
      </c>
      <c r="L6" s="57" t="s">
        <v>81</v>
      </c>
      <c r="M6" s="57" t="s">
        <v>82</v>
      </c>
      <c r="N6" s="57" t="s">
        <v>83</v>
      </c>
      <c r="O6" s="57" t="s">
        <v>83</v>
      </c>
      <c r="P6" s="57" t="s">
        <v>84</v>
      </c>
      <c r="Q6" s="57" t="s">
        <v>62</v>
      </c>
    </row>
    <row r="7" spans="1:18" ht="99.75">
      <c r="A7" s="29" t="str">
        <v>Callands Gretna - Monroe</v>
      </c>
      <c r="B7" s="30" t="str">
        <v>VA</v>
      </c>
      <c r="C7" s="11">
        <v>465408</v>
      </c>
      <c r="D7" s="18">
        <v>0</v>
      </c>
      <c r="E7" s="18">
        <f t="shared" si="0"/>
        <v>465408</v>
      </c>
      <c r="F7" s="19" t="str">
        <f t="shared" si="1"/>
        <v/>
      </c>
      <c r="G7" s="20">
        <v>460255.2</v>
      </c>
      <c r="H7" s="20">
        <f t="shared" si="2"/>
        <v>5152.7999999999884</v>
      </c>
      <c r="I7" s="19">
        <f t="shared" si="3"/>
        <v>1.1195528046179572E-2</v>
      </c>
      <c r="J7" s="45" t="s">
        <v>85</v>
      </c>
      <c r="K7" s="56" t="s">
        <v>86</v>
      </c>
      <c r="L7" s="57" t="s">
        <v>87</v>
      </c>
      <c r="M7" s="57" t="s">
        <v>88</v>
      </c>
    </row>
    <row r="8" spans="1:18" ht="201.75" customHeight="1">
      <c r="A8" s="31" t="str">
        <v>Rockbridge Baths - Small Mouth Bass</v>
      </c>
      <c r="B8" s="28" t="str">
        <v>VA</v>
      </c>
      <c r="C8" s="24">
        <v>0</v>
      </c>
      <c r="D8" s="13">
        <v>0</v>
      </c>
      <c r="E8" s="13"/>
      <c r="F8" s="14"/>
      <c r="G8" s="15">
        <v>0</v>
      </c>
      <c r="H8" s="15"/>
      <c r="I8" s="16"/>
      <c r="J8" s="46" t="s">
        <v>89</v>
      </c>
      <c r="K8" s="55" t="s">
        <v>90</v>
      </c>
      <c r="L8" s="57" t="s">
        <v>67</v>
      </c>
      <c r="M8" s="57" t="s">
        <v>91</v>
      </c>
      <c r="N8" s="57" t="s">
        <v>92</v>
      </c>
      <c r="O8" s="57" t="s">
        <v>93</v>
      </c>
    </row>
    <row r="9" spans="1:18" ht="14.25">
      <c r="A9" s="21"/>
      <c r="B9" s="32"/>
      <c r="C9" s="21"/>
      <c r="D9" s="21"/>
      <c r="E9" s="21"/>
      <c r="F9" s="21"/>
      <c r="G9" s="21"/>
      <c r="H9" s="21"/>
      <c r="I9" s="21"/>
      <c r="J9" s="21"/>
      <c r="K9" s="21"/>
    </row>
    <row r="10" spans="1:18" ht="14.25">
      <c r="A10" s="21"/>
      <c r="B10" s="32"/>
      <c r="C10" s="21"/>
      <c r="D10" s="21"/>
      <c r="E10" s="21"/>
      <c r="F10" s="21"/>
      <c r="G10" s="21"/>
      <c r="H10" s="21"/>
      <c r="I10" s="21"/>
      <c r="J10" s="21"/>
      <c r="K10" s="21"/>
    </row>
    <row r="11" spans="1:18" ht="14.25">
      <c r="A11" s="21"/>
      <c r="B11" s="32"/>
      <c r="C11" s="21"/>
      <c r="D11" s="21"/>
      <c r="E11" s="21"/>
      <c r="F11" s="21"/>
      <c r="G11" s="21"/>
      <c r="H11" s="21"/>
      <c r="I11" s="21"/>
      <c r="J11" s="21"/>
      <c r="K11" s="21"/>
    </row>
    <row r="12" spans="1:18" ht="14.25">
      <c r="A12" s="21"/>
      <c r="B12" s="32"/>
      <c r="C12" s="21"/>
      <c r="D12" s="21"/>
      <c r="E12" s="21"/>
      <c r="F12" s="21"/>
      <c r="G12" s="21"/>
      <c r="H12" s="21"/>
      <c r="I12" s="21"/>
      <c r="J12" s="21"/>
      <c r="K12" s="21"/>
    </row>
    <row r="13" spans="1:18" ht="14.25">
      <c r="A13" s="21"/>
      <c r="B13" s="32"/>
      <c r="C13" s="21"/>
      <c r="D13" s="21"/>
      <c r="E13" s="21"/>
      <c r="F13" s="21"/>
      <c r="G13" s="21"/>
      <c r="H13" s="21"/>
      <c r="I13" s="21"/>
      <c r="J13" s="21"/>
      <c r="K13" s="21"/>
    </row>
    <row r="14" spans="1:18" ht="14.25">
      <c r="A14" s="21"/>
      <c r="B14" s="32"/>
      <c r="C14" s="21"/>
      <c r="D14" s="21"/>
      <c r="E14" s="21"/>
      <c r="F14" s="21"/>
      <c r="G14" s="21"/>
      <c r="H14" s="21"/>
      <c r="I14" s="21"/>
      <c r="J14" s="21"/>
      <c r="K14" s="21"/>
    </row>
    <row r="15" spans="1:18" ht="14.25">
      <c r="A15" s="21"/>
      <c r="B15" s="32"/>
      <c r="C15" s="21"/>
      <c r="D15" s="21"/>
      <c r="E15" s="21"/>
      <c r="F15" s="21"/>
      <c r="G15" s="21"/>
      <c r="H15" s="21"/>
      <c r="I15" s="21"/>
      <c r="J15" s="21"/>
      <c r="K15" s="21"/>
    </row>
    <row r="16" spans="1:18"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3.9">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0" priority="3" stopIfTrue="1" operator="lessThanOrEqual">
      <formula>-0.1</formula>
    </cfRule>
    <cfRule type="expression" dxfId="29" priority="4">
      <formula>AND(ISNUMBER(F2), F2&gt;=0.1)</formula>
    </cfRule>
  </conditionalFormatting>
  <hyperlinks>
    <hyperlink ref="K4" r:id="rId1" display="https://us3.assetplanner.com/service_request?ID=099220" xr:uid="{87A1119B-554E-4562-AD6E-8812B5744A83}"/>
    <hyperlink ref="L4" r:id="rId2" display="https://us3.assetplanner.com/service_request?ID=099221" xr:uid="{3AD5FCEC-E84C-4066-BB70-90D07E237F5A}"/>
    <hyperlink ref="M4" r:id="rId3" display="https://us3.assetplanner.com/service_request?ID=099222" xr:uid="{7BB2D7B8-72E6-4F2B-AE20-01B5FE515848}"/>
    <hyperlink ref="N4" r:id="rId4" display="https://us3.assetplanner.com/service_request?ID=099295" xr:uid="{5D5F950F-E936-44B7-9C09-2CBBC907333B}"/>
    <hyperlink ref="O4" r:id="rId5" display="https://us3.assetplanner.com/service_request?ID=099759" xr:uid="{4CB6F409-F57A-4EF8-98C8-4247A32F9FA4}"/>
    <hyperlink ref="P4" r:id="rId6" display="https://us3.assetplanner.com/service_request?ID=099835" xr:uid="{7D33D7AF-0C25-446B-BB80-EF81D7FDFDCD}"/>
    <hyperlink ref="Q4" r:id="rId7" display="https://us3.assetplanner.com/service_request?ID=099913" xr:uid="{CE766619-7B44-47D5-9A46-B4BB99412D13}"/>
    <hyperlink ref="R4" r:id="rId8" display="https://us3.assetplanner.com/service_request?ID=099224" xr:uid="{6462D3E9-8DA1-4E49-AFAC-C3FE07278708}"/>
    <hyperlink ref="K5" r:id="rId9" display="https://us3.assetplanner.com/service_request?ID=098569" xr:uid="{B3ADD3AA-E6D5-46D8-B59E-A76221D33044}"/>
    <hyperlink ref="L5" r:id="rId10" display="https://us3.assetplanner.com/service_request?ID=099625" xr:uid="{D3C3F113-FE4F-42AD-80A0-E5A87C1D9BBC}"/>
    <hyperlink ref="M5" r:id="rId11" display="https://us3.assetplanner.com/service_request?ID=098568" xr:uid="{81DDABC6-AC52-4305-A93C-AAC655635A53}"/>
    <hyperlink ref="N5" r:id="rId12" display="https://us3.assetplanner.com/service_request?ID=098376" xr:uid="{48C7A59D-38DA-443A-AB3F-0E788629BFAE}"/>
    <hyperlink ref="K6" r:id="rId13" display="https://us3.assetplanner.com/service_request?ID=099141" xr:uid="{1A442AF4-4C09-4D6E-8FEE-BEB60819F2EB}"/>
    <hyperlink ref="L6" r:id="rId14" display="https://us3.assetplanner.com/service_request?ID=099914" xr:uid="{183B04E1-BC00-4CAD-9576-2FEBB0318358}"/>
    <hyperlink ref="M6" r:id="rId15" display="https://us3.assetplanner.com/service_request?ID=100087" xr:uid="{2DC65515-2A9E-4E6D-93DD-F086B7760B04}"/>
    <hyperlink ref="N6" r:id="rId16" display="https://us3.assetplanner.com/service_request?ID=100473" xr:uid="{15C540EA-93E3-466E-B728-167099F49B3D}"/>
    <hyperlink ref="O6" r:id="rId17" display="https://us3.assetplanner.com/service_request?ID=100473" xr:uid="{15422BA9-78EA-4B3A-B61E-387093D90F7E}"/>
    <hyperlink ref="P6" r:id="rId18" display="https://us3.assetplanner.com/service_request?ID=100673" xr:uid="{60FA459F-64AC-4880-9236-4295E68D924E}"/>
    <hyperlink ref="Q6" r:id="rId19" display="https://us3.assetplanner.com/service_request?ID=098566" xr:uid="{026D6064-15FB-4EAA-9030-F15E2A697A5C}"/>
    <hyperlink ref="K7" r:id="rId20" display="https://us3.assetplanner.com/service_request?ID=098567" xr:uid="{9E4BBBCA-3F4D-4087-8CDA-16FA393E0C22}"/>
    <hyperlink ref="L7" r:id="rId21" display="https://us3.assetplanner.com/service_request?ID=099419" xr:uid="{EDB7BE29-1161-426A-B9EA-BF4D71D7882B}"/>
    <hyperlink ref="M7" r:id="rId22" display="https://us3.assetplanner.com/service_request?ID=099420" xr:uid="{019D6991-DA1C-4BBE-8E5F-0C7F9E54AA69}"/>
    <hyperlink ref="K8" r:id="rId23" display="https://us3.assetplanner.com/service_request?ID=097305" xr:uid="{E6220E13-5FB1-48E2-94CF-A4908299CEEA}"/>
    <hyperlink ref="L8" r:id="rId24" display="https://us3.assetplanner.com/service_request?ID=098700" xr:uid="{DA23C773-45A2-4576-968D-5E6BA6FD0F34}"/>
    <hyperlink ref="M8" r:id="rId25" display="https://us3.assetplanner.com/service_request?ID=099878" xr:uid="{785FE2DC-7D34-4740-BDCC-13F1F68D61AF}"/>
    <hyperlink ref="N8" r:id="rId26" display="https://us3.assetplanner.com/service_request?ID=100221" xr:uid="{81914044-939E-40C0-B2E1-076650C5D119}"/>
    <hyperlink ref="O8" r:id="rId27" display="https://us3.assetplanner.com/service_request?ID=100415" xr:uid="{AAE97A80-8EB4-4C39-9F3F-139439D5A3A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7"/>
  <sheetViews>
    <sheetView tabSelected="1" zoomScale="80" zoomScaleNormal="80" workbookViewId="0">
      <pane xSplit="2" ySplit="3" topLeftCell="C4" activePane="bottomRight" state="frozen"/>
      <selection pane="bottomRight" activeCell="M7" sqref="M7"/>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2" t="str" cm="1">
        <f t="array" ref="A1">portfolio</f>
        <v>True Green Capital Management LLC</v>
      </c>
      <c r="B1" s="72"/>
      <c r="C1" s="72"/>
      <c r="D1" s="73" t="s">
        <v>94</v>
      </c>
      <c r="E1" s="73"/>
      <c r="F1" s="73"/>
      <c r="G1" s="71" t="s">
        <v>95</v>
      </c>
      <c r="H1" s="71"/>
      <c r="I1" s="71"/>
      <c r="J1" s="4"/>
      <c r="K1" s="4"/>
    </row>
    <row r="2" spans="1:11" ht="19.5" customHeight="1">
      <c r="A2" s="74" t="s">
        <v>2</v>
      </c>
      <c r="B2" s="74"/>
      <c r="C2" s="5">
        <f>SUM(C4:C85)</f>
        <v>4487672.7999999989</v>
      </c>
      <c r="D2" s="5">
        <f>SUM(D4:D85)</f>
        <v>3583658.8</v>
      </c>
      <c r="E2" s="5">
        <f>C2-D2</f>
        <v>904013.99999999907</v>
      </c>
      <c r="F2" s="6">
        <f>IFERROR(E2/D2, 0)</f>
        <v>0.2522600644905143</v>
      </c>
      <c r="G2" s="5">
        <f>SUM(G4:G85)</f>
        <v>5450570.1000000006</v>
      </c>
      <c r="H2" s="7">
        <f>C2-G2</f>
        <v>-962897.30000000168</v>
      </c>
      <c r="I2" s="6">
        <f>IFERROR(H2/G2, 0)</f>
        <v>-0.17665992406922748</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277.5" customHeight="1">
      <c r="A4" s="47" t="str" cm="1">
        <f t="array" ref="A4:A8">Sites[Site]</f>
        <v>Rochester - 5516 Valleyhigh NW</v>
      </c>
      <c r="B4" s="28" t="str" cm="1">
        <f t="array" ref="B4:B8">Sites[State]</f>
        <v>MN</v>
      </c>
      <c r="C4" s="24">
        <v>2339962</v>
      </c>
      <c r="D4" s="13">
        <v>2505562</v>
      </c>
      <c r="E4" s="13">
        <f t="shared" ref="E4:E8" si="0">IF(AND(ISNUMBER(C4),ISNUMBER(D4)), C4-D4, "")</f>
        <v>-165600</v>
      </c>
      <c r="F4" s="14">
        <f t="shared" ref="F4:F8" si="1">IFERROR(E4/D4, "")</f>
        <v>-6.609295639062214E-2</v>
      </c>
      <c r="G4" s="15">
        <v>2449711</v>
      </c>
      <c r="H4" s="15">
        <f t="shared" ref="H4:H8" si="2">IF(AND(ISNUMBER(C4),ISNUMBER(G4)), C4-G4, "")</f>
        <v>-109749</v>
      </c>
      <c r="I4" s="16">
        <f t="shared" ref="I4:I8" si="3">IFERROR(H4/G4, "")</f>
        <v>-4.4800794869272333E-2</v>
      </c>
      <c r="J4" s="46" t="s">
        <v>96</v>
      </c>
      <c r="K4" s="62" t="s">
        <v>97</v>
      </c>
    </row>
    <row r="5" spans="1:11" ht="30.75">
      <c r="A5" s="29" t="str">
        <v>Warsaw - Hemings</v>
      </c>
      <c r="B5" s="30" t="str">
        <v>VA</v>
      </c>
      <c r="C5" s="11">
        <v>987436.89999999898</v>
      </c>
      <c r="D5" s="18">
        <v>394357.6</v>
      </c>
      <c r="E5" s="18">
        <f t="shared" si="0"/>
        <v>593079.299999999</v>
      </c>
      <c r="F5" s="19">
        <f t="shared" si="1"/>
        <v>1.5039124388625933</v>
      </c>
      <c r="G5" s="20">
        <v>1178200</v>
      </c>
      <c r="H5" s="20">
        <f t="shared" si="2"/>
        <v>-190763.10000000102</v>
      </c>
      <c r="I5" s="19">
        <f t="shared" si="3"/>
        <v>-0.1619106263792234</v>
      </c>
      <c r="J5" s="45" t="s">
        <v>98</v>
      </c>
      <c r="K5" s="56" t="s">
        <v>99</v>
      </c>
    </row>
    <row r="6" spans="1:11" ht="91.5">
      <c r="A6" s="31" t="str">
        <v>Mount Jackson - Randolf</v>
      </c>
      <c r="B6" s="28" t="str">
        <v>VA</v>
      </c>
      <c r="C6" s="24">
        <v>508599.4</v>
      </c>
      <c r="D6" s="13">
        <v>563615.19999999995</v>
      </c>
      <c r="E6" s="13">
        <f t="shared" si="0"/>
        <v>-55015.79999999993</v>
      </c>
      <c r="F6" s="14">
        <f t="shared" si="1"/>
        <v>-9.7612342605380292E-2</v>
      </c>
      <c r="G6" s="15">
        <v>757224.9</v>
      </c>
      <c r="H6" s="15">
        <f t="shared" si="2"/>
        <v>-248625.5</v>
      </c>
      <c r="I6" s="16">
        <f t="shared" si="3"/>
        <v>-0.3283377237066557</v>
      </c>
      <c r="J6" s="46" t="s">
        <v>100</v>
      </c>
      <c r="K6" s="62" t="s">
        <v>101</v>
      </c>
    </row>
    <row r="7" spans="1:11" ht="61.5" customHeight="1">
      <c r="A7" s="29" t="str">
        <v>Callands Gretna - Monroe</v>
      </c>
      <c r="B7" s="30" t="str">
        <v>VA</v>
      </c>
      <c r="C7" s="11">
        <v>444464</v>
      </c>
      <c r="D7" s="18">
        <v>120124</v>
      </c>
      <c r="E7" s="18">
        <f t="shared" si="0"/>
        <v>324340</v>
      </c>
      <c r="F7" s="19">
        <f t="shared" si="1"/>
        <v>2.700043288601778</v>
      </c>
      <c r="G7" s="20">
        <v>527749.19999999995</v>
      </c>
      <c r="H7" s="20">
        <f t="shared" si="2"/>
        <v>-83285.199999999953</v>
      </c>
      <c r="I7" s="19">
        <f t="shared" si="3"/>
        <v>-0.15781208195104787</v>
      </c>
      <c r="J7" s="45" t="s">
        <v>102</v>
      </c>
      <c r="K7" s="56" t="s">
        <v>103</v>
      </c>
    </row>
    <row r="8" spans="1:11" ht="37.5" customHeight="1">
      <c r="A8" s="31" t="str">
        <v>Rockbridge Baths - Small Mouth Bass</v>
      </c>
      <c r="B8" s="28" t="str">
        <v>VA</v>
      </c>
      <c r="C8" s="24">
        <v>207210.5</v>
      </c>
      <c r="D8" s="13">
        <v>0</v>
      </c>
      <c r="E8" s="13">
        <f t="shared" si="0"/>
        <v>207210.5</v>
      </c>
      <c r="F8" s="14" t="str">
        <f t="shared" si="1"/>
        <v/>
      </c>
      <c r="G8" s="15">
        <v>537685</v>
      </c>
      <c r="H8" s="15">
        <f t="shared" si="2"/>
        <v>-330474.5</v>
      </c>
      <c r="I8" s="16">
        <f t="shared" si="3"/>
        <v>-0.61462473381254823</v>
      </c>
      <c r="J8" s="46" t="s">
        <v>104</v>
      </c>
      <c r="K8" s="62" t="s">
        <v>105</v>
      </c>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1"/>
      <c r="G13" s="21"/>
      <c r="H13" s="21"/>
      <c r="I13" s="21"/>
      <c r="J13" s="21"/>
      <c r="K13" s="21"/>
    </row>
    <row r="14" spans="1:11" ht="14.25">
      <c r="A14" s="21"/>
      <c r="B14" s="32"/>
      <c r="C14" s="21"/>
      <c r="D14" s="21"/>
      <c r="E14" s="21"/>
      <c r="F14" s="21"/>
      <c r="G14" s="21"/>
      <c r="H14" s="21"/>
      <c r="I14" s="21"/>
      <c r="J14" s="21"/>
      <c r="K14" s="21"/>
    </row>
    <row r="15" spans="1:11" ht="14.25">
      <c r="A15" s="21"/>
      <c r="B15" s="32"/>
      <c r="C15" s="21"/>
      <c r="D15" s="21"/>
      <c r="E15" s="21"/>
      <c r="F15" s="21"/>
      <c r="G15" s="21"/>
      <c r="H15" s="21"/>
      <c r="I15" s="21"/>
      <c r="J15" s="21"/>
      <c r="K15" s="21"/>
    </row>
    <row r="16" spans="1:11"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3.9">
      <c r="C327" s="21"/>
      <c r="D327" s="21"/>
      <c r="E327" s="21"/>
      <c r="F327" s="22"/>
      <c r="G327" s="21"/>
      <c r="H327" s="21"/>
      <c r="I327" s="22"/>
      <c r="J327" s="21"/>
      <c r="K327" s="21"/>
    </row>
  </sheetData>
  <mergeCells count="4">
    <mergeCell ref="G1:I1"/>
    <mergeCell ref="A1:C1"/>
    <mergeCell ref="D1:F1"/>
    <mergeCell ref="A2:B2"/>
  </mergeCells>
  <conditionalFormatting sqref="F2 I2 F4:F85 I4:I85">
    <cfRule type="cellIs" dxfId="28" priority="3" stopIfTrue="1" operator="lessThanOrEqual">
      <formula>-0.1</formula>
    </cfRule>
    <cfRule type="expression" dxfId="27" priority="4">
      <formula>AND(ISNUMBER(F2), F2&gt;=0.1)</formula>
    </cfRule>
  </conditionalFormatting>
  <hyperlinks>
    <hyperlink ref="K4" r:id="rId1" display="https://us3.assetplanner.com/service_request?ID=100960" xr:uid="{186189E3-B591-470F-8D96-7EEF5CEAE81A}"/>
    <hyperlink ref="K5" r:id="rId2" display="https://us3.assetplanner.com/service_request?ID=102509" xr:uid="{4FB46955-5C74-4D99-A08B-F5C52EAE3E9D}"/>
    <hyperlink ref="K6" r:id="rId3" display="https://us3.assetplanner.com/service_request?ID=100087" xr:uid="{9BA9BF8C-B86D-42A6-A27D-E806F0874906}"/>
    <hyperlink ref="K7" r:id="rId4" display="https://us3.assetplanner.com/service_request?ID=099420" xr:uid="{97FD8BC1-B1DF-43AF-AE10-46CA2A51CE99}"/>
    <hyperlink ref="K8" r:id="rId5" display="https://us3.assetplanner.com/service_request?ID=101462" xr:uid="{B65F8F93-DE6A-4BAE-BEC4-5C51C422B95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37"/>
  <sheetViews>
    <sheetView zoomScale="70" zoomScaleNormal="70" workbookViewId="0">
      <pane xSplit="2" ySplit="3" topLeftCell="F6" activePane="bottomRight" state="frozen"/>
      <selection pane="bottomRight" activeCell="F23" sqref="F23"/>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72" t="str" cm="1">
        <f t="array" ref="A1">portfolio</f>
        <v>True Green Capital Management LLC</v>
      </c>
      <c r="B1" s="72"/>
      <c r="C1" s="72"/>
      <c r="D1" s="73" t="s">
        <v>106</v>
      </c>
      <c r="E1" s="73"/>
      <c r="F1" s="73"/>
      <c r="G1" s="71" t="s">
        <v>107</v>
      </c>
      <c r="H1" s="71"/>
      <c r="I1" s="71"/>
      <c r="J1" s="4"/>
      <c r="K1" s="4"/>
    </row>
    <row r="2" spans="1:14" ht="19.5" customHeight="1">
      <c r="A2" s="74" t="s">
        <v>2</v>
      </c>
      <c r="B2" s="74"/>
      <c r="C2" s="5">
        <f>SUM(C4:C95)</f>
        <v>0</v>
      </c>
      <c r="D2" s="5">
        <f>SUM(D4:D95)</f>
        <v>0</v>
      </c>
      <c r="E2" s="5">
        <f>C2-D2</f>
        <v>0</v>
      </c>
      <c r="F2" s="6">
        <f>IFERROR(E2/D2, 0)</f>
        <v>0</v>
      </c>
      <c r="G2" s="5">
        <f>SUM(G4:G95)</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91.25" customHeight="1">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20"/>
      <c r="H4" s="20" t="str">
        <f t="shared" ref="H4:H12" si="2">IF(AND(ISNUMBER(C4),ISNUMBER(G4)), C4-G4, "")</f>
        <v/>
      </c>
      <c r="I4" s="19" t="str">
        <f t="shared" ref="I4:I12" si="3">IFERROR(H4/G4, "")</f>
        <v/>
      </c>
      <c r="J4" s="45"/>
      <c r="K4" s="45"/>
      <c r="L4" s="21"/>
      <c r="M4" s="21"/>
      <c r="N4" s="21"/>
    </row>
    <row r="5" spans="1:14" ht="67.5" customHeight="1">
      <c r="A5" s="47" t="str">
        <v>Warsaw - Hemings</v>
      </c>
      <c r="B5" s="28" t="str">
        <v>VA</v>
      </c>
      <c r="C5" s="24"/>
      <c r="D5" s="13"/>
      <c r="E5" s="13" t="str">
        <f t="shared" si="0"/>
        <v/>
      </c>
      <c r="F5" s="14" t="str">
        <f t="shared" si="1"/>
        <v/>
      </c>
      <c r="G5" s="15"/>
      <c r="H5" s="15" t="str">
        <f t="shared" si="2"/>
        <v/>
      </c>
      <c r="I5" s="16" t="str">
        <f t="shared" si="3"/>
        <v/>
      </c>
      <c r="J5" s="46"/>
      <c r="K5" s="46"/>
      <c r="L5" s="21"/>
      <c r="M5" s="21"/>
      <c r="N5" s="21"/>
    </row>
    <row r="6" spans="1:14" ht="165.75" customHeight="1">
      <c r="A6" s="29" t="str">
        <v>Mount Jackson - Randolf</v>
      </c>
      <c r="B6" s="30" t="str">
        <v>VA</v>
      </c>
      <c r="C6" s="11"/>
      <c r="D6" s="18"/>
      <c r="E6" s="18" t="str">
        <f t="shared" si="0"/>
        <v/>
      </c>
      <c r="F6" s="19" t="str">
        <f t="shared" si="1"/>
        <v/>
      </c>
      <c r="G6" s="20"/>
      <c r="H6" s="20" t="str">
        <f t="shared" si="2"/>
        <v/>
      </c>
      <c r="I6" s="19" t="str">
        <f t="shared" si="3"/>
        <v/>
      </c>
      <c r="J6" s="45"/>
      <c r="K6" s="45"/>
      <c r="L6" s="21"/>
      <c r="M6" s="21"/>
      <c r="N6" s="21"/>
    </row>
    <row r="7" spans="1:14" ht="81" customHeight="1">
      <c r="A7" s="47" t="str">
        <v>Callands Gretna - Monroe</v>
      </c>
      <c r="B7" s="28" t="str">
        <v>VA</v>
      </c>
      <c r="C7" s="24"/>
      <c r="D7" s="13"/>
      <c r="E7" s="13" t="str">
        <f t="shared" si="0"/>
        <v/>
      </c>
      <c r="F7" s="14" t="str">
        <f t="shared" si="1"/>
        <v/>
      </c>
      <c r="G7" s="15"/>
      <c r="H7" s="15" t="str">
        <f t="shared" si="2"/>
        <v/>
      </c>
      <c r="I7" s="16" t="str">
        <f t="shared" si="3"/>
        <v/>
      </c>
      <c r="J7" s="46"/>
      <c r="K7" s="46"/>
      <c r="L7" s="21"/>
      <c r="M7" s="21"/>
      <c r="N7" s="21"/>
    </row>
    <row r="8" spans="1:14" ht="51" customHeight="1">
      <c r="A8" s="29" t="str">
        <v>Rockbridge Baths - Small Mouth Bass</v>
      </c>
      <c r="B8" s="30" t="str">
        <v>VA</v>
      </c>
      <c r="C8" s="11"/>
      <c r="D8" s="18"/>
      <c r="E8" s="18" t="str">
        <f t="shared" si="0"/>
        <v/>
      </c>
      <c r="F8" s="19" t="str">
        <f t="shared" si="1"/>
        <v/>
      </c>
      <c r="G8" s="20"/>
      <c r="H8" s="20" t="str">
        <f t="shared" si="2"/>
        <v/>
      </c>
      <c r="I8" s="19" t="str">
        <f t="shared" si="3"/>
        <v/>
      </c>
      <c r="J8" s="45"/>
      <c r="K8" s="45"/>
      <c r="L8" s="21"/>
      <c r="M8" s="21"/>
      <c r="N8" s="21"/>
    </row>
    <row r="9" spans="1:14" ht="13.15">
      <c r="A9" s="21"/>
      <c r="B9" s="21"/>
      <c r="C9" s="21"/>
      <c r="D9" s="21"/>
      <c r="E9" s="21" t="str">
        <f t="shared" si="0"/>
        <v/>
      </c>
      <c r="F9" s="21" t="str">
        <f t="shared" si="1"/>
        <v/>
      </c>
      <c r="G9" s="21"/>
      <c r="H9" s="21" t="str">
        <f t="shared" si="2"/>
        <v/>
      </c>
      <c r="I9" s="21" t="str">
        <f t="shared" si="3"/>
        <v/>
      </c>
      <c r="J9" s="21"/>
      <c r="K9" s="21"/>
      <c r="L9" s="21"/>
      <c r="M9" s="21"/>
      <c r="N9" s="21"/>
    </row>
    <row r="10" spans="1:14" ht="13.15">
      <c r="A10" s="21"/>
      <c r="B10" s="21"/>
      <c r="C10" s="21"/>
      <c r="D10" s="21"/>
      <c r="E10" s="21" t="str">
        <f t="shared" si="0"/>
        <v/>
      </c>
      <c r="F10" s="21" t="str">
        <f t="shared" si="1"/>
        <v/>
      </c>
      <c r="G10" s="21"/>
      <c r="H10" s="21" t="str">
        <f t="shared" si="2"/>
        <v/>
      </c>
      <c r="I10" s="21" t="str">
        <f t="shared" si="3"/>
        <v/>
      </c>
      <c r="J10" s="21"/>
      <c r="K10" s="21"/>
      <c r="L10" s="21"/>
      <c r="M10" s="21"/>
      <c r="N10" s="21"/>
    </row>
    <row r="11" spans="1:14" ht="13.15">
      <c r="A11" s="21"/>
      <c r="B11" s="21"/>
      <c r="C11" s="21"/>
      <c r="D11" s="21"/>
      <c r="E11" s="21" t="str">
        <f t="shared" si="0"/>
        <v/>
      </c>
      <c r="F11" s="21" t="str">
        <f t="shared" si="1"/>
        <v/>
      </c>
      <c r="G11" s="21"/>
      <c r="H11" s="21" t="str">
        <f t="shared" si="2"/>
        <v/>
      </c>
      <c r="I11" s="21" t="str">
        <f t="shared" si="3"/>
        <v/>
      </c>
      <c r="J11" s="21"/>
      <c r="K11" s="21"/>
      <c r="L11" s="21"/>
      <c r="M11" s="21"/>
      <c r="N11" s="21"/>
    </row>
    <row r="12" spans="1:14" ht="13.15">
      <c r="A12" s="21"/>
      <c r="B12" s="21"/>
      <c r="C12" s="21"/>
      <c r="D12" s="21"/>
      <c r="E12" s="21" t="str">
        <f t="shared" si="0"/>
        <v/>
      </c>
      <c r="F12" s="21" t="str">
        <f t="shared" si="1"/>
        <v/>
      </c>
      <c r="G12" s="21"/>
      <c r="H12" s="21" t="str">
        <f t="shared" si="2"/>
        <v/>
      </c>
      <c r="I12" s="21" t="str">
        <f t="shared" si="3"/>
        <v/>
      </c>
      <c r="J12" s="21"/>
      <c r="K12" s="21"/>
      <c r="L12" s="21"/>
      <c r="M12" s="21"/>
      <c r="N12" s="21"/>
    </row>
    <row r="13" spans="1:14" ht="12.75" customHeight="1">
      <c r="A13" s="21"/>
      <c r="B13" s="32"/>
      <c r="C13" s="21"/>
      <c r="D13" s="21"/>
      <c r="E13" s="21"/>
      <c r="F13" s="21"/>
      <c r="G13" s="21"/>
      <c r="H13" s="21"/>
      <c r="I13" s="21"/>
      <c r="J13" s="21"/>
      <c r="K13" s="21"/>
    </row>
    <row r="14" spans="1:14" ht="14.25">
      <c r="A14" s="21"/>
      <c r="B14" s="32"/>
      <c r="C14" s="21"/>
      <c r="D14" s="21"/>
      <c r="E14" s="21"/>
      <c r="F14" s="21"/>
      <c r="G14" s="21"/>
      <c r="H14" s="21"/>
      <c r="I14" s="21"/>
      <c r="J14" s="21"/>
      <c r="K14" s="21"/>
    </row>
    <row r="15" spans="1:14" ht="14.25">
      <c r="A15" s="21"/>
      <c r="B15" s="32"/>
      <c r="C15" s="21"/>
      <c r="D15" s="21"/>
      <c r="E15" s="21"/>
      <c r="F15" s="21"/>
      <c r="G15" s="21"/>
      <c r="H15" s="21"/>
      <c r="I15" s="21"/>
      <c r="J15" s="21"/>
      <c r="K15" s="21"/>
    </row>
    <row r="16" spans="1:14"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26" priority="3" stopIfTrue="1" operator="lessThanOrEqual">
      <formula>-0.1</formula>
    </cfRule>
    <cfRule type="expression" dxfId="25" priority="4">
      <formula>AND(ISNUMBER(F2), F2&gt;=0.1)</formula>
    </cfRule>
  </conditionalFormatting>
  <conditionalFormatting sqref="F13:F95 I13:I95">
    <cfRule type="cellIs" dxfId="24" priority="1" stopIfTrue="1" operator="lessThanOrEqual">
      <formula>-0.1</formula>
    </cfRule>
    <cfRule type="expression" dxfId="23" priority="2">
      <formula>AND(ISNUMBER(F13), F13&gt;=0.1)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7"/>
  <sheetViews>
    <sheetView zoomScale="80" zoomScaleNormal="8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2" t="str" cm="1">
        <f t="array" ref="A1">portfolio</f>
        <v>True Green Capital Management LLC</v>
      </c>
      <c r="B1" s="72"/>
      <c r="C1" s="72"/>
      <c r="D1" s="73" t="s">
        <v>108</v>
      </c>
      <c r="E1" s="73"/>
      <c r="F1" s="73"/>
      <c r="G1" s="71" t="s">
        <v>109</v>
      </c>
      <c r="H1" s="71"/>
      <c r="I1" s="71"/>
      <c r="J1" s="4"/>
      <c r="K1" s="4"/>
    </row>
    <row r="2" spans="1:15" ht="19.5" customHeight="1">
      <c r="A2" s="74" t="s">
        <v>2</v>
      </c>
      <c r="B2" s="74"/>
      <c r="C2" s="5">
        <f>SUM(C4:C95)</f>
        <v>0</v>
      </c>
      <c r="D2" s="5">
        <f>SUM(D4:D95)</f>
        <v>0</v>
      </c>
      <c r="E2" s="5">
        <f>C2-D2</f>
        <v>0</v>
      </c>
      <c r="F2" s="6">
        <f>IFERROR(E2/D2, 0)</f>
        <v>0</v>
      </c>
      <c r="G2" s="5">
        <f>SUM(G4:G95)</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23" t="s">
        <v>5</v>
      </c>
      <c r="D3" s="34" t="s">
        <v>6</v>
      </c>
      <c r="E3" s="34" t="s">
        <v>7</v>
      </c>
      <c r="F3" s="35" t="s">
        <v>8</v>
      </c>
      <c r="G3" s="36" t="s">
        <v>9</v>
      </c>
      <c r="H3" s="37" t="s">
        <v>7</v>
      </c>
      <c r="I3" s="38" t="s">
        <v>8</v>
      </c>
      <c r="J3" s="25" t="s">
        <v>20</v>
      </c>
      <c r="K3" s="25" t="s">
        <v>21</v>
      </c>
    </row>
    <row r="4" spans="1:15" ht="111.75" customHeight="1">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20"/>
      <c r="H4" s="20" t="str">
        <f t="shared" ref="H4:H12" si="2">IF(AND(ISNUMBER(C4),ISNUMBER(G4)), C4-G4, "")</f>
        <v/>
      </c>
      <c r="I4" s="19" t="str">
        <f t="shared" ref="I4:I12" si="3">IFERROR(H4/G4, "")</f>
        <v/>
      </c>
      <c r="J4" s="45"/>
      <c r="K4" s="45"/>
      <c r="L4" s="21"/>
      <c r="M4" s="21"/>
      <c r="N4" s="21"/>
      <c r="O4" s="21"/>
    </row>
    <row r="5" spans="1:15" ht="15.75">
      <c r="A5" s="31" t="str">
        <v>Warsaw - Hemings</v>
      </c>
      <c r="B5" s="28" t="str">
        <v>VA</v>
      </c>
      <c r="C5" s="24"/>
      <c r="D5" s="13"/>
      <c r="E5" s="13" t="str">
        <f t="shared" si="0"/>
        <v/>
      </c>
      <c r="F5" s="14" t="str">
        <f t="shared" si="1"/>
        <v/>
      </c>
      <c r="G5" s="15"/>
      <c r="H5" s="15" t="str">
        <f t="shared" si="2"/>
        <v/>
      </c>
      <c r="I5" s="16" t="str">
        <f t="shared" si="3"/>
        <v/>
      </c>
      <c r="J5" s="40"/>
      <c r="K5" s="40"/>
      <c r="L5" s="21"/>
      <c r="M5" s="21"/>
      <c r="N5" s="21"/>
      <c r="O5" s="21"/>
    </row>
    <row r="6" spans="1:15" ht="15.75">
      <c r="A6" s="29" t="str">
        <v>Mount Jackson - Randolf</v>
      </c>
      <c r="B6" s="30" t="str">
        <v>VA</v>
      </c>
      <c r="C6" s="11"/>
      <c r="D6" s="18"/>
      <c r="E6" s="18" t="str">
        <f t="shared" si="0"/>
        <v/>
      </c>
      <c r="F6" s="19" t="str">
        <f t="shared" si="1"/>
        <v/>
      </c>
      <c r="G6" s="20"/>
      <c r="H6" s="20" t="str">
        <f t="shared" si="2"/>
        <v/>
      </c>
      <c r="I6" s="19" t="str">
        <f t="shared" si="3"/>
        <v/>
      </c>
      <c r="J6" s="41"/>
      <c r="K6" s="45"/>
      <c r="L6" s="21"/>
      <c r="M6" s="21"/>
      <c r="N6" s="21"/>
      <c r="O6" s="21"/>
    </row>
    <row r="7" spans="1:15" ht="15.75">
      <c r="A7" s="31" t="str">
        <v>Callands Gretna - Monroe</v>
      </c>
      <c r="B7" s="28" t="str">
        <v>VA</v>
      </c>
      <c r="C7" s="24"/>
      <c r="D7" s="13"/>
      <c r="E7" s="13" t="str">
        <f t="shared" si="0"/>
        <v/>
      </c>
      <c r="F7" s="14" t="str">
        <f t="shared" si="1"/>
        <v/>
      </c>
      <c r="G7" s="15"/>
      <c r="H7" s="15" t="str">
        <f t="shared" si="2"/>
        <v/>
      </c>
      <c r="I7" s="16" t="str">
        <f t="shared" si="3"/>
        <v/>
      </c>
      <c r="J7" s="40"/>
      <c r="K7" s="40"/>
      <c r="L7" s="21"/>
      <c r="M7" s="21"/>
      <c r="N7" s="21"/>
      <c r="O7" s="21"/>
    </row>
    <row r="8" spans="1:15" ht="15.75">
      <c r="A8" s="29" t="str">
        <v>Rockbridge Baths - Small Mouth Bass</v>
      </c>
      <c r="B8" s="30" t="str">
        <v>VA</v>
      </c>
      <c r="C8" s="11"/>
      <c r="D8" s="18"/>
      <c r="E8" s="18" t="str">
        <f t="shared" si="0"/>
        <v/>
      </c>
      <c r="F8" s="19" t="str">
        <f t="shared" si="1"/>
        <v/>
      </c>
      <c r="G8" s="20"/>
      <c r="H8" s="20" t="str">
        <f t="shared" si="2"/>
        <v/>
      </c>
      <c r="I8" s="19" t="str">
        <f t="shared" si="3"/>
        <v/>
      </c>
      <c r="J8" s="41"/>
      <c r="K8" s="41"/>
      <c r="L8" s="21"/>
      <c r="M8" s="21"/>
      <c r="N8" s="21"/>
      <c r="O8" s="21"/>
    </row>
    <row r="9" spans="1:15" ht="13.15">
      <c r="A9" s="21"/>
      <c r="B9" s="21"/>
      <c r="C9" s="21"/>
      <c r="D9" s="21"/>
      <c r="E9" s="21" t="str">
        <f t="shared" si="0"/>
        <v/>
      </c>
      <c r="F9" s="21" t="str">
        <f t="shared" si="1"/>
        <v/>
      </c>
      <c r="G9" s="21"/>
      <c r="H9" s="21" t="str">
        <f t="shared" si="2"/>
        <v/>
      </c>
      <c r="I9" s="21" t="str">
        <f t="shared" si="3"/>
        <v/>
      </c>
      <c r="J9" s="21"/>
      <c r="K9" s="21"/>
      <c r="L9" s="21"/>
      <c r="M9" s="21"/>
      <c r="N9" s="21"/>
      <c r="O9" s="21"/>
    </row>
    <row r="10" spans="1:15" ht="13.15">
      <c r="A10" s="21"/>
      <c r="B10" s="21"/>
      <c r="C10" s="21"/>
      <c r="D10" s="21"/>
      <c r="E10" s="21" t="str">
        <f t="shared" si="0"/>
        <v/>
      </c>
      <c r="F10" s="21" t="str">
        <f t="shared" si="1"/>
        <v/>
      </c>
      <c r="G10" s="21"/>
      <c r="H10" s="21" t="str">
        <f t="shared" si="2"/>
        <v/>
      </c>
      <c r="I10" s="21" t="str">
        <f t="shared" si="3"/>
        <v/>
      </c>
      <c r="J10" s="21"/>
      <c r="K10" s="21"/>
      <c r="L10" s="21"/>
      <c r="M10" s="21"/>
      <c r="N10" s="21"/>
      <c r="O10" s="21"/>
    </row>
    <row r="11" spans="1:15" ht="13.15">
      <c r="A11" s="21"/>
      <c r="B11" s="21"/>
      <c r="C11" s="21"/>
      <c r="D11" s="21"/>
      <c r="E11" s="21" t="str">
        <f t="shared" si="0"/>
        <v/>
      </c>
      <c r="F11" s="21" t="str">
        <f t="shared" si="1"/>
        <v/>
      </c>
      <c r="G11" s="21"/>
      <c r="H11" s="21" t="str">
        <f t="shared" si="2"/>
        <v/>
      </c>
      <c r="I11" s="21" t="str">
        <f t="shared" si="3"/>
        <v/>
      </c>
      <c r="J11" s="21"/>
      <c r="K11" s="21"/>
      <c r="L11" s="21"/>
      <c r="M11" s="21"/>
      <c r="N11" s="21"/>
      <c r="O11" s="21"/>
    </row>
    <row r="12" spans="1:15" ht="13.15">
      <c r="A12" s="21"/>
      <c r="B12" s="21"/>
      <c r="C12" s="21"/>
      <c r="D12" s="21"/>
      <c r="E12" s="21" t="str">
        <f t="shared" si="0"/>
        <v/>
      </c>
      <c r="F12" s="21" t="str">
        <f t="shared" si="1"/>
        <v/>
      </c>
      <c r="G12" s="21"/>
      <c r="H12" s="21" t="str">
        <f t="shared" si="2"/>
        <v/>
      </c>
      <c r="I12" s="21" t="str">
        <f t="shared" si="3"/>
        <v/>
      </c>
      <c r="J12" s="21"/>
      <c r="K12" s="21"/>
      <c r="L12" s="21"/>
      <c r="M12" s="21"/>
      <c r="N12" s="21"/>
      <c r="O12" s="21"/>
    </row>
    <row r="13" spans="1:15" ht="12.75" customHeight="1">
      <c r="A13" s="21"/>
      <c r="B13" s="21"/>
      <c r="C13" s="21"/>
      <c r="D13" s="21"/>
      <c r="E13" s="21"/>
      <c r="F13" s="21"/>
      <c r="G13" s="21"/>
      <c r="H13" s="21"/>
      <c r="I13" s="21"/>
      <c r="J13" s="21"/>
      <c r="K13" s="21"/>
      <c r="L13" s="21"/>
      <c r="M13" s="21"/>
      <c r="N13" s="21"/>
      <c r="O13" s="21"/>
    </row>
    <row r="14" spans="1:15" ht="13.15">
      <c r="A14" s="21"/>
      <c r="B14" s="21"/>
      <c r="C14" s="21"/>
      <c r="D14" s="21"/>
      <c r="E14" s="21"/>
      <c r="F14" s="21"/>
      <c r="G14" s="21"/>
      <c r="H14" s="21"/>
      <c r="I14" s="21"/>
      <c r="J14" s="21"/>
      <c r="K14" s="21"/>
      <c r="L14" s="21"/>
      <c r="M14" s="21"/>
      <c r="N14" s="21"/>
      <c r="O14" s="21"/>
    </row>
    <row r="15" spans="1:15" ht="14.25">
      <c r="A15" s="21"/>
      <c r="B15" s="32"/>
      <c r="C15" s="21"/>
      <c r="D15" s="21"/>
      <c r="E15" s="21"/>
      <c r="F15" s="21"/>
      <c r="G15" s="21"/>
      <c r="H15" s="21"/>
      <c r="I15" s="21"/>
      <c r="J15" s="21"/>
      <c r="K15" s="21"/>
    </row>
    <row r="16" spans="1:15"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sortState xmlns:xlrd2="http://schemas.microsoft.com/office/spreadsheetml/2017/richdata2" ref="A3:K10">
    <sortCondition ref="A3:A10"/>
  </sortState>
  <mergeCells count="4">
    <mergeCell ref="G1:I1"/>
    <mergeCell ref="A1:C1"/>
    <mergeCell ref="D1:F1"/>
    <mergeCell ref="A2:B2"/>
  </mergeCells>
  <conditionalFormatting sqref="A9:K14 F15:F95 I15:I95">
    <cfRule type="cellIs" dxfId="22" priority="1" stopIfTrue="1" operator="lessThanOrEqual">
      <formula>-0.1</formula>
    </cfRule>
    <cfRule type="expression" dxfId="21" priority="2">
      <formula>AND(ISNUMBER(A9), A9&gt;=0.1)</formula>
    </cfRule>
  </conditionalFormatting>
  <conditionalFormatting sqref="F2 I2 F4:F8 I4:I8">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37"/>
  <sheetViews>
    <sheetView zoomScale="80" zoomScaleNormal="80" workbookViewId="0">
      <pane xSplit="2" ySplit="3" topLeftCell="F4" activePane="bottomRight" state="frozen"/>
      <selection pane="bottomRight" activeCell="F23" sqref="F23"/>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2" t="str" cm="1">
        <f t="array" ref="A1">portfolio</f>
        <v>True Green Capital Management LLC</v>
      </c>
      <c r="B1" s="72"/>
      <c r="C1" s="72"/>
      <c r="D1" s="73" t="s">
        <v>110</v>
      </c>
      <c r="E1" s="73"/>
      <c r="F1" s="73"/>
      <c r="G1" s="71" t="s">
        <v>111</v>
      </c>
      <c r="H1" s="71"/>
      <c r="I1" s="71"/>
      <c r="J1" s="4"/>
      <c r="K1" s="4"/>
    </row>
    <row r="2" spans="1:12" ht="19.5" customHeight="1">
      <c r="A2" s="74" t="s">
        <v>2</v>
      </c>
      <c r="B2" s="74"/>
      <c r="C2" s="5">
        <f>SUM(C4:C95)</f>
        <v>0</v>
      </c>
      <c r="D2" s="5">
        <f>SUM(D4:D95)</f>
        <v>0</v>
      </c>
      <c r="E2" s="5">
        <f>C2-D2</f>
        <v>0</v>
      </c>
      <c r="F2" s="6">
        <f>IFERROR(E2/D2, 0)</f>
        <v>0</v>
      </c>
      <c r="G2" s="5">
        <f>SUM(G4:G95)</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15.75">
      <c r="A4" s="29" t="str" cm="1">
        <f t="array" ref="A4:A8">Sites[Site]</f>
        <v>Rochester - 5516 Valleyhigh NW</v>
      </c>
      <c r="B4" s="30" t="str" cm="1">
        <f t="array" ref="B4:B8">Sites[State]</f>
        <v>MN</v>
      </c>
      <c r="C4" s="48"/>
      <c r="D4" s="18"/>
      <c r="E4" s="18" t="str">
        <f t="shared" ref="E4:E12" si="0">IF(AND(ISNUMBER(C4),ISNUMBER(D4)), C4-D4, "")</f>
        <v/>
      </c>
      <c r="F4" s="19" t="str">
        <f t="shared" ref="F4:F12" si="1">IFERROR(E4/D4, "")</f>
        <v/>
      </c>
      <c r="G4" s="20"/>
      <c r="H4" s="20" t="str">
        <f t="shared" ref="H4:H12" si="2">IF(AND(ISNUMBER(C4),ISNUMBER(G4)), C4-G4, "")</f>
        <v/>
      </c>
      <c r="I4" s="49" t="str">
        <f t="shared" ref="I4:I8" si="3">IFERROR(H4/G4, "")</f>
        <v/>
      </c>
      <c r="J4" s="45"/>
      <c r="K4" s="45"/>
      <c r="L4" s="21"/>
    </row>
    <row r="5" spans="1:12" ht="15.75">
      <c r="A5" s="31" t="str">
        <v>Warsaw - Hemings</v>
      </c>
      <c r="B5" s="28" t="str">
        <v>VA</v>
      </c>
      <c r="C5" s="24"/>
      <c r="D5" s="13"/>
      <c r="E5" s="13" t="str">
        <f t="shared" si="0"/>
        <v/>
      </c>
      <c r="F5" s="14" t="str">
        <f t="shared" si="1"/>
        <v/>
      </c>
      <c r="G5" s="15"/>
      <c r="H5" s="15" t="str">
        <f t="shared" si="2"/>
        <v/>
      </c>
      <c r="I5" s="16" t="str">
        <f t="shared" si="3"/>
        <v/>
      </c>
      <c r="J5" s="40"/>
      <c r="K5" s="40"/>
      <c r="L5" s="21"/>
    </row>
    <row r="6" spans="1:12" ht="15.75">
      <c r="A6" s="29" t="str">
        <v>Mount Jackson - Randolf</v>
      </c>
      <c r="B6" s="30" t="str">
        <v>VA</v>
      </c>
      <c r="C6" s="11"/>
      <c r="D6" s="18"/>
      <c r="E6" s="18" t="str">
        <f t="shared" si="0"/>
        <v/>
      </c>
      <c r="F6" s="19" t="str">
        <f t="shared" si="1"/>
        <v/>
      </c>
      <c r="G6" s="20"/>
      <c r="H6" s="20" t="str">
        <f t="shared" si="2"/>
        <v/>
      </c>
      <c r="I6" s="49" t="str">
        <f t="shared" si="3"/>
        <v/>
      </c>
      <c r="J6" s="41"/>
      <c r="K6" s="41"/>
      <c r="L6" s="21"/>
    </row>
    <row r="7" spans="1:12" ht="15.75">
      <c r="A7" s="31" t="str">
        <v>Callands Gretna - Monroe</v>
      </c>
      <c r="B7" s="28" t="str">
        <v>VA</v>
      </c>
      <c r="C7" s="24"/>
      <c r="D7" s="13"/>
      <c r="E7" s="13" t="str">
        <f>IF(AND(ISNUMBER(C7),ISNUMBER(D7)), C7-D7, "")</f>
        <v/>
      </c>
      <c r="F7" s="14" t="str">
        <f t="shared" si="1"/>
        <v/>
      </c>
      <c r="G7" s="15"/>
      <c r="H7" s="15" t="str">
        <f t="shared" si="2"/>
        <v/>
      </c>
      <c r="I7" s="16" t="str">
        <f t="shared" si="3"/>
        <v/>
      </c>
      <c r="J7" s="40"/>
      <c r="K7" s="40"/>
      <c r="L7" s="21"/>
    </row>
    <row r="8" spans="1:12" ht="15.75">
      <c r="A8" s="29" t="str">
        <v>Rockbridge Baths - Small Mouth Bass</v>
      </c>
      <c r="B8" s="30" t="str">
        <v>VA</v>
      </c>
      <c r="C8" s="11"/>
      <c r="D8" s="18"/>
      <c r="E8" s="18" t="str">
        <f t="shared" si="0"/>
        <v/>
      </c>
      <c r="F8" s="19" t="str">
        <f t="shared" si="1"/>
        <v/>
      </c>
      <c r="G8" s="20"/>
      <c r="H8" s="20" t="str">
        <f t="shared" si="2"/>
        <v/>
      </c>
      <c r="I8" s="49" t="str">
        <f t="shared" si="3"/>
        <v/>
      </c>
      <c r="J8" s="41"/>
      <c r="K8" s="41"/>
      <c r="L8" s="21"/>
    </row>
    <row r="9" spans="1:12" ht="13.15">
      <c r="A9" s="21"/>
      <c r="B9" s="21"/>
      <c r="C9" s="21"/>
      <c r="D9" s="21"/>
      <c r="E9" s="21" t="str">
        <f t="shared" si="0"/>
        <v/>
      </c>
      <c r="F9" s="21" t="str">
        <f t="shared" si="1"/>
        <v/>
      </c>
      <c r="G9" s="21"/>
      <c r="H9" s="21" t="str">
        <f t="shared" si="2"/>
        <v/>
      </c>
      <c r="I9" s="21" t="str">
        <f t="shared" ref="I9:I12" si="4">IFERROR(H9/G9, "")</f>
        <v/>
      </c>
      <c r="J9" s="21"/>
      <c r="K9" s="21"/>
      <c r="L9" s="21"/>
    </row>
    <row r="10" spans="1:12" ht="13.15">
      <c r="A10" s="21"/>
      <c r="B10" s="21"/>
      <c r="C10" s="21"/>
      <c r="D10" s="21"/>
      <c r="E10" s="21" t="str">
        <f t="shared" si="0"/>
        <v/>
      </c>
      <c r="F10" s="21" t="str">
        <f t="shared" si="1"/>
        <v/>
      </c>
      <c r="G10" s="21"/>
      <c r="H10" s="21" t="str">
        <f t="shared" si="2"/>
        <v/>
      </c>
      <c r="I10" s="21" t="str">
        <f t="shared" si="4"/>
        <v/>
      </c>
      <c r="J10" s="21"/>
      <c r="K10" s="21"/>
      <c r="L10" s="21"/>
    </row>
    <row r="11" spans="1:12" ht="13.15">
      <c r="A11" s="21"/>
      <c r="B11" s="21"/>
      <c r="C11" s="21"/>
      <c r="D11" s="21"/>
      <c r="E11" s="21" t="str">
        <f t="shared" si="0"/>
        <v/>
      </c>
      <c r="F11" s="21" t="str">
        <f t="shared" si="1"/>
        <v/>
      </c>
      <c r="G11" s="21"/>
      <c r="H11" s="21" t="str">
        <f t="shared" si="2"/>
        <v/>
      </c>
      <c r="I11" s="21" t="str">
        <f t="shared" si="4"/>
        <v/>
      </c>
      <c r="J11" s="21"/>
      <c r="K11" s="21"/>
      <c r="L11" s="21"/>
    </row>
    <row r="12" spans="1:12" ht="13.15">
      <c r="A12" s="21"/>
      <c r="B12" s="21"/>
      <c r="C12" s="21"/>
      <c r="D12" s="21"/>
      <c r="E12" s="21" t="str">
        <f t="shared" si="0"/>
        <v/>
      </c>
      <c r="F12" s="21" t="str">
        <f t="shared" si="1"/>
        <v/>
      </c>
      <c r="G12" s="21"/>
      <c r="H12" s="21" t="str">
        <f t="shared" si="2"/>
        <v/>
      </c>
      <c r="I12" s="21" t="str">
        <f t="shared" si="4"/>
        <v/>
      </c>
      <c r="J12" s="21"/>
      <c r="K12" s="21"/>
      <c r="L12" s="21"/>
    </row>
    <row r="13" spans="1:12" ht="12.75" customHeight="1">
      <c r="A13" s="21"/>
      <c r="B13" s="21"/>
      <c r="C13" s="21"/>
      <c r="D13" s="21"/>
      <c r="E13" s="21"/>
      <c r="F13" s="21"/>
      <c r="G13" s="21"/>
      <c r="H13" s="21"/>
      <c r="I13" s="21"/>
      <c r="J13" s="21"/>
      <c r="K13" s="21"/>
      <c r="L13" s="21"/>
    </row>
    <row r="14" spans="1:12" ht="13.15">
      <c r="A14" s="21"/>
      <c r="B14" s="21"/>
      <c r="C14" s="21"/>
      <c r="D14" s="21"/>
      <c r="E14" s="21"/>
      <c r="F14" s="21"/>
      <c r="G14" s="21"/>
      <c r="H14" s="21"/>
      <c r="I14" s="21"/>
      <c r="J14" s="21"/>
      <c r="K14" s="21"/>
      <c r="L14" s="21"/>
    </row>
    <row r="15" spans="1:12" ht="13.15">
      <c r="A15" s="21"/>
      <c r="B15" s="21"/>
      <c r="C15" s="21"/>
      <c r="D15" s="21"/>
      <c r="E15" s="21"/>
      <c r="F15" s="21"/>
      <c r="G15" s="21"/>
      <c r="H15" s="21"/>
      <c r="I15" s="21"/>
      <c r="J15" s="21"/>
      <c r="K15" s="21"/>
      <c r="L15" s="21"/>
    </row>
    <row r="16" spans="1:12"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37"/>
  <sheetViews>
    <sheetView zoomScale="80" zoomScaleNormal="8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2" t="str" cm="1">
        <f t="array" ref="A1">portfolio</f>
        <v>True Green Capital Management LLC</v>
      </c>
      <c r="B1" s="72"/>
      <c r="C1" s="72"/>
      <c r="D1" s="73" t="s">
        <v>112</v>
      </c>
      <c r="E1" s="73"/>
      <c r="F1" s="73"/>
      <c r="G1" s="71" t="s">
        <v>113</v>
      </c>
      <c r="H1" s="71"/>
      <c r="I1" s="71"/>
      <c r="J1" s="4"/>
      <c r="K1" s="4"/>
    </row>
    <row r="2" spans="1:13" ht="19.5" customHeight="1">
      <c r="A2" s="74" t="s">
        <v>2</v>
      </c>
      <c r="B2" s="74"/>
      <c r="C2" s="5">
        <f>SUM(C4:C95)</f>
        <v>0</v>
      </c>
      <c r="D2" s="5">
        <f>SUM(D4:D95)</f>
        <v>0</v>
      </c>
      <c r="E2" s="5">
        <f>C2-D2</f>
        <v>0</v>
      </c>
      <c r="F2" s="6">
        <f>IFERROR(E2/D2, 0)</f>
        <v>0</v>
      </c>
      <c r="G2" s="5">
        <f>SUM(G4:G95)</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3" t="s">
        <v>5</v>
      </c>
      <c r="D3" s="34" t="s">
        <v>6</v>
      </c>
      <c r="E3" s="34" t="s">
        <v>7</v>
      </c>
      <c r="F3" s="35" t="s">
        <v>8</v>
      </c>
      <c r="G3" s="36" t="s">
        <v>9</v>
      </c>
      <c r="H3" s="37" t="s">
        <v>7</v>
      </c>
      <c r="I3" s="38" t="s">
        <v>8</v>
      </c>
      <c r="J3" s="25" t="s">
        <v>20</v>
      </c>
      <c r="K3" s="25" t="s">
        <v>21</v>
      </c>
    </row>
    <row r="4" spans="1:13" ht="96.75" customHeight="1">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50"/>
      <c r="H4" s="20" t="str">
        <f t="shared" ref="H4:H12" si="2">IF(AND(ISNUMBER(C4),ISNUMBER(G4)), C4-G4, "")</f>
        <v/>
      </c>
      <c r="I4" s="19" t="str">
        <f t="shared" ref="I4:I12" si="3">IFERROR(H4/G4, "")</f>
        <v/>
      </c>
      <c r="J4" s="51"/>
      <c r="K4" s="51"/>
      <c r="L4" s="21"/>
      <c r="M4" s="21"/>
    </row>
    <row r="5" spans="1:13" ht="15.75">
      <c r="A5" s="31" t="str">
        <v>Warsaw - Hemings</v>
      </c>
      <c r="B5" s="28" t="str">
        <v>VA</v>
      </c>
      <c r="C5" s="24"/>
      <c r="D5" s="13"/>
      <c r="E5" s="13" t="str">
        <f t="shared" si="0"/>
        <v/>
      </c>
      <c r="F5" s="14" t="str">
        <f t="shared" si="1"/>
        <v/>
      </c>
      <c r="G5" s="15"/>
      <c r="H5" s="15" t="str">
        <f t="shared" si="2"/>
        <v/>
      </c>
      <c r="I5" s="16" t="str">
        <f t="shared" si="3"/>
        <v/>
      </c>
      <c r="J5" s="40"/>
      <c r="K5" s="40"/>
      <c r="L5" s="21"/>
      <c r="M5" s="21"/>
    </row>
    <row r="6" spans="1:13" ht="15.75">
      <c r="A6" s="29" t="str">
        <v>Mount Jackson - Randolf</v>
      </c>
      <c r="B6" s="30" t="str">
        <v>VA</v>
      </c>
      <c r="C6" s="11"/>
      <c r="D6" s="18"/>
      <c r="E6" s="18" t="str">
        <f t="shared" si="0"/>
        <v/>
      </c>
      <c r="F6" s="19" t="str">
        <f t="shared" si="1"/>
        <v/>
      </c>
      <c r="G6" s="20"/>
      <c r="H6" s="20" t="str">
        <f t="shared" si="2"/>
        <v/>
      </c>
      <c r="I6" s="19" t="str">
        <f t="shared" si="3"/>
        <v/>
      </c>
      <c r="J6" s="41"/>
      <c r="K6" s="41"/>
      <c r="L6" s="21"/>
      <c r="M6" s="21"/>
    </row>
    <row r="7" spans="1:13" ht="15.75">
      <c r="A7" s="31" t="str">
        <v>Callands Gretna - Monroe</v>
      </c>
      <c r="B7" s="28" t="str">
        <v>VA</v>
      </c>
      <c r="C7" s="24"/>
      <c r="D7" s="13"/>
      <c r="E7" s="13" t="str">
        <f t="shared" si="0"/>
        <v/>
      </c>
      <c r="F7" s="14" t="str">
        <f t="shared" si="1"/>
        <v/>
      </c>
      <c r="G7" s="15"/>
      <c r="H7" s="15" t="str">
        <f t="shared" si="2"/>
        <v/>
      </c>
      <c r="I7" s="16" t="str">
        <f t="shared" si="3"/>
        <v/>
      </c>
      <c r="J7" s="40"/>
      <c r="K7" s="40"/>
      <c r="L7" s="21"/>
      <c r="M7" s="21"/>
    </row>
    <row r="8" spans="1:13" ht="15.75">
      <c r="A8" s="29" t="str">
        <v>Rockbridge Baths - Small Mouth Bass</v>
      </c>
      <c r="B8" s="30" t="str">
        <v>VA</v>
      </c>
      <c r="C8" s="11"/>
      <c r="D8" s="18"/>
      <c r="E8" s="18" t="str">
        <f t="shared" si="0"/>
        <v/>
      </c>
      <c r="F8" s="19" t="str">
        <f t="shared" si="1"/>
        <v/>
      </c>
      <c r="G8" s="20"/>
      <c r="H8" s="20" t="str">
        <f t="shared" si="2"/>
        <v/>
      </c>
      <c r="I8" s="19" t="str">
        <f t="shared" si="3"/>
        <v/>
      </c>
      <c r="J8" s="41"/>
      <c r="K8" s="51"/>
      <c r="L8" s="21"/>
      <c r="M8" s="21"/>
    </row>
    <row r="9" spans="1:13" ht="13.15">
      <c r="A9" s="21"/>
      <c r="B9" s="21"/>
      <c r="C9" s="21"/>
      <c r="D9" s="21"/>
      <c r="E9" s="21" t="str">
        <f t="shared" si="0"/>
        <v/>
      </c>
      <c r="F9" s="21" t="str">
        <f t="shared" si="1"/>
        <v/>
      </c>
      <c r="G9" s="21"/>
      <c r="H9" s="21" t="str">
        <f t="shared" si="2"/>
        <v/>
      </c>
      <c r="I9" s="21" t="str">
        <f t="shared" si="3"/>
        <v/>
      </c>
      <c r="J9" s="21"/>
      <c r="K9" s="21"/>
      <c r="L9" s="21"/>
      <c r="M9" s="21"/>
    </row>
    <row r="10" spans="1:13" ht="13.15">
      <c r="A10" s="21"/>
      <c r="B10" s="21"/>
      <c r="C10" s="21"/>
      <c r="D10" s="21"/>
      <c r="E10" s="21" t="str">
        <f t="shared" si="0"/>
        <v/>
      </c>
      <c r="F10" s="21" t="str">
        <f t="shared" si="1"/>
        <v/>
      </c>
      <c r="G10" s="21"/>
      <c r="H10" s="21" t="str">
        <f t="shared" si="2"/>
        <v/>
      </c>
      <c r="I10" s="21" t="str">
        <f t="shared" si="3"/>
        <v/>
      </c>
      <c r="J10" s="21"/>
      <c r="K10" s="21"/>
      <c r="L10" s="21"/>
      <c r="M10" s="21"/>
    </row>
    <row r="11" spans="1:13" ht="13.15">
      <c r="A11" s="21"/>
      <c r="B11" s="21"/>
      <c r="C11" s="21"/>
      <c r="D11" s="21"/>
      <c r="E11" s="21" t="str">
        <f t="shared" si="0"/>
        <v/>
      </c>
      <c r="F11" s="21" t="str">
        <f t="shared" si="1"/>
        <v/>
      </c>
      <c r="G11" s="21"/>
      <c r="H11" s="21" t="str">
        <f t="shared" si="2"/>
        <v/>
      </c>
      <c r="I11" s="21" t="str">
        <f t="shared" si="3"/>
        <v/>
      </c>
      <c r="J11" s="21"/>
      <c r="K11" s="21"/>
      <c r="L11" s="21"/>
      <c r="M11" s="21"/>
    </row>
    <row r="12" spans="1:13" ht="13.15">
      <c r="A12" s="21"/>
      <c r="B12" s="21"/>
      <c r="C12" s="21"/>
      <c r="D12" s="21"/>
      <c r="E12" s="21" t="str">
        <f t="shared" si="0"/>
        <v/>
      </c>
      <c r="F12" s="21" t="str">
        <f t="shared" si="1"/>
        <v/>
      </c>
      <c r="G12" s="21"/>
      <c r="H12" s="21" t="str">
        <f t="shared" si="2"/>
        <v/>
      </c>
      <c r="I12" s="21" t="str">
        <f t="shared" si="3"/>
        <v/>
      </c>
      <c r="J12" s="21"/>
      <c r="K12" s="21"/>
      <c r="L12" s="21"/>
      <c r="M12" s="21"/>
    </row>
    <row r="13" spans="1:13" ht="12.75" customHeight="1">
      <c r="A13" s="21"/>
      <c r="B13" s="32"/>
      <c r="C13" s="21"/>
      <c r="D13" s="21"/>
      <c r="E13" s="21"/>
      <c r="F13" s="21"/>
      <c r="G13" s="21"/>
      <c r="H13" s="21"/>
      <c r="I13" s="21"/>
      <c r="J13" s="21"/>
      <c r="K13" s="21"/>
    </row>
    <row r="14" spans="1:13" ht="14.25">
      <c r="A14" s="21"/>
      <c r="B14" s="32"/>
      <c r="C14" s="21"/>
      <c r="D14" s="21"/>
      <c r="E14" s="21"/>
      <c r="F14" s="21"/>
      <c r="G14" s="21"/>
      <c r="H14" s="21"/>
      <c r="I14" s="21"/>
      <c r="J14" s="21"/>
      <c r="K14" s="21"/>
    </row>
    <row r="15" spans="1:13" ht="14.25">
      <c r="A15" s="21"/>
      <c r="B15" s="32"/>
      <c r="C15" s="21"/>
      <c r="D15" s="21"/>
      <c r="E15" s="21"/>
      <c r="F15" s="21"/>
      <c r="G15" s="21"/>
      <c r="H15" s="21"/>
      <c r="I15" s="21"/>
      <c r="J15" s="21"/>
      <c r="K15" s="21"/>
    </row>
    <row r="16" spans="1:13"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6" priority="3" stopIfTrue="1" operator="lessThanOrEqual">
      <formula>-0.1</formula>
    </cfRule>
    <cfRule type="expression" dxfId="15" priority="4">
      <formula>AND(ISNUMBER(F2), F2&gt;=0.1)</formula>
    </cfRule>
  </conditionalFormatting>
  <conditionalFormatting sqref="F13:F95 I13:I95">
    <cfRule type="cellIs" dxfId="14" priority="1" stopIfTrue="1" operator="lessThanOrEqual">
      <formula>-0.1</formula>
    </cfRule>
    <cfRule type="expression" dxfId="13" priority="2">
      <formula>AND(ISNUMBER(F13), F13&gt;=0.1)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37"/>
  <sheetViews>
    <sheetView zoomScale="70" zoomScaleNormal="7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72" t="str" cm="1">
        <f t="array" ref="A1">portfolio</f>
        <v>True Green Capital Management LLC</v>
      </c>
      <c r="B1" s="72"/>
      <c r="C1" s="72"/>
      <c r="D1" s="73" t="s">
        <v>114</v>
      </c>
      <c r="E1" s="73"/>
      <c r="F1" s="73"/>
      <c r="G1" s="71" t="s">
        <v>115</v>
      </c>
      <c r="H1" s="71"/>
      <c r="I1" s="71"/>
      <c r="J1" s="4"/>
      <c r="K1" s="4"/>
    </row>
    <row r="2" spans="1:12" ht="19.5" customHeight="1">
      <c r="A2" s="74" t="s">
        <v>2</v>
      </c>
      <c r="B2" s="74"/>
      <c r="C2" s="5">
        <f>SUM(C4:C95)</f>
        <v>0</v>
      </c>
      <c r="D2" s="5">
        <f>SUM(D4:D95)</f>
        <v>0</v>
      </c>
      <c r="E2" s="5">
        <f>C2-D2</f>
        <v>0</v>
      </c>
      <c r="F2" s="6">
        <f>IFERROR(E2/D2, 0)</f>
        <v>0</v>
      </c>
      <c r="G2" s="5">
        <f>SUM(G4:G95)</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100.5" customHeight="1">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20"/>
      <c r="H4" s="20" t="str">
        <f t="shared" ref="H4:H11" si="2">IF(AND(ISNUMBER(C4),ISNUMBER(G4)), C4-G4, "")</f>
        <v/>
      </c>
      <c r="I4" s="19" t="str">
        <f t="shared" ref="I4:I11" si="3">IFERROR(H4/G4, "")</f>
        <v/>
      </c>
      <c r="J4" s="45"/>
      <c r="K4" s="45"/>
      <c r="L4" s="21"/>
    </row>
    <row r="5" spans="1:12" ht="15.75">
      <c r="A5" s="31" t="str">
        <v>Warsaw - Hemings</v>
      </c>
      <c r="B5" s="28" t="str">
        <v>VA</v>
      </c>
      <c r="C5" s="24"/>
      <c r="D5" s="13"/>
      <c r="E5" s="13" t="str">
        <f t="shared" si="0"/>
        <v/>
      </c>
      <c r="F5" s="14" t="str">
        <f t="shared" si="1"/>
        <v/>
      </c>
      <c r="G5" s="15"/>
      <c r="H5" s="15" t="str">
        <f t="shared" si="2"/>
        <v/>
      </c>
      <c r="I5" s="16" t="str">
        <f t="shared" si="3"/>
        <v/>
      </c>
      <c r="J5" s="46"/>
      <c r="K5" s="46"/>
      <c r="L5" s="21"/>
    </row>
    <row r="6" spans="1:12" ht="15.75">
      <c r="A6" s="29" t="str">
        <v>Mount Jackson - Randolf</v>
      </c>
      <c r="B6" s="30" t="str">
        <v>VA</v>
      </c>
      <c r="C6" s="11"/>
      <c r="D6" s="18"/>
      <c r="E6" s="18" t="str">
        <f t="shared" si="0"/>
        <v/>
      </c>
      <c r="F6" s="19" t="str">
        <f t="shared" si="1"/>
        <v/>
      </c>
      <c r="G6" s="20"/>
      <c r="H6" s="20" t="str">
        <f t="shared" si="2"/>
        <v/>
      </c>
      <c r="I6" s="19" t="str">
        <f t="shared" si="3"/>
        <v/>
      </c>
      <c r="J6" s="45"/>
      <c r="K6" s="45"/>
      <c r="L6" s="21"/>
    </row>
    <row r="7" spans="1:12" ht="15.75">
      <c r="A7" s="31" t="str">
        <v>Callands Gretna - Monroe</v>
      </c>
      <c r="B7" s="28" t="str">
        <v>VA</v>
      </c>
      <c r="C7" s="24"/>
      <c r="D7" s="13"/>
      <c r="E7" s="13" t="str">
        <f t="shared" si="0"/>
        <v/>
      </c>
      <c r="F7" s="14" t="str">
        <f t="shared" si="1"/>
        <v/>
      </c>
      <c r="G7" s="15"/>
      <c r="H7" s="15" t="str">
        <f t="shared" si="2"/>
        <v/>
      </c>
      <c r="I7" s="16" t="str">
        <f t="shared" si="3"/>
        <v/>
      </c>
      <c r="J7" s="46"/>
      <c r="K7" s="46"/>
      <c r="L7" s="21"/>
    </row>
    <row r="8" spans="1:12" ht="15.75">
      <c r="A8" s="29" t="str">
        <v>Rockbridge Baths - Small Mouth Bass</v>
      </c>
      <c r="B8" s="30" t="str">
        <v>VA</v>
      </c>
      <c r="C8" s="11"/>
      <c r="D8" s="18"/>
      <c r="E8" s="18" t="str">
        <f t="shared" si="0"/>
        <v/>
      </c>
      <c r="F8" s="19" t="str">
        <f t="shared" si="1"/>
        <v/>
      </c>
      <c r="G8" s="20"/>
      <c r="H8" s="20" t="str">
        <f t="shared" si="2"/>
        <v/>
      </c>
      <c r="I8" s="19" t="str">
        <f t="shared" si="3"/>
        <v/>
      </c>
      <c r="J8" s="45"/>
      <c r="K8" s="45"/>
      <c r="L8" s="21"/>
    </row>
    <row r="9" spans="1:12" ht="13.15">
      <c r="A9" s="21"/>
      <c r="B9" s="21"/>
      <c r="C9" s="21"/>
      <c r="D9" s="21"/>
      <c r="E9" s="21" t="str">
        <f t="shared" si="0"/>
        <v/>
      </c>
      <c r="F9" s="21" t="str">
        <f t="shared" si="1"/>
        <v/>
      </c>
      <c r="G9" s="21"/>
      <c r="H9" s="21" t="str">
        <f t="shared" si="2"/>
        <v/>
      </c>
      <c r="I9" s="21" t="str">
        <f t="shared" si="3"/>
        <v/>
      </c>
      <c r="J9" s="21"/>
      <c r="K9" s="21"/>
      <c r="L9" s="21"/>
    </row>
    <row r="10" spans="1:12" ht="13.15">
      <c r="A10" s="21"/>
      <c r="B10" s="21"/>
      <c r="C10" s="21"/>
      <c r="D10" s="21"/>
      <c r="E10" s="21" t="str">
        <f t="shared" si="0"/>
        <v/>
      </c>
      <c r="F10" s="21" t="str">
        <f t="shared" si="1"/>
        <v/>
      </c>
      <c r="G10" s="21"/>
      <c r="H10" s="21" t="str">
        <f t="shared" si="2"/>
        <v/>
      </c>
      <c r="I10" s="21" t="str">
        <f t="shared" si="3"/>
        <v/>
      </c>
      <c r="J10" s="21"/>
      <c r="K10" s="21"/>
      <c r="L10" s="21"/>
    </row>
    <row r="11" spans="1:12" ht="13.15">
      <c r="A11" s="21"/>
      <c r="B11" s="21"/>
      <c r="C11" s="21"/>
      <c r="D11" s="21"/>
      <c r="E11" s="21" t="str">
        <f t="shared" si="0"/>
        <v/>
      </c>
      <c r="F11" s="21" t="str">
        <f t="shared" si="1"/>
        <v/>
      </c>
      <c r="G11" s="21"/>
      <c r="H11" s="21" t="str">
        <f t="shared" si="2"/>
        <v/>
      </c>
      <c r="I11" s="21" t="str">
        <f t="shared" si="3"/>
        <v/>
      </c>
      <c r="J11" s="21"/>
      <c r="K11" s="21"/>
      <c r="L11" s="21"/>
    </row>
    <row r="12" spans="1:12" ht="13.15">
      <c r="A12" s="21"/>
      <c r="B12" s="21"/>
      <c r="C12" s="21"/>
      <c r="D12" s="21"/>
      <c r="E12" s="21" t="str">
        <f t="shared" si="0"/>
        <v/>
      </c>
      <c r="F12" s="21" t="str">
        <f t="shared" si="1"/>
        <v/>
      </c>
      <c r="G12" s="21"/>
      <c r="H12" s="21" t="str">
        <f>IF(AND(ISNUMBER(C12),ISNUMBER(G12)), C12-G12, "")</f>
        <v/>
      </c>
      <c r="I12" s="21" t="str">
        <f>IFERROR(H12/G12, "")</f>
        <v/>
      </c>
      <c r="J12" s="21"/>
      <c r="K12" s="21"/>
      <c r="L12" s="21"/>
    </row>
    <row r="13" spans="1:12" ht="12.75" customHeight="1">
      <c r="A13" s="21"/>
      <c r="B13" s="21"/>
      <c r="C13" s="21"/>
      <c r="D13" s="21"/>
      <c r="E13" s="21"/>
      <c r="F13" s="21"/>
      <c r="G13" s="21"/>
      <c r="H13" s="21"/>
      <c r="I13" s="21"/>
      <c r="J13" s="21"/>
      <c r="K13" s="21"/>
      <c r="L13" s="21"/>
    </row>
    <row r="14" spans="1:12" ht="13.15">
      <c r="A14" s="21"/>
      <c r="B14" s="21"/>
      <c r="C14" s="21"/>
      <c r="D14" s="21"/>
      <c r="E14" s="21"/>
      <c r="F14" s="21"/>
      <c r="G14" s="21"/>
      <c r="H14" s="21"/>
      <c r="I14" s="21"/>
      <c r="J14" s="21"/>
      <c r="K14" s="21"/>
      <c r="L14" s="21"/>
    </row>
    <row r="15" spans="1:12" ht="14.25">
      <c r="A15" s="21"/>
      <c r="B15" s="32"/>
      <c r="C15" s="21"/>
      <c r="D15" s="21"/>
      <c r="E15" s="21"/>
      <c r="F15" s="21"/>
      <c r="G15" s="21"/>
      <c r="H15" s="21"/>
      <c r="I15" s="21"/>
      <c r="J15" s="21"/>
      <c r="K15" s="21"/>
    </row>
    <row r="16" spans="1:12"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2" priority="3" stopIfTrue="1" operator="lessThanOrEqual">
      <formula>-0.1</formula>
    </cfRule>
    <cfRule type="expression" dxfId="11" priority="4">
      <formula>AND(ISNUMBER(F2), F2&gt;=0.1)</formula>
    </cfRule>
  </conditionalFormatting>
  <conditionalFormatting sqref="F15:F95 I15:I95">
    <cfRule type="cellIs" dxfId="10" priority="1" stopIfTrue="1" operator="lessThanOrEqual">
      <formula>-0.1</formula>
    </cfRule>
    <cfRule type="expression" dxfId="9" priority="2">
      <formula>AND(ISNUMBER(F15), F15&gt;=0.1)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37"/>
  <sheetViews>
    <sheetView zoomScale="80" zoomScaleNormal="80" workbookViewId="0">
      <pane xSplit="2" ySplit="3" topLeftCell="J8" activePane="bottomRight" state="frozen"/>
      <selection pane="bottomRight" activeCell="F23" sqref="F23"/>
      <selection pane="bottomLeft" activeCell="F23" sqref="F23"/>
      <selection pane="topRight" activeCell="F23" sqref="F23"/>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2" t="str" cm="1">
        <f t="array" ref="A1">portfolio</f>
        <v>True Green Capital Management LLC</v>
      </c>
      <c r="B1" s="72"/>
      <c r="C1" s="72"/>
      <c r="D1" s="73" t="s">
        <v>116</v>
      </c>
      <c r="E1" s="73"/>
      <c r="F1" s="73"/>
      <c r="G1" s="71" t="s">
        <v>117</v>
      </c>
      <c r="H1" s="71"/>
      <c r="I1" s="71"/>
      <c r="J1" s="4"/>
      <c r="K1" s="4"/>
    </row>
    <row r="2" spans="1:12" ht="19.5" customHeight="1">
      <c r="A2" s="74" t="s">
        <v>2</v>
      </c>
      <c r="B2" s="74"/>
      <c r="C2" s="5">
        <f>SUM(C4:C95)</f>
        <v>0</v>
      </c>
      <c r="D2" s="5">
        <f>SUM(D4:D95)</f>
        <v>0</v>
      </c>
      <c r="E2" s="5">
        <f>C2-D2</f>
        <v>0</v>
      </c>
      <c r="F2" s="6">
        <f>IFERROR(E2/D2, 0)</f>
        <v>0</v>
      </c>
      <c r="G2" s="5">
        <f>SUM(G4:G95)</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22.5" customHeight="1">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9"/>
    </row>
    <row r="5" spans="1:12" ht="15.75">
      <c r="A5" s="31" t="str">
        <v>Warsaw - Hemings</v>
      </c>
      <c r="B5" s="28" t="str">
        <v>VA</v>
      </c>
      <c r="C5" s="24"/>
      <c r="D5" s="13"/>
      <c r="E5" s="13" t="str">
        <f t="shared" si="0"/>
        <v/>
      </c>
      <c r="F5" s="14" t="str">
        <f t="shared" si="1"/>
        <v/>
      </c>
      <c r="G5" s="15"/>
      <c r="H5" s="15" t="str">
        <f t="shared" si="2"/>
        <v/>
      </c>
      <c r="I5" s="16" t="str">
        <f t="shared" si="3"/>
        <v/>
      </c>
      <c r="J5" s="46"/>
      <c r="K5" s="46"/>
      <c r="L5" s="29"/>
    </row>
    <row r="6" spans="1:12" ht="15.75">
      <c r="A6" s="29" t="str">
        <v>Mount Jackson - Randolf</v>
      </c>
      <c r="B6" s="30" t="str">
        <v>VA</v>
      </c>
      <c r="C6" s="11"/>
      <c r="D6" s="18"/>
      <c r="E6" s="18" t="str">
        <f t="shared" si="0"/>
        <v/>
      </c>
      <c r="F6" s="19" t="str">
        <f t="shared" si="1"/>
        <v/>
      </c>
      <c r="G6" s="20"/>
      <c r="H6" s="20" t="str">
        <f t="shared" si="2"/>
        <v/>
      </c>
      <c r="I6" s="19" t="str">
        <f t="shared" si="3"/>
        <v/>
      </c>
      <c r="J6" s="45"/>
      <c r="K6" s="45"/>
      <c r="L6" s="29"/>
    </row>
    <row r="7" spans="1:12" ht="15.75">
      <c r="A7" s="31" t="str">
        <v>Callands Gretna - Monroe</v>
      </c>
      <c r="B7" s="28" t="str">
        <v>VA</v>
      </c>
      <c r="C7" s="24"/>
      <c r="D7" s="13"/>
      <c r="E7" s="13" t="str">
        <f t="shared" si="0"/>
        <v/>
      </c>
      <c r="F7" s="14" t="str">
        <f t="shared" si="1"/>
        <v/>
      </c>
      <c r="G7" s="15"/>
      <c r="H7" s="15" t="str">
        <f t="shared" si="2"/>
        <v/>
      </c>
      <c r="I7" s="16" t="str">
        <f t="shared" si="3"/>
        <v/>
      </c>
      <c r="J7" s="46"/>
      <c r="K7" s="46"/>
      <c r="L7" s="29"/>
    </row>
    <row r="8" spans="1:12" ht="15.75">
      <c r="A8" s="29" t="str">
        <v>Rockbridge Baths - Small Mouth Bass</v>
      </c>
      <c r="B8" s="30" t="str">
        <v>VA</v>
      </c>
      <c r="C8" s="11"/>
      <c r="D8" s="18"/>
      <c r="E8" s="18" t="str">
        <f t="shared" si="0"/>
        <v/>
      </c>
      <c r="F8" s="19" t="str">
        <f t="shared" si="1"/>
        <v/>
      </c>
      <c r="G8" s="20"/>
      <c r="H8" s="20" t="str">
        <f t="shared" si="2"/>
        <v/>
      </c>
      <c r="I8" s="19" t="str">
        <f t="shared" si="3"/>
        <v/>
      </c>
      <c r="J8" s="41"/>
      <c r="K8" s="41"/>
      <c r="L8" s="29"/>
    </row>
    <row r="9" spans="1:12" ht="15.75">
      <c r="A9" s="29"/>
      <c r="B9" s="29"/>
      <c r="C9" s="29"/>
      <c r="D9" s="29"/>
      <c r="E9" s="29" t="str">
        <f t="shared" ref="E9:E12" si="4">IF(AND(ISNUMBER(C9),ISNUMBER(D9)), C9-D9, "")</f>
        <v/>
      </c>
      <c r="F9" s="29" t="str">
        <f t="shared" ref="F9:F12" si="5">IFERROR(E9/D9, "")</f>
        <v/>
      </c>
      <c r="G9" s="29"/>
      <c r="H9" s="29" t="str">
        <f t="shared" ref="H9:H12" si="6">IF(AND(ISNUMBER(C9),ISNUMBER(G9)), C9-G9, "")</f>
        <v/>
      </c>
      <c r="I9" s="29" t="str">
        <f t="shared" ref="I9:I12" si="7">IFERROR(H9/G9, "")</f>
        <v/>
      </c>
      <c r="J9" s="29"/>
      <c r="K9" s="29"/>
      <c r="L9" s="29"/>
    </row>
    <row r="10" spans="1:12" ht="15.75">
      <c r="A10" s="29"/>
      <c r="B10" s="29"/>
      <c r="C10" s="29"/>
      <c r="D10" s="29"/>
      <c r="E10" s="29" t="str">
        <f t="shared" si="4"/>
        <v/>
      </c>
      <c r="F10" s="29" t="str">
        <f t="shared" si="5"/>
        <v/>
      </c>
      <c r="G10" s="29"/>
      <c r="H10" s="29" t="str">
        <f t="shared" si="6"/>
        <v/>
      </c>
      <c r="I10" s="29" t="str">
        <f t="shared" si="7"/>
        <v/>
      </c>
      <c r="J10" s="29"/>
      <c r="K10" s="29"/>
      <c r="L10" s="29"/>
    </row>
    <row r="11" spans="1:12" ht="15.75">
      <c r="A11" s="29"/>
      <c r="B11" s="29"/>
      <c r="C11" s="29"/>
      <c r="D11" s="29"/>
      <c r="E11" s="29" t="str">
        <f t="shared" si="4"/>
        <v/>
      </c>
      <c r="F11" s="29" t="str">
        <f t="shared" si="5"/>
        <v/>
      </c>
      <c r="G11" s="29"/>
      <c r="H11" s="29" t="str">
        <f t="shared" si="6"/>
        <v/>
      </c>
      <c r="I11" s="29" t="str">
        <f t="shared" si="7"/>
        <v/>
      </c>
      <c r="J11" s="29"/>
      <c r="K11" s="29"/>
      <c r="L11" s="29"/>
    </row>
    <row r="12" spans="1:12" ht="15.75">
      <c r="A12" s="29"/>
      <c r="B12" s="29"/>
      <c r="C12" s="29"/>
      <c r="D12" s="29"/>
      <c r="E12" s="29" t="str">
        <f t="shared" si="4"/>
        <v/>
      </c>
      <c r="F12" s="29" t="str">
        <f t="shared" si="5"/>
        <v/>
      </c>
      <c r="G12" s="29"/>
      <c r="H12" s="29" t="str">
        <f t="shared" si="6"/>
        <v/>
      </c>
      <c r="I12" s="29" t="str">
        <f t="shared" si="7"/>
        <v/>
      </c>
      <c r="J12" s="29"/>
      <c r="K12" s="29"/>
      <c r="L12" s="29"/>
    </row>
    <row r="13" spans="1:12" ht="12.75" customHeight="1">
      <c r="A13" s="29"/>
      <c r="B13" s="29"/>
      <c r="C13" s="29"/>
      <c r="D13" s="29"/>
      <c r="E13" s="29"/>
      <c r="F13" s="29"/>
      <c r="G13" s="29"/>
      <c r="H13" s="29"/>
      <c r="I13" s="29"/>
      <c r="J13" s="29"/>
      <c r="K13" s="29"/>
      <c r="L13" s="29"/>
    </row>
    <row r="14" spans="1:12" ht="15.75">
      <c r="A14" s="29"/>
      <c r="B14" s="29"/>
      <c r="C14" s="29"/>
      <c r="D14" s="29"/>
      <c r="E14" s="29"/>
      <c r="F14" s="29"/>
      <c r="G14" s="29"/>
      <c r="H14" s="29"/>
      <c r="I14" s="29"/>
      <c r="J14" s="29"/>
      <c r="K14" s="29"/>
      <c r="L14" s="29"/>
    </row>
    <row r="15" spans="1:12" ht="15.75">
      <c r="A15" s="29"/>
      <c r="B15" s="29"/>
      <c r="C15" s="29"/>
      <c r="D15" s="29"/>
      <c r="E15" s="29"/>
      <c r="F15" s="29"/>
      <c r="G15" s="29"/>
      <c r="H15" s="29"/>
      <c r="I15" s="29"/>
      <c r="J15" s="29"/>
      <c r="K15" s="29"/>
      <c r="L15" s="29"/>
    </row>
    <row r="16" spans="1:12" ht="15.75">
      <c r="A16" s="29"/>
      <c r="B16" s="29"/>
      <c r="C16" s="29"/>
      <c r="D16" s="29"/>
      <c r="E16" s="29"/>
      <c r="F16" s="29"/>
      <c r="G16" s="29"/>
      <c r="H16" s="29"/>
      <c r="I16" s="29"/>
      <c r="J16" s="29"/>
      <c r="K16" s="29"/>
      <c r="L16" s="29"/>
    </row>
    <row r="17" spans="1:12" ht="15.75">
      <c r="A17" s="29"/>
      <c r="B17" s="29"/>
      <c r="C17" s="29"/>
      <c r="D17" s="29"/>
      <c r="E17" s="29"/>
      <c r="F17" s="29"/>
      <c r="G17" s="29"/>
      <c r="H17" s="29"/>
      <c r="I17" s="29"/>
      <c r="J17" s="29"/>
      <c r="K17" s="29"/>
      <c r="L17" s="29"/>
    </row>
    <row r="18" spans="1:12" ht="15.75">
      <c r="A18" s="29"/>
      <c r="B18" s="29"/>
      <c r="C18" s="29"/>
      <c r="D18" s="29"/>
      <c r="E18" s="29"/>
      <c r="F18" s="29"/>
      <c r="G18" s="29"/>
      <c r="H18" s="29"/>
      <c r="I18" s="29"/>
      <c r="J18" s="29"/>
      <c r="K18" s="29"/>
      <c r="L18" s="29"/>
    </row>
    <row r="19" spans="1:12" ht="14.25">
      <c r="A19" s="21"/>
      <c r="B19" s="32"/>
      <c r="C19" s="21"/>
      <c r="D19" s="21"/>
      <c r="E19" s="21"/>
      <c r="F19" s="21"/>
      <c r="G19" s="21"/>
      <c r="H19" s="21"/>
      <c r="I19" s="21"/>
      <c r="J19" s="21"/>
      <c r="K19" s="21"/>
    </row>
    <row r="20" spans="1:12" ht="14.25">
      <c r="A20" s="21"/>
      <c r="B20" s="32"/>
      <c r="C20" s="21"/>
      <c r="D20" s="21"/>
      <c r="E20" s="21"/>
      <c r="F20" s="21"/>
      <c r="G20" s="21"/>
      <c r="H20" s="21"/>
      <c r="I20" s="21"/>
      <c r="J20" s="21"/>
      <c r="K20" s="21"/>
    </row>
    <row r="21" spans="1:12" ht="14.25">
      <c r="A21" s="21"/>
      <c r="B21" s="32"/>
      <c r="C21" s="21"/>
      <c r="D21" s="21"/>
      <c r="E21" s="21"/>
      <c r="F21" s="21"/>
      <c r="G21" s="21"/>
      <c r="H21" s="21"/>
      <c r="I21" s="21"/>
      <c r="J21" s="21"/>
      <c r="K21" s="21"/>
    </row>
    <row r="22" spans="1:12" ht="14.25">
      <c r="A22" s="21"/>
      <c r="B22" s="32"/>
      <c r="C22" s="21"/>
      <c r="D22" s="21"/>
      <c r="E22" s="21"/>
      <c r="F22" s="21"/>
      <c r="G22" s="21"/>
      <c r="H22" s="21"/>
      <c r="I22" s="21"/>
      <c r="J22" s="21"/>
      <c r="K22" s="21"/>
    </row>
    <row r="23" spans="1:12" ht="14.25">
      <c r="A23" s="21"/>
      <c r="B23" s="32"/>
      <c r="C23" s="21"/>
      <c r="D23" s="21"/>
      <c r="E23" s="21"/>
      <c r="F23" s="21"/>
      <c r="G23" s="21"/>
      <c r="H23" s="21"/>
      <c r="I23" s="21"/>
      <c r="J23" s="21"/>
      <c r="K23" s="21"/>
    </row>
    <row r="24" spans="1:12" ht="14.25">
      <c r="A24" s="21"/>
      <c r="B24" s="32"/>
      <c r="C24" s="21"/>
      <c r="D24" s="21"/>
      <c r="E24" s="21"/>
      <c r="F24" s="21"/>
      <c r="G24" s="21"/>
      <c r="H24" s="21"/>
      <c r="I24" s="21"/>
      <c r="J24" s="21"/>
      <c r="K24" s="21"/>
    </row>
    <row r="25" spans="1:12" ht="14.25">
      <c r="A25" s="21"/>
      <c r="B25" s="32"/>
      <c r="C25" s="21"/>
      <c r="D25" s="21"/>
      <c r="E25" s="21"/>
      <c r="F25" s="21"/>
      <c r="G25" s="21"/>
      <c r="H25" s="21"/>
      <c r="I25" s="21"/>
      <c r="J25" s="21"/>
      <c r="K25" s="21"/>
    </row>
    <row r="26" spans="1:12" ht="14.25">
      <c r="A26" s="21"/>
      <c r="B26" s="32"/>
      <c r="C26" s="21"/>
      <c r="D26" s="21"/>
      <c r="E26" s="21"/>
      <c r="F26" s="21"/>
      <c r="G26" s="21"/>
      <c r="H26" s="21"/>
      <c r="I26" s="21"/>
      <c r="J26" s="21"/>
      <c r="K26" s="21"/>
    </row>
    <row r="27" spans="1:12" ht="14.25">
      <c r="A27" s="21"/>
      <c r="B27" s="32"/>
      <c r="C27" s="21"/>
      <c r="D27" s="21"/>
      <c r="E27" s="21"/>
      <c r="F27" s="21"/>
      <c r="G27" s="21"/>
      <c r="H27" s="21"/>
      <c r="I27" s="21"/>
      <c r="J27" s="21"/>
      <c r="K27" s="21"/>
    </row>
    <row r="28" spans="1:12" ht="14.25">
      <c r="A28" s="21"/>
      <c r="B28" s="32"/>
      <c r="C28" s="21"/>
      <c r="D28" s="21"/>
      <c r="E28" s="21"/>
      <c r="F28" s="22"/>
      <c r="G28" s="21"/>
      <c r="H28" s="21"/>
      <c r="I28" s="22"/>
      <c r="J28" s="21"/>
      <c r="K28" s="21"/>
    </row>
    <row r="29" spans="1:12" ht="14.25">
      <c r="A29" s="21"/>
      <c r="B29" s="32"/>
      <c r="C29" s="21"/>
      <c r="D29" s="21"/>
      <c r="E29" s="21"/>
      <c r="F29" s="22"/>
      <c r="G29" s="21"/>
      <c r="H29" s="21"/>
      <c r="I29" s="22"/>
      <c r="J29" s="21"/>
      <c r="K29" s="21"/>
    </row>
    <row r="30" spans="1:12" ht="14.25">
      <c r="A30" s="21"/>
      <c r="B30" s="32"/>
      <c r="C30" s="21"/>
      <c r="D30" s="21"/>
      <c r="E30" s="21"/>
      <c r="F30" s="22"/>
      <c r="G30" s="21"/>
      <c r="H30" s="21"/>
      <c r="I30" s="22"/>
      <c r="J30" s="21"/>
      <c r="K30" s="21"/>
    </row>
    <row r="31" spans="1:12" ht="14.25">
      <c r="A31" s="21"/>
      <c r="B31" s="32"/>
      <c r="C31" s="21"/>
      <c r="D31" s="21"/>
      <c r="E31" s="21"/>
      <c r="F31" s="22"/>
      <c r="G31" s="21"/>
      <c r="H31" s="21"/>
      <c r="I31" s="22"/>
      <c r="J31" s="21"/>
      <c r="K31" s="21"/>
    </row>
    <row r="32" spans="1:12"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7"/>
  <sheetViews>
    <sheetView zoomScale="80" zoomScaleNormal="80" workbookViewId="0">
      <pane xSplit="2" ySplit="3" topLeftCell="D4" activePane="bottomRight" state="frozen"/>
      <selection pane="bottomRight" activeCell="F23" sqref="F23"/>
      <selection pane="bottomLeft" activeCell="G27" sqref="G27"/>
      <selection pane="topRight" activeCell="G27" sqref="G27"/>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2" t="str" cm="1">
        <f t="array" ref="A1">portfolio</f>
        <v>True Green Capital Management LLC</v>
      </c>
      <c r="B1" s="72"/>
      <c r="C1" s="72"/>
      <c r="D1" s="73" t="s">
        <v>118</v>
      </c>
      <c r="E1" s="73"/>
      <c r="F1" s="73"/>
      <c r="G1" s="71" t="s">
        <v>119</v>
      </c>
      <c r="H1" s="71"/>
      <c r="I1" s="71"/>
      <c r="J1" s="4"/>
      <c r="K1" s="4"/>
    </row>
    <row r="2" spans="1:14" ht="19.5" customHeight="1">
      <c r="A2" s="74" t="s">
        <v>2</v>
      </c>
      <c r="B2" s="74"/>
      <c r="C2" s="5">
        <f>SUM(C4:C95)</f>
        <v>0</v>
      </c>
      <c r="D2" s="5">
        <f>SUM(D4:D95)</f>
        <v>0</v>
      </c>
      <c r="E2" s="5">
        <f>C2-D2</f>
        <v>0</v>
      </c>
      <c r="F2" s="6">
        <f>IFERROR(E2/D2, 0)</f>
        <v>0</v>
      </c>
      <c r="G2" s="5">
        <f>SUM(G4:G95)</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5.75">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1"/>
      <c r="M4" s="21"/>
      <c r="N4" s="21"/>
    </row>
    <row r="5" spans="1:14" ht="15.75">
      <c r="A5" s="31" t="str">
        <v>Warsaw - Hemings</v>
      </c>
      <c r="B5" s="28" t="str">
        <v>VA</v>
      </c>
      <c r="C5" s="24"/>
      <c r="D5" s="13"/>
      <c r="E5" s="13" t="str">
        <f t="shared" si="0"/>
        <v/>
      </c>
      <c r="F5" s="14" t="str">
        <f t="shared" si="1"/>
        <v/>
      </c>
      <c r="G5" s="15"/>
      <c r="H5" s="15" t="str">
        <f t="shared" si="2"/>
        <v/>
      </c>
      <c r="I5" s="16" t="str">
        <f t="shared" si="3"/>
        <v/>
      </c>
      <c r="J5" s="46"/>
      <c r="K5" s="46"/>
      <c r="L5" s="21"/>
      <c r="M5" s="21"/>
      <c r="N5" s="21"/>
    </row>
    <row r="6" spans="1:14" ht="15.75">
      <c r="A6" s="29" t="str">
        <v>Mount Jackson - Randolf</v>
      </c>
      <c r="B6" s="30" t="str">
        <v>VA</v>
      </c>
      <c r="C6" s="11"/>
      <c r="D6" s="18"/>
      <c r="E6" s="18" t="str">
        <f t="shared" si="0"/>
        <v/>
      </c>
      <c r="F6" s="19" t="str">
        <f t="shared" si="1"/>
        <v/>
      </c>
      <c r="G6" s="20"/>
      <c r="H6" s="20" t="str">
        <f t="shared" si="2"/>
        <v/>
      </c>
      <c r="I6" s="19" t="str">
        <f t="shared" si="3"/>
        <v/>
      </c>
      <c r="J6" s="45"/>
      <c r="K6" s="45"/>
      <c r="L6" s="21"/>
      <c r="M6" s="21"/>
      <c r="N6" s="21"/>
    </row>
    <row r="7" spans="1:14" ht="15.75">
      <c r="A7" s="31" t="str">
        <v>Callands Gretna - Monroe</v>
      </c>
      <c r="B7" s="28" t="str">
        <v>VA</v>
      </c>
      <c r="C7" s="24"/>
      <c r="D7" s="13"/>
      <c r="E7" s="13" t="str">
        <f t="shared" si="0"/>
        <v/>
      </c>
      <c r="F7" s="14" t="str">
        <f t="shared" si="1"/>
        <v/>
      </c>
      <c r="G7" s="15"/>
      <c r="H7" s="15" t="str">
        <f t="shared" si="2"/>
        <v/>
      </c>
      <c r="I7" s="16" t="str">
        <f t="shared" si="3"/>
        <v/>
      </c>
      <c r="J7" s="46"/>
      <c r="K7" s="46"/>
      <c r="L7" s="21"/>
      <c r="M7" s="21"/>
      <c r="N7" s="21"/>
    </row>
    <row r="8" spans="1:14" ht="15.75">
      <c r="A8" s="29" t="str">
        <v>Rockbridge Baths - Small Mouth Bass</v>
      </c>
      <c r="B8" s="30" t="str">
        <v>VA</v>
      </c>
      <c r="C8" s="11"/>
      <c r="D8" s="18"/>
      <c r="E8" s="18" t="str">
        <f t="shared" si="0"/>
        <v/>
      </c>
      <c r="F8" s="19" t="str">
        <f t="shared" si="1"/>
        <v/>
      </c>
      <c r="G8" s="20"/>
      <c r="H8" s="20" t="str">
        <f t="shared" si="2"/>
        <v/>
      </c>
      <c r="I8" s="19" t="str">
        <f t="shared" si="3"/>
        <v/>
      </c>
      <c r="J8" s="45"/>
      <c r="K8" s="45"/>
      <c r="L8" s="21"/>
      <c r="M8" s="21"/>
      <c r="N8" s="21"/>
    </row>
    <row r="9" spans="1:14" ht="13.15">
      <c r="A9" s="21"/>
      <c r="B9" s="21"/>
      <c r="C9" s="21"/>
      <c r="D9" s="21"/>
      <c r="E9" s="21" t="str">
        <f t="shared" ref="E9:E12" si="4">IF(AND(ISNUMBER(C9),ISNUMBER(D9)), C9-D9, "")</f>
        <v/>
      </c>
      <c r="F9" s="21" t="str">
        <f t="shared" ref="F9:F12" si="5">IFERROR(E9/D9, "")</f>
        <v/>
      </c>
      <c r="G9" s="21"/>
      <c r="H9" s="21" t="str">
        <f t="shared" ref="H9:H12" si="6">IF(AND(ISNUMBER(C9),ISNUMBER(G9)), C9-G9, "")</f>
        <v/>
      </c>
      <c r="I9" s="21" t="str">
        <f t="shared" ref="I9:I12" si="7">IFERROR(H9/G9, "")</f>
        <v/>
      </c>
      <c r="J9" s="21"/>
      <c r="K9" s="21"/>
      <c r="L9" s="21"/>
      <c r="M9" s="21"/>
      <c r="N9" s="21"/>
    </row>
    <row r="10" spans="1:14" ht="13.15">
      <c r="A10" s="21"/>
      <c r="B10" s="21"/>
      <c r="C10" s="21"/>
      <c r="D10" s="21"/>
      <c r="E10" s="21" t="str">
        <f t="shared" si="4"/>
        <v/>
      </c>
      <c r="F10" s="21" t="str">
        <f t="shared" si="5"/>
        <v/>
      </c>
      <c r="G10" s="21"/>
      <c r="H10" s="21" t="str">
        <f t="shared" si="6"/>
        <v/>
      </c>
      <c r="I10" s="21" t="str">
        <f t="shared" si="7"/>
        <v/>
      </c>
      <c r="J10" s="21"/>
      <c r="K10" s="21"/>
      <c r="L10" s="21"/>
      <c r="M10" s="21"/>
      <c r="N10" s="21"/>
    </row>
    <row r="11" spans="1:14" ht="13.15">
      <c r="A11" s="21"/>
      <c r="B11" s="21"/>
      <c r="C11" s="21"/>
      <c r="D11" s="21"/>
      <c r="E11" s="21" t="str">
        <f t="shared" si="4"/>
        <v/>
      </c>
      <c r="F11" s="21" t="str">
        <f t="shared" si="5"/>
        <v/>
      </c>
      <c r="G11" s="21"/>
      <c r="H11" s="21" t="str">
        <f t="shared" si="6"/>
        <v/>
      </c>
      <c r="I11" s="21" t="str">
        <f t="shared" si="7"/>
        <v/>
      </c>
      <c r="J11" s="21"/>
      <c r="K11" s="21"/>
      <c r="L11" s="21"/>
      <c r="M11" s="21"/>
      <c r="N11" s="21"/>
    </row>
    <row r="12" spans="1:14" ht="13.15">
      <c r="A12" s="21"/>
      <c r="B12" s="21"/>
      <c r="C12" s="21"/>
      <c r="D12" s="21"/>
      <c r="E12" s="21" t="str">
        <f t="shared" si="4"/>
        <v/>
      </c>
      <c r="F12" s="21" t="str">
        <f t="shared" si="5"/>
        <v/>
      </c>
      <c r="G12" s="21"/>
      <c r="H12" s="21" t="str">
        <f t="shared" si="6"/>
        <v/>
      </c>
      <c r="I12" s="21" t="str">
        <f t="shared" si="7"/>
        <v/>
      </c>
      <c r="J12" s="21"/>
      <c r="K12" s="21"/>
      <c r="L12" s="21"/>
      <c r="M12" s="21"/>
      <c r="N12" s="21"/>
    </row>
    <row r="13" spans="1:14" ht="12.75" customHeight="1">
      <c r="A13" s="21"/>
      <c r="B13" s="21"/>
      <c r="C13" s="21"/>
      <c r="D13" s="21"/>
      <c r="E13" s="21"/>
      <c r="F13" s="21"/>
      <c r="G13" s="21"/>
      <c r="H13" s="21"/>
      <c r="I13" s="21"/>
      <c r="J13" s="21"/>
      <c r="K13" s="21"/>
      <c r="L13" s="21"/>
      <c r="M13" s="21"/>
      <c r="N13" s="21"/>
    </row>
    <row r="14" spans="1:14" ht="13.15">
      <c r="A14" s="21"/>
      <c r="B14" s="21"/>
      <c r="C14" s="21"/>
      <c r="D14" s="21"/>
      <c r="E14" s="21"/>
      <c r="F14" s="21"/>
      <c r="G14" s="21"/>
      <c r="H14" s="21"/>
      <c r="I14" s="21"/>
      <c r="J14" s="21"/>
      <c r="K14" s="21"/>
      <c r="L14" s="21"/>
      <c r="M14" s="21"/>
      <c r="N14" s="21"/>
    </row>
    <row r="15" spans="1:14" ht="14.25">
      <c r="A15" s="21"/>
      <c r="B15" s="32"/>
      <c r="C15" s="21"/>
      <c r="D15" s="21"/>
      <c r="E15" s="21"/>
      <c r="F15" s="21"/>
      <c r="G15" s="21"/>
      <c r="H15" s="21"/>
      <c r="I15" s="21"/>
      <c r="J15" s="21"/>
      <c r="K15" s="21"/>
    </row>
    <row r="16" spans="1:14" ht="14.25">
      <c r="A16" s="21"/>
      <c r="B16" s="32"/>
      <c r="C16" s="21"/>
      <c r="D16" s="21"/>
      <c r="E16" s="21"/>
      <c r="F16" s="21"/>
      <c r="G16" s="21"/>
      <c r="H16" s="21"/>
      <c r="I16" s="21"/>
      <c r="J16" s="21"/>
      <c r="K16" s="21"/>
    </row>
    <row r="17" spans="1:11" ht="14.25">
      <c r="A17" s="21"/>
      <c r="B17" s="32"/>
      <c r="C17" s="21"/>
      <c r="D17" s="21"/>
      <c r="E17" s="21"/>
      <c r="F17" s="21"/>
      <c r="G17" s="21"/>
      <c r="H17" s="21"/>
      <c r="I17" s="21"/>
      <c r="J17" s="21"/>
      <c r="K17" s="21"/>
    </row>
    <row r="18" spans="1:11" ht="14.25">
      <c r="A18" s="21"/>
      <c r="B18" s="32"/>
      <c r="C18" s="21"/>
      <c r="D18" s="21"/>
      <c r="E18" s="21"/>
      <c r="F18" s="21"/>
      <c r="G18" s="21"/>
      <c r="H18" s="21"/>
      <c r="I18" s="21"/>
      <c r="J18" s="21"/>
      <c r="K18" s="21"/>
    </row>
    <row r="19" spans="1:11" ht="14.25">
      <c r="A19" s="21"/>
      <c r="B19" s="32"/>
      <c r="C19" s="21"/>
      <c r="D19" s="21"/>
      <c r="E19" s="21"/>
      <c r="F19" s="21"/>
      <c r="G19" s="21"/>
      <c r="H19" s="21"/>
      <c r="I19" s="21"/>
      <c r="J19" s="21"/>
      <c r="K19" s="21"/>
    </row>
    <row r="20" spans="1:11" ht="14.25">
      <c r="A20" s="21"/>
      <c r="B20" s="32"/>
      <c r="C20" s="21"/>
      <c r="D20" s="21"/>
      <c r="E20" s="21"/>
      <c r="F20" s="21"/>
      <c r="G20" s="21"/>
      <c r="H20" s="21"/>
      <c r="I20" s="21"/>
      <c r="J20" s="21"/>
      <c r="K20" s="21"/>
    </row>
    <row r="21" spans="1:11" ht="14.25">
      <c r="A21" s="21"/>
      <c r="B21" s="32"/>
      <c r="C21" s="21"/>
      <c r="D21" s="21"/>
      <c r="E21" s="21"/>
      <c r="F21" s="21"/>
      <c r="G21" s="21"/>
      <c r="H21" s="21"/>
      <c r="I21" s="21"/>
      <c r="J21" s="21"/>
      <c r="K21" s="21"/>
    </row>
    <row r="22" spans="1:11" ht="14.25">
      <c r="A22" s="21"/>
      <c r="B22" s="32"/>
      <c r="C22" s="21"/>
      <c r="D22" s="21"/>
      <c r="E22" s="21"/>
      <c r="F22" s="21"/>
      <c r="G22" s="21"/>
      <c r="H22" s="21"/>
      <c r="I22" s="21"/>
      <c r="J22" s="21"/>
      <c r="K22" s="21"/>
    </row>
    <row r="23" spans="1:11" ht="14.25">
      <c r="A23" s="21"/>
      <c r="B23" s="32"/>
      <c r="C23" s="21"/>
      <c r="D23" s="21"/>
      <c r="E23" s="21"/>
      <c r="F23" s="21"/>
      <c r="G23" s="21"/>
      <c r="H23" s="21"/>
      <c r="I23" s="21"/>
      <c r="J23" s="21"/>
      <c r="K23" s="21"/>
    </row>
    <row r="24" spans="1:11" ht="14.25">
      <c r="A24" s="21"/>
      <c r="B24" s="32"/>
      <c r="C24" s="21"/>
      <c r="D24" s="21"/>
      <c r="E24" s="21"/>
      <c r="F24" s="21"/>
      <c r="G24" s="21"/>
      <c r="H24" s="21"/>
      <c r="I24" s="21"/>
      <c r="J24" s="21"/>
      <c r="K24" s="21"/>
    </row>
    <row r="25" spans="1:11" ht="14.25">
      <c r="A25" s="21"/>
      <c r="B25" s="32"/>
      <c r="C25" s="21"/>
      <c r="D25" s="21"/>
      <c r="E25" s="21"/>
      <c r="F25" s="21"/>
      <c r="G25" s="21"/>
      <c r="H25" s="21"/>
      <c r="I25" s="21"/>
      <c r="J25" s="21"/>
      <c r="K25" s="21"/>
    </row>
    <row r="26" spans="1:11" ht="14.25">
      <c r="A26" s="21"/>
      <c r="B26" s="32"/>
      <c r="C26" s="21"/>
      <c r="D26" s="21"/>
      <c r="E26" s="21"/>
      <c r="F26" s="21"/>
      <c r="G26" s="21"/>
      <c r="H26" s="21"/>
      <c r="I26" s="21"/>
      <c r="J26" s="21"/>
      <c r="K26" s="21"/>
    </row>
    <row r="27" spans="1:11" ht="14.25">
      <c r="A27" s="21"/>
      <c r="B27" s="32"/>
      <c r="C27" s="21"/>
      <c r="D27" s="21"/>
      <c r="E27" s="21"/>
      <c r="F27" s="21"/>
      <c r="G27" s="21"/>
      <c r="H27" s="21"/>
      <c r="I27" s="21"/>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4.25">
      <c r="A323" s="21"/>
      <c r="B323" s="32"/>
      <c r="C323" s="21"/>
      <c r="D323" s="21"/>
      <c r="E323" s="21"/>
      <c r="F323" s="22"/>
      <c r="G323" s="21"/>
      <c r="H323" s="21"/>
      <c r="I323" s="22"/>
      <c r="J323" s="21"/>
      <c r="K323" s="21"/>
    </row>
    <row r="324" spans="1:11" ht="14.25">
      <c r="A324" s="21"/>
      <c r="B324" s="32"/>
      <c r="C324" s="21"/>
      <c r="D324" s="21"/>
      <c r="E324" s="21"/>
      <c r="F324" s="22"/>
      <c r="G324" s="21"/>
      <c r="H324" s="21"/>
      <c r="I324" s="22"/>
      <c r="J324" s="21"/>
      <c r="K324" s="21"/>
    </row>
    <row r="325" spans="1:11" ht="14.25">
      <c r="A325" s="21"/>
      <c r="B325" s="32"/>
      <c r="C325" s="21"/>
      <c r="D325" s="21"/>
      <c r="E325" s="21"/>
      <c r="F325" s="22"/>
      <c r="G325" s="21"/>
      <c r="H325" s="21"/>
      <c r="I325" s="22"/>
      <c r="J325" s="21"/>
      <c r="K325" s="21"/>
    </row>
    <row r="326" spans="1:11" ht="14.25">
      <c r="A326" s="21"/>
      <c r="B326" s="32"/>
      <c r="C326" s="21"/>
      <c r="D326" s="21"/>
      <c r="E326" s="21"/>
      <c r="F326" s="22"/>
      <c r="G326" s="21"/>
      <c r="H326" s="21"/>
      <c r="I326" s="22"/>
      <c r="J326" s="21"/>
      <c r="K326" s="21"/>
    </row>
    <row r="327" spans="1:11" ht="14.25">
      <c r="A327" s="21"/>
      <c r="B327" s="32"/>
      <c r="C327" s="21"/>
      <c r="D327" s="21"/>
      <c r="E327" s="21"/>
      <c r="F327" s="22"/>
      <c r="G327" s="21"/>
      <c r="H327" s="21"/>
      <c r="I327" s="22"/>
      <c r="J327" s="21"/>
      <c r="K327" s="21"/>
    </row>
    <row r="328" spans="1:11" ht="14.25">
      <c r="A328" s="21"/>
      <c r="B328" s="32"/>
      <c r="C328" s="21"/>
      <c r="D328" s="21"/>
      <c r="E328" s="21"/>
      <c r="F328" s="22"/>
      <c r="G328" s="21"/>
      <c r="H328" s="21"/>
      <c r="I328" s="22"/>
      <c r="J328" s="21"/>
      <c r="K328" s="21"/>
    </row>
    <row r="329" spans="1:11" ht="14.25">
      <c r="A329" s="21"/>
      <c r="B329" s="32"/>
      <c r="C329" s="21"/>
      <c r="D329" s="21"/>
      <c r="E329" s="21"/>
      <c r="F329" s="22"/>
      <c r="G329" s="21"/>
      <c r="H329" s="21"/>
      <c r="I329" s="22"/>
      <c r="J329" s="21"/>
      <c r="K329" s="21"/>
    </row>
    <row r="330" spans="1:11" ht="14.25">
      <c r="A330" s="21"/>
      <c r="B330" s="32"/>
      <c r="C330" s="21"/>
      <c r="D330" s="21"/>
      <c r="E330" s="21"/>
      <c r="F330" s="22"/>
      <c r="G330" s="21"/>
      <c r="H330" s="21"/>
      <c r="I330" s="22"/>
      <c r="J330" s="21"/>
      <c r="K330" s="21"/>
    </row>
    <row r="331" spans="1:11" ht="14.25">
      <c r="A331" s="21"/>
      <c r="B331" s="32"/>
      <c r="C331" s="21"/>
      <c r="D331" s="21"/>
      <c r="E331" s="21"/>
      <c r="F331" s="22"/>
      <c r="G331" s="21"/>
      <c r="H331" s="21"/>
      <c r="I331" s="22"/>
      <c r="J331" s="21"/>
      <c r="K331" s="21"/>
    </row>
    <row r="332" spans="1:11" ht="14.25">
      <c r="A332" s="21"/>
      <c r="B332" s="32"/>
      <c r="C332" s="21"/>
      <c r="D332" s="21"/>
      <c r="E332" s="21"/>
      <c r="F332" s="22"/>
      <c r="G332" s="21"/>
      <c r="H332" s="21"/>
      <c r="I332" s="22"/>
      <c r="J332" s="21"/>
      <c r="K332" s="21"/>
    </row>
    <row r="333" spans="1:11" ht="14.25">
      <c r="A333" s="21"/>
      <c r="B333" s="32"/>
      <c r="C333" s="21"/>
      <c r="D333" s="21"/>
      <c r="E333" s="21"/>
      <c r="F333" s="22"/>
      <c r="G333" s="21"/>
      <c r="H333" s="21"/>
      <c r="I333" s="22"/>
      <c r="J333" s="21"/>
      <c r="K333" s="21"/>
    </row>
    <row r="334" spans="1:11" ht="14.25">
      <c r="A334" s="21"/>
      <c r="B334" s="32"/>
      <c r="C334" s="21"/>
      <c r="D334" s="21"/>
      <c r="E334" s="21"/>
      <c r="F334" s="22"/>
      <c r="G334" s="21"/>
      <c r="H334" s="21"/>
      <c r="I334" s="22"/>
      <c r="J334" s="21"/>
      <c r="K334" s="21"/>
    </row>
    <row r="335" spans="1:11" ht="14.25">
      <c r="A335" s="21"/>
      <c r="B335" s="32"/>
      <c r="C335" s="21"/>
      <c r="D335" s="21"/>
      <c r="E335" s="21"/>
      <c r="F335" s="22"/>
      <c r="G335" s="21"/>
      <c r="H335" s="21"/>
      <c r="I335" s="22"/>
      <c r="J335" s="21"/>
      <c r="K335" s="21"/>
    </row>
    <row r="336" spans="1:11" ht="14.25">
      <c r="A336" s="21"/>
      <c r="B336" s="32"/>
      <c r="C336" s="21"/>
      <c r="D336" s="21"/>
      <c r="E336" s="21"/>
      <c r="F336" s="22"/>
      <c r="G336" s="21"/>
      <c r="H336" s="21"/>
      <c r="I336" s="22"/>
      <c r="J336" s="21"/>
      <c r="K336" s="21"/>
    </row>
    <row r="337" spans="3:11" ht="13.9">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6" priority="3" stopIfTrue="1" operator="lessThanOrEqual">
      <formula>-0.1</formula>
    </cfRule>
    <cfRule type="expression" dxfId="5" priority="4">
      <formula>AND(ISNUMBER(F2), F2&gt;=0.1)</formula>
    </cfRule>
  </conditionalFormatting>
  <conditionalFormatting sqref="F15:F95 I15:I95">
    <cfRule type="cellIs" dxfId="4" priority="1" stopIfTrue="1" operator="lessThanOrEqual">
      <formula>-0.1</formula>
    </cfRule>
    <cfRule type="expression" dxfId="3" priority="2">
      <formula>AND(ISNUMBER(F15), F15&gt;=0.1)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8"/>
  <sheetViews>
    <sheetView workbookViewId="0">
      <pane ySplit="3" topLeftCell="A4" activePane="bottomLeft" state="frozen"/>
      <selection pane="bottomLeft" activeCell="C4" sqref="C4"/>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120</v>
      </c>
      <c r="B1" s="42" t="s">
        <v>121</v>
      </c>
    </row>
    <row r="3" spans="1:5">
      <c r="A3" t="s">
        <v>122</v>
      </c>
      <c r="B3" t="s">
        <v>3</v>
      </c>
      <c r="C3" t="s">
        <v>4</v>
      </c>
      <c r="D3" t="s">
        <v>123</v>
      </c>
      <c r="E3" s="2" t="s">
        <v>124</v>
      </c>
    </row>
    <row r="4" spans="1:5" ht="12.75" customHeight="1">
      <c r="A4" s="42" t="s">
        <v>125</v>
      </c>
      <c r="B4" s="42" t="s">
        <v>126</v>
      </c>
      <c r="C4" t="s">
        <v>127</v>
      </c>
      <c r="D4" t="s">
        <v>128</v>
      </c>
      <c r="E4" s="42" t="s">
        <v>129</v>
      </c>
    </row>
    <row r="5" spans="1:5" ht="12.75" customHeight="1">
      <c r="A5" s="3" t="s">
        <v>130</v>
      </c>
      <c r="B5" s="3" t="s">
        <v>131</v>
      </c>
      <c r="C5" s="3" t="s">
        <v>132</v>
      </c>
      <c r="D5" t="s">
        <v>128</v>
      </c>
      <c r="E5" s="42" t="s">
        <v>129</v>
      </c>
    </row>
    <row r="6" spans="1:5" ht="12.75" customHeight="1">
      <c r="A6" s="3" t="s">
        <v>133</v>
      </c>
      <c r="B6" s="3" t="s">
        <v>134</v>
      </c>
      <c r="C6" s="3" t="s">
        <v>132</v>
      </c>
      <c r="D6" t="s">
        <v>128</v>
      </c>
      <c r="E6" s="42" t="s">
        <v>129</v>
      </c>
    </row>
    <row r="7" spans="1:5" ht="12.75" customHeight="1">
      <c r="A7" s="3" t="s">
        <v>135</v>
      </c>
      <c r="B7" s="3" t="s">
        <v>136</v>
      </c>
      <c r="C7" s="3" t="s">
        <v>132</v>
      </c>
      <c r="D7" t="s">
        <v>128</v>
      </c>
      <c r="E7" s="42" t="s">
        <v>129</v>
      </c>
    </row>
    <row r="8" spans="1:5" ht="12.75" customHeight="1">
      <c r="A8" s="3" t="s">
        <v>137</v>
      </c>
      <c r="B8" s="3" t="s">
        <v>138</v>
      </c>
      <c r="C8" s="3" t="s">
        <v>132</v>
      </c>
      <c r="D8" t="s">
        <v>128</v>
      </c>
      <c r="E8" s="42" t="s">
        <v>129</v>
      </c>
    </row>
  </sheetData>
  <phoneticPr fontId="3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98A87B2-FAAB-45E3-AF4D-4AEAB834F22C}"/>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8D732231-4216-4543-A665-18A2886B0EB7}"/>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F6B2B1A1-1C4B-4AC9-9A7D-7A102DD1C942}"/>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D3A7101F-9A85-4235-8B03-415370C100B2}"/>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89CF5C07-45EB-4100-9AFB-2C6AF77FA787}"/>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66B09F59-6532-46F8-924A-9A02417E070D}"/>
</file>

<file path=customXml/itemProps15.xml><?xml version="1.0" encoding="utf-8"?>
<ds:datastoreItem xmlns:ds="http://schemas.openxmlformats.org/officeDocument/2006/customXml" ds:itemID="{E3716282-BFD2-4ED2-BA47-BFA1123827F0}"/>
</file>

<file path=customXml/itemProps16.xml><?xml version="1.0" encoding="utf-8"?>
<ds:datastoreItem xmlns:ds="http://schemas.openxmlformats.org/officeDocument/2006/customXml" ds:itemID="{0389C43E-394D-44C0-87DC-4780FCFCFB40}"/>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1954BBA4-0359-438C-B0EC-A756015F7C02}"/>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14966E4F-347B-477B-B74C-9DAC05405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2025-07-08T08:48:19Z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