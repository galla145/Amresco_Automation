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BEEA7445-755F-47B7-9DEE-CAC0C28D7331}" xr6:coauthVersionLast="47" xr6:coauthVersionMax="47" xr10:uidLastSave="{00000000-0000-0000-0000-000000000000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<sst xmlns="http://schemas.openxmlformats.org/spreadsheetml/2006/main" count="262" uniqueCount="63">
  <si>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</si>
  <si>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</si>
  <si>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</si>
  <si>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</si>
  <si>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</si>
  <si>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</si>
  <si>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</si>
  <si>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</si>
  <si>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</si>
  <si>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</si>
  <si>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</si>
  <si>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</si>
  <si>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</si>
  <si>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</si>
  <si>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</si>
  <si>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</si>
  <si>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</si>
  <si>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</si>
  <si>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</si>
  <si>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</si>
  <si>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</si>
  <si>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</si>
  <si>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</si>
  <si>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</si>
  <si>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</si>
  <si>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</si>
  <si>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</si>
  <si>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</si>
  <si>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</si>
  <si>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</si>
  <si>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</si>
  <si>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</si>
  <si>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</si>
  <si>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</si>
  <si>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</si>
  <si>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</si>
  <si>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</si>
  <si>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</si>
  <si>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</si>
  <si>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</si>
  <si>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</si>
  <si>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</si>
  <si>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</si>
  <si>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</si>
  <si>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</si>
  <si>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</si>
  <si>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</si>
  <si>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</si>
  <si>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</si>
  <si>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</si>
  <si>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</si>
  <si>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</si>
  <si>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</si>
  <si>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</si>
  <si>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</si>
  <si>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</si>
  <si>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</si>
  <si>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</si>
  <si>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</si>
  <si>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</si>
  <si>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</si>
  <si>
    <t>Status</t>
  </si>
  <si>
    <t>1.Closed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</si>
</sst>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D4" sqref="D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SUM(C4:C60)</f>
        <v>246262.06499999997</v>
      </c>
      <c r="D2" s="6">
        <f>SUM(D4:D60)</f>
        <v>170573.55213900001</v>
      </c>
      <c r="E2" s="6">
        <f>C2-D2</f>
        <v>75688.512860999967</v>
      </c>
      <c r="F2" s="7">
        <f>IFERROR(E2/D2, 0)</f>
        <v>0.44372947571216415</v>
      </c>
      <c r="G2" s="6">
        <f>SUM(G4:G60)</f>
        <v>0</v>
      </c>
      <c r="H2" s="8">
        <f>C2-G2</f>
        <v>246262.06499999997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246262.06499999997</v>
      </c>
      <c r="D4" s="14">
        <f>SUM('1st Qtr'!D4, '2nd Qtr'!D4, '3rd Qtr'!D4, '4th Qtr'!D4)</f>
        <v>170573.55213900001</v>
      </c>
      <c r="E4" s="14">
        <f>IF(AND(ISNUMBER(C4),ISNUMBER(D4)), C4-D4, "")</f>
        <v>75688.512860999967</v>
      </c>
      <c r="F4" s="15">
        <f>IFERROR(E4/D4, "")</f>
        <v>0.44372947571216415</v>
      </c>
      <c r="G4" s="16">
        <f>SUM('1st Qtr'!G4,'2nd Qtr'!G4,'3rd Qtr'!G4,'4th Qtr'!G4)</f>
        <v>0</v>
      </c>
      <c r="H4" s="16">
        <f>SUM('1st Qtr'!H4, '2nd Qtr'!H4, '3rd Qtr'!H4, '4th Qtr'!H4)</f>
        <v>201272.39499999999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C4" sqref="C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L16" sqref="L1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97315.948999999993</v>
      </c>
      <c r="D2" s="6">
        <f>SUM(D4:D89)</f>
        <v>79082.988138999994</v>
      </c>
      <c r="E2" s="6">
        <f>C2-D2</f>
        <v>18232.960861</v>
      </c>
      <c r="F2" s="7">
        <f>IFERROR(E2/D2, 0)</f>
        <v>0.23055477910056821</v>
      </c>
      <c r="G2" s="6">
        <f>SUM(G4:G89)</f>
        <v>0</v>
      </c>
      <c r="H2" s="8">
        <f>C2-G2</f>
        <v>97315.948999999993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97315.948999999993</v>
      </c>
      <c r="D4" s="14">
        <f>SUM(Jul!D4, Aug!D4, Sep!D4)</f>
        <v>79082.988138999994</v>
      </c>
      <c r="E4" s="14">
        <f>IF(AND(ISNUMBER(C4),ISNUMBER(D4)), C4-D4, "")</f>
        <v>18232.960861</v>
      </c>
      <c r="F4" s="15">
        <f>IFERROR(E4/D4, "")</f>
        <v>0.23055477910056821</v>
      </c>
      <c r="G4" s="16">
        <f>SUM(Jul!G4, Aug!G4, Sep!G4)</f>
        <v>0</v>
      </c>
      <c r="H4" s="16">
        <f>SUM(Jul!H4, Aug!H4, Sep!H4)</f>
        <v>71250.879000000001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9" sqref="E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18924.599999999999</v>
      </c>
      <c r="D2" s="6">
        <f>SUM(D4:D89)</f>
        <v>14064.7</v>
      </c>
      <c r="E2" s="6">
        <f>C2-D2</f>
        <v>4859.8999999999978</v>
      </c>
      <c r="F2" s="7">
        <f>IFERROR(E2/D2, 0)</f>
        <v>0.34553883125839852</v>
      </c>
      <c r="G2" s="6">
        <f>SUM(G4:G89)</f>
        <v>0</v>
      </c>
      <c r="H2" s="8">
        <f>C2-G2</f>
        <v>18924.599999999999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18924.599999999999</v>
      </c>
      <c r="D4" s="14">
        <f>SUM(Oct!D4, Nov!D4, Dec!D4)</f>
        <v>14064.7</v>
      </c>
      <c r="E4" s="14">
        <f>IF(AND(ISNUMBER(C4),ISNUMBER(D4)), C4-D4, "")</f>
        <v>4859.8999999999978</v>
      </c>
      <c r="F4" s="15">
        <f>IFERROR(E4/D4, "")</f>
        <v>0.34553883125839852</v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H12" sqref="H12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activeCell="E23" sqref="E23"/>
      <selection pane="bottomLeft" activeCell="J14" sqref="J1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activeCell="H22" sqref="H22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activeCell="E23" sqref="E23"/>
      <selection pane="bottomLeft" activeCell="H16" sqref="H1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activeCell="E23" sqref="E23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E23" sqref="E23"/>
      <selection pane="bottomLeft" activeCell="H20" sqref="H19:H2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zoomScale="80" zoomScaleNormal="80" workbookViewId="0">
      <pane ySplit="2" topLeftCell="A4" activePane="bottomLeft" state="frozen"/>
      <selection activeCell="E23" sqref="E23"/>
      <selection pane="bottomLeft" activeCell="J4" sqref="J4: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SUM(C4:C30)</f>
        <v>35625.4</v>
      </c>
      <c r="D2" s="6">
        <f>SUM(D4:D30)</f>
        <v>26946.49</v>
      </c>
      <c r="E2" s="6">
        <f>C2-D2</f>
        <v>8678.91</v>
      </c>
      <c r="F2" s="7">
        <f>IFERROR(E2/D2, 0)</f>
        <v>0.32207942481562529</v>
      </c>
      <c r="G2" s="6">
        <f>SUM(G4:G30)</f>
        <v>0</v>
      </c>
      <c r="H2" s="8">
        <f>C2-G2</f>
        <v>35625.4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</v>
      </c>
      <c r="D4" s="14">
        <v>26946.49</v>
      </c>
      <c r="E4" s="14">
        <f>IF(AND(ISNUMBER(C4),ISNUMBER(D4)), C4-D4, "")</f>
        <v>8678.91</v>
      </c>
      <c r="F4" s="15">
        <f>IFERROR(E4/D4, "")</f>
        <v>0.32207942481562529</v>
      </c>
      <c r="G4" s="16">
        <v>0</v>
      </c>
      <c r="H4" s="16">
        <f>IF(AND(ISNUMBER(C4),ISNUMBER(G4)), C4-G4, "")</f>
        <v>35625.4</v>
      </c>
      <c r="I4" s="17" t="str">
        <f>IFERROR(H4/G4, "")</f>
        <v/>
      </c>
      <c r="J4" s="18" t="s">
        <v>33</v>
      </c>
      <c r="K4" s="42" t="s">
        <v>34</v>
      </c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092283" xr:uid="{99ED31F3-346C-4DC0-9E82-761E8D57B3D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opLeftCell="C1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26065.07</v>
      </c>
      <c r="D2" s="6">
        <f>SUM(D4:D90)</f>
        <v>23671.7</v>
      </c>
      <c r="E2" s="6">
        <f>C2-D2</f>
        <v>2393.369999999999</v>
      </c>
      <c r="F2" s="7">
        <f>IFERROR(E2/D2, 0)</f>
        <v>0.1011068068622025</v>
      </c>
      <c r="G2" s="6">
        <f>SUM(G4:G90)</f>
        <v>0</v>
      </c>
      <c r="H2" s="8">
        <f>C2-G2</f>
        <v>26065.07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26065.07</v>
      </c>
      <c r="D4" s="14">
        <v>23671.7</v>
      </c>
      <c r="E4" s="14">
        <f>IF(AND(ISNUMBER(C4),ISNUMBER(D4)), C4-D4, "")</f>
        <v>2393.369999999999</v>
      </c>
      <c r="F4" s="15">
        <f>IFERROR(E4/D4, "")</f>
        <v>0.1011068068622025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092283" xr:uid="{1A624327-351A-4AEE-BF2E-E1C9724686F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abSelected="1" topLeftCell="D1" workbookViewId="0">
      <pane ySplit="2" topLeftCell="A3" activePane="bottomLeft" state="frozen"/>
      <selection activeCell="E23" sqref="E23"/>
      <selection pane="bottomLeft" activeCell="K7" sqref="K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18924.599999999999</v>
      </c>
      <c r="D2" s="6">
        <f>SUM(D4:D90)</f>
        <v>14064.7</v>
      </c>
      <c r="E2" s="6">
        <f>C2-D2</f>
        <v>4859.8999999999978</v>
      </c>
      <c r="F2" s="7">
        <f>IFERROR(E2/D2, 0)</f>
        <v>0.34553883125839852</v>
      </c>
      <c r="G2" s="6">
        <f>SUM(G4:G90)</f>
        <v>0</v>
      </c>
      <c r="H2" s="8">
        <f>C2-G2</f>
        <v>18924.599999999999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61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18924.599999999999</v>
      </c>
      <c r="D4" s="14">
        <v>14064.7</v>
      </c>
      <c r="E4" s="14">
        <f>IF(AND(ISNUMBER(C4),ISNUMBER(D4)), C4-D4, "")</f>
        <v>4859.8999999999978</v>
      </c>
      <c r="F4" s="15">
        <f>IFERROR(E4/D4, "")</f>
        <v>0.34553883125839852</v>
      </c>
      <c r="G4" s="45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  <c r="L4" s="18" t="s">
        <v>62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hyperlinks>
    <hyperlink ref="K4" r:id="rId1" display="https://us3.assetplanner.com/service_request?ID=092283" xr:uid="{3C1BB762-29F0-4814-8C55-EE9D11ECFCE0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4" sqref="E1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53</v>
      </c>
      <c r="B1" t="s">
        <v>54</v>
      </c>
    </row>
    <row r="3" spans="1:7" ht="13.2" x14ac:dyDescent="0.2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" x14ac:dyDescent="0.3">
      <c r="A4" t="s">
        <v>58</v>
      </c>
      <c r="B4" t="s">
        <v>58</v>
      </c>
      <c r="C4" s="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6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A4A72076-9451-42B9-AEFE-D95C72FC2EC3}"/>
</file>

<file path=customXml/itemProps14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2025-11-10T08:24:48Z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