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49" documentId="11_D24B40DF4B5B8A36FE91B2E5EC012D16D1060D42" xr6:coauthVersionLast="47" xr6:coauthVersionMax="47" xr10:uidLastSave="{B0F2BE6C-E4A7-433F-8DD1-552D91025471}"/>
  <bookViews>
    <workbookView xWindow="0" yWindow="0" windowWidth="0" windowHeight="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1" l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<sst xmlns="http://schemas.openxmlformats.org/spreadsheetml/2006/main" count="483" uniqueCount="129">
  <si>
    <t>Customer</t>
  </si>
  <si>
    <t>Asset</t>
  </si>
  <si>
    <t>Site Equipment</t>
  </si>
  <si>
    <t>kW Down</t>
  </si>
  <si>
    <t>Date</t>
  </si>
  <si>
    <t>Description</t>
  </si>
  <si>
    <t>Account Manager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</si>
  <si>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</si>
  <si>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</si>
  <si>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</si>
  <si>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</si>
  <si>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</si>
  <si>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</si>
  <si>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</si>
  <si>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/>
  </si>
  <si>
    <t>7.6</t>
  </si>
  <si>
    <t>10/09/25 - Brickenwood inverter 14 stopped communicating.  Production not confirmed.</t>
  </si>
  <si>
    <t>Amanda Harper</t>
  </si>
  <si>
    <t xml:space="preserve">Pending Subcontractor Completion </t>
  </si>
  <si>
    <t>PV-Monitoring-ROC</t>
  </si>
  <si>
    <t>Ameresco - Inverter Troubleshooting</t>
  </si>
  <si>
    <t>Ben Rose - 676 S 1St St - Inverter 11</t>
  </si>
  <si>
    <t>6</t>
  </si>
  <si>
    <t>10/09/25 - Inverter 11 tripped offline.  Reporting internal error.</t>
  </si>
  <si>
    <t>Satellite - 83 Libra Dr - Inverter 8</t>
  </si>
  <si>
    <t>10/07/25 - Issue still exists.
09/30/25 - Inverter 8 stopped communicating.  Production not confirmed.</t>
  </si>
  <si>
    <t>Ameresco Production Not Confirmed - Site Outage</t>
  </si>
  <si>
    <t>Ben Rose - 871 S Water St - Inverter 3</t>
  </si>
  <si>
    <t>10/07/25 - Issue still exists.
09/24/25 - Inverter 3 stopped communicating.  Production not confirmed.</t>
  </si>
  <si>
    <t>Presidential - 164 Van-Buren St Bldg 8 - Inverter 32</t>
  </si>
  <si>
    <t>9</t>
  </si>
  <si>
    <t>10/07/25 - Issue still exists.
09/24/25 - Inverter 32 stopped communicating, production not confirmed.</t>
  </si>
  <si>
    <t>Presidential - 164 Van-Buren St Bldg 8 - Inverter 18</t>
  </si>
  <si>
    <t>10/07/25 - Issue still exists.
09/24/25 - Inverter 18 stopped communicating.  Production not confirmed.</t>
  </si>
  <si>
    <t>Brickenwood - 150 Hathaway - Inverter 5</t>
  </si>
  <si>
    <t>10/07/25 - Issue still exists.
09/15/25 - Inverter 5 stopped communicating.  Production not confirmed.</t>
  </si>
  <si>
    <t>Brickenwood - 59 Malden - Inverter 24</t>
  </si>
  <si>
    <t>10/07/25 - Issue still exists.
09/08/25 - Still an issue.
09/02/25 - Inverter 24 stopped communicating.  Production not confirmed.</t>
  </si>
  <si>
    <t>10/07/25 - Issue still exists.
09/08/25 - Issue still exists.
Brickenwood inverter 16 stopped communicating.  Production not confirmed.</t>
  </si>
  <si>
    <t>Shawmut Village - 79 Pawnee CT - Inverter 19</t>
  </si>
  <si>
    <t>10/07/25 - Issue still exists.
09/08/25 - Issue still exists.
09/02/25 - Inverter 19 stopped communicating.  Production not confirmed.</t>
  </si>
  <si>
    <t>Brickenwood - 42 Yale - Inverter 39</t>
  </si>
  <si>
    <t>10/07/25 - Issue still exists.
09/08/25 - Issue still exists.
08/08/25 - Issue still exists.
08/07/25 - Inverter 39 tripped offline at 11am on 7/28.  Reporting internal error.</t>
  </si>
  <si>
    <t>Dottin Place 1 - Amanda Ave Bldg 7 (82) - Inverter 9</t>
  </si>
  <si>
    <t>10</t>
  </si>
  <si>
    <t>10/07/25 - Issue still exists.
09/08/25 - Issue still exists.
08/08/25 - Issue still exists.
07/30/25 - Inverter 9 stopped communicating 7/21.  Production not confirmed.</t>
  </si>
  <si>
    <t>Brickenwood - 132 Hathaway - Inverter 8</t>
  </si>
  <si>
    <t>7.5</t>
  </si>
  <si>
    <t>10/07/25 - Issue still exists.
09/08/25 - Still an issue.
07/30/25 - Inverter 8 stopped communicating 7/25</t>
  </si>
  <si>
    <t>Brickenwood - 219 Harvard - Inverter 53</t>
  </si>
  <si>
    <t>5</t>
  </si>
  <si>
    <t>10/07/25 - Issue still exists.
09/08/25 - Issue still exists.
08/07/25 - Issue still exists.
07/07/25 - Issue still exists.
06/16/25 - Inverter 53 stopped communicating 6/8.  Production not confirmed.</t>
  </si>
  <si>
    <t>Brickenwood - 35 Yale - Inverter 58</t>
  </si>
  <si>
    <t>8</t>
  </si>
  <si>
    <t>10/07/25 - Issue still exists.
09/08/25 - Issue still exists.
08/08/25 - Issue still exists.
07/07/25 - Issue still exists.
06/10/25 - Still an issue.
06/09/25 - Inverter 58 stopped communicating on 6/3.  Production not confirmed.</t>
  </si>
  <si>
    <t>Shawmut Village - 61 Apache CT - Inverter 50</t>
  </si>
  <si>
    <t>10/07/25 - Issue still exists.
09/08/25 - Issue still exists.
08/08/25 - Issue still exists.
07/07/25 - Issue still exists.
06/04/25 - Still an issue.
06/03/25 - Inverter 50 stopped communicating 5/26.  Production not confirmed.</t>
  </si>
  <si>
    <t>Chaffee/Fairfield - 975 Fairfield St 1E - Inverter 3</t>
  </si>
  <si>
    <t>10/07/25 - Issue still exists.
09/08/25 - Issue still exists.
08/08/25 - Issue still exists.
07/07/25 - Issue still exists.
06/05/25 - Issue still exists.
05/19/25 - Inverter 3 tripped offline 5/12.  Reporting internal error.</t>
  </si>
  <si>
    <t>Brickenwood - 13 Yale - Inverter 48</t>
  </si>
  <si>
    <t>10/07/25 - Issue still exists.
09/08/25 - Issue still exists.
08/08/25 - Issue still exists.
07/07/25 - Issue still exists.
06/05/25 - Issue still exists.
05/13/25 - Inverter 48 stopped communicating 5/10.  Production not confirmed.  Reporting Power Limitation.</t>
  </si>
  <si>
    <t>Shawmut Village - 83 Pawnee CT - Inverter 26</t>
  </si>
  <si>
    <t>10/07/25 - Issue still exists.
09/08/25 - Issue still exists.
08/08/25 - Issue still exists.
07/07/25 - Issue still exists.
06/04/25 - Issue still exists
05/09/25 - Issue still exists
04/28/25 - Inverter 26 stopped communicating 4/22.  Production not confirmed.</t>
  </si>
  <si>
    <t>Brickenwood - 235 Harvard - Inverter 56</t>
  </si>
  <si>
    <t>7</t>
  </si>
  <si>
    <t>10/07/25 - Issue still exists.
09/08/25 - Issue still exists.
08/08/25 - Issue still exists.
07/07/25 - Issue still exists.
06/05/25 - Issue still exists.
05/09/25-  Issue still exists.
04/09/25-  Issue still exists.
03/05/25 - Issue still exists.
02/25/25 - Inverter 56 stopped communicating 2/19.  Production not confirmed.</t>
  </si>
  <si>
    <t>Dottin Place 1 - Amanda Ave Bldg 12 (92) - Inverter 6</t>
  </si>
  <si>
    <t>10/07/25 - Issue still exists.
09/08/25 - Issue still exists.
08/08/25 - Issue still exists.
07/07/25 - Issue still exists.
06/05/25 - Issue still exists.
05/09/25 - Issue still exists.
04/09/25 -Issue still exists.
03/05/25 -Issue still exists.
02/18/25 Inverter 6 stopped communicating 2/10/25, production not confirmed.</t>
  </si>
  <si>
    <t>Adams St - 14 Adams St - Inverter 2</t>
  </si>
  <si>
    <t>14.4</t>
  </si>
  <si>
    <t>10/07/25 - Issue still exists.
09/08/25 - Issue still exists.
08/08/25 - Issue still exists.
07/08/25 - Issue still exists.
06/05/25 - Issue still exists.
05/09/25 - Issue still exists.
04/09/25 - Issue still exists.
03/05/25 - Issue still exists.
02/08/25 - Issue still exists
01/08/25 - Issue still exists
12/02/24 - Issue still exists
11/17/24 Inverter 2 tripped offline 11/5</t>
  </si>
  <si>
    <t>Ameresco UM - Inverter Troubleshooting</t>
  </si>
  <si>
    <t xml:space="preserve">Adams St - 14 Adams St - Inverter 1 </t>
  </si>
  <si>
    <t>10/07/25 - Issue still exists.
09/08/25 - Issue still exists.
08/08/25 - Issue still exists.
07/08/25 - Issue still exists.
06/05/25 - Issue still exists.
05/09/25 - Issue still exists.
04/09/25 - Issue still exists.
03/05/25 - Issue still exists.
02/08/25 - Issue still exists
01/08/25 - Issue still exists.
12/02/24 - Issue still exists. 
11/17/24 Inverter 1 tripped offline 11/5</t>
  </si>
  <si>
    <t>Shawmut Village - 113 Mashpee CT - Inverter 45</t>
  </si>
  <si>
    <t>10/07/25 - Issue still exists.
09/08/25 - Issue still exists.
08/08/25 - Issue still exists.
07/07/25 - Issue still exists.
06/04/25 - Issue still exists.
05/09/25 - Issue still exists.
04/09/25 - Issue still exists.
03/05/25 - Issue still exists.
02/08/25 - Issue still exists
01/08/25 - Issue still exists.
10/29/24 Inv 45 stopped communicating 10/22.  Production not confirmed.</t>
  </si>
  <si>
    <t>Ameresco UM - Communications Failure / Production Not Confirmed</t>
  </si>
  <si>
    <t>Presidential - 28 Monroe Dr Bldg 16 - Inverter 17</t>
  </si>
  <si>
    <t>10/07/25 - Issue still exists.
09/08/25 - Issue still exists.
08/08/25 - Issue still exists.
07/08/25 - Issue still exists.
06/05/25 - Issue still exists.
05/09/25 - Issue still exists.
04/09/25 - Issue still exists.
03/05/25 - Issue still exists.
02/08/25 - Issue still exists
01/08/25 - Issue still exists.
10/16/24 Inverter 17 tripped offline at 4pm on 10/8.</t>
  </si>
  <si>
    <t>Shawmut Village - 155 Gay Head CT - Inverter 33</t>
  </si>
  <si>
    <t>10/07/25 - Issue still exists.
09/08/25 - Issue still exists.
08/08/25 - Issue still exists.
07/07/25 - Issue still exists.
06/04/25 - Issue still exists.
05/09/25 - Issue still exists.
04/09/25 - Issue still exists.
03/05/25 - Issue still exists.
02/08/25 - Issue still exists.
01/08/25 - Issue still exists.
7/15/24 Inverter 33 stopped communicating on 7/6/24, production not confirmed.</t>
  </si>
  <si>
    <t>Westlawn - 197 Liberty St Bldg 7 - Inverter 4</t>
  </si>
  <si>
    <t>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7/2/24: Inverter 4 stopped communicating on 5/2, cannot confirm production.</t>
  </si>
  <si>
    <t>Brickenwood - 58 Yale - Inverter 49</t>
  </si>
  <si>
    <t>10/07/25 - Issue still exists.
09/08/25 - Issue still exists.
08/08/25 - Issue still exists.
07/07/25 - Issue still exists.
06/05/25 - Issue still exists.
05/09/25 -  Issue still exists.
04/09/25 -  Issue still exists.
03/05/25 - Issue still exists.
02/08/25 - Issue still exists.
01/08/25 - Issue still exists.
6/3/24 - inverter 49 stopped communicating on 5/25/24; possibly offline.</t>
  </si>
  <si>
    <t xml:space="preserve">EPC Completion </t>
  </si>
  <si>
    <t>PV Monitoring - Minor</t>
  </si>
  <si>
    <t>1006999</t>
  </si>
  <si>
    <t>23.4</t>
  </si>
  <si>
    <t>10/07/25 - Issue still exists.
09/08/25 - Issue still exists.
08/08/25 - Issue still exists.
08/06/25 - Inverter 18 resumed communicating on 8/1 at 8pm.  Inverter 27 still not communicating.
07/08/25 - Issue still exists.
06/05/25 - Issue still exists.
05/09/25 - Issue still exists.
04/09/25 - Issue still exists.
03/05/25 - Issue still exists.
02/09/25 - Issue still exists.
01/08/25 - Issue still exists.
5/17/24 - Presidential inverters 18, 27 have stopped communicating, possibly offline.</t>
  </si>
  <si>
    <t>21.8</t>
  </si>
  <si>
    <t>10/07/25 - Issue still exists.
09/08/25 - Issue still exists.
08/08/25 - Issue still exists.
07/08/25 - Issue still exists.
06/05/25 - Inverter 5 resolved &amp; Inverter 4 still an issue.
05/09/25 - Issue still exists.
04/09/25 -  Inverter 4,5 still an issue.
03/05/25 - Issue still exists.
02/09/25 - Inverter 4 still an issue.
01/08/25 - Inverters 6,15 and 16 resolved &amp; Inverter 4 still an issue.
06/03/24 - invs 15 and 16 regained comms, invs 4 and 6 still have no comms.
05/11/24 - Westlawn inverters 4, 6, 15, 16 stopped communicating, possibly offline.</t>
  </si>
  <si>
    <t>Ameresco UM - Communications Failure</t>
  </si>
  <si>
    <t>Brickenwood - 88 Malden - Inverter 27</t>
  </si>
  <si>
    <t>7 - inverter comms ?</t>
  </si>
  <si>
    <t>10/07/25 - Issue still exists.
09/08/25 - Issue still exists.
08/08/25 - Issue still exists.
07/07/25 - Issue still exists.
06/05/25 - Issue still exists.
05/09/25 - Issue still exists.
04/09/25 - Issue still exists.
02/08/25 - Issue still exists.
01/08/25 - Issue still exists.
12/02/24 - Issue still exists.
11/7/24 - Inverter 27 stopped communicating, possibly offline.</t>
  </si>
  <si>
    <t>Presidential - 310 Mt-Pleasant St Bldg 2 - Inverter 1</t>
  </si>
  <si>
    <t>10/07/25 - Issue still exists.
09/08/25 - Issue still exists.
08/08/25 - Issue still exists.
07/08/25 - Issue still exists.
06/05/25 - Issue still exists.
05/09/25 - Issue still exists.
04/09/25 - Issue still exists.
03/05/25 - Issue still exists.
02/08/25 - Still an issue. 
01/08/25 - Inverter 1 is still in offline.
3/4 - Inverter 1 is offline.</t>
  </si>
  <si>
    <t>Brickenwood - 240 Harvard - Inverter 46</t>
  </si>
  <si>
    <t>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3/4 - Inverter 46 at Brickenwood is offline.</t>
  </si>
  <si>
    <t>Westlawn - 197 Liberty St Bldg 33 - Inverter 26</t>
  </si>
  <si>
    <t>3 - Inverter comms ?</t>
  </si>
  <si>
    <t>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12/01/24 - Inverter last communicated 10/03/24.
03/01/24 - Inverter 26 is not communicating.</t>
  </si>
  <si>
    <t>Westlawn - 197 Liberty St Bldg 45 - Inverter 23</t>
  </si>
  <si>
    <t>10/07/25 - Issue still exists.
09/08/25 - Issue still exists.
08/08/25 - Issue still exists.
07/07/25 - Issue still exists.
06/05/25 - Issue still exists.
05/09/25 - Issue still exists.
04/09/25 - Issue still exists.
03/05/25 - Issue still exists.
02/08/25 - Issue still exists.
01/08/25 - Issue still exists.
2/20/24 - Inverter 23 stopped communicating; cannot confirm production.</t>
  </si>
  <si>
    <t>Adams St - 14 Adams St - Inverter 3</t>
  </si>
  <si>
    <t>10/07/25 - Issue still exists.
09/08/25 - Issue still exists.
08/08/25 - Issue still exists.
07/08/25 - Issue still exists.
06/05/25 - Issue still exists.
05/09/25 - Issue still exists.
04/09/25 - Issue still exists.
03/05/25 - Issue still exists.
02/08/25 - Issue still exists.
12/02/24 - Inverter 3 is offline (re-occurring issue).
12/31/23 - Inverter 3 is offline and reporting "Isolation Fault".</t>
  </si>
  <si>
    <t>Shawmut Village - 111 Mashpee CT - Inverter 49</t>
  </si>
  <si>
    <t>10/07/25 - Issue still exists.
09/08/25 - Issue still exists.
08/08/25 - Issue still exists.
07/07/25 - Issue still exists.
06/04/25 - Issue still exists.
05/09/25 - Issue still exists.
04/09/25 -  Issue still exists.
03/05/25 - Issue still exists.
02/08/25 - Issue still exists.
01/08/25 - Issue still exists.
10/17/23 - Inverter 49 is not communicating from 07/09, possibly offline</t>
  </si>
  <si>
    <t>Satellite - 90 Libra Dr - Inverter 11</t>
  </si>
  <si>
    <t xml:space="preserve">6 </t>
  </si>
  <si>
    <t>10/07/25 - Issue still exists.
09/08/25 - Issue still exists.
08/08/25 - Issue still exists.
07/07/25 - Issue still exists.
06/05/25 - Issue still exists.
05/09/25 - Issue still exists.
04/09/25 - Issue still exists
03/05/25 - Issue still exists.
02/08/25 - Issue still exists.
01/08/25 - Issue still exists.
10/5/23 - Inverter 11 stopped communicating, possibly offline.</t>
  </si>
  <si>
    <t>Adams St - 14 Adams St - Inverter 4</t>
  </si>
  <si>
    <t>10/07/25 - Issue still exists.
09/08/25 - Issue still exists.
08/08/25 - Issue still exists.
07/08/25 - Issue still exists.
06/05/25 - Issue still exists.
05/09/25  -Issue still exists
04/09/25 - Issue still exists
03/05/25 - Issue still exists.
02/08/25 - Issue still exists.
01/08/25 - Issue still exists.
12/02/24 - Inverter is offline (re-occurring issue).
10/16/23 - Inverter is still offline.
08/31/23 - Inverter 4 tripped offline.</t>
  </si>
  <si>
    <t>Shawmut Village - 121 Mashpee CT - Inverter 25</t>
  </si>
  <si>
    <t>10/07/25 - Issue still exists.
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reporting, possibly offline
8/9 - Inverter 25 stopped communicating.</t>
  </si>
  <si>
    <t>Shawmut Village - 45 Cherokee CT - Inverter 37</t>
  </si>
  <si>
    <t>10/07/25 - Issue still exists.
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communicating from 07/10, possibly offline
7/13 - Inverter 37 stopped communicating, possibly offline. S/N: 73086310-EE</t>
  </si>
  <si>
    <t>Brickenwood - 190 Harvard - Inverter 35</t>
  </si>
  <si>
    <t>10/07/25 - Issue still exists.
09/08/25 - Issue still exists.
08/08/25 - Issue still exists.
07/07/25 - Issue still exists.
06/05/25 - Issue still exists.
05/09/25 - Issue still exists
04/09/25 - Issue still exists
03/05/25 - Issue still exists.
02/08/25 - Issue still exists.
01/08/25 - Issue still exists.
10/17/23 - Inverter 35 is still offline 
07/11/23 - Inverter 35 tripped offline.</t>
  </si>
  <si>
    <t>10/07/25 - Issue still exists.
09/08/25 - Issue still exists.
07/07/25 - Issue still exists.
06/05/25 - Issue still exists.
05/09/25  -Issue still exists
04/09/25  -Issue still exists
03/05/25 - Issue still exists.
02/08/25 - Issue still exists.
01/08/25 - Issue still exists.
05/22/23 - Inverter 46 tripped offline.</t>
  </si>
  <si>
    <t>Shawmut Village - 63 Apache CT - Inverter 42</t>
  </si>
  <si>
    <t>10/07/25 - Issue still exists.
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communicating from 05/07, possibly offline
5/9 - Inverter 42 stopped communicating, possibly offline.</t>
  </si>
  <si>
    <t>Shawmut Village - 67 Apache CT - Inverter 48</t>
  </si>
  <si>
    <t>10/07/25 - Issue still exists.
09/08/25 - Issue still exists.
08/08/25 - Issue still exists.
07/07/25 - Issue still exists.
06/04/25 - Issue still exists.
05/09/25 -Issue still exists
04/09/25 - Issue still exists
03/05/25 - Issue still exists.
02/08/2025 - Issue still exists.
01/08/2025 - Issue still exists.
10/17/2023 - Inverter is still not communicating from 04/11, possibly offline
4/21 - Inverter 48 stopped communicating.</t>
  </si>
  <si>
    <t>Presidential - 119 Fillmore St Bldg 9 - Inverter 21</t>
  </si>
  <si>
    <t>9 - approximately</t>
  </si>
  <si>
    <t xml:space="preserve">10/07/25 - Issue still exists.
09/08/25 - Issue still exists.
08/08/25 - Issue still exists.
07/08/25 - Issue still exists.
06/05/25 - Issue still exists.
05/09/25  -Issue still exists
04/09/25 - Issue still exists.
03/05/25 - Issue still exists.
02/08/25 - Issue still exists
01/08/25 - Issue still exists
10/17/23 - Issue still exists
04/03/23 - Issue still exists.
01/03/23 - Inverter 21 lost communications on 8/23/22.
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</si>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</sst>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8"/>
  <sheetViews>
    <sheetView tabSelected="1" zoomScaleNormal="100" zoomScaleSheetLayoutView="100" workbookViewId="0">
      <selection activeCell="M1" sqref="M1:M1048576"/>
    </sheetView>
  </sheetViews>
  <sheetFormatPr defaultRowHeight="15"/>
  <cols>
    <col min="1" max="1" width="25.7109375" customWidth="1"/>
    <col min="2" max="3" width="33.7109375" customWidth="1"/>
    <col min="4" max="5" width="17.7109375" customWidth="1"/>
    <col min="6" max="6" width="70.7109375" customWidth="1"/>
    <col min="7" max="7" width="17.7109375" customWidth="1"/>
    <col min="8" max="8" width="33.7109375" customWidth="1"/>
    <col min="9" max="9" width="17.7109375" customWidth="1"/>
    <col min="10" max="10" width="33.7109375" customWidth="1"/>
    <col min="11" max="12" width="17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3">
        <v>45939.512499999997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4" t="str">
        <f>HYPERLINK("https://us.assetplanner.com/service_request?ID=109274","SR109274")</f>
        <v>SR109274</v>
      </c>
      <c r="L2" s="2" t="s">
        <v>14</v>
      </c>
    </row>
    <row r="3" spans="1:12">
      <c r="A3" s="2" t="s">
        <v>12</v>
      </c>
      <c r="B3" s="2" t="s">
        <v>13</v>
      </c>
      <c r="C3" s="2" t="s">
        <v>21</v>
      </c>
      <c r="D3" s="2" t="s">
        <v>22</v>
      </c>
      <c r="E3" s="3">
        <v>45939.500694444447</v>
      </c>
      <c r="F3" s="2" t="s">
        <v>23</v>
      </c>
      <c r="G3" s="2" t="s">
        <v>17</v>
      </c>
      <c r="H3" s="2" t="s">
        <v>18</v>
      </c>
      <c r="I3" s="2" t="s">
        <v>19</v>
      </c>
      <c r="J3" s="2" t="s">
        <v>20</v>
      </c>
      <c r="K3" s="4" t="str">
        <f>HYPERLINK("https://us.assetplanner.com/service_request?ID=109270","SR109270")</f>
        <v>SR109270</v>
      </c>
      <c r="L3" s="2" t="s">
        <v>14</v>
      </c>
    </row>
    <row r="4" spans="1:12">
      <c r="A4" s="2" t="s">
        <v>12</v>
      </c>
      <c r="B4" s="2" t="s">
        <v>13</v>
      </c>
      <c r="C4" s="2" t="s">
        <v>24</v>
      </c>
      <c r="D4" s="2" t="s">
        <v>22</v>
      </c>
      <c r="E4" s="3">
        <v>45930.518055555556</v>
      </c>
      <c r="F4" s="2" t="s">
        <v>25</v>
      </c>
      <c r="G4" s="2" t="s">
        <v>17</v>
      </c>
      <c r="H4" s="2" t="s">
        <v>18</v>
      </c>
      <c r="I4" s="2" t="s">
        <v>19</v>
      </c>
      <c r="J4" s="2" t="s">
        <v>26</v>
      </c>
      <c r="K4" s="4" t="str">
        <f>HYPERLINK("https://us.assetplanner.com/service_request?ID=108769","SR108769")</f>
        <v>SR108769</v>
      </c>
      <c r="L4" s="2" t="s">
        <v>14</v>
      </c>
    </row>
    <row r="5" spans="1:12">
      <c r="A5" s="2" t="s">
        <v>12</v>
      </c>
      <c r="B5" s="2" t="s">
        <v>13</v>
      </c>
      <c r="C5" s="2" t="s">
        <v>27</v>
      </c>
      <c r="D5" s="2" t="s">
        <v>22</v>
      </c>
      <c r="E5" s="3">
        <v>45924.54583333333</v>
      </c>
      <c r="F5" s="2" t="s">
        <v>28</v>
      </c>
      <c r="G5" s="2" t="s">
        <v>17</v>
      </c>
      <c r="H5" s="2" t="s">
        <v>18</v>
      </c>
      <c r="I5" s="2" t="s">
        <v>19</v>
      </c>
      <c r="J5" s="2" t="s">
        <v>26</v>
      </c>
      <c r="K5" s="4" t="str">
        <f>HYPERLINK("https://us.assetplanner.com/service_request?ID=108469","SR108469")</f>
        <v>SR108469</v>
      </c>
      <c r="L5" s="2" t="s">
        <v>14</v>
      </c>
    </row>
    <row r="6" spans="1:12">
      <c r="A6" s="2" t="s">
        <v>12</v>
      </c>
      <c r="B6" s="2" t="s">
        <v>13</v>
      </c>
      <c r="C6" s="2" t="s">
        <v>29</v>
      </c>
      <c r="D6" s="2" t="s">
        <v>30</v>
      </c>
      <c r="E6" s="3">
        <v>45924.543055555558</v>
      </c>
      <c r="F6" s="2" t="s">
        <v>31</v>
      </c>
      <c r="G6" s="2" t="s">
        <v>17</v>
      </c>
      <c r="H6" s="2" t="s">
        <v>18</v>
      </c>
      <c r="I6" s="2" t="s">
        <v>19</v>
      </c>
      <c r="J6" s="2" t="s">
        <v>26</v>
      </c>
      <c r="K6" s="4" t="str">
        <f>HYPERLINK("https://us.assetplanner.com/service_request?ID=108468","SR108468")</f>
        <v>SR108468</v>
      </c>
      <c r="L6" s="2" t="s">
        <v>14</v>
      </c>
    </row>
    <row r="7" spans="1:12">
      <c r="A7" s="2" t="s">
        <v>12</v>
      </c>
      <c r="B7" s="2" t="s">
        <v>13</v>
      </c>
      <c r="C7" s="2" t="s">
        <v>32</v>
      </c>
      <c r="D7" s="2" t="s">
        <v>30</v>
      </c>
      <c r="E7" s="3">
        <v>45924.540277777778</v>
      </c>
      <c r="F7" s="2" t="s">
        <v>33</v>
      </c>
      <c r="G7" s="2" t="s">
        <v>17</v>
      </c>
      <c r="H7" s="2" t="s">
        <v>18</v>
      </c>
      <c r="I7" s="2" t="s">
        <v>19</v>
      </c>
      <c r="J7" s="2" t="s">
        <v>26</v>
      </c>
      <c r="K7" s="4" t="str">
        <f>HYPERLINK("https://us.assetplanner.com/service_request?ID=108467","SR108467")</f>
        <v>SR108467</v>
      </c>
      <c r="L7" s="2" t="s">
        <v>14</v>
      </c>
    </row>
    <row r="8" spans="1:12">
      <c r="A8" s="2" t="s">
        <v>12</v>
      </c>
      <c r="B8" s="2" t="s">
        <v>13</v>
      </c>
      <c r="C8" s="2" t="s">
        <v>34</v>
      </c>
      <c r="D8" s="2" t="s">
        <v>22</v>
      </c>
      <c r="E8" s="3">
        <v>45915.531944444447</v>
      </c>
      <c r="F8" s="2" t="s">
        <v>35</v>
      </c>
      <c r="G8" s="2" t="s">
        <v>17</v>
      </c>
      <c r="H8" s="2" t="s">
        <v>18</v>
      </c>
      <c r="I8" s="2" t="s">
        <v>19</v>
      </c>
      <c r="J8" s="2" t="s">
        <v>26</v>
      </c>
      <c r="K8" s="4" t="str">
        <f>HYPERLINK("https://us.assetplanner.com/service_request?ID=107976","SR107976")</f>
        <v>SR107976</v>
      </c>
      <c r="L8" s="2" t="s">
        <v>14</v>
      </c>
    </row>
    <row r="9" spans="1:12">
      <c r="A9" s="2" t="s">
        <v>12</v>
      </c>
      <c r="B9" s="2" t="s">
        <v>13</v>
      </c>
      <c r="C9" s="2" t="s">
        <v>36</v>
      </c>
      <c r="D9" s="2" t="s">
        <v>22</v>
      </c>
      <c r="E9" s="3">
        <v>45902.68472222222</v>
      </c>
      <c r="F9" s="2" t="s">
        <v>37</v>
      </c>
      <c r="G9" s="2" t="s">
        <v>17</v>
      </c>
      <c r="H9" s="2" t="s">
        <v>18</v>
      </c>
      <c r="I9" s="2" t="s">
        <v>19</v>
      </c>
      <c r="J9" s="2" t="s">
        <v>26</v>
      </c>
      <c r="K9" s="4" t="str">
        <f>HYPERLINK("https://us.assetplanner.com/service_request?ID=107318","SR107318")</f>
        <v>SR107318</v>
      </c>
      <c r="L9" s="2" t="s">
        <v>14</v>
      </c>
    </row>
    <row r="10" spans="1:12">
      <c r="A10" s="2" t="s">
        <v>12</v>
      </c>
      <c r="B10" s="2" t="s">
        <v>13</v>
      </c>
      <c r="C10" s="2" t="s">
        <v>14</v>
      </c>
      <c r="D10" s="2" t="s">
        <v>15</v>
      </c>
      <c r="E10" s="3">
        <v>45902.683333333334</v>
      </c>
      <c r="F10" s="2" t="s">
        <v>38</v>
      </c>
      <c r="G10" s="2" t="s">
        <v>17</v>
      </c>
      <c r="H10" s="2" t="s">
        <v>18</v>
      </c>
      <c r="I10" s="2" t="s">
        <v>19</v>
      </c>
      <c r="J10" s="2" t="s">
        <v>20</v>
      </c>
      <c r="K10" s="4" t="str">
        <f>HYPERLINK("https://us.assetplanner.com/service_request?ID=107316","SR107316")</f>
        <v>SR107316</v>
      </c>
      <c r="L10" s="2" t="s">
        <v>14</v>
      </c>
    </row>
    <row r="11" spans="1:12">
      <c r="A11" s="2" t="s">
        <v>12</v>
      </c>
      <c r="B11" s="2" t="s">
        <v>13</v>
      </c>
      <c r="C11" s="2" t="s">
        <v>39</v>
      </c>
      <c r="D11" s="2" t="s">
        <v>15</v>
      </c>
      <c r="E11" s="3">
        <v>45902.670138888891</v>
      </c>
      <c r="F11" s="2" t="s">
        <v>40</v>
      </c>
      <c r="G11" s="2" t="s">
        <v>17</v>
      </c>
      <c r="H11" s="2" t="s">
        <v>18</v>
      </c>
      <c r="I11" s="2" t="s">
        <v>19</v>
      </c>
      <c r="J11" s="2" t="s">
        <v>26</v>
      </c>
      <c r="K11" s="4" t="str">
        <f>HYPERLINK("https://us.assetplanner.com/service_request?ID=107314","SR107314")</f>
        <v>SR107314</v>
      </c>
      <c r="L11" s="2" t="s">
        <v>14</v>
      </c>
    </row>
    <row r="12" spans="1:12">
      <c r="A12" s="2" t="s">
        <v>12</v>
      </c>
      <c r="B12" s="2" t="s">
        <v>13</v>
      </c>
      <c r="C12" s="2" t="s">
        <v>41</v>
      </c>
      <c r="D12" s="2" t="s">
        <v>15</v>
      </c>
      <c r="E12" s="3">
        <v>45876.546527777777</v>
      </c>
      <c r="F12" s="2" t="s">
        <v>42</v>
      </c>
      <c r="G12" s="2" t="s">
        <v>17</v>
      </c>
      <c r="H12" s="2" t="s">
        <v>18</v>
      </c>
      <c r="I12" s="2" t="s">
        <v>19</v>
      </c>
      <c r="J12" s="2" t="s">
        <v>20</v>
      </c>
      <c r="K12" s="4" t="str">
        <f>HYPERLINK("https://us.assetplanner.com/service_request?ID=105843","SR105843")</f>
        <v>SR105843</v>
      </c>
      <c r="L12" s="2" t="s">
        <v>14</v>
      </c>
    </row>
    <row r="13" spans="1:12">
      <c r="A13" s="2" t="s">
        <v>12</v>
      </c>
      <c r="B13" s="2" t="s">
        <v>13</v>
      </c>
      <c r="C13" s="2" t="s">
        <v>43</v>
      </c>
      <c r="D13" s="2" t="s">
        <v>44</v>
      </c>
      <c r="E13" s="3">
        <v>45868.588888888888</v>
      </c>
      <c r="F13" s="2" t="s">
        <v>45</v>
      </c>
      <c r="G13" s="2" t="s">
        <v>17</v>
      </c>
      <c r="H13" s="2" t="s">
        <v>18</v>
      </c>
      <c r="I13" s="2" t="s">
        <v>19</v>
      </c>
      <c r="J13" s="2" t="s">
        <v>26</v>
      </c>
      <c r="K13" s="4" t="str">
        <f>HYPERLINK("https://us.assetplanner.com/service_request?ID=105365","SR105365")</f>
        <v>SR105365</v>
      </c>
      <c r="L13" s="2" t="s">
        <v>14</v>
      </c>
    </row>
    <row r="14" spans="1:12">
      <c r="A14" s="2" t="s">
        <v>12</v>
      </c>
      <c r="B14" s="2" t="s">
        <v>13</v>
      </c>
      <c r="C14" s="2" t="s">
        <v>46</v>
      </c>
      <c r="D14" s="2" t="s">
        <v>47</v>
      </c>
      <c r="E14" s="3">
        <v>45868.57708333333</v>
      </c>
      <c r="F14" s="2" t="s">
        <v>48</v>
      </c>
      <c r="G14" s="2" t="s">
        <v>17</v>
      </c>
      <c r="H14" s="2" t="s">
        <v>18</v>
      </c>
      <c r="I14" s="2" t="s">
        <v>19</v>
      </c>
      <c r="J14" s="2" t="s">
        <v>26</v>
      </c>
      <c r="K14" s="4" t="str">
        <f>HYPERLINK("https://us.assetplanner.com/service_request?ID=105362","SR105362")</f>
        <v>SR105362</v>
      </c>
      <c r="L14" s="2" t="s">
        <v>14</v>
      </c>
    </row>
    <row r="15" spans="1:12">
      <c r="A15" s="2" t="s">
        <v>12</v>
      </c>
      <c r="B15" s="2" t="s">
        <v>13</v>
      </c>
      <c r="C15" s="2" t="s">
        <v>49</v>
      </c>
      <c r="D15" s="2" t="s">
        <v>50</v>
      </c>
      <c r="E15" s="3">
        <v>45824.521527777775</v>
      </c>
      <c r="F15" s="2" t="s">
        <v>51</v>
      </c>
      <c r="G15" s="2" t="s">
        <v>17</v>
      </c>
      <c r="H15" s="2" t="s">
        <v>18</v>
      </c>
      <c r="I15" s="2" t="s">
        <v>19</v>
      </c>
      <c r="J15" s="2" t="s">
        <v>26</v>
      </c>
      <c r="K15" s="4" t="str">
        <f>HYPERLINK("https://us.assetplanner.com/service_request?ID=103023","SR103023")</f>
        <v>SR103023</v>
      </c>
      <c r="L15" s="2" t="s">
        <v>14</v>
      </c>
    </row>
    <row r="16" spans="1:12">
      <c r="A16" s="2" t="s">
        <v>12</v>
      </c>
      <c r="B16" s="2" t="s">
        <v>13</v>
      </c>
      <c r="C16" s="2" t="s">
        <v>52</v>
      </c>
      <c r="D16" s="2" t="s">
        <v>53</v>
      </c>
      <c r="E16" s="3">
        <v>45817.531944444447</v>
      </c>
      <c r="F16" s="2" t="s">
        <v>54</v>
      </c>
      <c r="G16" s="2" t="s">
        <v>17</v>
      </c>
      <c r="H16" s="2" t="s">
        <v>18</v>
      </c>
      <c r="I16" s="2" t="s">
        <v>19</v>
      </c>
      <c r="J16" s="2" t="s">
        <v>26</v>
      </c>
      <c r="K16" s="4" t="str">
        <f>HYPERLINK("https://us.assetplanner.com/service_request?ID=102700","SR102700")</f>
        <v>SR102700</v>
      </c>
      <c r="L16" s="2" t="s">
        <v>14</v>
      </c>
    </row>
    <row r="17" spans="1:12">
      <c r="A17" s="2" t="s">
        <v>12</v>
      </c>
      <c r="B17" s="2" t="s">
        <v>13</v>
      </c>
      <c r="C17" s="2" t="s">
        <v>55</v>
      </c>
      <c r="D17" s="2" t="s">
        <v>50</v>
      </c>
      <c r="E17" s="3">
        <v>45811.533333333333</v>
      </c>
      <c r="F17" s="2" t="s">
        <v>56</v>
      </c>
      <c r="G17" s="2" t="s">
        <v>17</v>
      </c>
      <c r="H17" s="2" t="s">
        <v>18</v>
      </c>
      <c r="I17" s="2" t="s">
        <v>19</v>
      </c>
      <c r="J17" s="2" t="s">
        <v>26</v>
      </c>
      <c r="K17" s="4" t="str">
        <f>HYPERLINK("https://us.assetplanner.com/service_request?ID=102390","SR102390")</f>
        <v>SR102390</v>
      </c>
      <c r="L17" s="2" t="s">
        <v>14</v>
      </c>
    </row>
    <row r="18" spans="1:12">
      <c r="A18" s="2" t="s">
        <v>12</v>
      </c>
      <c r="B18" s="2" t="s">
        <v>13</v>
      </c>
      <c r="C18" s="2" t="s">
        <v>57</v>
      </c>
      <c r="D18" s="2" t="s">
        <v>22</v>
      </c>
      <c r="E18" s="3">
        <v>45796.620833333334</v>
      </c>
      <c r="F18" s="2" t="s">
        <v>58</v>
      </c>
      <c r="G18" s="2" t="s">
        <v>17</v>
      </c>
      <c r="H18" s="2" t="s">
        <v>18</v>
      </c>
      <c r="I18" s="2" t="s">
        <v>19</v>
      </c>
      <c r="J18" s="2" t="s">
        <v>20</v>
      </c>
      <c r="K18" s="4" t="str">
        <f>HYPERLINK("https://us.assetplanner.com/service_request?ID=101683","SR101683")</f>
        <v>SR101683</v>
      </c>
      <c r="L18" s="2" t="s">
        <v>14</v>
      </c>
    </row>
    <row r="19" spans="1:12">
      <c r="A19" s="2" t="s">
        <v>12</v>
      </c>
      <c r="B19" s="2" t="s">
        <v>13</v>
      </c>
      <c r="C19" s="2" t="s">
        <v>59</v>
      </c>
      <c r="D19" s="2" t="s">
        <v>50</v>
      </c>
      <c r="E19" s="3">
        <v>45790.61041666667</v>
      </c>
      <c r="F19" s="2" t="s">
        <v>60</v>
      </c>
      <c r="G19" s="2" t="s">
        <v>17</v>
      </c>
      <c r="H19" s="2" t="s">
        <v>18</v>
      </c>
      <c r="I19" s="2" t="s">
        <v>19</v>
      </c>
      <c r="J19" s="2" t="s">
        <v>26</v>
      </c>
      <c r="K19" s="4" t="str">
        <f>HYPERLINK("https://us.assetplanner.com/service_request?ID=101400","SR101400")</f>
        <v>SR101400</v>
      </c>
      <c r="L19" s="2" t="s">
        <v>14</v>
      </c>
    </row>
    <row r="20" spans="1:12">
      <c r="A20" s="2" t="s">
        <v>12</v>
      </c>
      <c r="B20" s="2" t="s">
        <v>13</v>
      </c>
      <c r="C20" s="2" t="s">
        <v>61</v>
      </c>
      <c r="D20" s="2" t="s">
        <v>50</v>
      </c>
      <c r="E20" s="3">
        <v>45775.561111111114</v>
      </c>
      <c r="F20" s="2" t="s">
        <v>62</v>
      </c>
      <c r="G20" s="2" t="s">
        <v>17</v>
      </c>
      <c r="H20" s="2" t="s">
        <v>18</v>
      </c>
      <c r="I20" s="2" t="s">
        <v>19</v>
      </c>
      <c r="J20" s="2" t="s">
        <v>20</v>
      </c>
      <c r="K20" s="4" t="str">
        <f>HYPERLINK("https://us.assetplanner.com/service_request?ID=100557","SR100557")</f>
        <v>SR100557</v>
      </c>
      <c r="L20" s="2" t="s">
        <v>14</v>
      </c>
    </row>
    <row r="21" spans="1:12">
      <c r="A21" s="2" t="s">
        <v>12</v>
      </c>
      <c r="B21" s="2" t="s">
        <v>13</v>
      </c>
      <c r="C21" s="2" t="s">
        <v>63</v>
      </c>
      <c r="D21" s="2" t="s">
        <v>64</v>
      </c>
      <c r="E21" s="3">
        <v>45713.54583333333</v>
      </c>
      <c r="F21" s="2" t="s">
        <v>65</v>
      </c>
      <c r="G21" s="2" t="s">
        <v>17</v>
      </c>
      <c r="H21" s="2" t="s">
        <v>18</v>
      </c>
      <c r="I21" s="2" t="s">
        <v>19</v>
      </c>
      <c r="J21" s="2" t="s">
        <v>20</v>
      </c>
      <c r="K21" s="4" t="str">
        <f>HYPERLINK("https://us.assetplanner.com/service_request?ID=97766","SR097766")</f>
        <v>SR097766</v>
      </c>
      <c r="L21" s="2" t="s">
        <v>14</v>
      </c>
    </row>
    <row r="22" spans="1:12">
      <c r="A22" s="2" t="s">
        <v>12</v>
      </c>
      <c r="B22" s="2" t="s">
        <v>13</v>
      </c>
      <c r="C22" s="2" t="s">
        <v>66</v>
      </c>
      <c r="D22" s="2" t="s">
        <v>50</v>
      </c>
      <c r="E22" s="3">
        <v>45706.615277777775</v>
      </c>
      <c r="F22" s="2" t="s">
        <v>67</v>
      </c>
      <c r="G22" s="2" t="s">
        <v>17</v>
      </c>
      <c r="H22" s="2" t="s">
        <v>18</v>
      </c>
      <c r="I22" s="2" t="s">
        <v>19</v>
      </c>
      <c r="J22" s="2" t="s">
        <v>20</v>
      </c>
      <c r="K22" s="4" t="str">
        <f>HYPERLINK("https://us.assetplanner.com/service_request?ID=97346","SR097346")</f>
        <v>SR097346</v>
      </c>
      <c r="L22" s="2" t="s">
        <v>14</v>
      </c>
    </row>
    <row r="23" spans="1:12">
      <c r="A23" s="2" t="s">
        <v>12</v>
      </c>
      <c r="B23" s="2" t="s">
        <v>13</v>
      </c>
      <c r="C23" s="2" t="s">
        <v>68</v>
      </c>
      <c r="D23" s="2" t="s">
        <v>69</v>
      </c>
      <c r="E23" s="3">
        <v>45613.522222222222</v>
      </c>
      <c r="F23" s="2" t="s">
        <v>70</v>
      </c>
      <c r="G23" s="2" t="s">
        <v>17</v>
      </c>
      <c r="H23" s="2" t="s">
        <v>18</v>
      </c>
      <c r="I23" s="2" t="s">
        <v>19</v>
      </c>
      <c r="J23" s="2" t="s">
        <v>71</v>
      </c>
      <c r="K23" s="4" t="str">
        <f>HYPERLINK("https://us.assetplanner.com/service_request?ID=93350","SR093350")</f>
        <v>SR093350</v>
      </c>
      <c r="L23" s="2" t="s">
        <v>14</v>
      </c>
    </row>
    <row r="24" spans="1:12">
      <c r="A24" s="2" t="s">
        <v>12</v>
      </c>
      <c r="B24" s="2" t="s">
        <v>13</v>
      </c>
      <c r="C24" s="2" t="s">
        <v>72</v>
      </c>
      <c r="D24" s="2" t="s">
        <v>69</v>
      </c>
      <c r="E24" s="3">
        <v>45613.521527777775</v>
      </c>
      <c r="F24" s="2" t="s">
        <v>73</v>
      </c>
      <c r="G24" s="2" t="s">
        <v>17</v>
      </c>
      <c r="H24" s="2" t="s">
        <v>18</v>
      </c>
      <c r="I24" s="2" t="s">
        <v>19</v>
      </c>
      <c r="J24" s="2" t="s">
        <v>71</v>
      </c>
      <c r="K24" s="4" t="str">
        <f>HYPERLINK("https://us.assetplanner.com/service_request?ID=93349","SR093349")</f>
        <v>SR093349</v>
      </c>
      <c r="L24" s="2" t="s">
        <v>14</v>
      </c>
    </row>
    <row r="25" spans="1:12">
      <c r="A25" s="2" t="s">
        <v>12</v>
      </c>
      <c r="B25" s="2" t="s">
        <v>13</v>
      </c>
      <c r="C25" s="2" t="s">
        <v>74</v>
      </c>
      <c r="D25" s="2" t="s">
        <v>64</v>
      </c>
      <c r="E25" s="3">
        <v>45594.56527777778</v>
      </c>
      <c r="F25" s="2" t="s">
        <v>75</v>
      </c>
      <c r="G25" s="2" t="s">
        <v>17</v>
      </c>
      <c r="H25" s="2" t="s">
        <v>18</v>
      </c>
      <c r="I25" s="2" t="s">
        <v>19</v>
      </c>
      <c r="J25" s="2" t="s">
        <v>76</v>
      </c>
      <c r="K25" s="4" t="str">
        <f>HYPERLINK("https://us.assetplanner.com/service_request?ID=92738","SR092738")</f>
        <v>SR092738</v>
      </c>
      <c r="L25" s="2" t="s">
        <v>14</v>
      </c>
    </row>
    <row r="26" spans="1:12">
      <c r="A26" s="2" t="s">
        <v>12</v>
      </c>
      <c r="B26" s="2" t="s">
        <v>13</v>
      </c>
      <c r="C26" s="2" t="s">
        <v>77</v>
      </c>
      <c r="D26" s="2" t="s">
        <v>30</v>
      </c>
      <c r="E26" s="3">
        <v>45581.544444444444</v>
      </c>
      <c r="F26" s="2" t="s">
        <v>78</v>
      </c>
      <c r="G26" s="2" t="s">
        <v>17</v>
      </c>
      <c r="H26" s="2" t="s">
        <v>18</v>
      </c>
      <c r="I26" s="2" t="s">
        <v>19</v>
      </c>
      <c r="J26" s="2" t="s">
        <v>71</v>
      </c>
      <c r="K26" s="4" t="str">
        <f>HYPERLINK("https://us.assetplanner.com/service_request?ID=92211","SR092211")</f>
        <v>SR092211</v>
      </c>
      <c r="L26" s="2" t="s">
        <v>14</v>
      </c>
    </row>
    <row r="27" spans="1:12">
      <c r="A27" s="2" t="s">
        <v>12</v>
      </c>
      <c r="B27" s="2" t="s">
        <v>13</v>
      </c>
      <c r="C27" s="2" t="s">
        <v>79</v>
      </c>
      <c r="D27" s="2" t="s">
        <v>64</v>
      </c>
      <c r="E27" s="3">
        <v>45488.643750000003</v>
      </c>
      <c r="F27" s="2" t="s">
        <v>80</v>
      </c>
      <c r="G27" s="2" t="s">
        <v>17</v>
      </c>
      <c r="H27" s="2" t="s">
        <v>18</v>
      </c>
      <c r="I27" s="2" t="s">
        <v>19</v>
      </c>
      <c r="J27" s="2" t="s">
        <v>76</v>
      </c>
      <c r="K27" s="4" t="str">
        <f>HYPERLINK("https://us.assetplanner.com/service_request?ID=87727","SR087727")</f>
        <v>SR087727</v>
      </c>
      <c r="L27" s="2" t="s">
        <v>14</v>
      </c>
    </row>
    <row r="28" spans="1:12">
      <c r="A28" s="2" t="s">
        <v>12</v>
      </c>
      <c r="B28" s="2" t="s">
        <v>13</v>
      </c>
      <c r="C28" s="2" t="s">
        <v>81</v>
      </c>
      <c r="D28" s="2" t="s">
        <v>64</v>
      </c>
      <c r="E28" s="3">
        <v>45475.541666666664</v>
      </c>
      <c r="F28" s="2" t="s">
        <v>82</v>
      </c>
      <c r="G28" s="2" t="s">
        <v>17</v>
      </c>
      <c r="H28" s="2" t="s">
        <v>18</v>
      </c>
      <c r="I28" s="2" t="s">
        <v>19</v>
      </c>
      <c r="J28" s="2" t="s">
        <v>76</v>
      </c>
      <c r="K28" s="4" t="str">
        <f>HYPERLINK("https://us.assetplanner.com/service_request?ID=87282","SR087282")</f>
        <v>SR087282</v>
      </c>
      <c r="L28" s="2" t="s">
        <v>14</v>
      </c>
    </row>
    <row r="29" spans="1:12">
      <c r="A29" s="2" t="s">
        <v>12</v>
      </c>
      <c r="B29" s="2" t="s">
        <v>13</v>
      </c>
      <c r="C29" s="2" t="s">
        <v>83</v>
      </c>
      <c r="D29" s="2" t="s">
        <v>50</v>
      </c>
      <c r="E29" s="3">
        <v>45446.525694444441</v>
      </c>
      <c r="F29" s="2" t="s">
        <v>84</v>
      </c>
      <c r="G29" s="2" t="s">
        <v>17</v>
      </c>
      <c r="H29" s="2" t="s">
        <v>85</v>
      </c>
      <c r="I29" s="2" t="s">
        <v>86</v>
      </c>
      <c r="J29" s="2" t="s">
        <v>71</v>
      </c>
      <c r="K29" s="4" t="str">
        <f>HYPERLINK("https://us.assetplanner.com/service_request?ID=85484","SR085484")</f>
        <v>SR085484</v>
      </c>
      <c r="L29" s="2" t="s">
        <v>87</v>
      </c>
    </row>
    <row r="30" spans="1:12">
      <c r="A30" s="2" t="s">
        <v>12</v>
      </c>
      <c r="B30" s="2" t="s">
        <v>13</v>
      </c>
      <c r="C30" s="2" t="s">
        <v>14</v>
      </c>
      <c r="D30" s="2" t="s">
        <v>88</v>
      </c>
      <c r="E30" s="3">
        <v>45429.52847222222</v>
      </c>
      <c r="F30" s="2" t="s">
        <v>89</v>
      </c>
      <c r="G30" s="2" t="s">
        <v>17</v>
      </c>
      <c r="H30" s="2" t="s">
        <v>18</v>
      </c>
      <c r="I30" s="2" t="s">
        <v>19</v>
      </c>
      <c r="J30" s="2" t="s">
        <v>71</v>
      </c>
      <c r="K30" s="4" t="str">
        <f>HYPERLINK("https://us.assetplanner.com/service_request?ID=84807","SR084807")</f>
        <v>SR084807</v>
      </c>
      <c r="L30" s="2" t="s">
        <v>87</v>
      </c>
    </row>
    <row r="31" spans="1:12">
      <c r="A31" s="2" t="s">
        <v>12</v>
      </c>
      <c r="B31" s="2" t="s">
        <v>13</v>
      </c>
      <c r="C31" s="2" t="s">
        <v>14</v>
      </c>
      <c r="D31" s="2" t="s">
        <v>90</v>
      </c>
      <c r="E31" s="3">
        <v>45423.568749999999</v>
      </c>
      <c r="F31" s="2" t="s">
        <v>91</v>
      </c>
      <c r="G31" s="2" t="s">
        <v>17</v>
      </c>
      <c r="H31" s="2" t="s">
        <v>18</v>
      </c>
      <c r="I31" s="2" t="s">
        <v>19</v>
      </c>
      <c r="J31" s="2" t="s">
        <v>92</v>
      </c>
      <c r="K31" s="4" t="str">
        <f>HYPERLINK("https://us.assetplanner.com/service_request?ID=84580","SR084580")</f>
        <v>SR084580</v>
      </c>
      <c r="L31" s="2" t="s">
        <v>87</v>
      </c>
    </row>
    <row r="32" spans="1:12">
      <c r="A32" s="2" t="s">
        <v>12</v>
      </c>
      <c r="B32" s="2" t="s">
        <v>13</v>
      </c>
      <c r="C32" s="2" t="s">
        <v>93</v>
      </c>
      <c r="D32" s="2" t="s">
        <v>94</v>
      </c>
      <c r="E32" s="3">
        <v>45372.53125</v>
      </c>
      <c r="F32" s="2" t="s">
        <v>95</v>
      </c>
      <c r="G32" s="2" t="s">
        <v>17</v>
      </c>
      <c r="H32" s="2" t="s">
        <v>18</v>
      </c>
      <c r="I32" s="2" t="s">
        <v>19</v>
      </c>
      <c r="J32" s="2" t="s">
        <v>71</v>
      </c>
      <c r="K32" s="4" t="str">
        <f>HYPERLINK("https://us.assetplanner.com/service_request?ID=82331","SR082331")</f>
        <v>SR082331</v>
      </c>
      <c r="L32" s="2" t="s">
        <v>87</v>
      </c>
    </row>
    <row r="33" spans="1:12">
      <c r="A33" s="2" t="s">
        <v>12</v>
      </c>
      <c r="B33" s="2" t="s">
        <v>13</v>
      </c>
      <c r="C33" s="2" t="s">
        <v>96</v>
      </c>
      <c r="D33" s="2" t="s">
        <v>69</v>
      </c>
      <c r="E33" s="3">
        <v>45355.539583333331</v>
      </c>
      <c r="F33" s="2" t="s">
        <v>97</v>
      </c>
      <c r="G33" s="2" t="s">
        <v>17</v>
      </c>
      <c r="H33" s="2" t="s">
        <v>18</v>
      </c>
      <c r="I33" s="2" t="s">
        <v>19</v>
      </c>
      <c r="J33" s="2" t="s">
        <v>71</v>
      </c>
      <c r="K33" s="4" t="str">
        <f>HYPERLINK("https://us.assetplanner.com/service_request?ID=81556","SR081556")</f>
        <v>SR081556</v>
      </c>
      <c r="L33" s="2" t="s">
        <v>87</v>
      </c>
    </row>
    <row r="34" spans="1:12">
      <c r="A34" s="2" t="s">
        <v>12</v>
      </c>
      <c r="B34" s="2" t="s">
        <v>13</v>
      </c>
      <c r="C34" s="2" t="s">
        <v>98</v>
      </c>
      <c r="D34" s="2" t="s">
        <v>22</v>
      </c>
      <c r="E34" s="3">
        <v>45355.538194444445</v>
      </c>
      <c r="F34" s="2" t="s">
        <v>99</v>
      </c>
      <c r="G34" s="2" t="s">
        <v>17</v>
      </c>
      <c r="H34" s="2" t="s">
        <v>18</v>
      </c>
      <c r="I34" s="2" t="s">
        <v>19</v>
      </c>
      <c r="J34" s="2" t="s">
        <v>71</v>
      </c>
      <c r="K34" s="4" t="str">
        <f>HYPERLINK("https://us.assetplanner.com/service_request?ID=81555","SR081555")</f>
        <v>SR081555</v>
      </c>
      <c r="L34" s="2" t="s">
        <v>87</v>
      </c>
    </row>
    <row r="35" spans="1:12">
      <c r="A35" s="2" t="s">
        <v>12</v>
      </c>
      <c r="B35" s="2" t="s">
        <v>13</v>
      </c>
      <c r="C35" s="2" t="s">
        <v>100</v>
      </c>
      <c r="D35" s="2" t="s">
        <v>101</v>
      </c>
      <c r="E35" s="3">
        <v>45352.620833333334</v>
      </c>
      <c r="F35" s="2" t="s">
        <v>102</v>
      </c>
      <c r="G35" s="2" t="s">
        <v>17</v>
      </c>
      <c r="H35" s="2" t="s">
        <v>18</v>
      </c>
      <c r="I35" s="2" t="s">
        <v>19</v>
      </c>
      <c r="J35" s="2" t="s">
        <v>76</v>
      </c>
      <c r="K35" s="4" t="str">
        <f>HYPERLINK("https://us.assetplanner.com/service_request?ID=81504","SR081504")</f>
        <v>SR081504</v>
      </c>
      <c r="L35" s="2" t="s">
        <v>87</v>
      </c>
    </row>
    <row r="36" spans="1:12">
      <c r="A36" s="2" t="s">
        <v>12</v>
      </c>
      <c r="B36" s="2" t="s">
        <v>13</v>
      </c>
      <c r="C36" s="2" t="s">
        <v>103</v>
      </c>
      <c r="D36" s="2" t="s">
        <v>44</v>
      </c>
      <c r="E36" s="3">
        <v>45342.586111111108</v>
      </c>
      <c r="F36" s="2" t="s">
        <v>104</v>
      </c>
      <c r="G36" s="2" t="s">
        <v>17</v>
      </c>
      <c r="H36" s="2" t="s">
        <v>18</v>
      </c>
      <c r="I36" s="2" t="s">
        <v>19</v>
      </c>
      <c r="J36" s="2" t="s">
        <v>76</v>
      </c>
      <c r="K36" s="4" t="str">
        <f>HYPERLINK("https://us.assetplanner.com/service_request?ID=81129","SR081129")</f>
        <v>SR081129</v>
      </c>
      <c r="L36" s="2" t="s">
        <v>87</v>
      </c>
    </row>
    <row r="37" spans="1:12">
      <c r="A37" s="2" t="s">
        <v>12</v>
      </c>
      <c r="B37" s="2" t="s">
        <v>13</v>
      </c>
      <c r="C37" s="2" t="s">
        <v>105</v>
      </c>
      <c r="D37" s="2" t="s">
        <v>69</v>
      </c>
      <c r="E37" s="3">
        <v>45291.197222222225</v>
      </c>
      <c r="F37" s="2" t="s">
        <v>106</v>
      </c>
      <c r="G37" s="2" t="s">
        <v>17</v>
      </c>
      <c r="H37" s="2" t="s">
        <v>18</v>
      </c>
      <c r="I37" s="2" t="s">
        <v>19</v>
      </c>
      <c r="J37" s="2" t="s">
        <v>71</v>
      </c>
      <c r="K37" s="4" t="str">
        <f>HYPERLINK("https://us.assetplanner.com/service_request?ID=79845","SR079845")</f>
        <v>SR079845</v>
      </c>
      <c r="L37" s="2" t="s">
        <v>87</v>
      </c>
    </row>
    <row r="38" spans="1:12">
      <c r="A38" s="2" t="s">
        <v>12</v>
      </c>
      <c r="B38" s="2" t="s">
        <v>13</v>
      </c>
      <c r="C38" s="2" t="s">
        <v>107</v>
      </c>
      <c r="D38" s="2" t="s">
        <v>22</v>
      </c>
      <c r="E38" s="3">
        <v>45216.152083333334</v>
      </c>
      <c r="F38" s="2" t="s">
        <v>108</v>
      </c>
      <c r="G38" s="2" t="s">
        <v>17</v>
      </c>
      <c r="H38" s="2" t="s">
        <v>18</v>
      </c>
      <c r="I38" s="2" t="s">
        <v>19</v>
      </c>
      <c r="J38" s="2" t="s">
        <v>71</v>
      </c>
      <c r="K38" s="4" t="str">
        <f>HYPERLINK("https://us.assetplanner.com/service_request?ID=77517","SR077517")</f>
        <v>SR077517</v>
      </c>
      <c r="L38" s="2" t="s">
        <v>87</v>
      </c>
    </row>
    <row r="39" spans="1:12">
      <c r="A39" s="2" t="s">
        <v>12</v>
      </c>
      <c r="B39" s="2" t="s">
        <v>13</v>
      </c>
      <c r="C39" s="2" t="s">
        <v>109</v>
      </c>
      <c r="D39" s="2" t="s">
        <v>110</v>
      </c>
      <c r="E39" s="3">
        <v>45204.594444444447</v>
      </c>
      <c r="F39" s="2" t="s">
        <v>111</v>
      </c>
      <c r="G39" s="2" t="s">
        <v>17</v>
      </c>
      <c r="H39" s="2" t="s">
        <v>18</v>
      </c>
      <c r="I39" s="2" t="s">
        <v>19</v>
      </c>
      <c r="J39" s="2" t="s">
        <v>92</v>
      </c>
      <c r="K39" s="4" t="str">
        <f>HYPERLINK("https://us.assetplanner.com/service_request?ID=77287","SR077287")</f>
        <v>SR077287</v>
      </c>
      <c r="L39" s="2" t="s">
        <v>87</v>
      </c>
    </row>
    <row r="40" spans="1:12">
      <c r="A40" s="2" t="s">
        <v>12</v>
      </c>
      <c r="B40" s="2" t="s">
        <v>13</v>
      </c>
      <c r="C40" s="2" t="s">
        <v>112</v>
      </c>
      <c r="D40" s="2" t="s">
        <v>69</v>
      </c>
      <c r="E40" s="3">
        <v>45169.620138888888</v>
      </c>
      <c r="F40" s="2" t="s">
        <v>113</v>
      </c>
      <c r="G40" s="2" t="s">
        <v>17</v>
      </c>
      <c r="H40" s="2" t="s">
        <v>18</v>
      </c>
      <c r="I40" s="2" t="s">
        <v>19</v>
      </c>
      <c r="J40" s="2" t="s">
        <v>71</v>
      </c>
      <c r="K40" s="4" t="str">
        <f>HYPERLINK("https://us.assetplanner.com/service_request?ID=75642","SR075642")</f>
        <v>SR075642</v>
      </c>
      <c r="L40" s="2" t="s">
        <v>87</v>
      </c>
    </row>
    <row r="41" spans="1:12">
      <c r="A41" s="2" t="s">
        <v>12</v>
      </c>
      <c r="B41" s="2" t="s">
        <v>13</v>
      </c>
      <c r="C41" s="2" t="s">
        <v>114</v>
      </c>
      <c r="D41" s="2" t="s">
        <v>15</v>
      </c>
      <c r="E41" s="3">
        <v>45147.531944444447</v>
      </c>
      <c r="F41" s="2" t="s">
        <v>115</v>
      </c>
      <c r="G41" s="2" t="s">
        <v>17</v>
      </c>
      <c r="H41" s="2" t="s">
        <v>18</v>
      </c>
      <c r="I41" s="2" t="s">
        <v>19</v>
      </c>
      <c r="J41" s="2" t="s">
        <v>71</v>
      </c>
      <c r="K41" s="4" t="str">
        <f>HYPERLINK("https://us.assetplanner.com/service_request?ID=74887","SR074887")</f>
        <v>SR074887</v>
      </c>
      <c r="L41" s="2" t="s">
        <v>87</v>
      </c>
    </row>
    <row r="42" spans="1:12">
      <c r="A42" s="2" t="s">
        <v>12</v>
      </c>
      <c r="B42" s="2" t="s">
        <v>13</v>
      </c>
      <c r="C42" s="2" t="s">
        <v>116</v>
      </c>
      <c r="D42" s="2" t="s">
        <v>22</v>
      </c>
      <c r="E42" s="3">
        <v>45120.525694444441</v>
      </c>
      <c r="F42" s="2" t="s">
        <v>117</v>
      </c>
      <c r="G42" s="2" t="s">
        <v>17</v>
      </c>
      <c r="H42" s="2" t="s">
        <v>18</v>
      </c>
      <c r="I42" s="2" t="s">
        <v>19</v>
      </c>
      <c r="J42" s="2" t="s">
        <v>92</v>
      </c>
      <c r="K42" s="4" t="str">
        <f>HYPERLINK("https://us.assetplanner.com/service_request?ID=73825","SR073825")</f>
        <v>SR073825</v>
      </c>
      <c r="L42" s="2" t="s">
        <v>87</v>
      </c>
    </row>
    <row r="43" spans="1:12">
      <c r="A43" s="2" t="s">
        <v>12</v>
      </c>
      <c r="B43" s="2" t="s">
        <v>13</v>
      </c>
      <c r="C43" s="2" t="s">
        <v>118</v>
      </c>
      <c r="D43" s="2" t="s">
        <v>44</v>
      </c>
      <c r="E43" s="3">
        <v>45118.582638888889</v>
      </c>
      <c r="F43" s="2" t="s">
        <v>119</v>
      </c>
      <c r="G43" s="2" t="s">
        <v>17</v>
      </c>
      <c r="H43" s="2" t="s">
        <v>18</v>
      </c>
      <c r="I43" s="2" t="s">
        <v>19</v>
      </c>
      <c r="J43" s="2" t="s">
        <v>71</v>
      </c>
      <c r="K43" s="4" t="str">
        <f>HYPERLINK("https://us.assetplanner.com/service_request?ID=73743","SR073743")</f>
        <v>SR073743</v>
      </c>
      <c r="L43" s="2" t="s">
        <v>87</v>
      </c>
    </row>
    <row r="44" spans="1:12">
      <c r="A44" s="2" t="s">
        <v>12</v>
      </c>
      <c r="B44" s="2" t="s">
        <v>13</v>
      </c>
      <c r="C44" s="2" t="s">
        <v>98</v>
      </c>
      <c r="D44" s="2" t="s">
        <v>15</v>
      </c>
      <c r="E44" s="3">
        <v>45068.599305555559</v>
      </c>
      <c r="F44" s="2" t="s">
        <v>120</v>
      </c>
      <c r="G44" s="2" t="s">
        <v>17</v>
      </c>
      <c r="H44" s="2" t="s">
        <v>18</v>
      </c>
      <c r="I44" s="2" t="s">
        <v>19</v>
      </c>
      <c r="J44" s="2" t="s">
        <v>71</v>
      </c>
      <c r="K44" s="4" t="str">
        <f>HYPERLINK("https://us.assetplanner.com/service_request?ID=71782","SR071782")</f>
        <v>SR071782</v>
      </c>
      <c r="L44" s="2" t="s">
        <v>87</v>
      </c>
    </row>
    <row r="45" spans="1:12">
      <c r="A45" s="2" t="s">
        <v>12</v>
      </c>
      <c r="B45" s="2" t="s">
        <v>13</v>
      </c>
      <c r="C45" s="2" t="s">
        <v>121</v>
      </c>
      <c r="D45" s="2" t="s">
        <v>50</v>
      </c>
      <c r="E45" s="3">
        <v>45055.59097222222</v>
      </c>
      <c r="F45" s="2" t="s">
        <v>122</v>
      </c>
      <c r="G45" s="2" t="s">
        <v>17</v>
      </c>
      <c r="H45" s="2" t="s">
        <v>18</v>
      </c>
      <c r="I45" s="2" t="s">
        <v>19</v>
      </c>
      <c r="J45" s="2" t="s">
        <v>71</v>
      </c>
      <c r="K45" s="4" t="str">
        <f>HYPERLINK("https://us.assetplanner.com/service_request?ID=71467","SR071467")</f>
        <v>SR071467</v>
      </c>
      <c r="L45" s="2" t="s">
        <v>87</v>
      </c>
    </row>
    <row r="46" spans="1:12">
      <c r="A46" s="2" t="s">
        <v>12</v>
      </c>
      <c r="B46" s="2" t="s">
        <v>13</v>
      </c>
      <c r="C46" s="2" t="s">
        <v>123</v>
      </c>
      <c r="D46" s="2" t="s">
        <v>15</v>
      </c>
      <c r="E46" s="3">
        <v>45037.523611111108</v>
      </c>
      <c r="F46" s="2" t="s">
        <v>124</v>
      </c>
      <c r="G46" s="2" t="s">
        <v>17</v>
      </c>
      <c r="H46" s="2" t="s">
        <v>18</v>
      </c>
      <c r="I46" s="2" t="s">
        <v>19</v>
      </c>
      <c r="J46" s="2" t="s">
        <v>71</v>
      </c>
      <c r="K46" s="4" t="str">
        <f>HYPERLINK("https://us.assetplanner.com/service_request?ID=70992","SR070992")</f>
        <v>SR070992</v>
      </c>
      <c r="L46" s="2" t="s">
        <v>87</v>
      </c>
    </row>
    <row r="47" spans="1:12">
      <c r="A47" s="2" t="s">
        <v>12</v>
      </c>
      <c r="B47" s="2" t="s">
        <v>13</v>
      </c>
      <c r="C47" s="2" t="s">
        <v>125</v>
      </c>
      <c r="D47" s="2" t="s">
        <v>126</v>
      </c>
      <c r="E47" s="3">
        <v>44929.522916666669</v>
      </c>
      <c r="F47" s="2" t="s">
        <v>127</v>
      </c>
      <c r="G47" s="2" t="s">
        <v>17</v>
      </c>
      <c r="H47" s="2" t="s">
        <v>18</v>
      </c>
      <c r="I47" s="2" t="s">
        <v>19</v>
      </c>
      <c r="J47" s="2" t="s">
        <v>71</v>
      </c>
      <c r="K47" s="4" t="str">
        <f>HYPERLINK("https://us.assetplanner.com/service_request?ID=68143","SR068143")</f>
        <v>SR068143</v>
      </c>
      <c r="L47" s="2" t="s">
        <v>87</v>
      </c>
    </row>
    <row r="48" spans="1:12">
      <c r="A48" s="2" t="s">
        <v>128</v>
      </c>
      <c r="B48" s="2" t="s">
        <v>14</v>
      </c>
      <c r="C48" s="2" t="s">
        <v>14</v>
      </c>
      <c r="D48" s="2" t="s">
        <v>14</v>
      </c>
      <c r="E48" s="2" t="s">
        <v>14</v>
      </c>
      <c r="F48" s="2" t="s">
        <v>14</v>
      </c>
      <c r="G48" s="2" t="s">
        <v>14</v>
      </c>
      <c r="H48" s="2" t="s">
        <v>14</v>
      </c>
      <c r="I48" s="2" t="s">
        <v>14</v>
      </c>
      <c r="J48" s="2" t="s">
        <v>14</v>
      </c>
      <c r="K48" s="2"/>
      <c r="L48" s="2" t="s">
        <v>14</v>
      </c>
    </row>
  </sheetData>
  <pageMargins left="0.4" right="0.7" top="0.25" bottom="0.25" header="0.3" footer="0.3"/>
  <pageSetup fitToHeight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4DC02E2-AAE9-4867-85C9-8B338712BE94}"/>
</file>

<file path=customXml/itemProps2.xml><?xml version="1.0" encoding="utf-8"?>
<ds:datastoreItem xmlns:ds="http://schemas.openxmlformats.org/officeDocument/2006/customXml" ds:itemID="{CFF50FCA-1934-4CC0-B77F-982FB67B743F}"/>
</file>

<file path=customXml/itemProps3.xml><?xml version="1.0" encoding="utf-8"?>
<ds:datastoreItem xmlns:ds="http://schemas.openxmlformats.org/officeDocument/2006/customXml" ds:itemID="{EEBB1C92-49E8-44D1-8313-5BFA7C85D5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Dheeraj Cheripelly [AGS]</cp:lastModifiedBy>
  <cp:revision/>
  <dcterms:created xsi:type="dcterms:W3CDTF">2025-11-05T08:05:54Z</dcterms:created>
  <dcterms:modified xsi:type="dcterms:W3CDTF">2025-11-06T03:42:22Z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