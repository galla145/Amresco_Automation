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LibsysAdmin\Downloads\"/>
    </mc:Choice>
  </mc:AlternateContent>
  <xr:revisionPtr revIDLastSave="0" documentId="13_ncr:1_{1EE06179-353C-4B6C-9515-6F6FDB95D3C4}" xr6:coauthVersionLast="47" xr6:coauthVersionMax="47" xr10:uidLastSave="{00000000-0000-0000-0000-000000000000}"/>
  <bookViews>
    <workbookView xWindow="-98" yWindow="-98" windowWidth="21795" windowHeight="12975" tabRatio="713" activeTab="1" xr2:uid="{00000000-000D-0000-FFFF-FFFF00000000}"/>
  </bookViews>
  <sheets>
    <sheet name="Glossary" sheetId="35" r:id="rId1"/>
    <sheet name="Merrimack" sheetId="18" r:id="rId2"/>
    <sheet name="Smithfield" sheetId="12" r:id="rId3"/>
    <sheet name="Westlake" sheetId="36" r:id="rId4"/>
    <sheet name="Availability" sheetId="32" r:id="rId5"/>
    <sheet name="Plant Health" sheetId="33" r:id="rId6"/>
    <sheet name="Predicted Data" sheetId="34" r:id="rId7"/>
    <sheet name="Ashley Config" sheetId="17" state="hidden" r:id="rId8"/>
    <sheet name="Lang Config" sheetId="19" state="hidden" r:id="rId9"/>
    <sheet name="Stikeleather Config" sheetId="21" state="hidden" r:id="rId10"/>
    <sheet name="Yadkin Config" sheetId="23" state="hidden" r:id="rId11"/>
  </sheets>
  <definedNames>
    <definedName name="_xlnm.Print_Area" localSheetId="4">Availability!$B$1:$F$48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36" l="1"/>
  <c r="J10" i="36"/>
  <c r="J7" i="36"/>
  <c r="J13" i="12"/>
  <c r="J10" i="12"/>
  <c r="J7" i="12"/>
  <c r="J14" i="18"/>
  <c r="J13" i="18"/>
  <c r="L106" i="33"/>
  <c r="N106" i="33"/>
  <c r="O106" i="33"/>
  <c r="L105" i="33"/>
  <c r="N105" i="33"/>
  <c r="O105" i="33"/>
  <c r="M106" i="33"/>
  <c r="M105" i="33"/>
  <c r="F106" i="33"/>
  <c r="F105" i="33"/>
  <c r="I106" i="33"/>
  <c r="I105" i="33"/>
  <c r="J10" i="18"/>
  <c r="J7" i="18"/>
  <c r="O104" i="33"/>
  <c r="N104" i="33"/>
  <c r="M104" i="33"/>
  <c r="L104" i="33"/>
  <c r="F104" i="33"/>
  <c r="I104" i="33"/>
  <c r="I50" i="32"/>
  <c r="O103" i="33"/>
  <c r="N102" i="33"/>
  <c r="N103" i="33"/>
  <c r="M102" i="33"/>
  <c r="M103" i="33"/>
  <c r="L103" i="33" l="1"/>
  <c r="F103" i="33"/>
  <c r="I103" i="33"/>
  <c r="O102" i="33"/>
  <c r="L102" i="33"/>
  <c r="I102" i="33"/>
  <c r="F102" i="33"/>
  <c r="O101" i="33"/>
  <c r="N101" i="33"/>
  <c r="M101" i="33"/>
  <c r="L101" i="33"/>
  <c r="F101" i="33"/>
  <c r="I101" i="33"/>
  <c r="M100" i="33"/>
  <c r="N100" i="33"/>
  <c r="L100" i="33"/>
  <c r="I100" i="33"/>
  <c r="F100" i="33"/>
  <c r="O100" i="33" l="1"/>
  <c r="I99" i="33" l="1"/>
  <c r="I98" i="33"/>
  <c r="N98" i="33"/>
  <c r="N99" i="33"/>
  <c r="M98" i="33"/>
  <c r="O98" i="33" s="1"/>
  <c r="M99" i="33"/>
  <c r="L98" i="33"/>
  <c r="L99" i="33"/>
  <c r="K109" i="33"/>
  <c r="F98" i="33"/>
  <c r="F99" i="33"/>
  <c r="O99" i="33" l="1"/>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5" i="34"/>
  <c r="J109" i="33"/>
  <c r="L109" i="33" s="1"/>
  <c r="H109" i="33"/>
  <c r="G109" i="33"/>
  <c r="E109" i="33"/>
  <c r="D109" i="33"/>
  <c r="N97" i="33"/>
  <c r="M97" i="33"/>
  <c r="L97" i="33"/>
  <c r="I97" i="33"/>
  <c r="F97" i="33"/>
  <c r="K50" i="32"/>
  <c r="J14" i="36" s="1"/>
  <c r="J50" i="32"/>
  <c r="J14" i="12"/>
  <c r="I89" i="33"/>
  <c r="L89" i="33"/>
  <c r="F89" i="33"/>
  <c r="I88" i="33"/>
  <c r="J8" i="18"/>
  <c r="J6" i="18"/>
  <c r="G90" i="33" s="1"/>
  <c r="I90" i="33" s="1"/>
  <c r="L88" i="33"/>
  <c r="J8" i="36"/>
  <c r="J6" i="36"/>
  <c r="J90" i="33" s="1"/>
  <c r="L90" i="33" s="1"/>
  <c r="F88" i="33"/>
  <c r="J8" i="12"/>
  <c r="J6" i="12"/>
  <c r="D90" i="33" s="1"/>
  <c r="F90" i="33" s="1"/>
  <c r="I87" i="33"/>
  <c r="N109" i="33" l="1"/>
  <c r="M109" i="33"/>
  <c r="O97" i="33"/>
  <c r="I109" i="33"/>
  <c r="F109" i="33"/>
  <c r="L87" i="33"/>
  <c r="F87" i="33"/>
  <c r="L86" i="33"/>
  <c r="F86" i="33"/>
  <c r="I86" i="33"/>
  <c r="L84" i="33"/>
  <c r="L85" i="33"/>
  <c r="F84" i="33"/>
  <c r="F85" i="33"/>
  <c r="I84" i="33"/>
  <c r="I85" i="33"/>
  <c r="O109" i="33" l="1"/>
  <c r="F50" i="32"/>
  <c r="E50" i="32"/>
  <c r="D50" i="32"/>
  <c r="K91" i="33"/>
  <c r="J91" i="33"/>
  <c r="H91" i="33"/>
  <c r="E91" i="33"/>
  <c r="D91" i="33"/>
  <c r="N90" i="33"/>
  <c r="M90" i="33"/>
  <c r="O90" i="33" s="1"/>
  <c r="N89" i="33"/>
  <c r="M89" i="33"/>
  <c r="O89" i="33" s="1"/>
  <c r="N88" i="33"/>
  <c r="M88" i="33"/>
  <c r="O88" i="33" s="1"/>
  <c r="N87" i="33"/>
  <c r="M87" i="33"/>
  <c r="O87" i="33" s="1"/>
  <c r="N86" i="33"/>
  <c r="M86" i="33"/>
  <c r="O86" i="33" s="1"/>
  <c r="N85" i="33"/>
  <c r="M85" i="33"/>
  <c r="O85" i="33" s="1"/>
  <c r="N84" i="33"/>
  <c r="M84" i="33"/>
  <c r="O84" i="33" s="1"/>
  <c r="N83" i="33"/>
  <c r="M83" i="33"/>
  <c r="L83" i="33"/>
  <c r="I83" i="33"/>
  <c r="F83" i="33"/>
  <c r="N82" i="33"/>
  <c r="M82" i="33"/>
  <c r="L82" i="33"/>
  <c r="I82" i="33"/>
  <c r="F82" i="33"/>
  <c r="N81" i="33"/>
  <c r="M81" i="33"/>
  <c r="L81" i="33"/>
  <c r="I81" i="33"/>
  <c r="F81" i="33"/>
  <c r="N80" i="33"/>
  <c r="L80" i="33"/>
  <c r="F80" i="33"/>
  <c r="N79" i="33"/>
  <c r="M79" i="33"/>
  <c r="L79" i="33"/>
  <c r="I79" i="33"/>
  <c r="F79" i="33"/>
  <c r="I72" i="33"/>
  <c r="G91" i="33"/>
  <c r="N72" i="33"/>
  <c r="M72" i="33"/>
  <c r="L72" i="33"/>
  <c r="F72" i="33"/>
  <c r="F71" i="33"/>
  <c r="N71" i="33"/>
  <c r="M71" i="33"/>
  <c r="O71" i="33" s="1"/>
  <c r="I71" i="33"/>
  <c r="L71" i="33"/>
  <c r="N70" i="33"/>
  <c r="N69" i="33"/>
  <c r="M69" i="33"/>
  <c r="O69" i="33" s="1"/>
  <c r="M70" i="33"/>
  <c r="L69" i="33"/>
  <c r="L70" i="33"/>
  <c r="F69" i="33"/>
  <c r="F70" i="33"/>
  <c r="I69" i="33"/>
  <c r="I70" i="33"/>
  <c r="L68" i="33"/>
  <c r="N68" i="33"/>
  <c r="M68" i="33"/>
  <c r="O68" i="33" s="1"/>
  <c r="F68" i="33"/>
  <c r="I68" i="33"/>
  <c r="I80" i="33" l="1"/>
  <c r="M80" i="33"/>
  <c r="O80" i="33" s="1"/>
  <c r="L91" i="33"/>
  <c r="O79" i="33"/>
  <c r="F91" i="33"/>
  <c r="O81" i="33"/>
  <c r="N91" i="33"/>
  <c r="O83" i="33"/>
  <c r="O82" i="33"/>
  <c r="I91" i="33"/>
  <c r="M91" i="33"/>
  <c r="O72" i="33"/>
  <c r="J11" i="18"/>
  <c r="O70" i="33"/>
  <c r="M67" i="33"/>
  <c r="M66" i="33"/>
  <c r="L67" i="33"/>
  <c r="N67" i="33"/>
  <c r="F67" i="33"/>
  <c r="I67" i="33"/>
  <c r="M61" i="33"/>
  <c r="N61" i="33"/>
  <c r="M62" i="33"/>
  <c r="N62" i="33"/>
  <c r="M63" i="33"/>
  <c r="N63" i="33"/>
  <c r="M64" i="33"/>
  <c r="N64" i="33"/>
  <c r="M65" i="33"/>
  <c r="N65" i="33"/>
  <c r="O65" i="33" s="1"/>
  <c r="N66" i="33"/>
  <c r="L66" i="33"/>
  <c r="O67" i="33" l="1"/>
  <c r="O91" i="33"/>
  <c r="O61" i="33"/>
  <c r="O62" i="33"/>
  <c r="O63" i="33"/>
  <c r="O64" i="33"/>
  <c r="O66" i="33"/>
  <c r="F66" i="33"/>
  <c r="I66" i="33"/>
  <c r="K73" i="33" l="1"/>
  <c r="J73" i="33"/>
  <c r="L65" i="33"/>
  <c r="L64" i="33"/>
  <c r="L63" i="33"/>
  <c r="L62" i="33"/>
  <c r="L61" i="33"/>
  <c r="H73" i="33"/>
  <c r="G73" i="33"/>
  <c r="E73" i="33"/>
  <c r="D73" i="33"/>
  <c r="I65" i="33"/>
  <c r="F65" i="33"/>
  <c r="I64" i="33"/>
  <c r="F64" i="33"/>
  <c r="I63" i="33"/>
  <c r="F63" i="33"/>
  <c r="I62" i="33"/>
  <c r="F62" i="33"/>
  <c r="I61" i="33"/>
  <c r="F61" i="33"/>
  <c r="J12" i="36"/>
  <c r="L34" i="32"/>
  <c r="M73" i="33" l="1"/>
  <c r="N73" i="33"/>
  <c r="J11" i="36"/>
  <c r="L73" i="33"/>
  <c r="F73" i="33"/>
  <c r="I73" i="33"/>
  <c r="O73" i="33" l="1"/>
  <c r="H55" i="33" l="1"/>
  <c r="G55" i="33"/>
  <c r="E55" i="33"/>
  <c r="D55" i="33"/>
  <c r="J55" i="33" s="1"/>
  <c r="K54" i="33"/>
  <c r="J54" i="33"/>
  <c r="I54" i="33"/>
  <c r="F54" i="33"/>
  <c r="K53" i="33"/>
  <c r="J53" i="33"/>
  <c r="I53" i="33"/>
  <c r="F53" i="33"/>
  <c r="K52" i="33"/>
  <c r="J52" i="33"/>
  <c r="L52" i="33" s="1"/>
  <c r="I52" i="33"/>
  <c r="F52" i="33"/>
  <c r="K49" i="33"/>
  <c r="J49" i="33"/>
  <c r="I49" i="33"/>
  <c r="F49" i="33"/>
  <c r="K48" i="33"/>
  <c r="J48" i="33"/>
  <c r="L48" i="33" s="1"/>
  <c r="I48" i="33"/>
  <c r="F48" i="33"/>
  <c r="K47" i="33"/>
  <c r="J47" i="33"/>
  <c r="I47" i="33"/>
  <c r="F47" i="33"/>
  <c r="K46" i="33"/>
  <c r="J46" i="33"/>
  <c r="I46" i="33"/>
  <c r="F46" i="33"/>
  <c r="K45" i="33"/>
  <c r="J45" i="33"/>
  <c r="I45" i="33"/>
  <c r="F45" i="33"/>
  <c r="K44" i="33"/>
  <c r="J44" i="33"/>
  <c r="I44" i="33"/>
  <c r="F44" i="33"/>
  <c r="K43" i="33"/>
  <c r="J43" i="33"/>
  <c r="I43" i="33"/>
  <c r="F43" i="33"/>
  <c r="L45" i="33" l="1"/>
  <c r="L49" i="33"/>
  <c r="I55" i="33"/>
  <c r="L54" i="33"/>
  <c r="L46" i="33"/>
  <c r="L47" i="33"/>
  <c r="L43" i="33"/>
  <c r="L53" i="33"/>
  <c r="L44" i="33"/>
  <c r="F55" i="33"/>
  <c r="K55" i="33"/>
  <c r="L55" i="33" s="1"/>
  <c r="I34" i="32" l="1"/>
  <c r="H34" i="32"/>
  <c r="K36" i="33" l="1"/>
  <c r="J36" i="33"/>
  <c r="I36" i="33"/>
  <c r="F36" i="33"/>
  <c r="K35" i="33"/>
  <c r="J35" i="33"/>
  <c r="L35" i="33" s="1"/>
  <c r="I35" i="33"/>
  <c r="F35" i="33"/>
  <c r="K34" i="33"/>
  <c r="J34" i="33"/>
  <c r="I34" i="33"/>
  <c r="F34" i="33"/>
  <c r="K33" i="33"/>
  <c r="J33" i="33"/>
  <c r="I33" i="33"/>
  <c r="F33" i="33"/>
  <c r="K32" i="33"/>
  <c r="J32" i="33"/>
  <c r="I32" i="33"/>
  <c r="F32" i="33"/>
  <c r="K31" i="33"/>
  <c r="J31" i="33"/>
  <c r="I31" i="33"/>
  <c r="F31" i="33"/>
  <c r="K30" i="33"/>
  <c r="J30" i="33"/>
  <c r="I30" i="33"/>
  <c r="F30" i="33"/>
  <c r="K29" i="33"/>
  <c r="J29" i="33"/>
  <c r="I29" i="33"/>
  <c r="F29" i="33"/>
  <c r="K28" i="33"/>
  <c r="J28" i="33"/>
  <c r="I28" i="33"/>
  <c r="F28" i="33"/>
  <c r="K27" i="33"/>
  <c r="J27" i="33"/>
  <c r="I27" i="33"/>
  <c r="F27" i="33"/>
  <c r="K26" i="33"/>
  <c r="J26" i="33"/>
  <c r="I26" i="33"/>
  <c r="F26" i="33"/>
  <c r="K25" i="33"/>
  <c r="J25" i="33"/>
  <c r="L25" i="33" s="1"/>
  <c r="I25" i="33"/>
  <c r="F25" i="33"/>
  <c r="K18" i="33"/>
  <c r="J18" i="33"/>
  <c r="I18" i="33"/>
  <c r="F18" i="33"/>
  <c r="K17" i="33"/>
  <c r="J17" i="33"/>
  <c r="I17" i="33"/>
  <c r="F17" i="33"/>
  <c r="K16" i="33"/>
  <c r="J16" i="33"/>
  <c r="I16" i="33"/>
  <c r="F16" i="33"/>
  <c r="K15" i="33"/>
  <c r="J15" i="33"/>
  <c r="L15" i="33" s="1"/>
  <c r="F15" i="33"/>
  <c r="K14" i="33"/>
  <c r="J14" i="33"/>
  <c r="F14" i="33"/>
  <c r="K13" i="33"/>
  <c r="J13" i="33"/>
  <c r="I13" i="33"/>
  <c r="F13" i="33"/>
  <c r="E34" i="32"/>
  <c r="D34" i="32"/>
  <c r="E18" i="32"/>
  <c r="D18" i="32"/>
  <c r="L31" i="33" l="1"/>
  <c r="L16" i="33"/>
  <c r="L14" i="33"/>
  <c r="L33" i="33"/>
  <c r="L18" i="33"/>
  <c r="L26" i="33"/>
  <c r="L28" i="33"/>
  <c r="L32" i="33"/>
  <c r="L30" i="33"/>
  <c r="L34" i="33"/>
  <c r="L36" i="33"/>
  <c r="L17" i="33"/>
  <c r="L13" i="33"/>
  <c r="L27" i="33"/>
  <c r="L29" i="33"/>
  <c r="I14" i="23"/>
  <c r="J14" i="23" s="1"/>
  <c r="K14" i="23" s="1"/>
  <c r="L14" i="23" s="1"/>
  <c r="M14" i="23" s="1"/>
  <c r="N14" i="23" s="1"/>
  <c r="H14" i="23"/>
  <c r="H13" i="23"/>
  <c r="I13" i="23" s="1"/>
  <c r="J13" i="23" s="1"/>
  <c r="K13" i="23" s="1"/>
  <c r="L13" i="23" s="1"/>
  <c r="M13" i="23" s="1"/>
  <c r="N13" i="23" s="1"/>
  <c r="H12" i="23"/>
  <c r="I12" i="23" s="1"/>
  <c r="J12" i="23" s="1"/>
  <c r="K12" i="23" s="1"/>
  <c r="L12" i="23" s="1"/>
  <c r="M12" i="23" s="1"/>
  <c r="N12" i="23" s="1"/>
  <c r="H11" i="23"/>
  <c r="I11" i="23" s="1"/>
  <c r="J11" i="23" s="1"/>
  <c r="K11" i="23" s="1"/>
  <c r="L11" i="23" s="1"/>
  <c r="M11" i="23" s="1"/>
  <c r="N11" i="23" s="1"/>
  <c r="I10" i="23"/>
  <c r="J10" i="23" s="1"/>
  <c r="K10" i="23" s="1"/>
  <c r="L10" i="23" s="1"/>
  <c r="M10" i="23" s="1"/>
  <c r="N10" i="23" s="1"/>
  <c r="I9" i="23"/>
  <c r="J9" i="23" s="1"/>
  <c r="K9" i="23" s="1"/>
  <c r="L9" i="23" s="1"/>
  <c r="M9" i="23" s="1"/>
  <c r="N9" i="23" s="1"/>
  <c r="I8" i="23"/>
  <c r="J8" i="23" s="1"/>
  <c r="K8" i="23" s="1"/>
  <c r="L8" i="23" s="1"/>
  <c r="M8" i="23" s="1"/>
  <c r="N8" i="23" s="1"/>
  <c r="I7" i="23"/>
  <c r="J7" i="23" s="1"/>
  <c r="K7" i="23" s="1"/>
  <c r="L7" i="23" s="1"/>
  <c r="M7" i="23" s="1"/>
  <c r="N7" i="23" s="1"/>
  <c r="I6" i="23"/>
  <c r="J6" i="23" s="1"/>
  <c r="K6" i="23" s="1"/>
  <c r="L6" i="23" s="1"/>
  <c r="M6" i="23" s="1"/>
  <c r="N6" i="23" s="1"/>
  <c r="I5" i="23"/>
  <c r="J5" i="23" s="1"/>
  <c r="K5" i="23" s="1"/>
  <c r="L5" i="23" s="1"/>
  <c r="M5" i="23" s="1"/>
  <c r="N5" i="23" s="1"/>
  <c r="I4" i="23"/>
  <c r="J4" i="23" s="1"/>
  <c r="K4" i="23" s="1"/>
  <c r="L4" i="23" s="1"/>
  <c r="M4" i="23" s="1"/>
  <c r="N4" i="23" s="1"/>
  <c r="I3" i="23"/>
  <c r="J3" i="23" s="1"/>
  <c r="K3" i="23" s="1"/>
  <c r="L3" i="23" s="1"/>
  <c r="M3" i="23" s="1"/>
  <c r="N3" i="23" s="1"/>
  <c r="I14" i="21"/>
  <c r="J14" i="21" s="1"/>
  <c r="K14" i="21" s="1"/>
  <c r="L14" i="21" s="1"/>
  <c r="M14" i="21" s="1"/>
  <c r="N14" i="21" s="1"/>
  <c r="H14" i="21"/>
  <c r="H13" i="21"/>
  <c r="I13" i="21" s="1"/>
  <c r="J13" i="21" s="1"/>
  <c r="K13" i="21" s="1"/>
  <c r="L13" i="21" s="1"/>
  <c r="M13" i="21" s="1"/>
  <c r="N13" i="21" s="1"/>
  <c r="H12" i="21"/>
  <c r="I12" i="21" s="1"/>
  <c r="J12" i="21" s="1"/>
  <c r="K12" i="21" s="1"/>
  <c r="L12" i="21" s="1"/>
  <c r="M12" i="21" s="1"/>
  <c r="N12" i="21" s="1"/>
  <c r="I11" i="21"/>
  <c r="J11" i="21" s="1"/>
  <c r="K11" i="21" s="1"/>
  <c r="L11" i="21" s="1"/>
  <c r="M11" i="21" s="1"/>
  <c r="N11" i="21" s="1"/>
  <c r="H11" i="21"/>
  <c r="I10" i="21"/>
  <c r="J10" i="21" s="1"/>
  <c r="K10" i="21" s="1"/>
  <c r="L10" i="21" s="1"/>
  <c r="M10" i="21" s="1"/>
  <c r="N10" i="21" s="1"/>
  <c r="I9" i="21"/>
  <c r="J9" i="21" s="1"/>
  <c r="K9" i="21" s="1"/>
  <c r="L9" i="21" s="1"/>
  <c r="M9" i="21" s="1"/>
  <c r="N9" i="21" s="1"/>
  <c r="I8" i="21"/>
  <c r="J8" i="21" s="1"/>
  <c r="K8" i="21" s="1"/>
  <c r="L8" i="21" s="1"/>
  <c r="M8" i="21" s="1"/>
  <c r="N8" i="21" s="1"/>
  <c r="J7" i="21"/>
  <c r="K7" i="21" s="1"/>
  <c r="L7" i="21" s="1"/>
  <c r="M7" i="21" s="1"/>
  <c r="N7" i="21" s="1"/>
  <c r="I7" i="21"/>
  <c r="I6" i="21"/>
  <c r="J6" i="21" s="1"/>
  <c r="K6" i="21" s="1"/>
  <c r="L6" i="21" s="1"/>
  <c r="M6" i="21" s="1"/>
  <c r="N6" i="21" s="1"/>
  <c r="I5" i="21"/>
  <c r="J5" i="21" s="1"/>
  <c r="K5" i="21" s="1"/>
  <c r="L5" i="21" s="1"/>
  <c r="M5" i="21" s="1"/>
  <c r="N5" i="21" s="1"/>
  <c r="I4" i="21"/>
  <c r="J4" i="21" s="1"/>
  <c r="K4" i="21" s="1"/>
  <c r="L4" i="21" s="1"/>
  <c r="M4" i="21" s="1"/>
  <c r="N4" i="21" s="1"/>
  <c r="J3" i="21"/>
  <c r="K3" i="21" s="1"/>
  <c r="L3" i="21" s="1"/>
  <c r="M3" i="21" s="1"/>
  <c r="N3" i="21" s="1"/>
  <c r="I3" i="21"/>
  <c r="I14" i="17"/>
  <c r="J14" i="17" s="1"/>
  <c r="K14" i="17" s="1"/>
  <c r="L14" i="17" s="1"/>
  <c r="M14" i="17" s="1"/>
  <c r="N14" i="17" s="1"/>
  <c r="O14" i="17" s="1"/>
  <c r="I13" i="17"/>
  <c r="J13" i="17" s="1"/>
  <c r="K13" i="17" s="1"/>
  <c r="L13" i="17" s="1"/>
  <c r="M13" i="17" s="1"/>
  <c r="N13" i="17" s="1"/>
  <c r="O13" i="17" s="1"/>
  <c r="J12" i="17"/>
  <c r="K12" i="17" s="1"/>
  <c r="L12" i="17" s="1"/>
  <c r="M12" i="17" s="1"/>
  <c r="N12" i="17" s="1"/>
  <c r="O12" i="17" s="1"/>
  <c r="I12" i="17"/>
  <c r="I11" i="17"/>
  <c r="J11" i="17" s="1"/>
  <c r="K11" i="17" s="1"/>
  <c r="L11" i="17" s="1"/>
  <c r="M11" i="17" s="1"/>
  <c r="N11" i="17" s="1"/>
  <c r="O11" i="17" s="1"/>
  <c r="I10" i="17"/>
  <c r="J10" i="17" s="1"/>
  <c r="K10" i="17" s="1"/>
  <c r="L10" i="17" s="1"/>
  <c r="M10" i="17" s="1"/>
  <c r="N10" i="17" s="1"/>
  <c r="O10" i="17" s="1"/>
  <c r="J9" i="17"/>
  <c r="K9" i="17" s="1"/>
  <c r="L9" i="17" s="1"/>
  <c r="M9" i="17" s="1"/>
  <c r="N9" i="17" s="1"/>
  <c r="O9" i="17" s="1"/>
  <c r="I9" i="17"/>
  <c r="I8" i="17"/>
  <c r="J8" i="17" s="1"/>
  <c r="K8" i="17" s="1"/>
  <c r="L8" i="17" s="1"/>
  <c r="M8" i="17" s="1"/>
  <c r="N8" i="17" s="1"/>
  <c r="O8" i="17" s="1"/>
  <c r="I7" i="17"/>
  <c r="J7" i="17" s="1"/>
  <c r="K7" i="17" s="1"/>
  <c r="L7" i="17" s="1"/>
  <c r="M7" i="17" s="1"/>
  <c r="N7" i="17" s="1"/>
  <c r="O7" i="17" s="1"/>
  <c r="I6" i="17"/>
  <c r="J6" i="17" s="1"/>
  <c r="K6" i="17" s="1"/>
  <c r="L6" i="17" s="1"/>
  <c r="M6" i="17" s="1"/>
  <c r="N6" i="17" s="1"/>
  <c r="O6" i="17" s="1"/>
  <c r="I5" i="17"/>
  <c r="J5" i="17" s="1"/>
  <c r="K5" i="17" s="1"/>
  <c r="L5" i="17" s="1"/>
  <c r="M5" i="17" s="1"/>
  <c r="N5" i="17" s="1"/>
  <c r="O5" i="17" s="1"/>
  <c r="J4" i="17"/>
  <c r="K4" i="17" s="1"/>
  <c r="L4" i="17" s="1"/>
  <c r="M4" i="17" s="1"/>
  <c r="N4" i="17" s="1"/>
  <c r="O4" i="17" s="1"/>
  <c r="K3" i="17"/>
  <c r="L3" i="17" s="1"/>
  <c r="M3" i="17" s="1"/>
  <c r="N3" i="17" s="1"/>
  <c r="O3" i="17" s="1"/>
  <c r="J3" i="17"/>
  <c r="B75" i="23" l="1"/>
  <c r="I18" i="32"/>
  <c r="H18" i="32"/>
  <c r="B76" i="23" l="1"/>
  <c r="B77" i="23"/>
  <c r="B78" i="23"/>
  <c r="B79" i="23"/>
  <c r="B80" i="23"/>
  <c r="B81" i="23"/>
  <c r="B82" i="23"/>
  <c r="B83" i="23"/>
  <c r="B84" i="23"/>
  <c r="B85" i="23"/>
  <c r="B86" i="23"/>
  <c r="B76" i="21"/>
  <c r="B77" i="21"/>
  <c r="B78" i="21"/>
  <c r="B79" i="21"/>
  <c r="B80" i="21"/>
  <c r="B81" i="21"/>
  <c r="B82" i="21"/>
  <c r="B83" i="21"/>
  <c r="B84" i="21"/>
  <c r="B85" i="21"/>
  <c r="B86" i="21"/>
  <c r="B75" i="21"/>
  <c r="B76" i="19"/>
  <c r="B77" i="19"/>
  <c r="B78" i="19"/>
  <c r="B79" i="19"/>
  <c r="B80" i="19"/>
  <c r="B81" i="19"/>
  <c r="B82" i="19"/>
  <c r="B83" i="19"/>
  <c r="B84" i="19"/>
  <c r="B85" i="19"/>
  <c r="B86" i="19"/>
  <c r="B75" i="19"/>
  <c r="B76" i="17"/>
  <c r="B77" i="17"/>
  <c r="B78" i="17"/>
  <c r="B79" i="17"/>
  <c r="B80" i="17"/>
  <c r="B81" i="17"/>
  <c r="B82" i="17"/>
  <c r="B83" i="17"/>
  <c r="B84" i="17"/>
  <c r="B85" i="17"/>
  <c r="B86" i="17"/>
  <c r="B75" i="17"/>
  <c r="B66" i="17"/>
  <c r="B52" i="17"/>
  <c r="B40" i="17"/>
  <c r="B34" i="17"/>
  <c r="H37" i="33"/>
  <c r="E37" i="33" l="1"/>
  <c r="K37" i="33" s="1"/>
  <c r="B72" i="23" l="1"/>
  <c r="B73" i="23"/>
  <c r="B74" i="23"/>
  <c r="B71" i="23"/>
  <c r="B64" i="23"/>
  <c r="B65" i="23"/>
  <c r="B66" i="23"/>
  <c r="B67" i="23"/>
  <c r="B68" i="23"/>
  <c r="B69" i="23"/>
  <c r="B70" i="23"/>
  <c r="B63" i="23"/>
  <c r="B74" i="21"/>
  <c r="B73" i="21"/>
  <c r="B72" i="21"/>
  <c r="B71" i="21"/>
  <c r="B64" i="21"/>
  <c r="B65" i="21"/>
  <c r="B66" i="21"/>
  <c r="B67" i="21"/>
  <c r="B68" i="21"/>
  <c r="B69" i="21"/>
  <c r="B70" i="21"/>
  <c r="B63" i="21"/>
  <c r="B74" i="19"/>
  <c r="B73" i="19"/>
  <c r="B72" i="19"/>
  <c r="B64" i="19"/>
  <c r="B65" i="19"/>
  <c r="B66" i="19"/>
  <c r="B67" i="19"/>
  <c r="B68" i="19"/>
  <c r="B69" i="19"/>
  <c r="B70" i="19"/>
  <c r="B71" i="19"/>
  <c r="B63" i="19"/>
  <c r="B67" i="17"/>
  <c r="B68" i="17"/>
  <c r="B69" i="17"/>
  <c r="B70" i="17"/>
  <c r="B71" i="17"/>
  <c r="B72" i="17"/>
  <c r="B73" i="17"/>
  <c r="B74" i="17"/>
  <c r="B65" i="17"/>
  <c r="B64" i="17"/>
  <c r="B63" i="17"/>
  <c r="H19" i="33"/>
  <c r="E19" i="33"/>
  <c r="K19" i="33" l="1"/>
  <c r="B62" i="23"/>
  <c r="B61" i="23"/>
  <c r="B60" i="23"/>
  <c r="B59" i="23"/>
  <c r="B58" i="23"/>
  <c r="B57" i="23"/>
  <c r="B56" i="23"/>
  <c r="B55" i="23"/>
  <c r="B54" i="23"/>
  <c r="B53" i="23"/>
  <c r="B52" i="23"/>
  <c r="B51" i="23"/>
  <c r="B50" i="23"/>
  <c r="B49" i="23"/>
  <c r="B48" i="23"/>
  <c r="B47" i="23"/>
  <c r="B46" i="23"/>
  <c r="B45" i="23"/>
  <c r="B44" i="23"/>
  <c r="B43" i="23"/>
  <c r="B42" i="23"/>
  <c r="B41" i="23"/>
  <c r="B40" i="23"/>
  <c r="B39" i="23"/>
  <c r="B38" i="23"/>
  <c r="B37" i="23"/>
  <c r="B36" i="23"/>
  <c r="B35" i="23"/>
  <c r="B34" i="23"/>
  <c r="B33" i="23"/>
  <c r="B32" i="23"/>
  <c r="B31" i="23"/>
  <c r="B30" i="23"/>
  <c r="B29" i="23"/>
  <c r="B28" i="23"/>
  <c r="B27" i="23"/>
  <c r="B26" i="23"/>
  <c r="B25" i="23"/>
  <c r="B24" i="23"/>
  <c r="B23" i="23"/>
  <c r="B62" i="21"/>
  <c r="B61" i="21"/>
  <c r="B60" i="21"/>
  <c r="B59" i="21"/>
  <c r="B58" i="21"/>
  <c r="B57" i="21"/>
  <c r="B56" i="21"/>
  <c r="B55" i="21"/>
  <c r="B54" i="21"/>
  <c r="B53" i="21"/>
  <c r="B52" i="21"/>
  <c r="B51" i="21"/>
  <c r="B50" i="21"/>
  <c r="B49" i="21"/>
  <c r="B48" i="21"/>
  <c r="B47" i="21"/>
  <c r="B46" i="21"/>
  <c r="B45" i="21"/>
  <c r="B44" i="21"/>
  <c r="B43" i="21"/>
  <c r="B42" i="21"/>
  <c r="B41" i="21"/>
  <c r="B40" i="21"/>
  <c r="B39" i="21"/>
  <c r="B38" i="21"/>
  <c r="B37" i="21"/>
  <c r="B36" i="21"/>
  <c r="B35" i="21"/>
  <c r="B34" i="21"/>
  <c r="B33" i="21"/>
  <c r="B32" i="21"/>
  <c r="B31" i="21"/>
  <c r="B30" i="21"/>
  <c r="B29" i="21"/>
  <c r="B28" i="21"/>
  <c r="B27" i="21"/>
  <c r="B26" i="21"/>
  <c r="B25" i="21"/>
  <c r="B24" i="21"/>
  <c r="B23" i="21"/>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62" i="17"/>
  <c r="B61" i="17"/>
  <c r="B60" i="17"/>
  <c r="B59" i="17"/>
  <c r="B58" i="17"/>
  <c r="B57" i="17"/>
  <c r="B56" i="17"/>
  <c r="B55" i="17"/>
  <c r="B54" i="17"/>
  <c r="B53" i="17"/>
  <c r="B51" i="17"/>
  <c r="B50" i="17"/>
  <c r="B49" i="17"/>
  <c r="B48" i="17"/>
  <c r="B47" i="17"/>
  <c r="B46" i="17"/>
  <c r="B45" i="17"/>
  <c r="B44" i="17"/>
  <c r="B43" i="17"/>
  <c r="B42" i="17"/>
  <c r="B41" i="17"/>
  <c r="B39" i="17"/>
  <c r="B38" i="17"/>
  <c r="B37" i="17"/>
  <c r="B36" i="17"/>
  <c r="B35" i="17"/>
  <c r="B33" i="17"/>
  <c r="B32" i="17"/>
  <c r="B31" i="17"/>
  <c r="B30" i="17"/>
  <c r="B29" i="17"/>
  <c r="B28" i="17"/>
  <c r="B27" i="17"/>
  <c r="B26" i="17"/>
  <c r="B25" i="17"/>
  <c r="B24" i="17"/>
  <c r="B23" i="17"/>
  <c r="B22" i="17"/>
  <c r="B21" i="17"/>
  <c r="B20" i="17"/>
  <c r="B19" i="17"/>
  <c r="B18" i="17"/>
  <c r="B17" i="17"/>
  <c r="G37" i="33" l="1"/>
  <c r="I37" i="33" s="1"/>
  <c r="J12" i="18" l="1"/>
  <c r="G19" i="33"/>
  <c r="I19" i="33" s="1"/>
  <c r="J11" i="12" l="1"/>
  <c r="J12" i="12"/>
  <c r="D37" i="33"/>
  <c r="J37" i="33" s="1"/>
  <c r="L37" i="33" l="1"/>
  <c r="F37" i="33"/>
  <c r="D19" i="33"/>
  <c r="J19" i="33" s="1"/>
  <c r="L19" i="33" l="1"/>
  <c r="F19" i="33"/>
</calcChain>
</file>

<file path=xl/sharedStrings.xml><?xml version="1.0" encoding="utf-8"?>
<sst xmlns="http://schemas.openxmlformats.org/spreadsheetml/2006/main" count="553" uniqueCount="94">
  <si>
    <t>Terminology</t>
  </si>
  <si>
    <t>Definition</t>
  </si>
  <si>
    <t>Total Actual Production (kWh):</t>
  </si>
  <si>
    <t xml:space="preserve">total monthly production </t>
  </si>
  <si>
    <t>Total Modeled Production (kWh):</t>
  </si>
  <si>
    <t>total performance predicted monthly produciton</t>
  </si>
  <si>
    <r>
      <t>Total Actual Insolation (Wh/m</t>
    </r>
    <r>
      <rPr>
        <b/>
        <vertAlign val="superscript"/>
        <sz val="11"/>
        <color theme="1"/>
        <rFont val="Calibri"/>
        <family val="2"/>
        <scheme val="minor"/>
      </rPr>
      <t>2</t>
    </r>
    <r>
      <rPr>
        <b/>
        <sz val="11"/>
        <color theme="1"/>
        <rFont val="Calibri"/>
        <family val="2"/>
        <scheme val="minor"/>
      </rPr>
      <t>):</t>
    </r>
  </si>
  <si>
    <t>total monthly insolation received on site</t>
  </si>
  <si>
    <r>
      <t>Total Modeled Insolation (Wh/m</t>
    </r>
    <r>
      <rPr>
        <b/>
        <vertAlign val="superscript"/>
        <sz val="11"/>
        <color theme="1"/>
        <rFont val="Calibri"/>
        <family val="2"/>
        <scheme val="minor"/>
      </rPr>
      <t>2</t>
    </r>
    <r>
      <rPr>
        <b/>
        <sz val="11"/>
        <color theme="1"/>
        <rFont val="Calibri"/>
        <family val="2"/>
        <scheme val="minor"/>
      </rPr>
      <t>):</t>
    </r>
  </si>
  <si>
    <t>total predicted monthly insolation on site</t>
  </si>
  <si>
    <t>Total Outage Adjusted Production (kWh):</t>
  </si>
  <si>
    <t>expected energy production based off plant configuration specifications and measured environmental data. Calculated using actual weather data collected on the site throughout the month. A more accurate and refined version of the Weather-Adjusted Performance metric.</t>
  </si>
  <si>
    <t>Outage-Adjusted Performance:</t>
  </si>
  <si>
    <t xml:space="preserve">the actual production divided by the outage adjusted expected production for a PV system. </t>
  </si>
  <si>
    <t>Weather-Adjusted Performance:</t>
  </si>
  <si>
    <t>total actual production versus the weather-adjusted expected production</t>
  </si>
  <si>
    <t>Actual vs Modeled Production:</t>
  </si>
  <si>
    <t>total actual production versus the adjusted modeled production</t>
  </si>
  <si>
    <t>Monthly PV System Availability:</t>
  </si>
  <si>
    <t>calculates the percentage in which equipment is online and producing when irradiance exceeds a predetermined threshold.</t>
  </si>
  <si>
    <t>YTD PV System Availability:</t>
  </si>
  <si>
    <t>system availability since the beginning of the year to present time</t>
  </si>
  <si>
    <t>Merrimack</t>
  </si>
  <si>
    <t>Monthly Operating Report</t>
  </si>
  <si>
    <t>Monthly Total Performance</t>
  </si>
  <si>
    <t xml:space="preserve"> </t>
  </si>
  <si>
    <t>Chart of Daily Irradiance vs. Production</t>
  </si>
  <si>
    <t>Day-by-Day Performance</t>
  </si>
  <si>
    <t>Date</t>
  </si>
  <si>
    <t>Energy Produced (kWh)</t>
  </si>
  <si>
    <r>
      <t>Radiation Yield (Wh/m</t>
    </r>
    <r>
      <rPr>
        <b/>
        <vertAlign val="superscript"/>
        <sz val="11"/>
        <color theme="1"/>
        <rFont val="Calibri"/>
        <family val="2"/>
        <scheme val="minor"/>
      </rPr>
      <t>2</t>
    </r>
    <r>
      <rPr>
        <b/>
        <sz val="11"/>
        <color theme="1"/>
        <rFont val="Calibri"/>
        <family val="2"/>
        <scheme val="minor"/>
      </rPr>
      <t>)</t>
    </r>
  </si>
  <si>
    <t>Max Ambient Temp (°F)</t>
  </si>
  <si>
    <t>O&amp;M Activity</t>
  </si>
  <si>
    <t>Performance Notes</t>
  </si>
  <si>
    <t>Smithfield</t>
  </si>
  <si>
    <t>Westlake</t>
  </si>
  <si>
    <t>2020 YTD Availability</t>
  </si>
  <si>
    <t>2022 YTD Availability</t>
  </si>
  <si>
    <t>January</t>
  </si>
  <si>
    <t>February</t>
  </si>
  <si>
    <t>March</t>
  </si>
  <si>
    <t>April</t>
  </si>
  <si>
    <t>May</t>
  </si>
  <si>
    <t>June</t>
  </si>
  <si>
    <t>July</t>
  </si>
  <si>
    <t>August</t>
  </si>
  <si>
    <t>September</t>
  </si>
  <si>
    <t>October</t>
  </si>
  <si>
    <t>November</t>
  </si>
  <si>
    <t>December</t>
  </si>
  <si>
    <t>YTD Average</t>
  </si>
  <si>
    <t>2021 YTD Availability</t>
  </si>
  <si>
    <t>2023 YTD Availability</t>
  </si>
  <si>
    <t>99.8%%</t>
  </si>
  <si>
    <t>2024 YTD Availability</t>
  </si>
  <si>
    <t>2025 YTD Availability</t>
  </si>
  <si>
    <t xml:space="preserve">2020 Plant Health Data </t>
  </si>
  <si>
    <t>Portfolio</t>
  </si>
  <si>
    <t>Actual</t>
  </si>
  <si>
    <t>Adjusted</t>
  </si>
  <si>
    <t>%</t>
  </si>
  <si>
    <t>-</t>
  </si>
  <si>
    <t>Annual</t>
  </si>
  <si>
    <t xml:space="preserve">2021 Plant Health Data </t>
  </si>
  <si>
    <t xml:space="preserve">2022 Plant Health Data </t>
  </si>
  <si>
    <t xml:space="preserve">2023 Plant Health Data </t>
  </si>
  <si>
    <t xml:space="preserve">2025 Plant Health Data </t>
  </si>
  <si>
    <t xml:space="preserve">      </t>
  </si>
  <si>
    <t>Site Name</t>
  </si>
  <si>
    <t>Month</t>
  </si>
  <si>
    <t xml:space="preserve">Year </t>
  </si>
  <si>
    <r>
      <t>Total Modeled Insolation (Wh/m</t>
    </r>
    <r>
      <rPr>
        <vertAlign val="superscript"/>
        <sz val="11"/>
        <color theme="1"/>
        <rFont val="Calibri"/>
        <family val="2"/>
        <scheme val="minor"/>
      </rPr>
      <t>2</t>
    </r>
    <r>
      <rPr>
        <sz val="11"/>
        <color theme="1"/>
        <rFont val="Calibri"/>
        <family val="2"/>
        <scheme val="minor"/>
      </rPr>
      <t>):</t>
    </r>
  </si>
  <si>
    <t>Field</t>
  </si>
  <si>
    <t>E_Grid</t>
  </si>
  <si>
    <t>GlobInc</t>
  </si>
  <si>
    <t>Ashley kWh</t>
  </si>
  <si>
    <t>Ashley Insolation (Wh/m^2)</t>
  </si>
  <si>
    <t>Units</t>
  </si>
  <si>
    <t>kWh</t>
  </si>
  <si>
    <t>Wh/m2</t>
  </si>
  <si>
    <t>PIS Month</t>
  </si>
  <si>
    <t xml:space="preserve">March </t>
  </si>
  <si>
    <t>Lang kWh</t>
  </si>
  <si>
    <t>Lang Insolation (Wh/m^2)</t>
  </si>
  <si>
    <t>PIS date</t>
  </si>
  <si>
    <t>Stikeleather kWh</t>
  </si>
  <si>
    <t>Stikeleather Insolation (Wh/m^2)</t>
  </si>
  <si>
    <t>PIS DATE</t>
  </si>
  <si>
    <t>Yadkin 601 kWh</t>
  </si>
  <si>
    <t>Yadkin 601 Insolation (Wh/m^2)</t>
  </si>
  <si>
    <t>PIS Date</t>
  </si>
  <si>
    <t>October 2025</t>
  </si>
  <si>
    <t>October' 2025</t>
  </si>
  <si>
    <t>1.On 08/20, the Moxa logger for this site was replaced. Since then, Production Meter 1 has not been communicating, which led to a production meter availability of 66.6% and an overall monthly site availability of 88%. Please note that site availability in Also Energy is calculated based on all three production meters; however, actual production can still be confirmed via the inverters. This issue was previously communicated to the client through the closed Service Request SR106258
2.Site was offline due to tree work from 07:15 to 14:15on 10/30 	SR110258
3.Site was offline due to tree work from 07:15 to 14:15on 10/10 	SR109316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</si>
</sst>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mm/dd/yy;@"/>
  </numFmts>
  <fonts count="20" x14ac:knownFonts="1">
    <font>
      <sz val="11"/>
      <color theme="1"/>
      <name val="Calibri"/>
      <family val="2"/>
      <scheme val="minor"/>
    </font>
    <font>
      <b/>
      <sz val="11"/>
      <color theme="1"/>
      <name val="Calibri"/>
      <family val="2"/>
      <scheme val="minor"/>
    </font>
    <font>
      <i/>
      <sz val="11"/>
      <color theme="1"/>
      <name val="Calibri"/>
      <family val="2"/>
      <scheme val="minor"/>
    </font>
    <font>
      <b/>
      <sz val="14"/>
      <color theme="9" tint="-0.499984740745262"/>
      <name val="Calibri"/>
      <family val="2"/>
      <scheme val="minor"/>
    </font>
    <font>
      <b/>
      <sz val="11"/>
      <color theme="9" tint="-0.499984740745262"/>
      <name val="Calibri"/>
      <family val="2"/>
      <scheme val="minor"/>
    </font>
    <font>
      <b/>
      <vertAlign val="superscript"/>
      <sz val="11"/>
      <color theme="1"/>
      <name val="Calibri"/>
      <family val="2"/>
      <scheme val="minor"/>
    </font>
    <font>
      <sz val="11"/>
      <color rgb="FFFF0000"/>
      <name val="Calibri"/>
      <family val="2"/>
      <scheme val="minor"/>
    </font>
    <font>
      <sz val="11"/>
      <color theme="1"/>
      <name val="Calibri"/>
      <family val="2"/>
      <scheme val="minor"/>
    </font>
    <font>
      <b/>
      <i/>
      <sz val="11"/>
      <color theme="1"/>
      <name val="Calibri"/>
      <family val="2"/>
      <scheme val="minor"/>
    </font>
    <font>
      <sz val="11"/>
      <name val="Calibri"/>
      <family val="2"/>
      <scheme val="minor"/>
    </font>
    <font>
      <sz val="12"/>
      <color theme="1"/>
      <name val="Calibri"/>
      <family val="2"/>
      <scheme val="minor"/>
    </font>
    <font>
      <b/>
      <sz val="12"/>
      <color theme="1"/>
      <name val="Calibri"/>
      <family val="2"/>
      <scheme val="minor"/>
    </font>
    <font>
      <vertAlign val="superscript"/>
      <sz val="11"/>
      <color theme="1"/>
      <name val="Calibri"/>
      <family val="2"/>
      <scheme val="minor"/>
    </font>
    <font>
      <sz val="12"/>
      <name val="Calibri"/>
      <family val="2"/>
    </font>
    <font>
      <sz val="12"/>
      <name val="Calibri"/>
      <family val="2"/>
    </font>
    <font>
      <sz val="11"/>
      <color theme="1"/>
      <name val="Calibri"/>
      <family val="2"/>
    </font>
    <font>
      <sz val="11"/>
      <color rgb="FF000000"/>
      <name val="Calibri"/>
      <family val="2"/>
    </font>
    <font>
      <b/>
      <sz val="11"/>
      <color rgb="FF000000"/>
      <name val="Calibri"/>
      <family val="2"/>
    </font>
    <font>
      <sz val="8"/>
      <name val="Calibri"/>
      <family val="2"/>
      <scheme val="minor"/>
    </font>
    <font>
      <sz val="11"/>
      <color rgb="FF000000"/>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9">
    <xf numFmtId="0" fontId="0" fillId="0" borderId="0"/>
    <xf numFmtId="0" fontId="7" fillId="0" borderId="0"/>
    <xf numFmtId="9" fontId="7" fillId="0" borderId="0" applyFont="0" applyFill="0" applyBorder="0" applyAlignment="0" applyProtection="0"/>
    <xf numFmtId="0" fontId="13" fillId="0" borderId="3"/>
    <xf numFmtId="0" fontId="14" fillId="0" borderId="3"/>
    <xf numFmtId="0" fontId="15" fillId="0" borderId="3"/>
    <xf numFmtId="0" fontId="7" fillId="0" borderId="3"/>
    <xf numFmtId="0" fontId="7" fillId="0" borderId="3"/>
    <xf numFmtId="9" fontId="7" fillId="0" borderId="3" applyFont="0" applyFill="0" applyBorder="0" applyAlignment="0" applyProtection="0"/>
  </cellStyleXfs>
  <cellXfs count="249">
    <xf numFmtId="0" fontId="0" fillId="0" borderId="0" xfId="0"/>
    <xf numFmtId="0" fontId="0" fillId="0" borderId="1" xfId="0" applyBorder="1"/>
    <xf numFmtId="0" fontId="0" fillId="0" borderId="3"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3" fontId="0" fillId="0" borderId="3" xfId="0" applyNumberFormat="1" applyBorder="1"/>
    <xf numFmtId="164" fontId="0" fillId="0" borderId="10" xfId="0" applyNumberFormat="1" applyBorder="1"/>
    <xf numFmtId="0" fontId="0" fillId="0" borderId="0" xfId="0" applyAlignment="1">
      <alignment wrapText="1"/>
    </xf>
    <xf numFmtId="0" fontId="4" fillId="0" borderId="3" xfId="0" applyFont="1" applyBorder="1"/>
    <xf numFmtId="0" fontId="0" fillId="0" borderId="3" xfId="0" applyBorder="1" applyAlignment="1">
      <alignment wrapText="1"/>
    </xf>
    <xf numFmtId="0" fontId="1" fillId="0" borderId="3" xfId="0" applyFont="1" applyBorder="1" applyAlignment="1">
      <alignment wrapText="1"/>
    </xf>
    <xf numFmtId="4" fontId="0" fillId="0" borderId="3" xfId="0" applyNumberFormat="1" applyBorder="1"/>
    <xf numFmtId="17" fontId="0" fillId="0" borderId="0" xfId="0" applyNumberFormat="1"/>
    <xf numFmtId="0" fontId="2" fillId="0" borderId="0" xfId="0" applyFont="1" applyAlignment="1">
      <alignment horizontal="right"/>
    </xf>
    <xf numFmtId="3" fontId="1" fillId="0" borderId="0" xfId="0" applyNumberFormat="1" applyFont="1" applyAlignment="1">
      <alignment horizontal="center"/>
    </xf>
    <xf numFmtId="3" fontId="2" fillId="0" borderId="0" xfId="0" applyNumberFormat="1" applyFont="1" applyAlignment="1">
      <alignment horizontal="center"/>
    </xf>
    <xf numFmtId="3" fontId="0" fillId="0" borderId="0" xfId="0" applyNumberFormat="1" applyAlignment="1">
      <alignment horizontal="center"/>
    </xf>
    <xf numFmtId="0" fontId="0" fillId="0" borderId="4" xfId="0" applyBorder="1"/>
    <xf numFmtId="0" fontId="0" fillId="0" borderId="5" xfId="0" applyBorder="1"/>
    <xf numFmtId="3" fontId="0" fillId="0" borderId="5" xfId="0" applyNumberFormat="1" applyBorder="1"/>
    <xf numFmtId="0" fontId="0" fillId="0" borderId="6" xfId="0" applyBorder="1"/>
    <xf numFmtId="17" fontId="0" fillId="3" borderId="0" xfId="0" applyNumberFormat="1" applyFill="1"/>
    <xf numFmtId="3" fontId="0" fillId="3" borderId="0" xfId="0" applyNumberFormat="1" applyFill="1" applyAlignment="1">
      <alignment horizontal="center"/>
    </xf>
    <xf numFmtId="22" fontId="0" fillId="0" borderId="0" xfId="0" applyNumberFormat="1"/>
    <xf numFmtId="4" fontId="0" fillId="0" borderId="0" xfId="0" applyNumberFormat="1"/>
    <xf numFmtId="43" fontId="0" fillId="0" borderId="0" xfId="1" applyNumberFormat="1" applyFont="1"/>
    <xf numFmtId="10" fontId="0" fillId="0" borderId="0" xfId="0" applyNumberFormat="1"/>
    <xf numFmtId="43" fontId="0" fillId="0" borderId="0" xfId="0" applyNumberFormat="1"/>
    <xf numFmtId="164" fontId="0" fillId="0" borderId="3" xfId="0" applyNumberFormat="1" applyBorder="1"/>
    <xf numFmtId="0" fontId="0" fillId="0" borderId="0" xfId="0" applyAlignment="1">
      <alignment horizontal="center"/>
    </xf>
    <xf numFmtId="0" fontId="8" fillId="0" borderId="0" xfId="0" applyFont="1" applyAlignment="1">
      <alignment horizontal="center"/>
    </xf>
    <xf numFmtId="3" fontId="8" fillId="0" borderId="0" xfId="0" applyNumberFormat="1" applyFont="1" applyAlignment="1">
      <alignment horizontal="center"/>
    </xf>
    <xf numFmtId="17" fontId="0" fillId="0" borderId="0" xfId="0" applyNumberFormat="1" applyAlignment="1">
      <alignment horizontal="center"/>
    </xf>
    <xf numFmtId="17" fontId="0" fillId="3" borderId="0" xfId="0" applyNumberFormat="1" applyFill="1" applyAlignment="1">
      <alignment horizontal="center"/>
    </xf>
    <xf numFmtId="0" fontId="0" fillId="3" borderId="0" xfId="0" applyFill="1" applyAlignment="1">
      <alignment horizontal="center"/>
    </xf>
    <xf numFmtId="0" fontId="0" fillId="3" borderId="0" xfId="0" applyFill="1"/>
    <xf numFmtId="17" fontId="9" fillId="3" borderId="0" xfId="0" applyNumberFormat="1" applyFont="1" applyFill="1"/>
    <xf numFmtId="3" fontId="9" fillId="3" borderId="0" xfId="0" applyNumberFormat="1" applyFont="1" applyFill="1" applyAlignment="1">
      <alignment horizontal="center"/>
    </xf>
    <xf numFmtId="0" fontId="9" fillId="3" borderId="0" xfId="0" applyFont="1" applyFill="1"/>
    <xf numFmtId="0" fontId="0" fillId="0" borderId="1" xfId="0" applyBorder="1" applyAlignment="1">
      <alignment horizontal="center"/>
    </xf>
    <xf numFmtId="0" fontId="0" fillId="0" borderId="2" xfId="0" applyBorder="1" applyAlignment="1">
      <alignment horizontal="right"/>
    </xf>
    <xf numFmtId="2" fontId="0" fillId="0" borderId="0" xfId="0" applyNumberFormat="1"/>
    <xf numFmtId="22" fontId="0" fillId="0" borderId="0" xfId="0" applyNumberFormat="1" applyAlignment="1">
      <alignment wrapText="1"/>
    </xf>
    <xf numFmtId="164" fontId="0" fillId="0" borderId="2" xfId="0" applyNumberFormat="1" applyBorder="1" applyAlignment="1">
      <alignment horizontal="center"/>
    </xf>
    <xf numFmtId="0" fontId="0" fillId="0" borderId="2" xfId="0" applyBorder="1" applyAlignment="1">
      <alignment horizontal="center"/>
    </xf>
    <xf numFmtId="3" fontId="0" fillId="0" borderId="2" xfId="0" applyNumberFormat="1" applyBorder="1" applyAlignment="1">
      <alignment horizontal="center"/>
    </xf>
    <xf numFmtId="0" fontId="1" fillId="0" borderId="1" xfId="0" applyFont="1" applyBorder="1" applyAlignment="1">
      <alignment horizontal="center"/>
    </xf>
    <xf numFmtId="3" fontId="1" fillId="0" borderId="2" xfId="0" applyNumberFormat="1" applyFont="1" applyBorder="1" applyAlignment="1">
      <alignment horizontal="center"/>
    </xf>
    <xf numFmtId="164" fontId="1" fillId="0" borderId="2" xfId="0" applyNumberFormat="1" applyFont="1" applyBorder="1" applyAlignment="1">
      <alignment horizontal="center"/>
    </xf>
    <xf numFmtId="164" fontId="1" fillId="0" borderId="15" xfId="0" applyNumberFormat="1" applyFont="1" applyBorder="1" applyAlignment="1">
      <alignment horizontal="center"/>
    </xf>
    <xf numFmtId="3" fontId="0" fillId="0" borderId="1" xfId="0" applyNumberFormat="1" applyBorder="1" applyAlignment="1">
      <alignment horizontal="center"/>
    </xf>
    <xf numFmtId="3" fontId="1" fillId="0" borderId="1" xfId="0" applyNumberFormat="1" applyFont="1" applyBorder="1" applyAlignment="1">
      <alignment horizontal="center"/>
    </xf>
    <xf numFmtId="164" fontId="1" fillId="0" borderId="1" xfId="0" applyNumberFormat="1" applyFont="1" applyBorder="1" applyAlignment="1">
      <alignment horizontal="center"/>
    </xf>
    <xf numFmtId="0" fontId="1" fillId="0" borderId="15" xfId="0" applyFont="1" applyBorder="1" applyAlignment="1">
      <alignment horizontal="right"/>
    </xf>
    <xf numFmtId="0" fontId="0" fillId="0" borderId="3" xfId="0" applyBorder="1" applyAlignment="1">
      <alignment vertical="top" wrapText="1"/>
    </xf>
    <xf numFmtId="0" fontId="0" fillId="0" borderId="10" xfId="0" applyBorder="1" applyAlignment="1">
      <alignment vertical="top" wrapText="1"/>
    </xf>
    <xf numFmtId="0" fontId="0" fillId="0" borderId="0" xfId="0" applyAlignment="1">
      <alignment vertical="center"/>
    </xf>
    <xf numFmtId="0" fontId="1" fillId="0" borderId="3" xfId="0" applyFont="1" applyBorder="1" applyAlignment="1">
      <alignment vertical="center"/>
    </xf>
    <xf numFmtId="9" fontId="0" fillId="0" borderId="0" xfId="2" applyFont="1"/>
    <xf numFmtId="10" fontId="0" fillId="0" borderId="2" xfId="0" applyNumberFormat="1" applyBorder="1" applyAlignment="1">
      <alignment horizontal="center"/>
    </xf>
    <xf numFmtId="0" fontId="0" fillId="5" borderId="3" xfId="0" applyFill="1" applyBorder="1"/>
    <xf numFmtId="0" fontId="0" fillId="5" borderId="8" xfId="0" applyFill="1" applyBorder="1"/>
    <xf numFmtId="0" fontId="0" fillId="5" borderId="10" xfId="0" applyFill="1" applyBorder="1"/>
    <xf numFmtId="0" fontId="0" fillId="5" borderId="11" xfId="0" applyFill="1" applyBorder="1"/>
    <xf numFmtId="0" fontId="0" fillId="5" borderId="5" xfId="0" applyFill="1" applyBorder="1"/>
    <xf numFmtId="0" fontId="0" fillId="5" borderId="6" xfId="0" applyFill="1" applyBorder="1"/>
    <xf numFmtId="0" fontId="6" fillId="0" borderId="3" xfId="0" applyFont="1"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3" fontId="0" fillId="0" borderId="0" xfId="0" applyNumberFormat="1"/>
    <xf numFmtId="3" fontId="0" fillId="3" borderId="0" xfId="0" applyNumberFormat="1" applyFill="1"/>
    <xf numFmtId="4" fontId="0" fillId="3" borderId="0" xfId="0" applyNumberFormat="1" applyFill="1"/>
    <xf numFmtId="0" fontId="1" fillId="0" borderId="13" xfId="0" applyFont="1" applyBorder="1"/>
    <xf numFmtId="0" fontId="1" fillId="0" borderId="14" xfId="0" applyFont="1" applyBorder="1"/>
    <xf numFmtId="3" fontId="0" fillId="6" borderId="3" xfId="0" applyNumberFormat="1" applyFill="1" applyBorder="1"/>
    <xf numFmtId="0" fontId="6" fillId="6" borderId="6" xfId="0" applyFont="1" applyFill="1" applyBorder="1" applyAlignment="1">
      <alignment horizontal="center"/>
    </xf>
    <xf numFmtId="0" fontId="6" fillId="6" borderId="8" xfId="0" applyFont="1" applyFill="1" applyBorder="1" applyAlignment="1">
      <alignment horizontal="center"/>
    </xf>
    <xf numFmtId="0" fontId="6" fillId="6" borderId="11" xfId="0" applyFont="1" applyFill="1" applyBorder="1" applyAlignment="1">
      <alignment horizontal="center"/>
    </xf>
    <xf numFmtId="3" fontId="0" fillId="6" borderId="2" xfId="0" applyNumberFormat="1" applyFill="1" applyBorder="1" applyAlignment="1">
      <alignment horizontal="center"/>
    </xf>
    <xf numFmtId="165" fontId="0" fillId="0" borderId="0" xfId="1" applyNumberFormat="1" applyFont="1" applyAlignment="1">
      <alignment horizontal="right" wrapText="1"/>
    </xf>
    <xf numFmtId="3" fontId="0" fillId="0" borderId="0" xfId="1" applyNumberFormat="1" applyFont="1" applyAlignment="1">
      <alignment horizontal="right"/>
    </xf>
    <xf numFmtId="3" fontId="0" fillId="0" borderId="2" xfId="0" quotePrefix="1" applyNumberFormat="1" applyBorder="1" applyAlignment="1">
      <alignment horizontal="center"/>
    </xf>
    <xf numFmtId="164" fontId="0" fillId="0" borderId="2" xfId="0" quotePrefix="1" applyNumberFormat="1" applyBorder="1" applyAlignment="1">
      <alignment horizontal="center"/>
    </xf>
    <xf numFmtId="1" fontId="0" fillId="0" borderId="0" xfId="0" applyNumberFormat="1"/>
    <xf numFmtId="0" fontId="0" fillId="0" borderId="0" xfId="0" applyAlignment="1">
      <alignment horizontal="right"/>
    </xf>
    <xf numFmtId="10" fontId="16" fillId="0" borderId="2" xfId="0" applyNumberFormat="1" applyFont="1" applyBorder="1" applyAlignment="1">
      <alignment horizontal="center"/>
    </xf>
    <xf numFmtId="10" fontId="16" fillId="0" borderId="8" xfId="0" applyNumberFormat="1" applyFont="1" applyBorder="1" applyAlignment="1">
      <alignment horizontal="center"/>
    </xf>
    <xf numFmtId="3" fontId="0" fillId="0" borderId="3" xfId="0" applyNumberFormat="1" applyBorder="1" applyAlignment="1">
      <alignment horizontal="center"/>
    </xf>
    <xf numFmtId="0" fontId="0" fillId="0" borderId="16" xfId="0" applyBorder="1" applyAlignment="1">
      <alignment horizontal="center"/>
    </xf>
    <xf numFmtId="3" fontId="0" fillId="0" borderId="17" xfId="0" applyNumberFormat="1" applyBorder="1" applyAlignment="1">
      <alignment horizontal="center"/>
    </xf>
    <xf numFmtId="3" fontId="16" fillId="0" borderId="2" xfId="0" applyNumberFormat="1" applyFont="1" applyBorder="1" applyAlignment="1">
      <alignment horizontal="center"/>
    </xf>
    <xf numFmtId="3" fontId="16" fillId="0" borderId="3" xfId="0" applyNumberFormat="1" applyFont="1" applyBorder="1" applyAlignment="1">
      <alignment horizontal="center"/>
    </xf>
    <xf numFmtId="10" fontId="16" fillId="0" borderId="7" xfId="0" applyNumberFormat="1" applyFont="1" applyBorder="1" applyAlignment="1">
      <alignment horizontal="center"/>
    </xf>
    <xf numFmtId="3" fontId="16" fillId="0" borderId="7" xfId="0" applyNumberFormat="1" applyFont="1" applyBorder="1" applyAlignment="1">
      <alignment horizontal="center"/>
    </xf>
    <xf numFmtId="3" fontId="17" fillId="0" borderId="7" xfId="0" applyNumberFormat="1" applyFont="1" applyBorder="1" applyAlignment="1">
      <alignment horizontal="center"/>
    </xf>
    <xf numFmtId="10" fontId="17" fillId="0" borderId="2" xfId="0" applyNumberFormat="1" applyFont="1" applyBorder="1" applyAlignment="1">
      <alignment horizontal="center"/>
    </xf>
    <xf numFmtId="9" fontId="16" fillId="0" borderId="7" xfId="0" applyNumberFormat="1" applyFont="1" applyBorder="1" applyAlignment="1">
      <alignment horizontal="center"/>
    </xf>
    <xf numFmtId="9" fontId="17" fillId="0" borderId="2" xfId="0" applyNumberFormat="1" applyFont="1" applyBorder="1" applyAlignment="1">
      <alignment horizontal="center"/>
    </xf>
    <xf numFmtId="1" fontId="0" fillId="0" borderId="0" xfId="0" applyNumberFormat="1" applyAlignment="1">
      <alignment horizontal="center"/>
    </xf>
    <xf numFmtId="3" fontId="15" fillId="0" borderId="1" xfId="5" applyNumberFormat="1" applyBorder="1" applyAlignment="1">
      <alignment horizontal="right"/>
    </xf>
    <xf numFmtId="3" fontId="0" fillId="0" borderId="0" xfId="0" applyNumberFormat="1" applyAlignment="1">
      <alignment horizontal="center" vertical="center"/>
    </xf>
    <xf numFmtId="0" fontId="7" fillId="0" borderId="3" xfId="6"/>
    <xf numFmtId="0" fontId="7" fillId="0" borderId="4" xfId="6" applyBorder="1"/>
    <xf numFmtId="0" fontId="7" fillId="0" borderId="5" xfId="6" applyBorder="1"/>
    <xf numFmtId="3" fontId="7" fillId="0" borderId="5" xfId="6" applyNumberFormat="1" applyBorder="1"/>
    <xf numFmtId="0" fontId="7" fillId="0" borderId="6" xfId="6" applyBorder="1"/>
    <xf numFmtId="0" fontId="7" fillId="0" borderId="7" xfId="6" applyBorder="1"/>
    <xf numFmtId="3" fontId="7" fillId="0" borderId="3" xfId="6" applyNumberFormat="1"/>
    <xf numFmtId="0" fontId="6" fillId="0" borderId="3" xfId="6" applyFont="1"/>
    <xf numFmtId="0" fontId="7" fillId="0" borderId="8" xfId="6" applyBorder="1"/>
    <xf numFmtId="3" fontId="7" fillId="6" borderId="3" xfId="6" applyNumberFormat="1" applyFill="1"/>
    <xf numFmtId="3" fontId="0" fillId="0" borderId="3" xfId="7" applyNumberFormat="1" applyFont="1" applyAlignment="1">
      <alignment horizontal="right"/>
    </xf>
    <xf numFmtId="164" fontId="7" fillId="0" borderId="3" xfId="6" applyNumberFormat="1"/>
    <xf numFmtId="9" fontId="0" fillId="0" borderId="3" xfId="8" applyFont="1"/>
    <xf numFmtId="0" fontId="7" fillId="0" borderId="9" xfId="6" applyBorder="1"/>
    <xf numFmtId="0" fontId="7" fillId="0" borderId="10" xfId="6" applyBorder="1"/>
    <xf numFmtId="164" fontId="7" fillId="0" borderId="10" xfId="6" applyNumberFormat="1" applyBorder="1"/>
    <xf numFmtId="0" fontId="7" fillId="0" borderId="11" xfId="6" applyBorder="1"/>
    <xf numFmtId="0" fontId="4" fillId="0" borderId="3" xfId="6" applyFont="1"/>
    <xf numFmtId="0" fontId="1" fillId="0" borderId="3" xfId="6" applyFont="1" applyAlignment="1">
      <alignment wrapText="1"/>
    </xf>
    <xf numFmtId="0" fontId="1" fillId="0" borderId="1" xfId="6" applyFont="1" applyBorder="1" applyAlignment="1">
      <alignment horizontal="center" vertical="center" wrapText="1"/>
    </xf>
    <xf numFmtId="0" fontId="7" fillId="0" borderId="3" xfId="6" applyAlignment="1">
      <alignment wrapText="1"/>
    </xf>
    <xf numFmtId="4" fontId="7" fillId="0" borderId="3" xfId="6" applyNumberFormat="1"/>
    <xf numFmtId="0" fontId="7" fillId="0" borderId="3" xfId="6" applyAlignment="1">
      <alignment horizontal="right"/>
    </xf>
    <xf numFmtId="0" fontId="1" fillId="0" borderId="3" xfId="0" applyFont="1" applyBorder="1" applyAlignment="1">
      <alignment horizontal="center"/>
    </xf>
    <xf numFmtId="0" fontId="0" fillId="0" borderId="3" xfId="0" applyBorder="1" applyAlignment="1">
      <alignment horizontal="center"/>
    </xf>
    <xf numFmtId="164" fontId="0" fillId="0" borderId="3" xfId="0" applyNumberFormat="1" applyBorder="1" applyAlignment="1">
      <alignment horizontal="center"/>
    </xf>
    <xf numFmtId="3" fontId="0" fillId="0" borderId="3" xfId="0" quotePrefix="1" applyNumberFormat="1" applyBorder="1" applyAlignment="1">
      <alignment horizontal="center"/>
    </xf>
    <xf numFmtId="1" fontId="0" fillId="0" borderId="3" xfId="0" applyNumberFormat="1" applyBorder="1"/>
    <xf numFmtId="164" fontId="1" fillId="0" borderId="3" xfId="0" applyNumberFormat="1" applyFont="1" applyBorder="1" applyAlignment="1">
      <alignment horizontal="center"/>
    </xf>
    <xf numFmtId="3" fontId="15" fillId="0" borderId="18" xfId="5" applyNumberFormat="1" applyBorder="1" applyAlignment="1">
      <alignment horizontal="right"/>
    </xf>
    <xf numFmtId="10" fontId="0" fillId="0" borderId="1" xfId="0" applyNumberFormat="1" applyBorder="1" applyAlignment="1">
      <alignment horizontal="center"/>
    </xf>
    <xf numFmtId="0" fontId="0" fillId="0" borderId="3" xfId="0" applyBorder="1" applyAlignment="1">
      <alignment horizontal="right"/>
    </xf>
    <xf numFmtId="0" fontId="1" fillId="0" borderId="18" xfId="0" applyFont="1" applyBorder="1" applyAlignment="1">
      <alignment horizontal="center" vertical="center" wrapText="1"/>
    </xf>
    <xf numFmtId="14" fontId="0" fillId="0" borderId="3" xfId="0" applyNumberFormat="1" applyBorder="1" applyAlignment="1">
      <alignment horizontal="center" vertical="center"/>
    </xf>
    <xf numFmtId="166" fontId="0" fillId="0" borderId="12" xfId="0" applyNumberFormat="1" applyBorder="1" applyAlignment="1">
      <alignment horizontal="center" vertical="center"/>
    </xf>
    <xf numFmtId="0" fontId="1" fillId="0" borderId="19" xfId="6" applyFont="1" applyBorder="1" applyAlignment="1">
      <alignment horizontal="center" wrapText="1"/>
    </xf>
    <xf numFmtId="9" fontId="0" fillId="0" borderId="2" xfId="0" applyNumberFormat="1" applyBorder="1" applyAlignment="1">
      <alignment horizontal="center"/>
    </xf>
    <xf numFmtId="14" fontId="0" fillId="0" borderId="10" xfId="0" applyNumberFormat="1" applyBorder="1" applyAlignment="1">
      <alignment horizontal="center" vertical="center"/>
    </xf>
    <xf numFmtId="0" fontId="0" fillId="0" borderId="18" xfId="0" applyBorder="1"/>
    <xf numFmtId="1" fontId="7" fillId="0" borderId="18" xfId="1" applyNumberFormat="1" applyBorder="1"/>
    <xf numFmtId="1" fontId="15" fillId="0" borderId="18" xfId="5" applyNumberFormat="1" applyBorder="1" applyAlignment="1">
      <alignment horizontal="right"/>
    </xf>
    <xf numFmtId="0" fontId="0" fillId="0" borderId="19" xfId="0" applyBorder="1"/>
    <xf numFmtId="3" fontId="15" fillId="0" borderId="19" xfId="5" applyNumberFormat="1" applyBorder="1" applyAlignment="1">
      <alignment horizontal="right"/>
    </xf>
    <xf numFmtId="10" fontId="0" fillId="0" borderId="7" xfId="0" applyNumberFormat="1" applyBorder="1" applyAlignment="1">
      <alignment horizontal="center"/>
    </xf>
    <xf numFmtId="3" fontId="0" fillId="0" borderId="3" xfId="0" applyNumberFormat="1" applyBorder="1" applyAlignment="1">
      <alignment horizontal="right"/>
    </xf>
    <xf numFmtId="4" fontId="0" fillId="0" borderId="3" xfId="0" applyNumberFormat="1" applyBorder="1" applyAlignment="1">
      <alignment wrapText="1"/>
    </xf>
    <xf numFmtId="166" fontId="0" fillId="0" borderId="3" xfId="0" applyNumberFormat="1" applyBorder="1" applyAlignment="1">
      <alignment horizontal="center" vertical="center"/>
    </xf>
    <xf numFmtId="166" fontId="0" fillId="0" borderId="10" xfId="0" applyNumberFormat="1" applyBorder="1" applyAlignment="1">
      <alignment horizontal="center" vertical="center"/>
    </xf>
    <xf numFmtId="166" fontId="0" fillId="0" borderId="20" xfId="0" applyNumberFormat="1" applyBorder="1" applyAlignment="1">
      <alignment horizontal="center" vertical="center"/>
    </xf>
    <xf numFmtId="3" fontId="19" fillId="0" borderId="3" xfId="0" applyNumberFormat="1" applyFont="1" applyBorder="1" applyAlignment="1">
      <alignment horizontal="right"/>
    </xf>
    <xf numFmtId="1" fontId="19" fillId="0" borderId="3" xfId="0" applyNumberFormat="1" applyFont="1" applyBorder="1" applyAlignment="1">
      <alignment horizontal="right"/>
    </xf>
    <xf numFmtId="166" fontId="0" fillId="0" borderId="3" xfId="0" applyNumberFormat="1" applyBorder="1" applyAlignment="1">
      <alignment horizontal="right"/>
    </xf>
    <xf numFmtId="0" fontId="1" fillId="0" borderId="19" xfId="0" applyFont="1" applyBorder="1" applyAlignment="1">
      <alignment horizontal="center" vertical="center" wrapText="1"/>
    </xf>
    <xf numFmtId="0" fontId="1" fillId="0" borderId="19" xfId="0" applyFont="1" applyBorder="1" applyAlignment="1">
      <alignment horizontal="center" wrapText="1"/>
    </xf>
    <xf numFmtId="166" fontId="0" fillId="0" borderId="1" xfId="0" applyNumberFormat="1" applyBorder="1" applyAlignment="1">
      <alignment horizontal="right"/>
    </xf>
    <xf numFmtId="1" fontId="0" fillId="0" borderId="1" xfId="0" applyNumberFormat="1" applyBorder="1" applyAlignment="1">
      <alignment horizontal="right"/>
    </xf>
    <xf numFmtId="0" fontId="1" fillId="0" borderId="21" xfId="0" applyFont="1" applyBorder="1" applyAlignment="1">
      <alignment horizontal="center" wrapText="1"/>
    </xf>
    <xf numFmtId="0" fontId="1" fillId="0" borderId="22" xfId="0" applyFont="1" applyBorder="1" applyAlignment="1">
      <alignment horizontal="center" wrapText="1"/>
    </xf>
    <xf numFmtId="0" fontId="0" fillId="0" borderId="1" xfId="0" applyBorder="1" applyAlignment="1">
      <alignment vertical="center" wrapText="1"/>
    </xf>
    <xf numFmtId="3" fontId="0" fillId="0" borderId="1" xfId="0" applyNumberFormat="1" applyBorder="1" applyAlignment="1">
      <alignment vertical="center" wrapText="1"/>
    </xf>
    <xf numFmtId="0" fontId="0" fillId="0" borderId="9" xfId="0" applyBorder="1" applyAlignment="1">
      <alignment horizontal="left"/>
    </xf>
    <xf numFmtId="0" fontId="0" fillId="0" borderId="10" xfId="0" applyBorder="1" applyAlignment="1">
      <alignment horizontal="left"/>
    </xf>
    <xf numFmtId="0" fontId="1" fillId="4" borderId="7" xfId="0" applyFont="1" applyFill="1" applyBorder="1" applyAlignment="1">
      <alignment horizontal="right"/>
    </xf>
    <xf numFmtId="0" fontId="1" fillId="4" borderId="3" xfId="0" applyFont="1" applyFill="1" applyBorder="1" applyAlignment="1">
      <alignment horizontal="right"/>
    </xf>
    <xf numFmtId="0" fontId="1" fillId="4" borderId="9" xfId="0" applyFont="1" applyFill="1" applyBorder="1" applyAlignment="1">
      <alignment horizontal="right"/>
    </xf>
    <xf numFmtId="0" fontId="1" fillId="4" borderId="10" xfId="0" applyFont="1" applyFill="1" applyBorder="1" applyAlignment="1">
      <alignment horizontal="right"/>
    </xf>
    <xf numFmtId="0" fontId="1" fillId="0" borderId="4" xfId="0" applyFont="1" applyBorder="1" applyAlignment="1">
      <alignment horizontal="right"/>
    </xf>
    <xf numFmtId="0" fontId="1" fillId="0" borderId="5" xfId="0" applyFont="1" applyBorder="1" applyAlignment="1">
      <alignment horizontal="right"/>
    </xf>
    <xf numFmtId="0" fontId="1" fillId="0" borderId="6" xfId="0" applyFont="1" applyBorder="1" applyAlignment="1">
      <alignment horizontal="right"/>
    </xf>
    <xf numFmtId="0" fontId="1" fillId="4" borderId="4" xfId="0" applyFont="1" applyFill="1" applyBorder="1" applyAlignment="1">
      <alignment horizontal="right"/>
    </xf>
    <xf numFmtId="0" fontId="1" fillId="4" borderId="5" xfId="0" applyFont="1" applyFill="1" applyBorder="1" applyAlignment="1">
      <alignment horizontal="right"/>
    </xf>
    <xf numFmtId="0" fontId="1" fillId="0" borderId="3" xfId="0" applyFont="1" applyBorder="1" applyAlignment="1">
      <alignment horizontal="right"/>
    </xf>
    <xf numFmtId="0" fontId="3" fillId="0" borderId="0" xfId="0" applyFont="1" applyAlignment="1">
      <alignment horizontal="center"/>
    </xf>
    <xf numFmtId="0" fontId="0" fillId="0" borderId="0" xfId="0" applyAlignment="1">
      <alignment horizontal="center"/>
    </xf>
    <xf numFmtId="17" fontId="8" fillId="0" borderId="0" xfId="0" quotePrefix="1" applyNumberFormat="1" applyFont="1" applyAlignment="1">
      <alignment horizontal="center"/>
    </xf>
    <xf numFmtId="0" fontId="8" fillId="0" borderId="0" xfId="0" applyFont="1" applyAlignment="1">
      <alignment horizontal="center"/>
    </xf>
    <xf numFmtId="0" fontId="4" fillId="2" borderId="12" xfId="0" applyFont="1" applyFill="1" applyBorder="1" applyAlignment="1">
      <alignment horizontal="center"/>
    </xf>
    <xf numFmtId="0" fontId="4" fillId="2" borderId="13" xfId="0" applyFont="1" applyFill="1" applyBorder="1" applyAlignment="1">
      <alignment horizontal="center"/>
    </xf>
    <xf numFmtId="0" fontId="4" fillId="2" borderId="14" xfId="0" applyFont="1" applyFill="1" applyBorder="1" applyAlignment="1">
      <alignment horizontal="center"/>
    </xf>
    <xf numFmtId="0" fontId="4" fillId="2" borderId="1" xfId="0" applyFont="1" applyFill="1" applyBorder="1" applyAlignment="1">
      <alignment horizontal="center"/>
    </xf>
    <xf numFmtId="0" fontId="1" fillId="0" borderId="10" xfId="0" applyFont="1" applyBorder="1" applyAlignment="1">
      <alignment horizontal="right"/>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3"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3"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4" fillId="2" borderId="18" xfId="0" applyFont="1" applyFill="1" applyBorder="1" applyAlignment="1">
      <alignment horizontal="center"/>
    </xf>
    <xf numFmtId="0" fontId="4" fillId="2" borderId="21" xfId="0" applyFont="1" applyFill="1" applyBorder="1" applyAlignment="1">
      <alignment horizontal="center"/>
    </xf>
    <xf numFmtId="0" fontId="1" fillId="0" borderId="3" xfId="6" applyFont="1" applyAlignment="1">
      <alignment horizontal="right"/>
    </xf>
    <xf numFmtId="0" fontId="3" fillId="0" borderId="3" xfId="6" applyFont="1" applyAlignment="1">
      <alignment horizontal="center"/>
    </xf>
    <xf numFmtId="0" fontId="7" fillId="0" borderId="3" xfId="6" applyAlignment="1">
      <alignment horizontal="center"/>
    </xf>
    <xf numFmtId="0" fontId="4" fillId="2" borderId="12" xfId="6" applyFont="1" applyFill="1" applyBorder="1" applyAlignment="1">
      <alignment horizontal="center"/>
    </xf>
    <xf numFmtId="0" fontId="4" fillId="2" borderId="13" xfId="6" applyFont="1" applyFill="1" applyBorder="1" applyAlignment="1">
      <alignment horizontal="center"/>
    </xf>
    <xf numFmtId="0" fontId="4" fillId="2" borderId="14" xfId="6" applyFont="1" applyFill="1" applyBorder="1" applyAlignment="1">
      <alignment horizontal="center"/>
    </xf>
    <xf numFmtId="0" fontId="1" fillId="0" borderId="5" xfId="6" applyFont="1" applyBorder="1" applyAlignment="1">
      <alignment horizontal="right"/>
    </xf>
    <xf numFmtId="0" fontId="7" fillId="0" borderId="4" xfId="6" applyBorder="1" applyAlignment="1">
      <alignment horizontal="center" vertical="top" wrapText="1"/>
    </xf>
    <xf numFmtId="0" fontId="7" fillId="0" borderId="5" xfId="6" applyBorder="1" applyAlignment="1">
      <alignment horizontal="center" vertical="top" wrapText="1"/>
    </xf>
    <xf numFmtId="0" fontId="7" fillId="0" borderId="6" xfId="6" applyBorder="1" applyAlignment="1">
      <alignment horizontal="center" vertical="top" wrapText="1"/>
    </xf>
    <xf numFmtId="0" fontId="7" fillId="0" borderId="7" xfId="6" applyBorder="1" applyAlignment="1">
      <alignment horizontal="center" vertical="top" wrapText="1"/>
    </xf>
    <xf numFmtId="0" fontId="7" fillId="0" borderId="3" xfId="6" applyAlignment="1">
      <alignment horizontal="center" vertical="top" wrapText="1"/>
    </xf>
    <xf numFmtId="0" fontId="7" fillId="0" borderId="8" xfId="6" applyBorder="1" applyAlignment="1">
      <alignment horizontal="center" vertical="top" wrapText="1"/>
    </xf>
    <xf numFmtId="0" fontId="7" fillId="0" borderId="9" xfId="6" applyBorder="1" applyAlignment="1">
      <alignment horizontal="center" vertical="top" wrapText="1"/>
    </xf>
    <xf numFmtId="0" fontId="7" fillId="0" borderId="10" xfId="6" applyBorder="1" applyAlignment="1">
      <alignment horizontal="center" vertical="top" wrapText="1"/>
    </xf>
    <xf numFmtId="0" fontId="7" fillId="0" borderId="11" xfId="6" applyBorder="1" applyAlignment="1">
      <alignment horizontal="center" vertical="top" wrapText="1"/>
    </xf>
    <xf numFmtId="0" fontId="1" fillId="0" borderId="10" xfId="6" applyFont="1" applyBorder="1" applyAlignment="1">
      <alignment horizontal="right"/>
    </xf>
    <xf numFmtId="0" fontId="4" fillId="2" borderId="1" xfId="6" applyFont="1" applyFill="1" applyBorder="1" applyAlignment="1">
      <alignment horizontal="center"/>
    </xf>
    <xf numFmtId="0" fontId="4" fillId="2" borderId="4" xfId="6" applyFont="1" applyFill="1" applyBorder="1" applyAlignment="1">
      <alignment horizontal="center"/>
    </xf>
    <xf numFmtId="0" fontId="4" fillId="2" borderId="5" xfId="6" applyFont="1" applyFill="1" applyBorder="1" applyAlignment="1">
      <alignment horizontal="center"/>
    </xf>
    <xf numFmtId="0" fontId="4" fillId="2" borderId="6" xfId="6" applyFont="1" applyFill="1" applyBorder="1" applyAlignment="1">
      <alignment horizontal="center"/>
    </xf>
    <xf numFmtId="0" fontId="0" fillId="7" borderId="12" xfId="0" applyFill="1" applyBorder="1" applyAlignment="1">
      <alignment horizontal="center"/>
    </xf>
    <xf numFmtId="0" fontId="0" fillId="7" borderId="14" xfId="0" applyFill="1" applyBorder="1" applyAlignment="1">
      <alignment horizontal="center"/>
    </xf>
    <xf numFmtId="0" fontId="0" fillId="7" borderId="1"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7" borderId="13" xfId="0" applyFill="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1" fillId="0" borderId="12" xfId="0" applyFont="1" applyBorder="1" applyAlignment="1">
      <alignment horizontal="center"/>
    </xf>
    <xf numFmtId="0" fontId="11" fillId="0" borderId="13" xfId="0" applyFont="1" applyBorder="1" applyAlignment="1">
      <alignment horizontal="center"/>
    </xf>
    <xf numFmtId="0" fontId="11" fillId="0" borderId="14" xfId="0" applyFont="1" applyBorder="1" applyAlignment="1">
      <alignment horizontal="center"/>
    </xf>
    <xf numFmtId="0" fontId="10" fillId="0" borderId="12" xfId="0" applyFont="1" applyBorder="1" applyAlignment="1">
      <alignment horizontal="center"/>
    </xf>
    <xf numFmtId="0" fontId="10" fillId="0" borderId="13" xfId="0" applyFont="1" applyBorder="1" applyAlignment="1">
      <alignment horizontal="center"/>
    </xf>
    <xf numFmtId="0" fontId="10" fillId="0" borderId="14" xfId="0" applyFont="1" applyBorder="1" applyAlignment="1">
      <alignment horizontal="center"/>
    </xf>
    <xf numFmtId="0" fontId="1" fillId="0" borderId="3" xfId="0" applyFont="1" applyBorder="1" applyAlignment="1">
      <alignment horizontal="center"/>
    </xf>
    <xf numFmtId="0" fontId="10" fillId="0" borderId="3" xfId="0" applyFont="1" applyBorder="1" applyAlignment="1">
      <alignment horizontal="center"/>
    </xf>
  </cellXfs>
  <cellStyles count="9">
    <cellStyle name="Comma" xfId="1" builtinId="3"/>
    <cellStyle name="Comma 2" xfId="7" xr:uid="{C04CA29A-EBC6-466F-B9D0-B343B749B0A8}"/>
    <cellStyle name="Normal" xfId="0" builtinId="0"/>
    <cellStyle name="Normal 2" xfId="3" xr:uid="{160BEDEE-308B-471D-B0CA-301A86354071}"/>
    <cellStyle name="Normal 3" xfId="4" xr:uid="{24D72A9A-6BF7-44BC-B637-E7193940F694}"/>
    <cellStyle name="Normal 4" xfId="5" xr:uid="{AA559BFC-64FD-4238-8970-71EF931211FF}"/>
    <cellStyle name="Normal 5" xfId="6" xr:uid="{80722098-B98B-4DA9-BCD6-BBF27AB87FEC}"/>
    <cellStyle name="Percent" xfId="2" builtinId="5"/>
    <cellStyle name="Percent 2" xfId="8" xr:uid="{B36C2022-10D6-482E-B4DA-417FED2E42BC}"/>
  </cellStyles>
  <dxfs count="0"/>
  <tableStyles count="0" defaultTableStyle="TableStyleMedium2" defaultPivotStyle="PivotStyleLight16"/>
  <colors>
    <mruColors>
      <color rgb="FF9933FF"/>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Merrimack!$G$31</c:f>
              <c:strCache>
                <c:ptCount val="1"/>
                <c:pt idx="0">
                  <c:v>Energy Produced (kWh)</c:v>
                </c:pt>
              </c:strCache>
            </c:strRef>
          </c:tx>
          <c:spPr>
            <a:solidFill>
              <a:srgbClr val="4472C4"/>
            </a:soli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numRef>
              <c:f>Merrimack!$F$32:$F$62</c:f>
              <c:numCache>
                <c:formatCode>mm/dd/yy;@</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Merrimack!$G$32:$G$62</c:f>
              <c:numCache>
                <c:formatCode>General</c:formatCode>
                <c:ptCount val="31"/>
                <c:pt idx="0">
                  <c:v>12249.134615384042</c:v>
                </c:pt>
                <c:pt idx="1">
                  <c:v>11882</c:v>
                </c:pt>
                <c:pt idx="2">
                  <c:v>11255</c:v>
                </c:pt>
                <c:pt idx="3">
                  <c:v>10831</c:v>
                </c:pt>
                <c:pt idx="4">
                  <c:v>10765</c:v>
                </c:pt>
                <c:pt idx="5">
                  <c:v>10997</c:v>
                </c:pt>
                <c:pt idx="6">
                  <c:v>9846</c:v>
                </c:pt>
                <c:pt idx="7">
                  <c:v>4953.1666666660458</c:v>
                </c:pt>
                <c:pt idx="8">
                  <c:v>12179.833333333954</c:v>
                </c:pt>
                <c:pt idx="9">
                  <c:v>2481</c:v>
                </c:pt>
                <c:pt idx="10">
                  <c:v>8215.75</c:v>
                </c:pt>
                <c:pt idx="11">
                  <c:v>1359.9166666679084</c:v>
                </c:pt>
                <c:pt idx="12">
                  <c:v>1772.3333333320916</c:v>
                </c:pt>
                <c:pt idx="13">
                  <c:v>3402.5737704914063</c:v>
                </c:pt>
                <c:pt idx="14">
                  <c:v>7949.4262295085937</c:v>
                </c:pt>
                <c:pt idx="15">
                  <c:v>9491</c:v>
                </c:pt>
                <c:pt idx="16">
                  <c:v>10859.646153844893</c:v>
                </c:pt>
                <c:pt idx="17">
                  <c:v>10007.862618084997</c:v>
                </c:pt>
                <c:pt idx="18">
                  <c:v>8653.4912280701101</c:v>
                </c:pt>
                <c:pt idx="19">
                  <c:v>985</c:v>
                </c:pt>
                <c:pt idx="20">
                  <c:v>10606</c:v>
                </c:pt>
                <c:pt idx="21">
                  <c:v>4817.8514851480722</c:v>
                </c:pt>
                <c:pt idx="22">
                  <c:v>8775.1485148519278</c:v>
                </c:pt>
                <c:pt idx="23">
                  <c:v>5892</c:v>
                </c:pt>
                <c:pt idx="24">
                  <c:v>7290</c:v>
                </c:pt>
                <c:pt idx="25">
                  <c:v>10305.666666667908</c:v>
                </c:pt>
                <c:pt idx="26">
                  <c:v>7375.3333333320916</c:v>
                </c:pt>
                <c:pt idx="27">
                  <c:v>9628</c:v>
                </c:pt>
                <c:pt idx="28">
                  <c:v>2210</c:v>
                </c:pt>
                <c:pt idx="29">
                  <c:v>126</c:v>
                </c:pt>
                <c:pt idx="30" formatCode="#,##0">
                  <c:v>4079</c:v>
                </c:pt>
              </c:numCache>
            </c:numRef>
          </c:val>
          <c:extLst>
            <c:ext xmlns:c16="http://schemas.microsoft.com/office/drawing/2014/chart" uri="{C3380CC4-5D6E-409C-BE32-E72D297353CC}">
              <c16:uniqueId val="{00000000-3BF7-4861-A868-C6BBE5B1E097}"/>
            </c:ext>
          </c:extLst>
        </c:ser>
        <c:dLbls>
          <c:showLegendKey val="0"/>
          <c:showVal val="0"/>
          <c:showCatName val="0"/>
          <c:showSerName val="0"/>
          <c:showPercent val="0"/>
          <c:showBubbleSize val="0"/>
        </c:dLbls>
        <c:gapWidth val="269"/>
        <c:overlap val="-27"/>
        <c:axId val="315891416"/>
        <c:axId val="315891808"/>
      </c:barChart>
      <c:lineChart>
        <c:grouping val="standard"/>
        <c:varyColors val="0"/>
        <c:ser>
          <c:idx val="2"/>
          <c:order val="1"/>
          <c:tx>
            <c:strRef>
              <c:f>Merrimack!$H$31</c:f>
              <c:strCache>
                <c:ptCount val="1"/>
                <c:pt idx="0">
                  <c:v>Radiation Yield (Wh/m2)</c:v>
                </c:pt>
              </c:strCache>
            </c:strRef>
          </c:tx>
          <c:spPr>
            <a:ln w="15875" cap="rnd">
              <a:solidFill>
                <a:schemeClr val="accent3"/>
              </a:solidFill>
              <a:round/>
            </a:ln>
            <a:effectLst>
              <a:outerShdw blurRad="40000" dist="20000" dir="5400000" rotWithShape="0">
                <a:srgbClr val="000000">
                  <a:alpha val="38000"/>
                </a:srgbClr>
              </a:outerShdw>
            </a:effectLst>
          </c:spPr>
          <c:marker>
            <c:symbol val="none"/>
          </c:marker>
          <c:cat>
            <c:numRef>
              <c:f>Merrimack!$F$32:$F$62</c:f>
              <c:numCache>
                <c:formatCode>mm/dd/yy;@</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Merrimack!$H$32:$H$62</c:f>
              <c:numCache>
                <c:formatCode>0</c:formatCode>
                <c:ptCount val="31"/>
                <c:pt idx="0">
                  <c:v>6838</c:v>
                </c:pt>
                <c:pt idx="1">
                  <c:v>6492</c:v>
                </c:pt>
                <c:pt idx="2">
                  <c:v>6248</c:v>
                </c:pt>
                <c:pt idx="3">
                  <c:v>6132</c:v>
                </c:pt>
                <c:pt idx="4">
                  <c:v>6123</c:v>
                </c:pt>
                <c:pt idx="5">
                  <c:v>6291</c:v>
                </c:pt>
                <c:pt idx="6">
                  <c:v>5443</c:v>
                </c:pt>
                <c:pt idx="7">
                  <c:v>2737</c:v>
                </c:pt>
                <c:pt idx="8">
                  <c:v>6602</c:v>
                </c:pt>
                <c:pt idx="9">
                  <c:v>1787</c:v>
                </c:pt>
                <c:pt idx="10">
                  <c:v>4564</c:v>
                </c:pt>
                <c:pt idx="11">
                  <c:v>675</c:v>
                </c:pt>
                <c:pt idx="12">
                  <c:v>863</c:v>
                </c:pt>
                <c:pt idx="13">
                  <c:v>1665</c:v>
                </c:pt>
                <c:pt idx="14">
                  <c:v>4281</c:v>
                </c:pt>
                <c:pt idx="15">
                  <c:v>5067</c:v>
                </c:pt>
                <c:pt idx="16">
                  <c:v>6013</c:v>
                </c:pt>
                <c:pt idx="17">
                  <c:v>5527</c:v>
                </c:pt>
                <c:pt idx="18">
                  <c:v>4766</c:v>
                </c:pt>
                <c:pt idx="19">
                  <c:v>519</c:v>
                </c:pt>
                <c:pt idx="20">
                  <c:v>5888</c:v>
                </c:pt>
                <c:pt idx="21">
                  <c:v>2765</c:v>
                </c:pt>
                <c:pt idx="22">
                  <c:v>4961</c:v>
                </c:pt>
                <c:pt idx="23">
                  <c:v>3213</c:v>
                </c:pt>
                <c:pt idx="24">
                  <c:v>3974</c:v>
                </c:pt>
                <c:pt idx="25">
                  <c:v>5691</c:v>
                </c:pt>
                <c:pt idx="26">
                  <c:v>4085</c:v>
                </c:pt>
                <c:pt idx="27">
                  <c:v>5355</c:v>
                </c:pt>
                <c:pt idx="28">
                  <c:v>1095</c:v>
                </c:pt>
                <c:pt idx="29">
                  <c:v>84</c:v>
                </c:pt>
                <c:pt idx="30">
                  <c:v>2258</c:v>
                </c:pt>
              </c:numCache>
            </c:numRef>
          </c:val>
          <c:smooth val="0"/>
          <c:extLst>
            <c:ext xmlns:c16="http://schemas.microsoft.com/office/drawing/2014/chart" uri="{C3380CC4-5D6E-409C-BE32-E72D297353CC}">
              <c16:uniqueId val="{00000001-3BF7-4861-A868-C6BBE5B1E097}"/>
            </c:ext>
          </c:extLst>
        </c:ser>
        <c:dLbls>
          <c:showLegendKey val="0"/>
          <c:showVal val="0"/>
          <c:showCatName val="0"/>
          <c:showSerName val="0"/>
          <c:showPercent val="0"/>
          <c:showBubbleSize val="0"/>
        </c:dLbls>
        <c:marker val="1"/>
        <c:smooth val="0"/>
        <c:axId val="315892592"/>
        <c:axId val="315892200"/>
      </c:lineChart>
      <c:dateAx>
        <c:axId val="315891416"/>
        <c:scaling>
          <c:orientation val="minMax"/>
        </c:scaling>
        <c:delete val="0"/>
        <c:axPos val="b"/>
        <c:numFmt formatCode="mm/d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5891808"/>
        <c:crosses val="autoZero"/>
        <c:auto val="1"/>
        <c:lblOffset val="100"/>
        <c:baseTimeUnit val="days"/>
      </c:dateAx>
      <c:valAx>
        <c:axId val="31589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Energy Produced (kWh)</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5891416"/>
        <c:crosses val="autoZero"/>
        <c:crossBetween val="between"/>
      </c:valAx>
      <c:valAx>
        <c:axId val="315892200"/>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Radiation Yield (Wh/m2)</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5892592"/>
        <c:crosses val="max"/>
        <c:crossBetween val="between"/>
      </c:valAx>
      <c:dateAx>
        <c:axId val="315892592"/>
        <c:scaling>
          <c:orientation val="minMax"/>
        </c:scaling>
        <c:delete val="1"/>
        <c:axPos val="b"/>
        <c:numFmt formatCode="mm/dd/yy;@" sourceLinked="1"/>
        <c:majorTickMark val="out"/>
        <c:minorTickMark val="none"/>
        <c:tickLblPos val="nextTo"/>
        <c:crossAx val="315892200"/>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73186404809303E-2"/>
          <c:y val="6.5510579231692678E-2"/>
          <c:w val="0.83448350433104712"/>
          <c:h val="0.53477500375150056"/>
        </c:manualLayout>
      </c:layout>
      <c:barChart>
        <c:barDir val="col"/>
        <c:grouping val="clustered"/>
        <c:varyColors val="0"/>
        <c:ser>
          <c:idx val="0"/>
          <c:order val="0"/>
          <c:tx>
            <c:strRef>
              <c:f>Smithfield!$G$31</c:f>
              <c:strCache>
                <c:ptCount val="1"/>
                <c:pt idx="0">
                  <c:v>Energy Produced (kWh)</c:v>
                </c:pt>
              </c:strCache>
            </c:strRef>
          </c:tx>
          <c:spPr>
            <a:solidFill>
              <a:schemeClr val="accent1"/>
            </a:solidFill>
            <a:ln>
              <a:noFill/>
            </a:ln>
            <a:effectLst/>
          </c:spPr>
          <c:invertIfNegative val="0"/>
          <c:cat>
            <c:numRef>
              <c:f>Smithfield!$F$32:$F$62</c:f>
              <c:numCache>
                <c:formatCode>mm/dd/yy;@</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Smithfield!$G$32:$G$62</c:f>
              <c:numCache>
                <c:formatCode>0</c:formatCode>
                <c:ptCount val="31"/>
                <c:pt idx="0">
                  <c:v>18392.5</c:v>
                </c:pt>
                <c:pt idx="1">
                  <c:v>18038.25</c:v>
                </c:pt>
                <c:pt idx="2">
                  <c:v>17280.5</c:v>
                </c:pt>
                <c:pt idx="3">
                  <c:v>16574</c:v>
                </c:pt>
                <c:pt idx="4">
                  <c:v>16164.5</c:v>
                </c:pt>
                <c:pt idx="5">
                  <c:v>16463.75</c:v>
                </c:pt>
                <c:pt idx="6">
                  <c:v>13391.75</c:v>
                </c:pt>
                <c:pt idx="7">
                  <c:v>3460.5</c:v>
                </c:pt>
                <c:pt idx="8">
                  <c:v>18052.75</c:v>
                </c:pt>
                <c:pt idx="9">
                  <c:v>17377.25</c:v>
                </c:pt>
                <c:pt idx="10">
                  <c:v>9336</c:v>
                </c:pt>
                <c:pt idx="11">
                  <c:v>1556.75</c:v>
                </c:pt>
                <c:pt idx="12">
                  <c:v>2132</c:v>
                </c:pt>
                <c:pt idx="13">
                  <c:v>4586</c:v>
                </c:pt>
                <c:pt idx="14">
                  <c:v>11994.25</c:v>
                </c:pt>
                <c:pt idx="15">
                  <c:v>16344</c:v>
                </c:pt>
                <c:pt idx="16">
                  <c:v>16363.75</c:v>
                </c:pt>
                <c:pt idx="17">
                  <c:v>14866</c:v>
                </c:pt>
                <c:pt idx="18">
                  <c:v>13062</c:v>
                </c:pt>
                <c:pt idx="19">
                  <c:v>3131.75</c:v>
                </c:pt>
                <c:pt idx="20">
                  <c:v>15725.5</c:v>
                </c:pt>
                <c:pt idx="21">
                  <c:v>10324</c:v>
                </c:pt>
                <c:pt idx="22">
                  <c:v>13276.75</c:v>
                </c:pt>
                <c:pt idx="23">
                  <c:v>8576.5</c:v>
                </c:pt>
                <c:pt idx="24">
                  <c:v>14029.5</c:v>
                </c:pt>
                <c:pt idx="25">
                  <c:v>15257</c:v>
                </c:pt>
                <c:pt idx="26">
                  <c:v>9996.5</c:v>
                </c:pt>
                <c:pt idx="27">
                  <c:v>5718</c:v>
                </c:pt>
                <c:pt idx="28">
                  <c:v>3057.5</c:v>
                </c:pt>
                <c:pt idx="29">
                  <c:v>2344.5</c:v>
                </c:pt>
                <c:pt idx="30">
                  <c:v>5066</c:v>
                </c:pt>
              </c:numCache>
            </c:numRef>
          </c:val>
          <c:extLst>
            <c:ext xmlns:c16="http://schemas.microsoft.com/office/drawing/2014/chart" uri="{C3380CC4-5D6E-409C-BE32-E72D297353CC}">
              <c16:uniqueId val="{00000000-ADCF-4D3D-8B13-D7D7A3B48856}"/>
            </c:ext>
          </c:extLst>
        </c:ser>
        <c:dLbls>
          <c:showLegendKey val="0"/>
          <c:showVal val="0"/>
          <c:showCatName val="0"/>
          <c:showSerName val="0"/>
          <c:showPercent val="0"/>
          <c:showBubbleSize val="0"/>
        </c:dLbls>
        <c:gapWidth val="219"/>
        <c:overlap val="-27"/>
        <c:axId val="315889456"/>
        <c:axId val="315889848"/>
      </c:barChart>
      <c:lineChart>
        <c:grouping val="standard"/>
        <c:varyColors val="0"/>
        <c:ser>
          <c:idx val="2"/>
          <c:order val="1"/>
          <c:tx>
            <c:strRef>
              <c:f>Smithfield!$H$31</c:f>
              <c:strCache>
                <c:ptCount val="1"/>
                <c:pt idx="0">
                  <c:v>Radiation Yield (Wh/m2)</c:v>
                </c:pt>
              </c:strCache>
            </c:strRef>
          </c:tx>
          <c:spPr>
            <a:ln w="28575" cap="rnd">
              <a:solidFill>
                <a:schemeClr val="accent3"/>
              </a:solidFill>
              <a:round/>
            </a:ln>
            <a:effectLst/>
          </c:spPr>
          <c:marker>
            <c:symbol val="none"/>
          </c:marker>
          <c:cat>
            <c:numRef>
              <c:f>Smithfield!$F$32:$F$62</c:f>
              <c:numCache>
                <c:formatCode>mm/dd/yy;@</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Smithfield!$H$32:$H$62</c:f>
              <c:numCache>
                <c:formatCode>0</c:formatCode>
                <c:ptCount val="31"/>
                <c:pt idx="0">
                  <c:v>5958.97</c:v>
                </c:pt>
                <c:pt idx="1">
                  <c:v>5845.05</c:v>
                </c:pt>
                <c:pt idx="2">
                  <c:v>5638.6030000000001</c:v>
                </c:pt>
                <c:pt idx="3">
                  <c:v>5578.2830000000004</c:v>
                </c:pt>
                <c:pt idx="4">
                  <c:v>5501.8190000000004</c:v>
                </c:pt>
                <c:pt idx="5">
                  <c:v>5520.3959999999997</c:v>
                </c:pt>
                <c:pt idx="6">
                  <c:v>4455.5559999999996</c:v>
                </c:pt>
                <c:pt idx="7">
                  <c:v>1068.6579999999999</c:v>
                </c:pt>
                <c:pt idx="8">
                  <c:v>5774.4390000000003</c:v>
                </c:pt>
                <c:pt idx="9">
                  <c:v>5621.8440000000001</c:v>
                </c:pt>
                <c:pt idx="10">
                  <c:v>3045.26</c:v>
                </c:pt>
                <c:pt idx="11">
                  <c:v>491.22129999999999</c:v>
                </c:pt>
                <c:pt idx="12">
                  <c:v>670.51300000000003</c:v>
                </c:pt>
                <c:pt idx="13">
                  <c:v>1404.5139999999999</c:v>
                </c:pt>
                <c:pt idx="14">
                  <c:v>3944.549</c:v>
                </c:pt>
                <c:pt idx="15">
                  <c:v>5216.2340000000004</c:v>
                </c:pt>
                <c:pt idx="16">
                  <c:v>5277.7370000000001</c:v>
                </c:pt>
                <c:pt idx="17">
                  <c:v>4852.049</c:v>
                </c:pt>
                <c:pt idx="18">
                  <c:v>4250.192</c:v>
                </c:pt>
                <c:pt idx="19">
                  <c:v>1028.059</c:v>
                </c:pt>
                <c:pt idx="20">
                  <c:v>5208.5469999999996</c:v>
                </c:pt>
                <c:pt idx="21">
                  <c:v>3434.922</c:v>
                </c:pt>
                <c:pt idx="22">
                  <c:v>4392.7730000000001</c:v>
                </c:pt>
                <c:pt idx="23">
                  <c:v>2838.5360000000001</c:v>
                </c:pt>
                <c:pt idx="24">
                  <c:v>4660.88</c:v>
                </c:pt>
                <c:pt idx="25">
                  <c:v>5000.8159999999998</c:v>
                </c:pt>
                <c:pt idx="26">
                  <c:v>3246.1</c:v>
                </c:pt>
                <c:pt idx="27">
                  <c:v>1752.6410000000001</c:v>
                </c:pt>
                <c:pt idx="28">
                  <c:v>949.67100000000005</c:v>
                </c:pt>
                <c:pt idx="29">
                  <c:v>727.88599999999997</c:v>
                </c:pt>
                <c:pt idx="30">
                  <c:v>1604.78</c:v>
                </c:pt>
              </c:numCache>
            </c:numRef>
          </c:val>
          <c:smooth val="0"/>
          <c:extLst>
            <c:ext xmlns:c16="http://schemas.microsoft.com/office/drawing/2014/chart" uri="{C3380CC4-5D6E-409C-BE32-E72D297353CC}">
              <c16:uniqueId val="{00000001-ADCF-4D3D-8B13-D7D7A3B48856}"/>
            </c:ext>
          </c:extLst>
        </c:ser>
        <c:dLbls>
          <c:showLegendKey val="0"/>
          <c:showVal val="0"/>
          <c:showCatName val="0"/>
          <c:showSerName val="0"/>
          <c:showPercent val="0"/>
          <c:showBubbleSize val="0"/>
        </c:dLbls>
        <c:marker val="1"/>
        <c:smooth val="0"/>
        <c:axId val="315890632"/>
        <c:axId val="315890240"/>
      </c:lineChart>
      <c:dateAx>
        <c:axId val="315889456"/>
        <c:scaling>
          <c:orientation val="minMax"/>
        </c:scaling>
        <c:delete val="0"/>
        <c:axPos val="b"/>
        <c:numFmt formatCode="mm/d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89848"/>
        <c:crosses val="autoZero"/>
        <c:auto val="1"/>
        <c:lblOffset val="100"/>
        <c:baseTimeUnit val="days"/>
      </c:dateAx>
      <c:valAx>
        <c:axId val="315889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Energy Produced (kWh)</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89456"/>
        <c:crosses val="autoZero"/>
        <c:crossBetween val="between"/>
      </c:valAx>
      <c:valAx>
        <c:axId val="315890240"/>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Radiation</a:t>
                </a:r>
                <a:r>
                  <a:rPr lang="en-US" b="1" baseline="0"/>
                  <a:t> Yield (Wh/m2)</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90632"/>
        <c:crosses val="max"/>
        <c:crossBetween val="between"/>
      </c:valAx>
      <c:dateAx>
        <c:axId val="315890632"/>
        <c:scaling>
          <c:orientation val="minMax"/>
        </c:scaling>
        <c:delete val="1"/>
        <c:axPos val="b"/>
        <c:numFmt formatCode="mm/dd/yy;@" sourceLinked="1"/>
        <c:majorTickMark val="out"/>
        <c:minorTickMark val="none"/>
        <c:tickLblPos val="nextTo"/>
        <c:crossAx val="315890240"/>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Westlake!$G$31</c:f>
              <c:strCache>
                <c:ptCount val="1"/>
                <c:pt idx="0">
                  <c:v>Energy Produced (kWh)</c:v>
                </c:pt>
              </c:strCache>
            </c:strRef>
          </c:tx>
          <c:spPr>
            <a:solidFill>
              <a:srgbClr val="4472C4"/>
            </a:soli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numRef>
              <c:f>Westlake!$F$32:$F$62</c:f>
              <c:numCache>
                <c:formatCode>mm/dd/yy;@</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Westlake!$G$32:$G$62</c:f>
              <c:numCache>
                <c:formatCode>0</c:formatCode>
                <c:ptCount val="31"/>
                <c:pt idx="0">
                  <c:v>19012</c:v>
                </c:pt>
                <c:pt idx="1">
                  <c:v>18979</c:v>
                </c:pt>
                <c:pt idx="2">
                  <c:v>17677</c:v>
                </c:pt>
                <c:pt idx="3">
                  <c:v>19078</c:v>
                </c:pt>
                <c:pt idx="4">
                  <c:v>17901</c:v>
                </c:pt>
                <c:pt idx="5">
                  <c:v>18160</c:v>
                </c:pt>
                <c:pt idx="6">
                  <c:v>17056</c:v>
                </c:pt>
                <c:pt idx="7">
                  <c:v>17879</c:v>
                </c:pt>
                <c:pt idx="8">
                  <c:v>17744</c:v>
                </c:pt>
                <c:pt idx="9">
                  <c:v>18457</c:v>
                </c:pt>
                <c:pt idx="10">
                  <c:v>13847</c:v>
                </c:pt>
                <c:pt idx="11">
                  <c:v>17341</c:v>
                </c:pt>
                <c:pt idx="12">
                  <c:v>17381</c:v>
                </c:pt>
                <c:pt idx="13">
                  <c:v>17032</c:v>
                </c:pt>
                <c:pt idx="14">
                  <c:v>17489</c:v>
                </c:pt>
                <c:pt idx="15">
                  <c:v>12678</c:v>
                </c:pt>
                <c:pt idx="16">
                  <c:v>16185</c:v>
                </c:pt>
                <c:pt idx="17">
                  <c:v>7213</c:v>
                </c:pt>
                <c:pt idx="18">
                  <c:v>18571</c:v>
                </c:pt>
                <c:pt idx="19">
                  <c:v>17840</c:v>
                </c:pt>
                <c:pt idx="20">
                  <c:v>18230</c:v>
                </c:pt>
                <c:pt idx="21">
                  <c:v>18055</c:v>
                </c:pt>
                <c:pt idx="22">
                  <c:v>11347</c:v>
                </c:pt>
                <c:pt idx="23">
                  <c:v>3886</c:v>
                </c:pt>
                <c:pt idx="24">
                  <c:v>6326</c:v>
                </c:pt>
                <c:pt idx="25">
                  <c:v>12944</c:v>
                </c:pt>
                <c:pt idx="26">
                  <c:v>15267</c:v>
                </c:pt>
                <c:pt idx="27">
                  <c:v>10869</c:v>
                </c:pt>
                <c:pt idx="28">
                  <c:v>18133</c:v>
                </c:pt>
                <c:pt idx="29">
                  <c:v>17581</c:v>
                </c:pt>
                <c:pt idx="30">
                  <c:v>16988</c:v>
                </c:pt>
              </c:numCache>
            </c:numRef>
          </c:val>
          <c:extLst>
            <c:ext xmlns:c16="http://schemas.microsoft.com/office/drawing/2014/chart" uri="{C3380CC4-5D6E-409C-BE32-E72D297353CC}">
              <c16:uniqueId val="{00000000-E447-4D7A-93EC-7DED5D7112B3}"/>
            </c:ext>
          </c:extLst>
        </c:ser>
        <c:dLbls>
          <c:showLegendKey val="0"/>
          <c:showVal val="0"/>
          <c:showCatName val="0"/>
          <c:showSerName val="0"/>
          <c:showPercent val="0"/>
          <c:showBubbleSize val="0"/>
        </c:dLbls>
        <c:gapWidth val="269"/>
        <c:overlap val="-27"/>
        <c:axId val="315891416"/>
        <c:axId val="315891808"/>
      </c:barChart>
      <c:lineChart>
        <c:grouping val="standard"/>
        <c:varyColors val="0"/>
        <c:ser>
          <c:idx val="2"/>
          <c:order val="1"/>
          <c:tx>
            <c:strRef>
              <c:f>Westlake!$H$31</c:f>
              <c:strCache>
                <c:ptCount val="1"/>
                <c:pt idx="0">
                  <c:v>Radiation Yield (Wh/m2)</c:v>
                </c:pt>
              </c:strCache>
            </c:strRef>
          </c:tx>
          <c:spPr>
            <a:ln w="15875" cap="rnd">
              <a:solidFill>
                <a:schemeClr val="accent3"/>
              </a:solidFill>
              <a:round/>
            </a:ln>
            <a:effectLst>
              <a:outerShdw blurRad="40000" dist="20000" dir="5400000" rotWithShape="0">
                <a:srgbClr val="000000">
                  <a:alpha val="38000"/>
                </a:srgbClr>
              </a:outerShdw>
            </a:effectLst>
          </c:spPr>
          <c:marker>
            <c:symbol val="none"/>
          </c:marker>
          <c:cat>
            <c:numRef>
              <c:f>Westlake!$F$32:$F$62</c:f>
              <c:numCache>
                <c:formatCode>mm/dd/yy;@</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Westlake!$H$32:$H$62</c:f>
              <c:numCache>
                <c:formatCode>0</c:formatCode>
                <c:ptCount val="31"/>
                <c:pt idx="0">
                  <c:v>6879</c:v>
                </c:pt>
                <c:pt idx="1">
                  <c:v>6851</c:v>
                </c:pt>
                <c:pt idx="2">
                  <c:v>6471</c:v>
                </c:pt>
                <c:pt idx="3">
                  <c:v>7093</c:v>
                </c:pt>
                <c:pt idx="4">
                  <c:v>6540</c:v>
                </c:pt>
                <c:pt idx="5">
                  <c:v>6691</c:v>
                </c:pt>
                <c:pt idx="6">
                  <c:v>6306</c:v>
                </c:pt>
                <c:pt idx="7">
                  <c:v>6492</c:v>
                </c:pt>
                <c:pt idx="8">
                  <c:v>6473</c:v>
                </c:pt>
                <c:pt idx="9">
                  <c:v>6735</c:v>
                </c:pt>
                <c:pt idx="10">
                  <c:v>6681</c:v>
                </c:pt>
                <c:pt idx="11">
                  <c:v>6372</c:v>
                </c:pt>
                <c:pt idx="12">
                  <c:v>6257</c:v>
                </c:pt>
                <c:pt idx="13">
                  <c:v>6150</c:v>
                </c:pt>
                <c:pt idx="14">
                  <c:v>6347</c:v>
                </c:pt>
                <c:pt idx="15">
                  <c:v>4469</c:v>
                </c:pt>
                <c:pt idx="16">
                  <c:v>5896</c:v>
                </c:pt>
                <c:pt idx="17">
                  <c:v>2678</c:v>
                </c:pt>
                <c:pt idx="18">
                  <c:v>6727</c:v>
                </c:pt>
                <c:pt idx="19">
                  <c:v>6362</c:v>
                </c:pt>
                <c:pt idx="20">
                  <c:v>6601</c:v>
                </c:pt>
                <c:pt idx="21">
                  <c:v>6437</c:v>
                </c:pt>
                <c:pt idx="22">
                  <c:v>3744</c:v>
                </c:pt>
                <c:pt idx="23">
                  <c:v>875</c:v>
                </c:pt>
                <c:pt idx="24">
                  <c:v>1900</c:v>
                </c:pt>
                <c:pt idx="25">
                  <c:v>4386</c:v>
                </c:pt>
                <c:pt idx="26">
                  <c:v>5315</c:v>
                </c:pt>
                <c:pt idx="27">
                  <c:v>3805</c:v>
                </c:pt>
                <c:pt idx="28">
                  <c:v>6463</c:v>
                </c:pt>
                <c:pt idx="29">
                  <c:v>6238</c:v>
                </c:pt>
                <c:pt idx="30">
                  <c:v>5909</c:v>
                </c:pt>
              </c:numCache>
            </c:numRef>
          </c:val>
          <c:smooth val="0"/>
          <c:extLst>
            <c:ext xmlns:c16="http://schemas.microsoft.com/office/drawing/2014/chart" uri="{C3380CC4-5D6E-409C-BE32-E72D297353CC}">
              <c16:uniqueId val="{00000001-E447-4D7A-93EC-7DED5D7112B3}"/>
            </c:ext>
          </c:extLst>
        </c:ser>
        <c:dLbls>
          <c:showLegendKey val="0"/>
          <c:showVal val="0"/>
          <c:showCatName val="0"/>
          <c:showSerName val="0"/>
          <c:showPercent val="0"/>
          <c:showBubbleSize val="0"/>
        </c:dLbls>
        <c:marker val="1"/>
        <c:smooth val="0"/>
        <c:axId val="315892592"/>
        <c:axId val="315892200"/>
      </c:lineChart>
      <c:dateAx>
        <c:axId val="315891416"/>
        <c:scaling>
          <c:orientation val="minMax"/>
        </c:scaling>
        <c:delete val="0"/>
        <c:axPos val="b"/>
        <c:numFmt formatCode="mm/d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5891808"/>
        <c:crosses val="autoZero"/>
        <c:auto val="1"/>
        <c:lblOffset val="100"/>
        <c:baseTimeUnit val="days"/>
      </c:dateAx>
      <c:valAx>
        <c:axId val="31589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Energy Produced (kWh)</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5891416"/>
        <c:crosses val="autoZero"/>
        <c:crossBetween val="between"/>
      </c:valAx>
      <c:valAx>
        <c:axId val="315892200"/>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Radiation Yield (Wh/m2)</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5892592"/>
        <c:crosses val="max"/>
        <c:crossBetween val="between"/>
      </c:valAx>
      <c:dateAx>
        <c:axId val="315892592"/>
        <c:scaling>
          <c:orientation val="minMax"/>
        </c:scaling>
        <c:delete val="1"/>
        <c:axPos val="b"/>
        <c:numFmt formatCode="mm/dd/yy;@" sourceLinked="1"/>
        <c:majorTickMark val="out"/>
        <c:minorTickMark val="none"/>
        <c:tickLblPos val="nextTo"/>
        <c:crossAx val="315892200"/>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https://www.ameresco.com/images/ameresco.png" TargetMode="External"/><Relationship Id="rId2" Type="http://schemas.openxmlformats.org/officeDocument/2006/relationships/image" Target="../media/image1.gif"/><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https://www.ameresco.com/images/ameresco.png" TargetMode="External"/><Relationship Id="rId2" Type="http://schemas.openxmlformats.org/officeDocument/2006/relationships/image" Target="../media/image1.gif"/><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https://www.ameresco.com/images/ameresco.png" TargetMode="External"/><Relationship Id="rId2" Type="http://schemas.openxmlformats.org/officeDocument/2006/relationships/image" Target="../media/image1.gif"/><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https://www.ameresco.com/images/ameresco.png"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https://www.ameresco.com/images/ameresco.png"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https://www.ameresco.com/images/ameresco.png" TargetMode="External"/></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1270</xdr:rowOff>
    </xdr:from>
    <xdr:to>
      <xdr:col>12</xdr:col>
      <xdr:colOff>19050</xdr:colOff>
      <xdr:row>27</xdr:row>
      <xdr:rowOff>163194</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352425</xdr:colOff>
      <xdr:row>0</xdr:row>
      <xdr:rowOff>123825</xdr:rowOff>
    </xdr:from>
    <xdr:to>
      <xdr:col>10</xdr:col>
      <xdr:colOff>1257722</xdr:colOff>
      <xdr:row>3</xdr:row>
      <xdr:rowOff>1968</xdr:rowOff>
    </xdr:to>
    <xdr:pic>
      <xdr:nvPicPr>
        <xdr:cNvPr id="6" name="Picture 5" descr="https://static.wixstatic.com/media/cf5b2a_daf3f4451d6840eb9fa9c6583e0ed09b.gif">
          <a:extLst>
            <a:ext uri="{FF2B5EF4-FFF2-40B4-BE49-F238E27FC236}">
              <a16:creationId xmlns:a16="http://schemas.microsoft.com/office/drawing/2014/main" id="{793099E0-1AEB-4009-919A-5A26A424FC4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24625" y="123825"/>
          <a:ext cx="876300" cy="52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504825</xdr:colOff>
      <xdr:row>1</xdr:row>
      <xdr:rowOff>66675</xdr:rowOff>
    </xdr:from>
    <xdr:to>
      <xdr:col>4</xdr:col>
      <xdr:colOff>286591</xdr:colOff>
      <xdr:row>3</xdr:row>
      <xdr:rowOff>39158</xdr:rowOff>
    </xdr:to>
    <xdr:pic>
      <xdr:nvPicPr>
        <xdr:cNvPr id="7" name="Picture 6">
          <a:extLst>
            <a:ext uri="{FF2B5EF4-FFF2-40B4-BE49-F238E27FC236}">
              <a16:creationId xmlns:a16="http://schemas.microsoft.com/office/drawing/2014/main" id="{D1C4AB2E-8C32-341E-6EC0-B08765152804}"/>
            </a:ext>
            <a:ext uri="{147F2762-F138-4A5C-976F-8EAC2B608ADB}">
              <a16:predDERef xmlns:a16="http://schemas.microsoft.com/office/drawing/2014/main" pred="{793099E0-1AEB-4009-919A-5A26A424FC4A}"/>
            </a:ext>
          </a:extLst>
        </xdr:cNvPr>
        <xdr:cNvPicPr>
          <a:picLocks noChangeAspect="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114425" y="295275"/>
          <a:ext cx="1597025" cy="3302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15</xdr:row>
      <xdr:rowOff>179070</xdr:rowOff>
    </xdr:from>
    <xdr:to>
      <xdr:col>12</xdr:col>
      <xdr:colOff>0</xdr:colOff>
      <xdr:row>27</xdr:row>
      <xdr:rowOff>160020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352425</xdr:colOff>
      <xdr:row>0</xdr:row>
      <xdr:rowOff>104775</xdr:rowOff>
    </xdr:from>
    <xdr:to>
      <xdr:col>12</xdr:col>
      <xdr:colOff>245</xdr:colOff>
      <xdr:row>3</xdr:row>
      <xdr:rowOff>997</xdr:rowOff>
    </xdr:to>
    <xdr:pic>
      <xdr:nvPicPr>
        <xdr:cNvPr id="6" name="Picture 5" descr="https://static.wixstatic.com/media/cf5b2a_daf3f4451d6840eb9fa9c6583e0ed09b.gif">
          <a:extLst>
            <a:ext uri="{FF2B5EF4-FFF2-40B4-BE49-F238E27FC236}">
              <a16:creationId xmlns:a16="http://schemas.microsoft.com/office/drawing/2014/main" id="{270537C3-94A0-4F2B-8A50-5FFA950634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47485" y="104775"/>
          <a:ext cx="876300" cy="497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xdr:row>
      <xdr:rowOff>0</xdr:rowOff>
    </xdr:from>
    <xdr:to>
      <xdr:col>4</xdr:col>
      <xdr:colOff>382058</xdr:colOff>
      <xdr:row>2</xdr:row>
      <xdr:rowOff>132503</xdr:rowOff>
    </xdr:to>
    <xdr:pic>
      <xdr:nvPicPr>
        <xdr:cNvPr id="5" name="Picture 4">
          <a:extLst>
            <a:ext uri="{FF2B5EF4-FFF2-40B4-BE49-F238E27FC236}">
              <a16:creationId xmlns:a16="http://schemas.microsoft.com/office/drawing/2014/main" id="{88271F01-6637-D883-B45A-32F95391B7EF}"/>
            </a:ext>
          </a:extLst>
        </xdr:cNvPr>
        <xdr:cNvPicPr>
          <a:picLocks noChangeAspect="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219200" y="238125"/>
          <a:ext cx="1590675" cy="3333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15</xdr:row>
      <xdr:rowOff>179070</xdr:rowOff>
    </xdr:from>
    <xdr:to>
      <xdr:col>12</xdr:col>
      <xdr:colOff>0</xdr:colOff>
      <xdr:row>27</xdr:row>
      <xdr:rowOff>160020</xdr:rowOff>
    </xdr:to>
    <xdr:graphicFrame macro="">
      <xdr:nvGraphicFramePr>
        <xdr:cNvPr id="2" name="Chart 1">
          <a:extLst>
            <a:ext uri="{FF2B5EF4-FFF2-40B4-BE49-F238E27FC236}">
              <a16:creationId xmlns:a16="http://schemas.microsoft.com/office/drawing/2014/main" id="{CD875C51-D6AE-4A2D-A2FC-85B15DD46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352425</xdr:colOff>
      <xdr:row>0</xdr:row>
      <xdr:rowOff>123825</xdr:rowOff>
    </xdr:from>
    <xdr:to>
      <xdr:col>12</xdr:col>
      <xdr:colOff>20531</xdr:colOff>
      <xdr:row>3</xdr:row>
      <xdr:rowOff>19144</xdr:rowOff>
    </xdr:to>
    <xdr:pic>
      <xdr:nvPicPr>
        <xdr:cNvPr id="3" name="Picture 2" descr="https://static.wixstatic.com/media/cf5b2a_daf3f4451d6840eb9fa9c6583e0ed09b.gif">
          <a:extLst>
            <a:ext uri="{FF2B5EF4-FFF2-40B4-BE49-F238E27FC236}">
              <a16:creationId xmlns:a16="http://schemas.microsoft.com/office/drawing/2014/main" id="{C52386DE-19F2-4E7A-8CFF-0427619134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16408" y="121708"/>
          <a:ext cx="964565" cy="480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xdr:row>
      <xdr:rowOff>0</xdr:rowOff>
    </xdr:from>
    <xdr:to>
      <xdr:col>4</xdr:col>
      <xdr:colOff>360891</xdr:colOff>
      <xdr:row>2</xdr:row>
      <xdr:rowOff>135466</xdr:rowOff>
    </xdr:to>
    <xdr:pic>
      <xdr:nvPicPr>
        <xdr:cNvPr id="4" name="Picture 3">
          <a:extLst>
            <a:ext uri="{FF2B5EF4-FFF2-40B4-BE49-F238E27FC236}">
              <a16:creationId xmlns:a16="http://schemas.microsoft.com/office/drawing/2014/main" id="{E5CEAC9D-2D67-4434-A9B0-D3BF76A3ABF7}"/>
            </a:ext>
          </a:extLst>
        </xdr:cNvPr>
        <xdr:cNvPicPr>
          <a:picLocks noChangeAspect="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282700" y="228600"/>
          <a:ext cx="1658408" cy="331258"/>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0</xdr:row>
      <xdr:rowOff>57150</xdr:rowOff>
    </xdr:from>
    <xdr:to>
      <xdr:col>2</xdr:col>
      <xdr:colOff>457200</xdr:colOff>
      <xdr:row>2</xdr:row>
      <xdr:rowOff>1059</xdr:rowOff>
    </xdr:to>
    <xdr:pic>
      <xdr:nvPicPr>
        <xdr:cNvPr id="2" name="Picture 1">
          <a:extLst>
            <a:ext uri="{FF2B5EF4-FFF2-40B4-BE49-F238E27FC236}">
              <a16:creationId xmlns:a16="http://schemas.microsoft.com/office/drawing/2014/main" id="{44AD65A9-D9D7-336E-16C3-35184C090CB1}"/>
            </a:ext>
          </a:extLst>
        </xdr:cNvPr>
        <xdr:cNvPicPr>
          <a:picLocks noChangeAspect="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85725" y="57150"/>
          <a:ext cx="1590675" cy="333375"/>
        </a:xfrm>
        <a:prstGeom prst="rect">
          <a:avLst/>
        </a:prstGeom>
        <a:noFill/>
        <a:ln>
          <a:noFill/>
        </a:ln>
      </xdr:spPr>
    </xdr:pic>
    <xdr:clientData/>
  </xdr:twoCellAnchor>
  <xdr:twoCellAnchor editAs="oneCell">
    <xdr:from>
      <xdr:col>7</xdr:col>
      <xdr:colOff>523875</xdr:colOff>
      <xdr:row>0</xdr:row>
      <xdr:rowOff>0</xdr:rowOff>
    </xdr:from>
    <xdr:to>
      <xdr:col>9</xdr:col>
      <xdr:colOff>21594</xdr:colOff>
      <xdr:row>2</xdr:row>
      <xdr:rowOff>135352</xdr:rowOff>
    </xdr:to>
    <xdr:pic>
      <xdr:nvPicPr>
        <xdr:cNvPr id="3" name="Picture 2" descr="https://static.wixstatic.com/media/cf5b2a_daf3f4451d6840eb9fa9c6583e0ed09b.gif">
          <a:extLst>
            <a:ext uri="{FF2B5EF4-FFF2-40B4-BE49-F238E27FC236}">
              <a16:creationId xmlns:a16="http://schemas.microsoft.com/office/drawing/2014/main" id="{707FC4E5-8C34-4DEB-91ED-67474983D3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81650" y="0"/>
          <a:ext cx="882015" cy="516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2</xdr:col>
      <xdr:colOff>534458</xdr:colOff>
      <xdr:row>2</xdr:row>
      <xdr:rowOff>38100</xdr:rowOff>
    </xdr:to>
    <xdr:pic>
      <xdr:nvPicPr>
        <xdr:cNvPr id="2" name="Picture 1">
          <a:extLst>
            <a:ext uri="{FF2B5EF4-FFF2-40B4-BE49-F238E27FC236}">
              <a16:creationId xmlns:a16="http://schemas.microsoft.com/office/drawing/2014/main" id="{FBA49887-4312-3C8E-DA7B-DF5D7DD11BE5}"/>
            </a:ext>
          </a:extLst>
        </xdr:cNvPr>
        <xdr:cNvPicPr>
          <a:picLocks noChangeAspect="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2400" y="85725"/>
          <a:ext cx="1590675" cy="333375"/>
        </a:xfrm>
        <a:prstGeom prst="rect">
          <a:avLst/>
        </a:prstGeom>
        <a:noFill/>
        <a:ln>
          <a:noFill/>
        </a:ln>
      </xdr:spPr>
    </xdr:pic>
    <xdr:clientData/>
  </xdr:twoCellAnchor>
  <xdr:twoCellAnchor editAs="oneCell">
    <xdr:from>
      <xdr:col>10</xdr:col>
      <xdr:colOff>457200</xdr:colOff>
      <xdr:row>0</xdr:row>
      <xdr:rowOff>0</xdr:rowOff>
    </xdr:from>
    <xdr:to>
      <xdr:col>12</xdr:col>
      <xdr:colOff>38523</xdr:colOff>
      <xdr:row>2</xdr:row>
      <xdr:rowOff>113547</xdr:rowOff>
    </xdr:to>
    <xdr:pic>
      <xdr:nvPicPr>
        <xdr:cNvPr id="3" name="Picture 2" descr="https://static.wixstatic.com/media/cf5b2a_daf3f4451d6840eb9fa9c6583e0ed09b.gif">
          <a:extLst>
            <a:ext uri="{FF2B5EF4-FFF2-40B4-BE49-F238E27FC236}">
              <a16:creationId xmlns:a16="http://schemas.microsoft.com/office/drawing/2014/main" id="{88872CCA-79CA-409F-909E-55F5084E34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53250" y="0"/>
          <a:ext cx="882015" cy="516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2</xdr:col>
      <xdr:colOff>265642</xdr:colOff>
      <xdr:row>1</xdr:row>
      <xdr:rowOff>153458</xdr:rowOff>
    </xdr:to>
    <xdr:pic>
      <xdr:nvPicPr>
        <xdr:cNvPr id="2" name="Picture 1">
          <a:extLst>
            <a:ext uri="{FF2B5EF4-FFF2-40B4-BE49-F238E27FC236}">
              <a16:creationId xmlns:a16="http://schemas.microsoft.com/office/drawing/2014/main" id="{FFA0BAFC-1BFB-11EA-6A88-03D08085522F}"/>
            </a:ext>
          </a:extLst>
        </xdr:cNvPr>
        <xdr:cNvPicPr>
          <a:picLocks noChangeAspect="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7150" y="0"/>
          <a:ext cx="1590675" cy="333375"/>
        </a:xfrm>
        <a:prstGeom prst="rect">
          <a:avLst/>
        </a:prstGeom>
        <a:noFill/>
        <a:ln>
          <a:noFill/>
        </a:ln>
      </xdr:spPr>
    </xdr:pic>
    <xdr:clientData/>
  </xdr:twoCellAnchor>
  <xdr:twoCellAnchor editAs="oneCell">
    <xdr:from>
      <xdr:col>4</xdr:col>
      <xdr:colOff>266700</xdr:colOff>
      <xdr:row>0</xdr:row>
      <xdr:rowOff>47625</xdr:rowOff>
    </xdr:from>
    <xdr:to>
      <xdr:col>4</xdr:col>
      <xdr:colOff>1141942</xdr:colOff>
      <xdr:row>3</xdr:row>
      <xdr:rowOff>1152</xdr:rowOff>
    </xdr:to>
    <xdr:pic>
      <xdr:nvPicPr>
        <xdr:cNvPr id="4" name="Picture 3" descr="https://static.wixstatic.com/media/cf5b2a_daf3f4451d6840eb9fa9c6583e0ed09b.gif">
          <a:extLst>
            <a:ext uri="{FF2B5EF4-FFF2-40B4-BE49-F238E27FC236}">
              <a16:creationId xmlns:a16="http://schemas.microsoft.com/office/drawing/2014/main" id="{9B4F67AD-566A-4AF9-9580-D5799B86D0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5650" y="47625"/>
          <a:ext cx="882015" cy="516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1B6A-673A-4B2E-AFCC-EE6AB7D48606}">
  <sheetPr codeName="Sheet1">
    <tabColor rgb="FF9933FF"/>
  </sheetPr>
  <dimension ref="A1:AE13"/>
  <sheetViews>
    <sheetView workbookViewId="0">
      <selection activeCell="E17" sqref="E17"/>
    </sheetView>
  </sheetViews>
  <sheetFormatPr defaultRowHeight="14.25" x14ac:dyDescent="0.45"/>
  <cols>
    <col min="23" max="23" width="12.53125" customWidth="1"/>
  </cols>
  <sheetData>
    <row r="1" spans="1:31" x14ac:dyDescent="0.45">
      <c r="A1" s="172" t="s">
        <v>0</v>
      </c>
      <c r="B1" s="173"/>
      <c r="C1" s="173"/>
      <c r="D1" s="173"/>
      <c r="E1" s="174"/>
      <c r="F1" s="166" t="s">
        <v>1</v>
      </c>
      <c r="G1" s="167"/>
      <c r="H1" s="167"/>
      <c r="I1" s="167"/>
      <c r="J1" s="167"/>
      <c r="K1" s="167"/>
      <c r="L1" s="2"/>
      <c r="M1" s="2"/>
      <c r="N1" s="2"/>
      <c r="O1" s="2"/>
      <c r="P1" s="2"/>
      <c r="Q1" s="2"/>
      <c r="R1" s="2"/>
      <c r="S1" s="2"/>
      <c r="T1" s="2"/>
      <c r="U1" s="2"/>
      <c r="V1" s="2"/>
      <c r="W1" s="2"/>
    </row>
    <row r="2" spans="1:31" x14ac:dyDescent="0.45">
      <c r="A2" s="175" t="s">
        <v>2</v>
      </c>
      <c r="B2" s="176"/>
      <c r="C2" s="176"/>
      <c r="D2" s="176"/>
      <c r="E2" s="176"/>
      <c r="F2" s="67" t="s">
        <v>3</v>
      </c>
      <c r="G2" s="67"/>
      <c r="H2" s="67"/>
      <c r="I2" s="67"/>
      <c r="J2" s="67"/>
      <c r="K2" s="67"/>
      <c r="L2" s="67"/>
      <c r="M2" s="67"/>
      <c r="N2" s="67"/>
      <c r="O2" s="67"/>
      <c r="P2" s="67"/>
      <c r="Q2" s="67"/>
      <c r="R2" s="67"/>
      <c r="S2" s="67"/>
      <c r="T2" s="67"/>
      <c r="U2" s="67"/>
      <c r="V2" s="67"/>
      <c r="W2" s="67"/>
      <c r="X2" s="67"/>
      <c r="Y2" s="67"/>
      <c r="Z2" s="67"/>
      <c r="AA2" s="67"/>
      <c r="AB2" s="67"/>
      <c r="AC2" s="67"/>
      <c r="AD2" s="67"/>
      <c r="AE2" s="68"/>
    </row>
    <row r="3" spans="1:31" x14ac:dyDescent="0.45">
      <c r="A3" s="168" t="s">
        <v>4</v>
      </c>
      <c r="B3" s="169"/>
      <c r="C3" s="169"/>
      <c r="D3" s="169"/>
      <c r="E3" s="169"/>
      <c r="F3" s="63" t="s">
        <v>5</v>
      </c>
      <c r="G3" s="63"/>
      <c r="H3" s="63"/>
      <c r="I3" s="63"/>
      <c r="J3" s="63"/>
      <c r="K3" s="63"/>
      <c r="L3" s="63"/>
      <c r="M3" s="63"/>
      <c r="N3" s="63"/>
      <c r="O3" s="63"/>
      <c r="P3" s="63"/>
      <c r="Q3" s="63"/>
      <c r="R3" s="63"/>
      <c r="S3" s="63"/>
      <c r="T3" s="63"/>
      <c r="U3" s="63"/>
      <c r="V3" s="63"/>
      <c r="W3" s="63"/>
      <c r="X3" s="63"/>
      <c r="Y3" s="63"/>
      <c r="Z3" s="63"/>
      <c r="AA3" s="63"/>
      <c r="AB3" s="63"/>
      <c r="AC3" s="63"/>
      <c r="AD3" s="63"/>
      <c r="AE3" s="64"/>
    </row>
    <row r="4" spans="1:31" ht="15.75" x14ac:dyDescent="0.45">
      <c r="A4" s="168" t="s">
        <v>6</v>
      </c>
      <c r="B4" s="169"/>
      <c r="C4" s="169"/>
      <c r="D4" s="169"/>
      <c r="E4" s="169"/>
      <c r="F4" s="63" t="s">
        <v>7</v>
      </c>
      <c r="G4" s="63"/>
      <c r="H4" s="63"/>
      <c r="I4" s="63"/>
      <c r="J4" s="63"/>
      <c r="K4" s="63"/>
      <c r="L4" s="63"/>
      <c r="M4" s="63"/>
      <c r="N4" s="63"/>
      <c r="O4" s="63"/>
      <c r="P4" s="63"/>
      <c r="Q4" s="63"/>
      <c r="R4" s="63"/>
      <c r="S4" s="63"/>
      <c r="T4" s="63"/>
      <c r="U4" s="63"/>
      <c r="V4" s="63"/>
      <c r="W4" s="63"/>
      <c r="X4" s="63"/>
      <c r="Y4" s="63"/>
      <c r="Z4" s="63"/>
      <c r="AA4" s="63"/>
      <c r="AB4" s="63"/>
      <c r="AC4" s="63"/>
      <c r="AD4" s="63"/>
      <c r="AE4" s="64"/>
    </row>
    <row r="5" spans="1:31" ht="15.75" x14ac:dyDescent="0.45">
      <c r="A5" s="168" t="s">
        <v>8</v>
      </c>
      <c r="B5" s="169"/>
      <c r="C5" s="169"/>
      <c r="D5" s="169"/>
      <c r="E5" s="169"/>
      <c r="F5" s="63" t="s">
        <v>9</v>
      </c>
      <c r="G5" s="63"/>
      <c r="H5" s="63"/>
      <c r="I5" s="63"/>
      <c r="J5" s="63"/>
      <c r="K5" s="63"/>
      <c r="L5" s="63"/>
      <c r="M5" s="63"/>
      <c r="N5" s="63"/>
      <c r="O5" s="63"/>
      <c r="P5" s="63"/>
      <c r="Q5" s="63"/>
      <c r="R5" s="63"/>
      <c r="S5" s="63"/>
      <c r="T5" s="63"/>
      <c r="U5" s="63"/>
      <c r="V5" s="63"/>
      <c r="W5" s="63"/>
      <c r="X5" s="63"/>
      <c r="Y5" s="63"/>
      <c r="Z5" s="63"/>
      <c r="AA5" s="63"/>
      <c r="AB5" s="63"/>
      <c r="AC5" s="63"/>
      <c r="AD5" s="63"/>
      <c r="AE5" s="64"/>
    </row>
    <row r="6" spans="1:31" x14ac:dyDescent="0.45">
      <c r="A6" s="168" t="s">
        <v>10</v>
      </c>
      <c r="B6" s="169"/>
      <c r="C6" s="169"/>
      <c r="D6" s="169"/>
      <c r="E6" s="169"/>
      <c r="F6" s="63" t="s">
        <v>11</v>
      </c>
      <c r="G6" s="63"/>
      <c r="H6" s="63"/>
      <c r="I6" s="63"/>
      <c r="J6" s="63"/>
      <c r="K6" s="63"/>
      <c r="L6" s="63"/>
      <c r="M6" s="63"/>
      <c r="N6" s="63"/>
      <c r="O6" s="63"/>
      <c r="P6" s="63"/>
      <c r="Q6" s="63"/>
      <c r="R6" s="63"/>
      <c r="S6" s="63"/>
      <c r="T6" s="63"/>
      <c r="U6" s="63"/>
      <c r="V6" s="63"/>
      <c r="W6" s="63"/>
      <c r="X6" s="63"/>
      <c r="Y6" s="63"/>
      <c r="Z6" s="63"/>
      <c r="AA6" s="63"/>
      <c r="AB6" s="63"/>
      <c r="AC6" s="63"/>
      <c r="AD6" s="63"/>
      <c r="AE6" s="64"/>
    </row>
    <row r="7" spans="1:31" ht="16.350000000000001" customHeight="1" x14ac:dyDescent="0.45">
      <c r="A7" s="168" t="s">
        <v>12</v>
      </c>
      <c r="B7" s="169"/>
      <c r="C7" s="169"/>
      <c r="D7" s="169"/>
      <c r="E7" s="169"/>
      <c r="F7" s="63" t="s">
        <v>13</v>
      </c>
      <c r="G7" s="63"/>
      <c r="H7" s="63"/>
      <c r="I7" s="63"/>
      <c r="J7" s="63"/>
      <c r="K7" s="63"/>
      <c r="L7" s="63"/>
      <c r="M7" s="63"/>
      <c r="N7" s="63"/>
      <c r="O7" s="63"/>
      <c r="P7" s="63"/>
      <c r="Q7" s="63"/>
      <c r="R7" s="63"/>
      <c r="S7" s="63"/>
      <c r="T7" s="63"/>
      <c r="U7" s="63"/>
      <c r="V7" s="63"/>
      <c r="W7" s="63"/>
      <c r="X7" s="63"/>
      <c r="Y7" s="63"/>
      <c r="Z7" s="63"/>
      <c r="AA7" s="63"/>
      <c r="AB7" s="63"/>
      <c r="AC7" s="63"/>
      <c r="AD7" s="63"/>
      <c r="AE7" s="64"/>
    </row>
    <row r="8" spans="1:31" ht="16.350000000000001" customHeight="1" x14ac:dyDescent="0.45">
      <c r="A8" s="168" t="s">
        <v>14</v>
      </c>
      <c r="B8" s="169"/>
      <c r="C8" s="169"/>
      <c r="D8" s="169"/>
      <c r="E8" s="169"/>
      <c r="F8" s="63" t="s">
        <v>15</v>
      </c>
      <c r="G8" s="63"/>
      <c r="H8" s="63"/>
      <c r="I8" s="63"/>
      <c r="J8" s="63"/>
      <c r="K8" s="63"/>
      <c r="L8" s="63"/>
      <c r="M8" s="63"/>
      <c r="N8" s="63"/>
      <c r="O8" s="63"/>
      <c r="P8" s="63"/>
      <c r="Q8" s="63"/>
      <c r="R8" s="63"/>
      <c r="S8" s="63"/>
      <c r="T8" s="63"/>
      <c r="U8" s="63"/>
      <c r="V8" s="63"/>
      <c r="W8" s="63"/>
      <c r="X8" s="63"/>
      <c r="Y8" s="63"/>
      <c r="Z8" s="63"/>
      <c r="AA8" s="63"/>
      <c r="AB8" s="63"/>
      <c r="AC8" s="63"/>
      <c r="AD8" s="63"/>
      <c r="AE8" s="64"/>
    </row>
    <row r="9" spans="1:31" ht="16.350000000000001" customHeight="1" x14ac:dyDescent="0.45">
      <c r="A9" s="168" t="s">
        <v>16</v>
      </c>
      <c r="B9" s="169"/>
      <c r="C9" s="169"/>
      <c r="D9" s="169"/>
      <c r="E9" s="169"/>
      <c r="F9" s="63" t="s">
        <v>17</v>
      </c>
      <c r="G9" s="63"/>
      <c r="H9" s="63"/>
      <c r="I9" s="63"/>
      <c r="J9" s="63"/>
      <c r="K9" s="63"/>
      <c r="L9" s="63"/>
      <c r="M9" s="63"/>
      <c r="N9" s="63"/>
      <c r="O9" s="63"/>
      <c r="P9" s="63"/>
      <c r="Q9" s="63"/>
      <c r="R9" s="63"/>
      <c r="S9" s="63"/>
      <c r="T9" s="63"/>
      <c r="U9" s="63"/>
      <c r="V9" s="63"/>
      <c r="W9" s="63"/>
      <c r="X9" s="63"/>
      <c r="Y9" s="63"/>
      <c r="Z9" s="63"/>
      <c r="AA9" s="63"/>
      <c r="AB9" s="63"/>
      <c r="AC9" s="63"/>
      <c r="AD9" s="63"/>
      <c r="AE9" s="64"/>
    </row>
    <row r="10" spans="1:31" ht="16.350000000000001" customHeight="1" x14ac:dyDescent="0.45">
      <c r="A10" s="168" t="s">
        <v>18</v>
      </c>
      <c r="B10" s="169"/>
      <c r="C10" s="169"/>
      <c r="D10" s="169"/>
      <c r="E10" s="169"/>
      <c r="F10" s="63" t="s">
        <v>19</v>
      </c>
      <c r="G10" s="63"/>
      <c r="H10" s="63"/>
      <c r="I10" s="63"/>
      <c r="J10" s="63"/>
      <c r="K10" s="63"/>
      <c r="L10" s="63"/>
      <c r="M10" s="63"/>
      <c r="N10" s="63"/>
      <c r="O10" s="63"/>
      <c r="P10" s="63"/>
      <c r="Q10" s="63"/>
      <c r="R10" s="63"/>
      <c r="S10" s="63"/>
      <c r="T10" s="63"/>
      <c r="U10" s="63"/>
      <c r="V10" s="63"/>
      <c r="W10" s="63"/>
      <c r="X10" s="63"/>
      <c r="Y10" s="63"/>
      <c r="Z10" s="63"/>
      <c r="AA10" s="63"/>
      <c r="AB10" s="63"/>
      <c r="AC10" s="63"/>
      <c r="AD10" s="63"/>
      <c r="AE10" s="64"/>
    </row>
    <row r="11" spans="1:31" ht="16.350000000000001" customHeight="1" x14ac:dyDescent="0.45">
      <c r="A11" s="170" t="s">
        <v>20</v>
      </c>
      <c r="B11" s="171"/>
      <c r="C11" s="171"/>
      <c r="D11" s="171"/>
      <c r="E11" s="171"/>
      <c r="F11" s="65" t="s">
        <v>21</v>
      </c>
      <c r="G11" s="65"/>
      <c r="H11" s="65"/>
      <c r="I11" s="65"/>
      <c r="J11" s="65"/>
      <c r="K11" s="65"/>
      <c r="L11" s="65"/>
      <c r="M11" s="65"/>
      <c r="N11" s="65"/>
      <c r="O11" s="65"/>
      <c r="P11" s="65"/>
      <c r="Q11" s="65"/>
      <c r="R11" s="65"/>
      <c r="S11" s="65"/>
      <c r="T11" s="65"/>
      <c r="U11" s="65"/>
      <c r="V11" s="65"/>
      <c r="W11" s="65"/>
      <c r="X11" s="65"/>
      <c r="Y11" s="65"/>
      <c r="Z11" s="65"/>
      <c r="AA11" s="65"/>
      <c r="AB11" s="65"/>
      <c r="AC11" s="65"/>
      <c r="AD11" s="65"/>
      <c r="AE11" s="66"/>
    </row>
    <row r="12" spans="1:31" ht="16.350000000000001" customHeight="1" x14ac:dyDescent="0.45"/>
    <row r="13" spans="1:31" ht="16.350000000000001" customHeight="1" x14ac:dyDescent="0.45"/>
  </sheetData>
  <mergeCells count="12">
    <mergeCell ref="F1:K1"/>
    <mergeCell ref="A10:E10"/>
    <mergeCell ref="A11:E11"/>
    <mergeCell ref="A1:E1"/>
    <mergeCell ref="A2:E2"/>
    <mergeCell ref="A3:E3"/>
    <mergeCell ref="A5:E5"/>
    <mergeCell ref="A4:E4"/>
    <mergeCell ref="A6:E6"/>
    <mergeCell ref="A7:E7"/>
    <mergeCell ref="A8:E8"/>
    <mergeCell ref="A9:E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rgb="FF00B050"/>
    <pageSetUpPr fitToPage="1"/>
  </sheetPr>
  <dimension ref="C1:O73"/>
  <sheetViews>
    <sheetView tabSelected="1" view="pageLayout" topLeftCell="A4" zoomScale="80" zoomScaleNormal="80" zoomScalePageLayoutView="80" workbookViewId="0">
      <selection activeCell="K31" sqref="K31"/>
    </sheetView>
  </sheetViews>
  <sheetFormatPr defaultRowHeight="14.25" x14ac:dyDescent="0.45"/>
  <cols>
    <col min="6" max="6" width="13.6640625" customWidth="1" collapsed="1"/>
    <col min="7" max="7" width="20" bestFit="1" customWidth="1"/>
    <col min="8" max="8" width="17.46484375" bestFit="1" customWidth="1"/>
    <col min="9" max="9" width="10.6640625" customWidth="1"/>
    <col min="11" max="11" width="73.46484375" customWidth="1"/>
  </cols>
  <sheetData>
    <row r="1" spans="3:13" ht="18" x14ac:dyDescent="0.55000000000000004">
      <c r="E1" s="178" t="s">
        <v>22</v>
      </c>
      <c r="F1" s="178"/>
      <c r="G1" s="178"/>
      <c r="H1" s="178"/>
      <c r="I1" s="178"/>
      <c r="J1" s="178"/>
    </row>
    <row r="2" spans="3:13" x14ac:dyDescent="0.45">
      <c r="E2" s="179" t="s">
        <v>23</v>
      </c>
      <c r="F2" s="179"/>
      <c r="G2" s="179"/>
      <c r="H2" s="179"/>
      <c r="I2" s="179"/>
      <c r="J2" s="179"/>
    </row>
    <row r="3" spans="3:13" x14ac:dyDescent="0.45">
      <c r="E3" s="180" t="s">
        <v>91</v>
      </c>
      <c r="F3" s="181"/>
      <c r="G3" s="181"/>
      <c r="H3" s="181"/>
      <c r="I3" s="181"/>
      <c r="J3" s="181"/>
    </row>
    <row r="5" spans="3:13" x14ac:dyDescent="0.45">
      <c r="C5" s="182" t="s">
        <v>24</v>
      </c>
      <c r="D5" s="183"/>
      <c r="E5" s="183"/>
      <c r="F5" s="183"/>
      <c r="G5" s="183"/>
      <c r="H5" s="183"/>
      <c r="I5" s="183"/>
      <c r="J5" s="183"/>
      <c r="K5" s="183"/>
      <c r="L5" s="184"/>
    </row>
    <row r="6" spans="3:13" x14ac:dyDescent="0.45">
      <c r="C6" s="20"/>
      <c r="D6" s="21"/>
      <c r="E6" s="173" t="s">
        <v>2</v>
      </c>
      <c r="F6" s="173"/>
      <c r="G6" s="173"/>
      <c r="H6" s="173"/>
      <c r="I6" s="173"/>
      <c r="J6" s="22">
        <f>SUM(G32:G62)</f>
        <v>231241.13461538404</v>
      </c>
      <c r="K6" s="21" t="s">
        <v>25</v>
      </c>
      <c r="L6" s="23"/>
    </row>
    <row r="7" spans="3:13" x14ac:dyDescent="0.45">
      <c r="C7" s="3"/>
      <c r="D7" s="2"/>
      <c r="E7" s="177" t="s">
        <v>4</v>
      </c>
      <c r="F7" s="177"/>
      <c r="G7" s="177"/>
      <c r="H7" s="177"/>
      <c r="I7" s="177"/>
      <c r="J7" s="8">
        <f>'Predicted Data'!D26</f>
        <v>287672</v>
      </c>
      <c r="K7" s="69"/>
      <c r="L7" s="4"/>
    </row>
    <row r="8" spans="3:13" ht="15.75" x14ac:dyDescent="0.45">
      <c r="C8" s="3"/>
      <c r="D8" s="2"/>
      <c r="E8" s="177" t="s">
        <v>6</v>
      </c>
      <c r="F8" s="177"/>
      <c r="G8" s="177"/>
      <c r="H8" s="177"/>
      <c r="I8" s="177"/>
      <c r="J8" s="8">
        <f>SUM(H32:H62)</f>
        <v>128002</v>
      </c>
      <c r="K8" s="2" t="s">
        <v>25</v>
      </c>
      <c r="L8" s="4"/>
    </row>
    <row r="9" spans="3:13" ht="15.75" x14ac:dyDescent="0.45">
      <c r="C9" s="3"/>
      <c r="D9" s="2"/>
      <c r="E9" s="177" t="s">
        <v>8</v>
      </c>
      <c r="F9" s="177"/>
      <c r="G9" s="177"/>
      <c r="H9" s="177"/>
      <c r="I9" s="177"/>
      <c r="J9" s="79"/>
      <c r="K9" s="69"/>
      <c r="L9" s="4"/>
    </row>
    <row r="10" spans="3:13" x14ac:dyDescent="0.45">
      <c r="C10" s="3"/>
      <c r="D10" s="2"/>
      <c r="E10" s="177" t="s">
        <v>10</v>
      </c>
      <c r="F10" s="177"/>
      <c r="G10" s="177"/>
      <c r="H10" s="177"/>
      <c r="I10" s="177"/>
      <c r="J10" s="85">
        <f>'Plant Health'!H106</f>
        <v>276238</v>
      </c>
      <c r="K10" s="2" t="s">
        <v>25</v>
      </c>
      <c r="L10" s="4"/>
    </row>
    <row r="11" spans="3:13" x14ac:dyDescent="0.45">
      <c r="C11" s="3"/>
      <c r="D11" s="2"/>
      <c r="E11" s="177" t="s">
        <v>12</v>
      </c>
      <c r="F11" s="177"/>
      <c r="G11" s="177"/>
      <c r="H11" s="177"/>
      <c r="I11" s="177"/>
      <c r="J11" s="31">
        <f>J6/J10</f>
        <v>0.83710834358554598</v>
      </c>
      <c r="K11" s="2"/>
      <c r="L11" s="4"/>
      <c r="M11" s="61"/>
    </row>
    <row r="12" spans="3:13" x14ac:dyDescent="0.45">
      <c r="C12" s="3"/>
      <c r="D12" s="2"/>
      <c r="E12" s="177" t="s">
        <v>16</v>
      </c>
      <c r="F12" s="177"/>
      <c r="G12" s="177"/>
      <c r="H12" s="177"/>
      <c r="I12" s="177"/>
      <c r="J12" s="31">
        <f>J6/J7</f>
        <v>0.80383608629058112</v>
      </c>
      <c r="K12" s="2"/>
      <c r="L12" s="4"/>
    </row>
    <row r="13" spans="3:13" x14ac:dyDescent="0.45">
      <c r="C13" s="3"/>
      <c r="D13" s="2"/>
      <c r="E13" s="177" t="s">
        <v>18</v>
      </c>
      <c r="F13" s="177"/>
      <c r="G13" s="177"/>
      <c r="H13" s="177"/>
      <c r="I13" s="177"/>
      <c r="J13" s="31">
        <f>Availability!J47</f>
        <v>0.66659999999999997</v>
      </c>
      <c r="K13" s="2"/>
      <c r="L13" s="4"/>
    </row>
    <row r="14" spans="3:13" x14ac:dyDescent="0.45">
      <c r="C14" s="5"/>
      <c r="D14" s="6"/>
      <c r="E14" s="186" t="s">
        <v>20</v>
      </c>
      <c r="F14" s="186"/>
      <c r="G14" s="186"/>
      <c r="H14" s="186"/>
      <c r="I14" s="186"/>
      <c r="J14" s="9">
        <f>Availability!J50</f>
        <v>0.9176809523809526</v>
      </c>
      <c r="K14" s="6"/>
      <c r="L14" s="7"/>
    </row>
    <row r="16" spans="3:13" x14ac:dyDescent="0.45">
      <c r="C16" s="185" t="s">
        <v>26</v>
      </c>
      <c r="D16" s="185"/>
      <c r="E16" s="185"/>
      <c r="F16" s="185"/>
      <c r="G16" s="185"/>
      <c r="H16" s="185"/>
      <c r="I16" s="185"/>
      <c r="J16" s="185"/>
      <c r="K16" s="185"/>
      <c r="L16" s="185"/>
    </row>
    <row r="17" spans="3:12" x14ac:dyDescent="0.45">
      <c r="C17" s="1"/>
      <c r="D17" s="1"/>
      <c r="E17" s="1"/>
      <c r="F17" s="1"/>
      <c r="G17" s="1"/>
      <c r="H17" s="1"/>
      <c r="I17" s="1"/>
      <c r="J17" s="1"/>
      <c r="K17" s="1"/>
      <c r="L17" s="1"/>
    </row>
    <row r="18" spans="3:12" x14ac:dyDescent="0.45">
      <c r="C18" s="1"/>
      <c r="D18" s="1"/>
      <c r="E18" s="1"/>
      <c r="F18" s="1"/>
      <c r="G18" s="1"/>
      <c r="H18" s="1"/>
      <c r="I18" s="1"/>
      <c r="J18" s="1"/>
      <c r="K18" s="1"/>
      <c r="L18" s="1"/>
    </row>
    <row r="19" spans="3:12" x14ac:dyDescent="0.45">
      <c r="C19" s="1"/>
      <c r="D19" s="1"/>
      <c r="E19" s="1"/>
      <c r="F19" s="1"/>
      <c r="G19" s="1"/>
      <c r="H19" s="1"/>
      <c r="I19" s="1"/>
      <c r="J19" s="1"/>
      <c r="K19" s="1"/>
      <c r="L19" s="1"/>
    </row>
    <row r="20" spans="3:12" x14ac:dyDescent="0.45">
      <c r="C20" s="1"/>
      <c r="D20" s="1"/>
      <c r="E20" s="1"/>
      <c r="F20" s="1"/>
      <c r="G20" s="1"/>
      <c r="H20" s="1"/>
      <c r="I20" s="1"/>
      <c r="J20" s="1"/>
      <c r="K20" s="1"/>
      <c r="L20" s="1"/>
    </row>
    <row r="21" spans="3:12" x14ac:dyDescent="0.45">
      <c r="C21" s="1"/>
      <c r="D21" s="1"/>
      <c r="E21" s="1"/>
      <c r="F21" s="1"/>
      <c r="G21" s="1"/>
      <c r="H21" s="1"/>
      <c r="I21" s="1"/>
      <c r="J21" s="1"/>
      <c r="K21" s="1"/>
      <c r="L21" s="1"/>
    </row>
    <row r="22" spans="3:12" x14ac:dyDescent="0.45">
      <c r="C22" s="1"/>
      <c r="D22" s="1"/>
      <c r="E22" s="1"/>
      <c r="F22" s="1"/>
      <c r="G22" s="1"/>
      <c r="H22" s="1"/>
      <c r="I22" s="1"/>
      <c r="J22" s="1"/>
      <c r="K22" s="1"/>
      <c r="L22" s="1"/>
    </row>
    <row r="23" spans="3:12" x14ac:dyDescent="0.45">
      <c r="C23" s="1"/>
      <c r="D23" s="1"/>
      <c r="E23" s="1"/>
      <c r="F23" s="1"/>
      <c r="G23" s="1"/>
      <c r="H23" s="1"/>
      <c r="I23" s="1"/>
      <c r="J23" s="1"/>
      <c r="K23" s="1"/>
      <c r="L23" s="1"/>
    </row>
    <row r="24" spans="3:12" x14ac:dyDescent="0.45">
      <c r="C24" s="1"/>
      <c r="D24" s="1"/>
      <c r="E24" s="1"/>
      <c r="F24" s="1"/>
      <c r="G24" s="1"/>
      <c r="H24" s="1"/>
      <c r="I24" s="1"/>
      <c r="J24" s="1"/>
      <c r="K24" s="1"/>
      <c r="L24" s="1"/>
    </row>
    <row r="25" spans="3:12" x14ac:dyDescent="0.45">
      <c r="C25" s="1"/>
      <c r="D25" s="1"/>
      <c r="E25" s="1"/>
      <c r="F25" s="1"/>
      <c r="G25" s="1"/>
      <c r="H25" s="1"/>
      <c r="I25" s="1"/>
      <c r="J25" s="1"/>
      <c r="K25" s="1"/>
      <c r="L25" s="1"/>
    </row>
    <row r="26" spans="3:12" x14ac:dyDescent="0.45">
      <c r="C26" s="1"/>
      <c r="D26" s="1"/>
      <c r="E26" s="1"/>
      <c r="F26" s="1"/>
      <c r="G26" s="1"/>
      <c r="H26" s="1"/>
      <c r="I26" s="1"/>
      <c r="J26" s="1"/>
      <c r="K26" s="1"/>
      <c r="L26" s="1"/>
    </row>
    <row r="27" spans="3:12" x14ac:dyDescent="0.45">
      <c r="C27" s="1"/>
      <c r="D27" s="1"/>
      <c r="E27" s="1"/>
      <c r="F27" s="1"/>
      <c r="G27" s="1"/>
      <c r="H27" s="1"/>
      <c r="I27" s="1"/>
      <c r="J27" s="1"/>
      <c r="K27" s="1"/>
      <c r="L27" s="1"/>
    </row>
    <row r="28" spans="3:12" x14ac:dyDescent="0.45">
      <c r="C28" s="1"/>
      <c r="D28" s="1"/>
      <c r="E28" s="1"/>
      <c r="F28" s="1"/>
      <c r="G28" s="1"/>
      <c r="H28" s="1"/>
      <c r="I28" s="1"/>
      <c r="J28" s="1"/>
      <c r="K28" s="1"/>
      <c r="L28" s="1"/>
    </row>
    <row r="30" spans="3:12" x14ac:dyDescent="0.45">
      <c r="E30" s="11"/>
      <c r="F30" s="185" t="s">
        <v>27</v>
      </c>
      <c r="G30" s="185"/>
      <c r="H30" s="185"/>
      <c r="I30" s="185"/>
      <c r="J30" s="11"/>
      <c r="K30" s="11"/>
      <c r="L30" s="11"/>
    </row>
    <row r="31" spans="3:12" s="10" customFormat="1" ht="44.1" customHeight="1" x14ac:dyDescent="0.45">
      <c r="E31" s="13"/>
      <c r="F31" s="158" t="s">
        <v>28</v>
      </c>
      <c r="G31" s="159" t="s">
        <v>29</v>
      </c>
      <c r="H31" s="159" t="s">
        <v>30</v>
      </c>
      <c r="I31" s="159" t="s">
        <v>31</v>
      </c>
      <c r="J31" s="12"/>
      <c r="K31" s="13"/>
    </row>
    <row r="32" spans="3:12" ht="23.45" customHeight="1" x14ac:dyDescent="0.45">
      <c r="E32" s="2"/>
      <c r="F32" s="160">
        <v>45931</v>
      </c>
      <c r="G32" s="164">
        <v>12249.134615384042</v>
      </c>
      <c r="H32" s="161">
        <v>6838</v>
      </c>
      <c r="I32" s="161">
        <v>53</v>
      </c>
      <c r="J32" s="2"/>
      <c r="K32" s="151"/>
    </row>
    <row r="33" spans="5:15" x14ac:dyDescent="0.45">
      <c r="E33" s="2"/>
      <c r="F33" s="160">
        <v>45932</v>
      </c>
      <c r="G33" s="164">
        <v>11882</v>
      </c>
      <c r="H33" s="161">
        <v>6492</v>
      </c>
      <c r="I33" s="161">
        <v>49</v>
      </c>
      <c r="J33" s="2"/>
      <c r="K33" s="14"/>
    </row>
    <row r="34" spans="5:15" x14ac:dyDescent="0.45">
      <c r="E34" s="2"/>
      <c r="F34" s="160">
        <v>45933</v>
      </c>
      <c r="G34" s="164">
        <v>11255</v>
      </c>
      <c r="H34" s="161">
        <v>6248</v>
      </c>
      <c r="I34" s="161">
        <v>54</v>
      </c>
      <c r="J34" s="2"/>
      <c r="K34" s="14"/>
    </row>
    <row r="35" spans="5:15" x14ac:dyDescent="0.45">
      <c r="E35" s="2"/>
      <c r="F35" s="160">
        <v>45934</v>
      </c>
      <c r="G35" s="164">
        <v>10831</v>
      </c>
      <c r="H35" s="161">
        <v>6132</v>
      </c>
      <c r="I35" s="161">
        <v>61</v>
      </c>
      <c r="J35" s="2"/>
      <c r="K35" s="14"/>
    </row>
    <row r="36" spans="5:15" x14ac:dyDescent="0.45">
      <c r="E36" s="2"/>
      <c r="F36" s="160">
        <v>45935</v>
      </c>
      <c r="G36" s="164">
        <v>10765</v>
      </c>
      <c r="H36" s="161">
        <v>6123</v>
      </c>
      <c r="I36" s="161">
        <v>65</v>
      </c>
      <c r="J36" s="2"/>
      <c r="K36" s="14"/>
    </row>
    <row r="37" spans="5:15" x14ac:dyDescent="0.45">
      <c r="E37" s="2"/>
      <c r="F37" s="160">
        <v>45936</v>
      </c>
      <c r="G37" s="164">
        <v>10997</v>
      </c>
      <c r="H37" s="161">
        <v>6291</v>
      </c>
      <c r="I37" s="161">
        <v>67</v>
      </c>
      <c r="J37" s="2"/>
      <c r="K37" s="14"/>
    </row>
    <row r="38" spans="5:15" x14ac:dyDescent="0.45">
      <c r="E38" s="2"/>
      <c r="F38" s="160">
        <v>45937</v>
      </c>
      <c r="G38" s="164">
        <v>9846</v>
      </c>
      <c r="H38" s="161">
        <v>5443</v>
      </c>
      <c r="I38" s="161">
        <v>69</v>
      </c>
      <c r="J38" s="2"/>
      <c r="K38" s="14"/>
    </row>
    <row r="39" spans="5:15" x14ac:dyDescent="0.45">
      <c r="E39" s="2"/>
      <c r="F39" s="160">
        <v>45938</v>
      </c>
      <c r="G39" s="164">
        <v>4953.1666666660458</v>
      </c>
      <c r="H39" s="161">
        <v>2737</v>
      </c>
      <c r="I39" s="161">
        <v>61</v>
      </c>
      <c r="J39" s="2"/>
      <c r="K39" s="14"/>
    </row>
    <row r="40" spans="5:15" x14ac:dyDescent="0.45">
      <c r="E40" s="2"/>
      <c r="F40" s="160">
        <v>45939</v>
      </c>
      <c r="G40" s="164">
        <v>12179.833333333954</v>
      </c>
      <c r="H40" s="161">
        <v>6602</v>
      </c>
      <c r="I40" s="161">
        <v>46</v>
      </c>
      <c r="J40" s="2"/>
      <c r="K40" s="14"/>
    </row>
    <row r="41" spans="5:15" x14ac:dyDescent="0.45">
      <c r="E41" s="2"/>
      <c r="F41" s="160">
        <v>45940</v>
      </c>
      <c r="G41" s="164">
        <v>2481</v>
      </c>
      <c r="H41" s="161">
        <v>1787</v>
      </c>
      <c r="I41" s="161">
        <v>40</v>
      </c>
      <c r="J41" s="2"/>
      <c r="K41" s="14"/>
    </row>
    <row r="42" spans="5:15" x14ac:dyDescent="0.45">
      <c r="E42" s="2"/>
      <c r="F42" s="160">
        <v>45941</v>
      </c>
      <c r="G42" s="164">
        <v>8215.75</v>
      </c>
      <c r="H42" s="161">
        <v>4564</v>
      </c>
      <c r="I42" s="161">
        <v>51</v>
      </c>
      <c r="J42" s="2"/>
      <c r="K42" s="14"/>
    </row>
    <row r="43" spans="5:15" x14ac:dyDescent="0.45">
      <c r="E43" s="2"/>
      <c r="F43" s="160">
        <v>45942</v>
      </c>
      <c r="G43" s="164">
        <v>1359.9166666679084</v>
      </c>
      <c r="H43" s="161">
        <v>675</v>
      </c>
      <c r="I43" s="161">
        <v>51</v>
      </c>
      <c r="J43" s="2"/>
      <c r="K43" s="14"/>
    </row>
    <row r="44" spans="5:15" x14ac:dyDescent="0.45">
      <c r="E44" s="2"/>
      <c r="F44" s="160">
        <v>45943</v>
      </c>
      <c r="G44" s="164">
        <v>1772.3333333320916</v>
      </c>
      <c r="H44" s="161">
        <v>863</v>
      </c>
      <c r="I44" s="161">
        <v>50</v>
      </c>
      <c r="J44" s="2"/>
      <c r="K44" s="14"/>
    </row>
    <row r="45" spans="5:15" x14ac:dyDescent="0.45">
      <c r="E45" s="2"/>
      <c r="F45" s="160">
        <v>45944</v>
      </c>
      <c r="G45" s="164">
        <v>3402.5737704914063</v>
      </c>
      <c r="H45" s="161">
        <v>1665</v>
      </c>
      <c r="I45" s="161">
        <v>55</v>
      </c>
      <c r="J45" s="2"/>
      <c r="K45" s="14"/>
    </row>
    <row r="46" spans="5:15" x14ac:dyDescent="0.45">
      <c r="E46" s="2"/>
      <c r="F46" s="160">
        <v>45945</v>
      </c>
      <c r="G46" s="164">
        <v>7949.4262295085937</v>
      </c>
      <c r="H46" s="161">
        <v>4281</v>
      </c>
      <c r="I46" s="161">
        <v>53</v>
      </c>
      <c r="J46" s="2"/>
      <c r="K46" s="14"/>
    </row>
    <row r="47" spans="5:15" x14ac:dyDescent="0.45">
      <c r="E47" s="2"/>
      <c r="F47" s="160">
        <v>45946</v>
      </c>
      <c r="G47" s="164">
        <v>9491</v>
      </c>
      <c r="H47" s="161">
        <v>5067</v>
      </c>
      <c r="I47" s="161">
        <v>49</v>
      </c>
      <c r="J47" s="2"/>
      <c r="K47" s="14"/>
    </row>
    <row r="48" spans="5:15" x14ac:dyDescent="0.45">
      <c r="E48" s="2"/>
      <c r="F48" s="160">
        <v>45947</v>
      </c>
      <c r="G48" s="164">
        <v>10859.646153844893</v>
      </c>
      <c r="H48" s="161">
        <v>6013</v>
      </c>
      <c r="I48" s="161">
        <v>50</v>
      </c>
      <c r="J48" s="2"/>
      <c r="K48" s="14"/>
      <c r="M48" s="2"/>
      <c r="N48" s="2"/>
      <c r="O48" s="2"/>
    </row>
    <row r="49" spans="5:15" x14ac:dyDescent="0.45">
      <c r="E49" s="2"/>
      <c r="F49" s="160">
        <v>45948</v>
      </c>
      <c r="G49" s="164">
        <v>10007.862618084997</v>
      </c>
      <c r="H49" s="161">
        <v>5527</v>
      </c>
      <c r="I49" s="161">
        <v>47</v>
      </c>
      <c r="J49" s="2"/>
      <c r="K49" s="14"/>
      <c r="M49" s="2"/>
      <c r="N49" s="2"/>
      <c r="O49" s="2"/>
    </row>
    <row r="50" spans="5:15" x14ac:dyDescent="0.45">
      <c r="E50" s="2"/>
      <c r="F50" s="160">
        <v>45949</v>
      </c>
      <c r="G50" s="164">
        <v>8653.4912280701101</v>
      </c>
      <c r="H50" s="161">
        <v>4766</v>
      </c>
      <c r="I50" s="161">
        <v>55</v>
      </c>
      <c r="J50" s="2"/>
      <c r="K50" s="14"/>
    </row>
    <row r="51" spans="5:15" x14ac:dyDescent="0.45">
      <c r="E51" s="2"/>
      <c r="F51" s="160">
        <v>45950</v>
      </c>
      <c r="G51" s="164">
        <v>985</v>
      </c>
      <c r="H51" s="161">
        <v>519</v>
      </c>
      <c r="I51" s="161">
        <v>60</v>
      </c>
      <c r="J51" s="2"/>
      <c r="K51" s="14"/>
    </row>
    <row r="52" spans="5:15" x14ac:dyDescent="0.45">
      <c r="E52" s="2"/>
      <c r="F52" s="160">
        <v>45951</v>
      </c>
      <c r="G52" s="164">
        <v>10606</v>
      </c>
      <c r="H52" s="161">
        <v>5888</v>
      </c>
      <c r="I52" s="161">
        <v>55</v>
      </c>
      <c r="J52" s="2"/>
      <c r="K52" s="14"/>
    </row>
    <row r="53" spans="5:15" x14ac:dyDescent="0.45">
      <c r="E53" s="2"/>
      <c r="F53" s="160">
        <v>45952</v>
      </c>
      <c r="G53" s="164">
        <v>4817.8514851480722</v>
      </c>
      <c r="H53" s="161">
        <v>2765</v>
      </c>
      <c r="I53" s="161">
        <v>54</v>
      </c>
      <c r="J53" s="2"/>
      <c r="K53" s="14"/>
    </row>
    <row r="54" spans="5:15" x14ac:dyDescent="0.45">
      <c r="E54" s="2"/>
      <c r="F54" s="160">
        <v>45953</v>
      </c>
      <c r="G54" s="164">
        <v>8775.1485148519278</v>
      </c>
      <c r="H54" s="161">
        <v>4961</v>
      </c>
      <c r="I54" s="161">
        <v>49</v>
      </c>
      <c r="J54" s="2"/>
      <c r="K54" s="14"/>
    </row>
    <row r="55" spans="5:15" x14ac:dyDescent="0.45">
      <c r="E55" s="2"/>
      <c r="F55" s="160">
        <v>45954</v>
      </c>
      <c r="G55" s="164">
        <v>5892</v>
      </c>
      <c r="H55" s="161">
        <v>3213</v>
      </c>
      <c r="I55" s="161">
        <v>45</v>
      </c>
      <c r="J55" s="2"/>
      <c r="K55" s="14"/>
    </row>
    <row r="56" spans="5:15" x14ac:dyDescent="0.45">
      <c r="E56" s="2"/>
      <c r="F56" s="160">
        <v>45955</v>
      </c>
      <c r="G56" s="164">
        <v>7290</v>
      </c>
      <c r="H56" s="161">
        <v>3974</v>
      </c>
      <c r="I56" s="161">
        <v>45</v>
      </c>
      <c r="J56" s="2"/>
      <c r="K56" s="14"/>
    </row>
    <row r="57" spans="5:15" x14ac:dyDescent="0.45">
      <c r="E57" s="2"/>
      <c r="F57" s="160">
        <v>45956</v>
      </c>
      <c r="G57" s="164">
        <v>10305.666666667908</v>
      </c>
      <c r="H57" s="161">
        <v>5691</v>
      </c>
      <c r="I57" s="161">
        <v>44</v>
      </c>
      <c r="J57" s="2"/>
      <c r="K57" s="14"/>
    </row>
    <row r="58" spans="5:15" x14ac:dyDescent="0.45">
      <c r="E58" s="2"/>
      <c r="F58" s="160">
        <v>45957</v>
      </c>
      <c r="G58" s="164">
        <v>7375.3333333320916</v>
      </c>
      <c r="H58" s="161">
        <v>4085</v>
      </c>
      <c r="I58" s="161">
        <v>41</v>
      </c>
      <c r="J58" s="2"/>
      <c r="K58" s="14"/>
    </row>
    <row r="59" spans="5:15" x14ac:dyDescent="0.45">
      <c r="E59" s="2"/>
      <c r="F59" s="160">
        <v>45958</v>
      </c>
      <c r="G59" s="164">
        <v>9628</v>
      </c>
      <c r="H59" s="161">
        <v>5355</v>
      </c>
      <c r="I59" s="161">
        <v>43</v>
      </c>
      <c r="J59" s="2"/>
      <c r="K59" s="14"/>
    </row>
    <row r="60" spans="5:15" x14ac:dyDescent="0.45">
      <c r="E60" s="2"/>
      <c r="F60" s="160">
        <v>45959</v>
      </c>
      <c r="G60" s="164">
        <v>2210</v>
      </c>
      <c r="H60" s="161">
        <v>1095</v>
      </c>
      <c r="I60" s="161">
        <v>47</v>
      </c>
      <c r="J60" s="2"/>
      <c r="K60" s="14"/>
    </row>
    <row r="61" spans="5:15" x14ac:dyDescent="0.45">
      <c r="E61" s="2"/>
      <c r="F61" s="160">
        <v>45960</v>
      </c>
      <c r="G61" s="164">
        <v>126</v>
      </c>
      <c r="H61" s="161">
        <v>84</v>
      </c>
      <c r="I61" s="161">
        <v>49</v>
      </c>
      <c r="J61" s="2"/>
      <c r="K61" s="14"/>
    </row>
    <row r="62" spans="5:15" s="2" customFormat="1" x14ac:dyDescent="0.45">
      <c r="F62" s="160">
        <v>45961</v>
      </c>
      <c r="G62" s="165">
        <v>4079</v>
      </c>
      <c r="H62" s="161">
        <v>2258</v>
      </c>
      <c r="I62" s="161">
        <v>54</v>
      </c>
      <c r="K62" s="14"/>
    </row>
    <row r="63" spans="5:15" s="2" customFormat="1" x14ac:dyDescent="0.45">
      <c r="F63" s="157"/>
      <c r="G63" s="155"/>
      <c r="H63" s="155"/>
      <c r="I63" s="156"/>
      <c r="K63" s="14"/>
    </row>
    <row r="64" spans="5:15" x14ac:dyDescent="0.45">
      <c r="F64" s="143"/>
      <c r="G64" s="137"/>
      <c r="H64" s="2"/>
      <c r="I64" s="2"/>
    </row>
    <row r="65" spans="3:12" x14ac:dyDescent="0.45">
      <c r="C65" s="182" t="s">
        <v>32</v>
      </c>
      <c r="D65" s="183"/>
      <c r="E65" s="183"/>
      <c r="F65" s="183"/>
      <c r="G65" s="183"/>
      <c r="H65" s="183"/>
      <c r="I65" s="183"/>
      <c r="J65" s="183"/>
      <c r="K65" s="183"/>
      <c r="L65" s="184"/>
    </row>
    <row r="66" spans="3:12" ht="15" customHeight="1" x14ac:dyDescent="0.45">
      <c r="C66" s="199"/>
      <c r="D66" s="200"/>
      <c r="E66" s="200"/>
      <c r="F66" s="200"/>
      <c r="G66" s="200"/>
      <c r="H66" s="200"/>
      <c r="I66" s="200"/>
      <c r="J66" s="200"/>
      <c r="K66" s="200"/>
      <c r="L66" s="201"/>
    </row>
    <row r="67" spans="3:12" x14ac:dyDescent="0.45">
      <c r="C67" s="202"/>
      <c r="D67" s="203"/>
      <c r="E67" s="203"/>
      <c r="F67" s="203"/>
      <c r="G67" s="203"/>
      <c r="H67" s="203"/>
      <c r="I67" s="203"/>
      <c r="J67" s="203"/>
      <c r="K67" s="203"/>
      <c r="L67" s="204"/>
    </row>
    <row r="68" spans="3:12" x14ac:dyDescent="0.45">
      <c r="C68" s="205"/>
      <c r="D68" s="206"/>
      <c r="E68" s="206"/>
      <c r="F68" s="206"/>
      <c r="G68" s="206"/>
      <c r="H68" s="206"/>
      <c r="I68" s="206"/>
      <c r="J68" s="206"/>
      <c r="K68" s="206"/>
      <c r="L68" s="207"/>
    </row>
    <row r="70" spans="3:12" x14ac:dyDescent="0.45">
      <c r="C70" s="187" t="s">
        <v>33</v>
      </c>
      <c r="D70" s="188"/>
      <c r="E70" s="188"/>
      <c r="F70" s="188"/>
      <c r="G70" s="188"/>
      <c r="H70" s="188"/>
      <c r="I70" s="188"/>
      <c r="J70" s="188"/>
      <c r="K70" s="188"/>
      <c r="L70" s="189"/>
    </row>
    <row r="71" spans="3:12" ht="14.85" customHeight="1" x14ac:dyDescent="0.45">
      <c r="C71" s="190" t="s">
        <v>93</v>
      </c>
      <c r="D71" s="191"/>
      <c r="E71" s="191"/>
      <c r="F71" s="191"/>
      <c r="G71" s="191"/>
      <c r="H71" s="191"/>
      <c r="I71" s="191"/>
      <c r="J71" s="191"/>
      <c r="K71" s="191"/>
      <c r="L71" s="192"/>
    </row>
    <row r="72" spans="3:12" ht="31.25" customHeight="1" x14ac:dyDescent="0.45">
      <c r="C72" s="193"/>
      <c r="D72" s="194"/>
      <c r="E72" s="194"/>
      <c r="F72" s="194"/>
      <c r="G72" s="194"/>
      <c r="H72" s="194"/>
      <c r="I72" s="194"/>
      <c r="J72" s="194"/>
      <c r="K72" s="194"/>
      <c r="L72" s="195"/>
    </row>
    <row r="73" spans="3:12" ht="27" customHeight="1" x14ac:dyDescent="0.45">
      <c r="C73" s="196"/>
      <c r="D73" s="197"/>
      <c r="E73" s="197"/>
      <c r="F73" s="197"/>
      <c r="G73" s="197"/>
      <c r="H73" s="197"/>
      <c r="I73" s="197"/>
      <c r="J73" s="197"/>
      <c r="K73" s="197"/>
      <c r="L73" s="198"/>
    </row>
  </sheetData>
  <mergeCells count="19">
    <mergeCell ref="C70:L70"/>
    <mergeCell ref="C65:L65"/>
    <mergeCell ref="E13:I13"/>
    <mergeCell ref="F30:I30"/>
    <mergeCell ref="C71:L73"/>
    <mergeCell ref="C66:L68"/>
    <mergeCell ref="E8:I8"/>
    <mergeCell ref="E9:I9"/>
    <mergeCell ref="E10:I10"/>
    <mergeCell ref="E11:I11"/>
    <mergeCell ref="C16:L16"/>
    <mergeCell ref="E14:I14"/>
    <mergeCell ref="E12:I12"/>
    <mergeCell ref="E7:I7"/>
    <mergeCell ref="E1:J1"/>
    <mergeCell ref="E2:J2"/>
    <mergeCell ref="E3:J3"/>
    <mergeCell ref="C5:L5"/>
    <mergeCell ref="E6:I6"/>
  </mergeCells>
  <pageMargins left="0.7" right="0.7" top="0.75" bottom="0.75" header="0.3" footer="0.3"/>
  <pageSetup scale="4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B050"/>
    <pageSetUpPr fitToPage="1"/>
  </sheetPr>
  <dimension ref="C1:X74"/>
  <sheetViews>
    <sheetView topLeftCell="A21" zoomScale="85" zoomScaleNormal="85" workbookViewId="0">
      <selection activeCell="K46" sqref="K46"/>
    </sheetView>
  </sheetViews>
  <sheetFormatPr defaultRowHeight="14.25" x14ac:dyDescent="0.45"/>
  <cols>
    <col min="4" max="4" width="9.1328125" customWidth="1"/>
    <col min="6" max="6" width="11.86328125" bestFit="1" customWidth="1" collapsed="1"/>
    <col min="7" max="7" width="21.46484375" bestFit="1" customWidth="1"/>
    <col min="8" max="8" width="19.53125" bestFit="1" customWidth="1"/>
    <col min="9" max="9" width="17.86328125" bestFit="1" customWidth="1"/>
    <col min="10" max="10" width="10.1328125" customWidth="1"/>
    <col min="18" max="18" width="14.6640625" bestFit="1" customWidth="1"/>
  </cols>
  <sheetData>
    <row r="1" spans="3:18" ht="18" x14ac:dyDescent="0.55000000000000004">
      <c r="E1" s="178" t="s">
        <v>34</v>
      </c>
      <c r="F1" s="178"/>
      <c r="G1" s="178"/>
      <c r="H1" s="178"/>
      <c r="I1" s="178"/>
      <c r="J1" s="178"/>
    </row>
    <row r="2" spans="3:18" x14ac:dyDescent="0.45">
      <c r="E2" s="179" t="s">
        <v>23</v>
      </c>
      <c r="F2" s="179"/>
      <c r="G2" s="179"/>
      <c r="H2" s="179"/>
      <c r="I2" s="179"/>
      <c r="J2" s="179"/>
    </row>
    <row r="3" spans="3:18" ht="14.25" customHeight="1" x14ac:dyDescent="0.45">
      <c r="E3" s="180" t="s">
        <v>92</v>
      </c>
      <c r="F3" s="181"/>
      <c r="G3" s="181"/>
      <c r="H3" s="181"/>
      <c r="I3" s="181"/>
      <c r="J3" s="181"/>
    </row>
    <row r="5" spans="3:18" x14ac:dyDescent="0.45">
      <c r="C5" s="182" t="s">
        <v>24</v>
      </c>
      <c r="D5" s="183"/>
      <c r="E5" s="183"/>
      <c r="F5" s="183"/>
      <c r="G5" s="183"/>
      <c r="H5" s="183"/>
      <c r="I5" s="183"/>
      <c r="J5" s="183"/>
      <c r="K5" s="183"/>
      <c r="L5" s="184"/>
      <c r="R5" s="26"/>
    </row>
    <row r="6" spans="3:18" x14ac:dyDescent="0.45">
      <c r="C6" s="20"/>
      <c r="D6" s="21"/>
      <c r="E6" s="173" t="s">
        <v>2</v>
      </c>
      <c r="F6" s="173"/>
      <c r="G6" s="173"/>
      <c r="H6" s="173"/>
      <c r="I6" s="173"/>
      <c r="J6" s="22">
        <f>SUM(G32:G62)</f>
        <v>351940</v>
      </c>
      <c r="K6" s="2"/>
      <c r="L6" s="23"/>
      <c r="R6" s="26"/>
    </row>
    <row r="7" spans="3:18" x14ac:dyDescent="0.45">
      <c r="C7" s="3"/>
      <c r="D7" s="2"/>
      <c r="E7" s="177" t="s">
        <v>4</v>
      </c>
      <c r="F7" s="177"/>
      <c r="G7" s="177"/>
      <c r="H7" s="177"/>
      <c r="I7" s="177"/>
      <c r="J7" s="8">
        <f>'Predicted Data'!D14</f>
        <v>292225.09999999998</v>
      </c>
      <c r="K7" s="69"/>
      <c r="L7" s="4"/>
      <c r="R7" s="26"/>
    </row>
    <row r="8" spans="3:18" ht="15.75" x14ac:dyDescent="0.45">
      <c r="C8" s="3"/>
      <c r="D8" s="2"/>
      <c r="E8" s="177" t="s">
        <v>6</v>
      </c>
      <c r="F8" s="177"/>
      <c r="G8" s="177"/>
      <c r="H8" s="177"/>
      <c r="I8" s="177"/>
      <c r="J8" s="8">
        <f>SUM(H32:H62)</f>
        <v>114961.49830000002</v>
      </c>
      <c r="K8" s="2"/>
      <c r="L8" s="4"/>
      <c r="R8" s="26"/>
    </row>
    <row r="9" spans="3:18" ht="15.75" x14ac:dyDescent="0.45">
      <c r="C9" s="3"/>
      <c r="D9" s="2"/>
      <c r="E9" s="177" t="s">
        <v>8</v>
      </c>
      <c r="F9" s="177"/>
      <c r="G9" s="177"/>
      <c r="H9" s="177"/>
      <c r="I9" s="177"/>
      <c r="J9" s="79"/>
      <c r="K9" s="69"/>
      <c r="L9" s="4"/>
      <c r="R9" s="44"/>
    </row>
    <row r="10" spans="3:18" x14ac:dyDescent="0.45">
      <c r="C10" s="3"/>
      <c r="D10" s="2"/>
      <c r="E10" s="177" t="s">
        <v>10</v>
      </c>
      <c r="F10" s="177"/>
      <c r="G10" s="177"/>
      <c r="H10" s="177"/>
      <c r="I10" s="177"/>
      <c r="J10" s="84">
        <f>'Plant Health'!E106</f>
        <v>331548</v>
      </c>
      <c r="K10" s="2"/>
      <c r="L10" s="4"/>
      <c r="R10" s="26"/>
    </row>
    <row r="11" spans="3:18" x14ac:dyDescent="0.45">
      <c r="C11" s="3"/>
      <c r="D11" s="2"/>
      <c r="E11" s="177" t="s">
        <v>12</v>
      </c>
      <c r="F11" s="177"/>
      <c r="G11" s="177"/>
      <c r="H11" s="177"/>
      <c r="I11" s="177"/>
      <c r="J11" s="31">
        <f>J6/J10</f>
        <v>1.0615054230458334</v>
      </c>
      <c r="K11" s="2"/>
      <c r="L11" s="4"/>
      <c r="R11" s="26"/>
    </row>
    <row r="12" spans="3:18" x14ac:dyDescent="0.45">
      <c r="C12" s="3"/>
      <c r="D12" s="2"/>
      <c r="E12" s="177" t="s">
        <v>16</v>
      </c>
      <c r="F12" s="177"/>
      <c r="G12" s="177"/>
      <c r="H12" s="177"/>
      <c r="I12" s="177"/>
      <c r="J12" s="31">
        <f>J6/J7</f>
        <v>1.2043455541635542</v>
      </c>
      <c r="K12" s="2"/>
      <c r="L12" s="4"/>
      <c r="R12" s="26"/>
    </row>
    <row r="13" spans="3:18" x14ac:dyDescent="0.45">
      <c r="C13" s="3"/>
      <c r="D13" s="2"/>
      <c r="E13" s="177" t="s">
        <v>18</v>
      </c>
      <c r="F13" s="177"/>
      <c r="G13" s="177"/>
      <c r="H13" s="177"/>
      <c r="I13" s="177"/>
      <c r="J13" s="31">
        <f>Availability!I47</f>
        <v>1</v>
      </c>
      <c r="K13" s="2"/>
      <c r="L13" s="4"/>
      <c r="R13" s="26"/>
    </row>
    <row r="14" spans="3:18" x14ac:dyDescent="0.45">
      <c r="C14" s="5"/>
      <c r="D14" s="6"/>
      <c r="E14" s="186" t="s">
        <v>20</v>
      </c>
      <c r="F14" s="186"/>
      <c r="G14" s="186"/>
      <c r="H14" s="186"/>
      <c r="I14" s="186"/>
      <c r="J14" s="9">
        <f>Availability!I50</f>
        <v>0.9983658333333334</v>
      </c>
      <c r="K14" s="6"/>
      <c r="L14" s="7"/>
      <c r="R14" s="26"/>
    </row>
    <row r="15" spans="3:18" x14ac:dyDescent="0.45">
      <c r="R15" s="26"/>
    </row>
    <row r="16" spans="3:18" x14ac:dyDescent="0.45">
      <c r="C16" s="182" t="s">
        <v>26</v>
      </c>
      <c r="D16" s="183"/>
      <c r="E16" s="183"/>
      <c r="F16" s="183"/>
      <c r="G16" s="183"/>
      <c r="H16" s="183"/>
      <c r="I16" s="183"/>
      <c r="J16" s="183"/>
      <c r="K16" s="183"/>
      <c r="L16" s="184"/>
      <c r="R16" s="26"/>
    </row>
    <row r="17" spans="5:24" x14ac:dyDescent="0.45">
      <c r="R17" s="26"/>
    </row>
    <row r="18" spans="5:24" x14ac:dyDescent="0.45">
      <c r="R18" s="26"/>
    </row>
    <row r="19" spans="5:24" x14ac:dyDescent="0.45">
      <c r="R19" s="26"/>
    </row>
    <row r="20" spans="5:24" x14ac:dyDescent="0.45">
      <c r="R20" s="26"/>
    </row>
    <row r="21" spans="5:24" x14ac:dyDescent="0.45">
      <c r="R21" s="26"/>
    </row>
    <row r="22" spans="5:24" x14ac:dyDescent="0.45">
      <c r="R22" s="26"/>
    </row>
    <row r="23" spans="5:24" x14ac:dyDescent="0.45">
      <c r="R23" s="26"/>
    </row>
    <row r="24" spans="5:24" x14ac:dyDescent="0.45">
      <c r="R24" s="26"/>
    </row>
    <row r="25" spans="5:24" x14ac:dyDescent="0.45">
      <c r="R25" s="26"/>
    </row>
    <row r="26" spans="5:24" x14ac:dyDescent="0.45">
      <c r="R26" s="26"/>
    </row>
    <row r="27" spans="5:24" x14ac:dyDescent="0.45">
      <c r="R27" s="26"/>
    </row>
    <row r="28" spans="5:24" x14ac:dyDescent="0.45">
      <c r="R28" s="26"/>
    </row>
    <row r="29" spans="5:24" x14ac:dyDescent="0.45">
      <c r="F29" s="2"/>
      <c r="G29" s="2"/>
      <c r="H29" s="2"/>
      <c r="I29" s="2"/>
      <c r="R29" s="26"/>
    </row>
    <row r="30" spans="5:24" x14ac:dyDescent="0.45">
      <c r="E30" s="11"/>
      <c r="F30" s="208" t="s">
        <v>27</v>
      </c>
      <c r="G30" s="208"/>
      <c r="H30" s="208"/>
      <c r="I30" s="209"/>
      <c r="J30" s="11"/>
      <c r="K30" s="11"/>
      <c r="L30" s="11"/>
      <c r="R30" s="26"/>
    </row>
    <row r="31" spans="5:24" s="10" customFormat="1" ht="44.1" customHeight="1" x14ac:dyDescent="0.45">
      <c r="E31" s="13"/>
      <c r="F31" s="138" t="s">
        <v>28</v>
      </c>
      <c r="G31" s="162" t="s">
        <v>29</v>
      </c>
      <c r="H31" s="163" t="s">
        <v>30</v>
      </c>
      <c r="I31" s="162" t="s">
        <v>31</v>
      </c>
      <c r="J31" s="12"/>
      <c r="K31" s="13"/>
      <c r="R31" s="45"/>
      <c r="X31"/>
    </row>
    <row r="32" spans="5:24" x14ac:dyDescent="0.45">
      <c r="E32" s="2"/>
      <c r="F32" s="154">
        <v>45931</v>
      </c>
      <c r="G32" s="161">
        <v>18392.5</v>
      </c>
      <c r="H32" s="161">
        <v>5958.97</v>
      </c>
      <c r="I32" s="161">
        <v>55</v>
      </c>
      <c r="J32" s="14"/>
      <c r="K32" s="14"/>
      <c r="R32" s="26"/>
    </row>
    <row r="33" spans="5:18" x14ac:dyDescent="0.45">
      <c r="E33" s="2"/>
      <c r="F33" s="154">
        <v>45932</v>
      </c>
      <c r="G33" s="161">
        <v>18038.25</v>
      </c>
      <c r="H33" s="161">
        <v>5845.05</v>
      </c>
      <c r="I33" s="161">
        <v>51</v>
      </c>
      <c r="J33" s="14"/>
      <c r="K33" s="14"/>
      <c r="R33" s="26"/>
    </row>
    <row r="34" spans="5:18" x14ac:dyDescent="0.45">
      <c r="E34" s="2"/>
      <c r="F34" s="154">
        <v>45933</v>
      </c>
      <c r="G34" s="161">
        <v>17280.5</v>
      </c>
      <c r="H34" s="161">
        <v>5638.6030000000001</v>
      </c>
      <c r="I34" s="161">
        <v>57</v>
      </c>
      <c r="J34" s="14"/>
      <c r="K34" s="14"/>
      <c r="R34" s="26"/>
    </row>
    <row r="35" spans="5:18" x14ac:dyDescent="0.45">
      <c r="E35" s="2"/>
      <c r="F35" s="154">
        <v>45934</v>
      </c>
      <c r="G35" s="161">
        <v>16574</v>
      </c>
      <c r="H35" s="161">
        <v>5578.2830000000004</v>
      </c>
      <c r="I35" s="161">
        <v>63</v>
      </c>
      <c r="J35" s="14"/>
      <c r="K35" s="14"/>
      <c r="R35" s="26"/>
    </row>
    <row r="36" spans="5:18" x14ac:dyDescent="0.45">
      <c r="E36" s="2"/>
      <c r="F36" s="154">
        <v>45935</v>
      </c>
      <c r="G36" s="161">
        <v>16164.5</v>
      </c>
      <c r="H36" s="161">
        <v>5501.8190000000004</v>
      </c>
      <c r="I36" s="161">
        <v>67</v>
      </c>
      <c r="J36" s="14"/>
      <c r="K36" s="14"/>
      <c r="R36" s="26"/>
    </row>
    <row r="37" spans="5:18" x14ac:dyDescent="0.45">
      <c r="E37" s="2"/>
      <c r="F37" s="154">
        <v>45936</v>
      </c>
      <c r="G37" s="161">
        <v>16463.75</v>
      </c>
      <c r="H37" s="161">
        <v>5520.3959999999997</v>
      </c>
      <c r="I37" s="161">
        <v>67</v>
      </c>
      <c r="J37" s="14"/>
      <c r="K37" s="14"/>
      <c r="R37" s="26"/>
    </row>
    <row r="38" spans="5:18" x14ac:dyDescent="0.45">
      <c r="E38" s="2"/>
      <c r="F38" s="154">
        <v>45937</v>
      </c>
      <c r="G38" s="161">
        <v>13391.75</v>
      </c>
      <c r="H38" s="161">
        <v>4455.5559999999996</v>
      </c>
      <c r="I38" s="161">
        <v>69</v>
      </c>
      <c r="J38" s="14"/>
      <c r="K38" s="14"/>
    </row>
    <row r="39" spans="5:18" x14ac:dyDescent="0.45">
      <c r="E39" s="2"/>
      <c r="F39" s="154">
        <v>45938</v>
      </c>
      <c r="G39" s="161">
        <v>3460.5</v>
      </c>
      <c r="H39" s="161">
        <v>1068.6579999999999</v>
      </c>
      <c r="I39" s="161">
        <v>61</v>
      </c>
      <c r="J39" s="14"/>
      <c r="K39" s="14"/>
    </row>
    <row r="40" spans="5:18" x14ac:dyDescent="0.45">
      <c r="E40" s="2"/>
      <c r="F40" s="154">
        <v>45939</v>
      </c>
      <c r="G40" s="161">
        <v>18052.75</v>
      </c>
      <c r="H40" s="161">
        <v>5774.4390000000003</v>
      </c>
      <c r="I40" s="161">
        <v>45</v>
      </c>
      <c r="J40" s="14"/>
      <c r="K40" s="14"/>
    </row>
    <row r="41" spans="5:18" x14ac:dyDescent="0.45">
      <c r="E41" s="2"/>
      <c r="F41" s="154">
        <v>45940</v>
      </c>
      <c r="G41" s="161">
        <v>17377.25</v>
      </c>
      <c r="H41" s="161">
        <v>5621.8440000000001</v>
      </c>
      <c r="I41" s="161">
        <v>46</v>
      </c>
      <c r="J41" s="14"/>
      <c r="K41" s="14"/>
    </row>
    <row r="42" spans="5:18" x14ac:dyDescent="0.45">
      <c r="E42" s="2"/>
      <c r="F42" s="154">
        <v>45941</v>
      </c>
      <c r="G42" s="161">
        <v>9336</v>
      </c>
      <c r="H42" s="161">
        <v>3045.26</v>
      </c>
      <c r="I42" s="161">
        <v>58</v>
      </c>
      <c r="J42" s="14"/>
      <c r="K42" s="14"/>
    </row>
    <row r="43" spans="5:18" x14ac:dyDescent="0.45">
      <c r="E43" s="2"/>
      <c r="F43" s="154">
        <v>45942</v>
      </c>
      <c r="G43" s="161">
        <v>1556.75</v>
      </c>
      <c r="H43" s="161">
        <v>491.22129999999999</v>
      </c>
      <c r="I43" s="161">
        <v>54</v>
      </c>
      <c r="J43" s="14"/>
      <c r="K43" s="14"/>
    </row>
    <row r="44" spans="5:18" x14ac:dyDescent="0.45">
      <c r="E44" s="2"/>
      <c r="F44" s="154">
        <v>45943</v>
      </c>
      <c r="G44" s="161">
        <v>2132</v>
      </c>
      <c r="H44" s="161">
        <v>670.51300000000003</v>
      </c>
      <c r="I44" s="161">
        <v>53</v>
      </c>
      <c r="J44" s="14"/>
      <c r="K44" s="14"/>
    </row>
    <row r="45" spans="5:18" x14ac:dyDescent="0.45">
      <c r="E45" s="2"/>
      <c r="F45" s="154">
        <v>45944</v>
      </c>
      <c r="G45" s="161">
        <v>4586</v>
      </c>
      <c r="H45" s="161">
        <v>1404.5139999999999</v>
      </c>
      <c r="I45" s="161">
        <v>53</v>
      </c>
      <c r="J45" s="14"/>
      <c r="K45" s="14"/>
    </row>
    <row r="46" spans="5:18" x14ac:dyDescent="0.45">
      <c r="E46" s="2"/>
      <c r="F46" s="154">
        <v>45945</v>
      </c>
      <c r="G46" s="161">
        <v>11994.25</v>
      </c>
      <c r="H46" s="161">
        <v>3944.549</v>
      </c>
      <c r="I46" s="161">
        <v>55</v>
      </c>
      <c r="J46" s="14"/>
      <c r="K46" s="14"/>
    </row>
    <row r="47" spans="5:18" x14ac:dyDescent="0.45">
      <c r="E47" s="2"/>
      <c r="F47" s="154">
        <v>45946</v>
      </c>
      <c r="G47" s="161">
        <v>16344</v>
      </c>
      <c r="H47" s="161">
        <v>5216.2340000000004</v>
      </c>
      <c r="I47" s="161">
        <v>49</v>
      </c>
      <c r="J47" s="14"/>
      <c r="K47" s="14"/>
    </row>
    <row r="48" spans="5:18" x14ac:dyDescent="0.45">
      <c r="E48" s="2"/>
      <c r="F48" s="154">
        <v>45947</v>
      </c>
      <c r="G48" s="161">
        <v>16363.75</v>
      </c>
      <c r="H48" s="161">
        <v>5277.7370000000001</v>
      </c>
      <c r="I48" s="161">
        <v>50</v>
      </c>
      <c r="J48" s="14"/>
      <c r="K48" s="14"/>
    </row>
    <row r="49" spans="5:11" x14ac:dyDescent="0.45">
      <c r="E49" s="2"/>
      <c r="F49" s="154">
        <v>45948</v>
      </c>
      <c r="G49" s="161">
        <v>14866</v>
      </c>
      <c r="H49" s="161">
        <v>4852.049</v>
      </c>
      <c r="I49" s="161">
        <v>50</v>
      </c>
      <c r="J49" s="14"/>
      <c r="K49" s="14"/>
    </row>
    <row r="50" spans="5:11" x14ac:dyDescent="0.45">
      <c r="E50" s="2"/>
      <c r="F50" s="154">
        <v>45949</v>
      </c>
      <c r="G50" s="161">
        <v>13062</v>
      </c>
      <c r="H50" s="161">
        <v>4250.192</v>
      </c>
      <c r="I50" s="161">
        <v>57</v>
      </c>
      <c r="J50" s="14"/>
      <c r="K50" s="14"/>
    </row>
    <row r="51" spans="5:11" x14ac:dyDescent="0.45">
      <c r="E51" s="2"/>
      <c r="F51" s="154">
        <v>45950</v>
      </c>
      <c r="G51" s="161">
        <v>3131.75</v>
      </c>
      <c r="H51" s="161">
        <v>1028.059</v>
      </c>
      <c r="I51" s="161">
        <v>60</v>
      </c>
      <c r="J51" s="14"/>
      <c r="K51" s="14"/>
    </row>
    <row r="52" spans="5:11" x14ac:dyDescent="0.45">
      <c r="E52" s="2"/>
      <c r="F52" s="154">
        <v>45951</v>
      </c>
      <c r="G52" s="161">
        <v>15725.5</v>
      </c>
      <c r="H52" s="161">
        <v>5208.5469999999996</v>
      </c>
      <c r="I52" s="161">
        <v>55</v>
      </c>
      <c r="J52" s="14"/>
      <c r="K52" s="14"/>
    </row>
    <row r="53" spans="5:11" x14ac:dyDescent="0.45">
      <c r="E53" s="2"/>
      <c r="F53" s="154">
        <v>45952</v>
      </c>
      <c r="G53" s="161">
        <v>10324</v>
      </c>
      <c r="H53" s="161">
        <v>3434.922</v>
      </c>
      <c r="I53" s="161">
        <v>57</v>
      </c>
      <c r="J53" s="14"/>
      <c r="K53" s="14"/>
    </row>
    <row r="54" spans="5:11" x14ac:dyDescent="0.45">
      <c r="E54" s="2"/>
      <c r="F54" s="154">
        <v>45953</v>
      </c>
      <c r="G54" s="161">
        <v>13276.75</v>
      </c>
      <c r="H54" s="161">
        <v>4392.7730000000001</v>
      </c>
      <c r="I54" s="161">
        <v>49</v>
      </c>
      <c r="J54" s="14"/>
      <c r="K54" s="14"/>
    </row>
    <row r="55" spans="5:11" x14ac:dyDescent="0.45">
      <c r="E55" s="2"/>
      <c r="F55" s="154">
        <v>45954</v>
      </c>
      <c r="G55" s="161">
        <v>8576.5</v>
      </c>
      <c r="H55" s="161">
        <v>2838.5360000000001</v>
      </c>
      <c r="I55" s="161">
        <v>47</v>
      </c>
      <c r="J55" s="14"/>
      <c r="K55" s="14"/>
    </row>
    <row r="56" spans="5:11" x14ac:dyDescent="0.45">
      <c r="E56" s="2"/>
      <c r="F56" s="154">
        <v>45955</v>
      </c>
      <c r="G56" s="161">
        <v>14029.5</v>
      </c>
      <c r="H56" s="161">
        <v>4660.88</v>
      </c>
      <c r="I56" s="161">
        <v>47</v>
      </c>
      <c r="J56" s="14"/>
      <c r="K56" s="14"/>
    </row>
    <row r="57" spans="5:11" x14ac:dyDescent="0.45">
      <c r="E57" s="2"/>
      <c r="F57" s="154">
        <v>45956</v>
      </c>
      <c r="G57" s="161">
        <v>15257</v>
      </c>
      <c r="H57" s="161">
        <v>5000.8159999999998</v>
      </c>
      <c r="I57" s="161">
        <v>45</v>
      </c>
      <c r="J57" s="14"/>
      <c r="K57" s="14"/>
    </row>
    <row r="58" spans="5:11" x14ac:dyDescent="0.45">
      <c r="E58" s="2"/>
      <c r="F58" s="154">
        <v>45957</v>
      </c>
      <c r="G58" s="161">
        <v>9996.5</v>
      </c>
      <c r="H58" s="161">
        <v>3246.1</v>
      </c>
      <c r="I58" s="161">
        <v>41</v>
      </c>
      <c r="J58" s="14"/>
      <c r="K58" s="14"/>
    </row>
    <row r="59" spans="5:11" x14ac:dyDescent="0.45">
      <c r="E59" s="2"/>
      <c r="F59" s="154">
        <v>45958</v>
      </c>
      <c r="G59" s="161">
        <v>5718</v>
      </c>
      <c r="H59" s="161">
        <v>1752.6410000000001</v>
      </c>
      <c r="I59" s="161">
        <v>45</v>
      </c>
      <c r="J59" s="14"/>
      <c r="K59" s="14"/>
    </row>
    <row r="60" spans="5:11" x14ac:dyDescent="0.45">
      <c r="E60" s="2"/>
      <c r="F60" s="154">
        <v>45959</v>
      </c>
      <c r="G60" s="161">
        <v>3057.5</v>
      </c>
      <c r="H60" s="161">
        <v>949.67100000000005</v>
      </c>
      <c r="I60" s="161">
        <v>48</v>
      </c>
      <c r="J60" s="14"/>
      <c r="K60" s="14"/>
    </row>
    <row r="61" spans="5:11" x14ac:dyDescent="0.45">
      <c r="E61" s="2"/>
      <c r="F61" s="154">
        <v>45960</v>
      </c>
      <c r="G61" s="161">
        <v>2344.5</v>
      </c>
      <c r="H61" s="161">
        <v>727.88599999999997</v>
      </c>
      <c r="I61" s="161">
        <v>52</v>
      </c>
      <c r="J61" s="14"/>
      <c r="K61" s="14"/>
    </row>
    <row r="62" spans="5:11" x14ac:dyDescent="0.45">
      <c r="E62" s="2"/>
      <c r="F62" s="154">
        <v>45961</v>
      </c>
      <c r="G62" s="161">
        <v>5066</v>
      </c>
      <c r="H62" s="161">
        <v>1604.78</v>
      </c>
      <c r="I62" s="161">
        <v>55</v>
      </c>
      <c r="J62" s="14"/>
      <c r="K62" s="14"/>
    </row>
    <row r="63" spans="5:11" x14ac:dyDescent="0.45">
      <c r="F63" s="152"/>
      <c r="G63" s="2"/>
      <c r="H63" s="2"/>
      <c r="I63" s="2"/>
    </row>
    <row r="64" spans="5:11" x14ac:dyDescent="0.45">
      <c r="F64" s="139"/>
      <c r="G64" s="2"/>
      <c r="H64" s="2"/>
      <c r="I64" s="2"/>
    </row>
    <row r="65" spans="3:12" x14ac:dyDescent="0.45">
      <c r="C65" s="187" t="s">
        <v>32</v>
      </c>
      <c r="D65" s="188"/>
      <c r="E65" s="188"/>
      <c r="F65" s="188"/>
      <c r="G65" s="188"/>
      <c r="H65" s="188"/>
      <c r="I65" s="188"/>
      <c r="J65" s="188"/>
      <c r="K65" s="188"/>
      <c r="L65" s="189"/>
    </row>
    <row r="66" spans="3:12" ht="15" customHeight="1" x14ac:dyDescent="0.45">
      <c r="C66" s="199"/>
      <c r="D66" s="200"/>
      <c r="E66" s="200"/>
      <c r="F66" s="200"/>
      <c r="G66" s="200"/>
      <c r="H66" s="200"/>
      <c r="I66" s="200"/>
      <c r="J66" s="200"/>
      <c r="K66" s="200"/>
      <c r="L66" s="201"/>
    </row>
    <row r="67" spans="3:12" x14ac:dyDescent="0.45">
      <c r="C67" s="202"/>
      <c r="D67" s="203"/>
      <c r="E67" s="203"/>
      <c r="F67" s="203"/>
      <c r="G67" s="203"/>
      <c r="H67" s="203"/>
      <c r="I67" s="203"/>
      <c r="J67" s="203"/>
      <c r="K67" s="203"/>
      <c r="L67" s="204"/>
    </row>
    <row r="68" spans="3:12" x14ac:dyDescent="0.45">
      <c r="C68" s="205"/>
      <c r="D68" s="206"/>
      <c r="E68" s="206"/>
      <c r="F68" s="206"/>
      <c r="G68" s="206"/>
      <c r="H68" s="206"/>
      <c r="I68" s="206"/>
      <c r="J68" s="206"/>
      <c r="K68" s="206"/>
      <c r="L68" s="207"/>
    </row>
    <row r="69" spans="3:12" x14ac:dyDescent="0.45">
      <c r="C69" s="58"/>
      <c r="D69" s="58"/>
      <c r="E69" s="58"/>
      <c r="F69" s="58"/>
      <c r="G69" s="58"/>
      <c r="H69" s="58"/>
      <c r="I69" s="58"/>
      <c r="J69" s="58"/>
      <c r="K69" s="58"/>
      <c r="L69" s="58"/>
    </row>
    <row r="70" spans="3:12" x14ac:dyDescent="0.45">
      <c r="C70" s="187" t="s">
        <v>33</v>
      </c>
      <c r="D70" s="188"/>
      <c r="E70" s="188"/>
      <c r="F70" s="188"/>
      <c r="G70" s="188"/>
      <c r="H70" s="188"/>
      <c r="I70" s="188"/>
      <c r="J70" s="188"/>
      <c r="K70" s="188"/>
      <c r="L70" s="189"/>
    </row>
    <row r="71" spans="3:12" ht="14.85" customHeight="1" x14ac:dyDescent="0.45">
      <c r="C71" s="199"/>
      <c r="D71" s="200"/>
      <c r="E71" s="200"/>
      <c r="F71" s="200"/>
      <c r="G71" s="200"/>
      <c r="H71" s="200"/>
      <c r="I71" s="200"/>
      <c r="J71" s="200"/>
      <c r="K71" s="200"/>
      <c r="L71" s="201"/>
    </row>
    <row r="72" spans="3:12" x14ac:dyDescent="0.45">
      <c r="C72" s="202"/>
      <c r="D72" s="203"/>
      <c r="E72" s="203"/>
      <c r="F72" s="203"/>
      <c r="G72" s="203"/>
      <c r="H72" s="203"/>
      <c r="I72" s="203"/>
      <c r="J72" s="203"/>
      <c r="K72" s="203"/>
      <c r="L72" s="204"/>
    </row>
    <row r="73" spans="3:12" x14ac:dyDescent="0.45">
      <c r="C73" s="205"/>
      <c r="D73" s="206"/>
      <c r="E73" s="206"/>
      <c r="F73" s="206"/>
      <c r="G73" s="206"/>
      <c r="H73" s="206"/>
      <c r="I73" s="206"/>
      <c r="J73" s="206"/>
      <c r="K73" s="206"/>
      <c r="L73" s="207"/>
    </row>
    <row r="74" spans="3:12" x14ac:dyDescent="0.45">
      <c r="C74" s="57"/>
      <c r="D74" s="57"/>
      <c r="E74" s="57"/>
      <c r="F74" s="57"/>
      <c r="G74" s="57"/>
      <c r="H74" s="57"/>
      <c r="I74" s="57"/>
      <c r="J74" s="57"/>
      <c r="K74" s="57"/>
      <c r="L74" s="57"/>
    </row>
  </sheetData>
  <mergeCells count="19">
    <mergeCell ref="C71:L73"/>
    <mergeCell ref="E10:I10"/>
    <mergeCell ref="E11:I11"/>
    <mergeCell ref="C5:L5"/>
    <mergeCell ref="C16:L16"/>
    <mergeCell ref="E7:I7"/>
    <mergeCell ref="E13:I13"/>
    <mergeCell ref="E14:I14"/>
    <mergeCell ref="E12:I12"/>
    <mergeCell ref="F30:I30"/>
    <mergeCell ref="C65:L65"/>
    <mergeCell ref="C70:L70"/>
    <mergeCell ref="C66:L68"/>
    <mergeCell ref="E1:J1"/>
    <mergeCell ref="E2:J2"/>
    <mergeCell ref="E3:J3"/>
    <mergeCell ref="E8:I8"/>
    <mergeCell ref="E9:I9"/>
    <mergeCell ref="E6:I6"/>
  </mergeCells>
  <phoneticPr fontId="18" type="noConversion"/>
  <pageMargins left="0.7" right="0.7"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56696-891C-4F27-886D-6C164F33092D}">
  <sheetPr codeName="Sheet4">
    <tabColor rgb="FF00B050"/>
    <pageSetUpPr fitToPage="1"/>
  </sheetPr>
  <dimension ref="C1:T73"/>
  <sheetViews>
    <sheetView topLeftCell="B1" zoomScale="80" zoomScaleNormal="80" workbookViewId="0">
      <selection activeCell="N24" sqref="N24"/>
    </sheetView>
  </sheetViews>
  <sheetFormatPr defaultColWidth="9" defaultRowHeight="14.25" x14ac:dyDescent="0.45"/>
  <cols>
    <col min="1" max="5" width="9" style="106"/>
    <col min="6" max="6" width="13.6640625" style="106" customWidth="1" collapsed="1"/>
    <col min="7" max="7" width="20" style="106" bestFit="1" customWidth="1"/>
    <col min="8" max="8" width="17.46484375" style="106" bestFit="1" customWidth="1"/>
    <col min="9" max="16384" width="9" style="106"/>
  </cols>
  <sheetData>
    <row r="1" spans="3:13" ht="18" x14ac:dyDescent="0.55000000000000004">
      <c r="E1" s="211" t="s">
        <v>35</v>
      </c>
      <c r="F1" s="211"/>
      <c r="G1" s="211"/>
      <c r="H1" s="211"/>
      <c r="I1" s="211"/>
      <c r="J1" s="211"/>
    </row>
    <row r="2" spans="3:13" x14ac:dyDescent="0.45">
      <c r="E2" s="212" t="s">
        <v>23</v>
      </c>
      <c r="F2" s="212"/>
      <c r="G2" s="212"/>
      <c r="H2" s="212"/>
      <c r="I2" s="212"/>
      <c r="J2" s="212"/>
    </row>
    <row r="3" spans="3:13" ht="14.25" customHeight="1" x14ac:dyDescent="0.45">
      <c r="E3" s="180" t="s">
        <v>92</v>
      </c>
      <c r="F3" s="181"/>
      <c r="G3" s="181"/>
      <c r="H3" s="181"/>
      <c r="I3" s="181"/>
      <c r="J3" s="181"/>
    </row>
    <row r="5" spans="3:13" x14ac:dyDescent="0.45">
      <c r="C5" s="213" t="s">
        <v>24</v>
      </c>
      <c r="D5" s="214"/>
      <c r="E5" s="214"/>
      <c r="F5" s="214"/>
      <c r="G5" s="214"/>
      <c r="H5" s="214"/>
      <c r="I5" s="214"/>
      <c r="J5" s="214"/>
      <c r="K5" s="214"/>
      <c r="L5" s="215"/>
    </row>
    <row r="6" spans="3:13" x14ac:dyDescent="0.45">
      <c r="C6" s="107"/>
      <c r="D6" s="108"/>
      <c r="E6" s="216" t="s">
        <v>2</v>
      </c>
      <c r="F6" s="216"/>
      <c r="G6" s="216"/>
      <c r="H6" s="216"/>
      <c r="I6" s="216"/>
      <c r="J6" s="109">
        <f>SUM(G32:G62)</f>
        <v>487146</v>
      </c>
      <c r="K6" s="108"/>
      <c r="L6" s="110"/>
    </row>
    <row r="7" spans="3:13" x14ac:dyDescent="0.45">
      <c r="C7" s="111"/>
      <c r="E7" s="210" t="s">
        <v>4</v>
      </c>
      <c r="F7" s="210"/>
      <c r="G7" s="210"/>
      <c r="H7" s="210"/>
      <c r="I7" s="210"/>
      <c r="J7" s="112">
        <f>'Predicted Data'!D38</f>
        <v>426835</v>
      </c>
      <c r="K7" s="113"/>
      <c r="L7" s="114"/>
    </row>
    <row r="8" spans="3:13" ht="15.75" x14ac:dyDescent="0.45">
      <c r="C8" s="111"/>
      <c r="E8" s="210" t="s">
        <v>6</v>
      </c>
      <c r="F8" s="210"/>
      <c r="G8" s="210"/>
      <c r="H8" s="210"/>
      <c r="I8" s="210"/>
      <c r="J8" s="112">
        <f>SUM(H32:H62)</f>
        <v>176143</v>
      </c>
      <c r="L8" s="114"/>
    </row>
    <row r="9" spans="3:13" ht="15.75" x14ac:dyDescent="0.45">
      <c r="C9" s="111"/>
      <c r="E9" s="210" t="s">
        <v>8</v>
      </c>
      <c r="F9" s="210"/>
      <c r="G9" s="210"/>
      <c r="H9" s="210"/>
      <c r="I9" s="210"/>
      <c r="J9" s="115"/>
      <c r="K9" s="113"/>
      <c r="L9" s="114"/>
    </row>
    <row r="10" spans="3:13" x14ac:dyDescent="0.45">
      <c r="C10" s="111"/>
      <c r="E10" s="210" t="s">
        <v>10</v>
      </c>
      <c r="F10" s="210"/>
      <c r="G10" s="210"/>
      <c r="H10" s="210"/>
      <c r="I10" s="210"/>
      <c r="J10" s="116">
        <f>'Plant Health'!K106</f>
        <v>439993</v>
      </c>
      <c r="L10" s="114"/>
    </row>
    <row r="11" spans="3:13" x14ac:dyDescent="0.45">
      <c r="C11" s="111"/>
      <c r="E11" s="210" t="s">
        <v>12</v>
      </c>
      <c r="F11" s="210"/>
      <c r="G11" s="210"/>
      <c r="H11" s="210"/>
      <c r="I11" s="210"/>
      <c r="J11" s="117">
        <f>J6/J10</f>
        <v>1.1071676140302231</v>
      </c>
      <c r="L11" s="114"/>
      <c r="M11" s="118"/>
    </row>
    <row r="12" spans="3:13" x14ac:dyDescent="0.45">
      <c r="C12" s="111"/>
      <c r="E12" s="210" t="s">
        <v>16</v>
      </c>
      <c r="F12" s="210"/>
      <c r="G12" s="210"/>
      <c r="H12" s="210"/>
      <c r="I12" s="210"/>
      <c r="J12" s="117">
        <f>J6/J7</f>
        <v>1.1412981597104268</v>
      </c>
      <c r="L12" s="114"/>
    </row>
    <row r="13" spans="3:13" x14ac:dyDescent="0.45">
      <c r="C13" s="111"/>
      <c r="E13" s="210" t="s">
        <v>18</v>
      </c>
      <c r="F13" s="210"/>
      <c r="G13" s="210"/>
      <c r="H13" s="210"/>
      <c r="I13" s="210"/>
      <c r="J13" s="117">
        <f>Availability!K47</f>
        <v>0.99150000000000005</v>
      </c>
      <c r="L13" s="114"/>
    </row>
    <row r="14" spans="3:13" x14ac:dyDescent="0.45">
      <c r="C14" s="119"/>
      <c r="D14" s="120"/>
      <c r="E14" s="226" t="s">
        <v>20</v>
      </c>
      <c r="F14" s="226"/>
      <c r="G14" s="226"/>
      <c r="H14" s="226"/>
      <c r="I14" s="226"/>
      <c r="J14" s="121">
        <f>Availability!K50</f>
        <v>0.99672183333333331</v>
      </c>
      <c r="K14" s="120"/>
      <c r="L14" s="122"/>
    </row>
    <row r="16" spans="3:13" x14ac:dyDescent="0.45">
      <c r="C16" s="213" t="s">
        <v>26</v>
      </c>
      <c r="D16" s="214"/>
      <c r="E16" s="214"/>
      <c r="F16" s="214"/>
      <c r="G16" s="214"/>
      <c r="H16" s="214"/>
      <c r="I16" s="214"/>
      <c r="J16" s="214"/>
      <c r="K16" s="214"/>
      <c r="L16" s="215"/>
    </row>
    <row r="30" spans="5:12" x14ac:dyDescent="0.45">
      <c r="E30" s="123"/>
      <c r="F30" s="227" t="s">
        <v>27</v>
      </c>
      <c r="G30" s="227"/>
      <c r="H30" s="227"/>
      <c r="I30" s="227"/>
      <c r="J30" s="123"/>
      <c r="K30" s="123"/>
      <c r="L30" s="123"/>
    </row>
    <row r="31" spans="5:12" s="126" customFormat="1" ht="44.1" customHeight="1" x14ac:dyDescent="0.45">
      <c r="E31" s="124"/>
      <c r="F31" s="125" t="s">
        <v>28</v>
      </c>
      <c r="G31" s="141" t="s">
        <v>29</v>
      </c>
      <c r="H31" s="141" t="s">
        <v>30</v>
      </c>
      <c r="I31" s="141" t="s">
        <v>31</v>
      </c>
      <c r="K31" s="124"/>
    </row>
    <row r="32" spans="5:12" x14ac:dyDescent="0.45">
      <c r="F32" s="140">
        <v>45931</v>
      </c>
      <c r="G32" s="161">
        <v>19012</v>
      </c>
      <c r="H32" s="161">
        <v>6879</v>
      </c>
      <c r="I32" s="161">
        <v>76</v>
      </c>
      <c r="K32" s="127"/>
    </row>
    <row r="33" spans="6:11" x14ac:dyDescent="0.45">
      <c r="F33" s="140">
        <v>45932</v>
      </c>
      <c r="G33" s="161">
        <v>18979</v>
      </c>
      <c r="H33" s="161">
        <v>6851</v>
      </c>
      <c r="I33" s="161">
        <v>77</v>
      </c>
      <c r="K33" s="127"/>
    </row>
    <row r="34" spans="6:11" x14ac:dyDescent="0.45">
      <c r="F34" s="140">
        <v>45933</v>
      </c>
      <c r="G34" s="161">
        <v>17677</v>
      </c>
      <c r="H34" s="161">
        <v>6471</v>
      </c>
      <c r="I34" s="161">
        <v>79</v>
      </c>
      <c r="K34" s="127"/>
    </row>
    <row r="35" spans="6:11" x14ac:dyDescent="0.45">
      <c r="F35" s="140">
        <v>45934</v>
      </c>
      <c r="G35" s="161">
        <v>19078</v>
      </c>
      <c r="H35" s="161">
        <v>7093</v>
      </c>
      <c r="I35" s="161">
        <v>79</v>
      </c>
      <c r="K35" s="127"/>
    </row>
    <row r="36" spans="6:11" x14ac:dyDescent="0.45">
      <c r="F36" s="140">
        <v>45935</v>
      </c>
      <c r="G36" s="161">
        <v>17901</v>
      </c>
      <c r="H36" s="161">
        <v>6540</v>
      </c>
      <c r="I36" s="161">
        <v>79</v>
      </c>
      <c r="K36" s="127"/>
    </row>
    <row r="37" spans="6:11" x14ac:dyDescent="0.45">
      <c r="F37" s="140">
        <v>45936</v>
      </c>
      <c r="G37" s="161">
        <v>18160</v>
      </c>
      <c r="H37" s="161">
        <v>6691</v>
      </c>
      <c r="I37" s="161">
        <v>78</v>
      </c>
      <c r="K37" s="127"/>
    </row>
    <row r="38" spans="6:11" x14ac:dyDescent="0.45">
      <c r="F38" s="140">
        <v>45937</v>
      </c>
      <c r="G38" s="161">
        <v>17056</v>
      </c>
      <c r="H38" s="161">
        <v>6306</v>
      </c>
      <c r="I38" s="161">
        <v>78</v>
      </c>
      <c r="K38" s="127"/>
    </row>
    <row r="39" spans="6:11" x14ac:dyDescent="0.45">
      <c r="F39" s="140">
        <v>45938</v>
      </c>
      <c r="G39" s="161">
        <v>17879</v>
      </c>
      <c r="H39" s="161">
        <v>6492</v>
      </c>
      <c r="I39" s="161">
        <v>78</v>
      </c>
      <c r="K39" s="127"/>
    </row>
    <row r="40" spans="6:11" x14ac:dyDescent="0.45">
      <c r="F40" s="140">
        <v>45939</v>
      </c>
      <c r="G40" s="161">
        <v>17744</v>
      </c>
      <c r="H40" s="161">
        <v>6473</v>
      </c>
      <c r="I40" s="161">
        <v>78</v>
      </c>
      <c r="K40" s="127"/>
    </row>
    <row r="41" spans="6:11" x14ac:dyDescent="0.45">
      <c r="F41" s="140">
        <v>45940</v>
      </c>
      <c r="G41" s="161">
        <v>18457</v>
      </c>
      <c r="H41" s="161">
        <v>6735</v>
      </c>
      <c r="I41" s="161">
        <v>74</v>
      </c>
      <c r="K41" s="127"/>
    </row>
    <row r="42" spans="6:11" x14ac:dyDescent="0.45">
      <c r="F42" s="140">
        <v>45941</v>
      </c>
      <c r="G42" s="161">
        <v>13847</v>
      </c>
      <c r="H42" s="161">
        <v>6681</v>
      </c>
      <c r="I42" s="161">
        <v>74</v>
      </c>
      <c r="K42" s="127"/>
    </row>
    <row r="43" spans="6:11" x14ac:dyDescent="0.45">
      <c r="F43" s="140">
        <v>45942</v>
      </c>
      <c r="G43" s="161">
        <v>17341</v>
      </c>
      <c r="H43" s="161">
        <v>6372</v>
      </c>
      <c r="I43" s="161">
        <v>79</v>
      </c>
      <c r="K43" s="127"/>
    </row>
    <row r="44" spans="6:11" x14ac:dyDescent="0.45">
      <c r="F44" s="140">
        <v>45943</v>
      </c>
      <c r="G44" s="161">
        <v>17381</v>
      </c>
      <c r="H44" s="161">
        <v>6257</v>
      </c>
      <c r="I44" s="161">
        <v>81</v>
      </c>
      <c r="K44" s="127"/>
    </row>
    <row r="45" spans="6:11" x14ac:dyDescent="0.45">
      <c r="F45" s="140">
        <v>45944</v>
      </c>
      <c r="G45" s="161">
        <v>17032</v>
      </c>
      <c r="H45" s="161">
        <v>6150</v>
      </c>
      <c r="I45" s="161">
        <v>76</v>
      </c>
      <c r="K45" s="127"/>
    </row>
    <row r="46" spans="6:11" x14ac:dyDescent="0.45">
      <c r="F46" s="140">
        <v>45945</v>
      </c>
      <c r="G46" s="161">
        <v>17489</v>
      </c>
      <c r="H46" s="161">
        <v>6347</v>
      </c>
      <c r="I46" s="161">
        <v>72</v>
      </c>
      <c r="K46" s="127"/>
    </row>
    <row r="47" spans="6:11" x14ac:dyDescent="0.45">
      <c r="F47" s="140">
        <v>45946</v>
      </c>
      <c r="G47" s="161">
        <v>12678</v>
      </c>
      <c r="H47" s="161">
        <v>4469</v>
      </c>
      <c r="I47" s="161">
        <v>73</v>
      </c>
      <c r="K47" s="127"/>
    </row>
    <row r="48" spans="6:11" x14ac:dyDescent="0.45">
      <c r="F48" s="140">
        <v>45947</v>
      </c>
      <c r="G48" s="161">
        <v>16185</v>
      </c>
      <c r="H48" s="161">
        <v>5896</v>
      </c>
      <c r="I48" s="161">
        <v>79</v>
      </c>
      <c r="K48" s="127"/>
    </row>
    <row r="49" spans="6:20" x14ac:dyDescent="0.45">
      <c r="F49" s="140">
        <v>45948</v>
      </c>
      <c r="G49" s="161">
        <v>7213</v>
      </c>
      <c r="H49" s="161">
        <v>2678</v>
      </c>
      <c r="I49" s="161">
        <v>74</v>
      </c>
      <c r="K49" s="127"/>
    </row>
    <row r="50" spans="6:20" x14ac:dyDescent="0.45">
      <c r="F50" s="140">
        <v>45949</v>
      </c>
      <c r="G50" s="161">
        <v>18571</v>
      </c>
      <c r="H50" s="161">
        <v>6727</v>
      </c>
      <c r="I50" s="161">
        <v>66</v>
      </c>
      <c r="K50" s="127"/>
    </row>
    <row r="51" spans="6:20" x14ac:dyDescent="0.45">
      <c r="F51" s="140">
        <v>45950</v>
      </c>
      <c r="G51" s="161">
        <v>17840</v>
      </c>
      <c r="H51" s="161">
        <v>6362</v>
      </c>
      <c r="I51" s="161">
        <v>74</v>
      </c>
      <c r="K51" s="127"/>
    </row>
    <row r="52" spans="6:20" x14ac:dyDescent="0.45">
      <c r="F52" s="140">
        <v>45951</v>
      </c>
      <c r="G52" s="161">
        <v>18230</v>
      </c>
      <c r="H52" s="161">
        <v>6601</v>
      </c>
      <c r="I52" s="161">
        <v>69</v>
      </c>
      <c r="K52" s="127"/>
    </row>
    <row r="53" spans="6:20" x14ac:dyDescent="0.45">
      <c r="F53" s="140">
        <v>45952</v>
      </c>
      <c r="G53" s="161">
        <v>18055</v>
      </c>
      <c r="H53" s="161">
        <v>6437</v>
      </c>
      <c r="I53" s="161">
        <v>62</v>
      </c>
      <c r="K53" s="127"/>
    </row>
    <row r="54" spans="6:20" x14ac:dyDescent="0.45">
      <c r="F54" s="140">
        <v>45953</v>
      </c>
      <c r="G54" s="161">
        <v>11347</v>
      </c>
      <c r="H54" s="161">
        <v>3744</v>
      </c>
      <c r="I54" s="161">
        <v>73</v>
      </c>
      <c r="K54" s="127"/>
    </row>
    <row r="55" spans="6:20" x14ac:dyDescent="0.45">
      <c r="F55" s="140">
        <v>45954</v>
      </c>
      <c r="G55" s="161">
        <v>3886</v>
      </c>
      <c r="H55" s="161">
        <v>875</v>
      </c>
      <c r="I55" s="161">
        <v>70</v>
      </c>
      <c r="K55" s="127"/>
    </row>
    <row r="56" spans="6:20" x14ac:dyDescent="0.45">
      <c r="F56" s="140">
        <v>45955</v>
      </c>
      <c r="G56" s="161">
        <v>6326</v>
      </c>
      <c r="H56" s="161">
        <v>1900</v>
      </c>
      <c r="I56" s="161">
        <v>67</v>
      </c>
      <c r="K56" s="127"/>
    </row>
    <row r="57" spans="6:20" x14ac:dyDescent="0.45">
      <c r="F57" s="140">
        <v>45956</v>
      </c>
      <c r="G57" s="161">
        <v>12944</v>
      </c>
      <c r="H57" s="161">
        <v>4386</v>
      </c>
      <c r="I57" s="161">
        <v>66</v>
      </c>
      <c r="K57" s="127"/>
    </row>
    <row r="58" spans="6:20" x14ac:dyDescent="0.45">
      <c r="F58" s="140">
        <v>45957</v>
      </c>
      <c r="G58" s="161">
        <v>15267</v>
      </c>
      <c r="H58" s="161">
        <v>5315</v>
      </c>
      <c r="I58" s="161">
        <v>71</v>
      </c>
      <c r="K58" s="127"/>
      <c r="R58" s="112"/>
      <c r="S58" s="112"/>
      <c r="T58" s="112"/>
    </row>
    <row r="59" spans="6:20" x14ac:dyDescent="0.45">
      <c r="F59" s="140">
        <v>45958</v>
      </c>
      <c r="G59" s="161">
        <v>10869</v>
      </c>
      <c r="H59" s="161">
        <v>3805</v>
      </c>
      <c r="I59" s="161">
        <v>67</v>
      </c>
      <c r="K59" s="127"/>
    </row>
    <row r="60" spans="6:20" x14ac:dyDescent="0.45">
      <c r="F60" s="140">
        <v>45959</v>
      </c>
      <c r="G60" s="161">
        <v>18133</v>
      </c>
      <c r="H60" s="161">
        <v>6463</v>
      </c>
      <c r="I60" s="161">
        <v>55</v>
      </c>
      <c r="K60" s="127"/>
      <c r="R60" s="112"/>
      <c r="S60" s="112"/>
      <c r="T60" s="112"/>
    </row>
    <row r="61" spans="6:20" x14ac:dyDescent="0.45">
      <c r="F61" s="140">
        <v>45960</v>
      </c>
      <c r="G61" s="161">
        <v>17581</v>
      </c>
      <c r="H61" s="161">
        <v>6238</v>
      </c>
      <c r="I61" s="161">
        <v>52</v>
      </c>
      <c r="K61" s="127"/>
    </row>
    <row r="62" spans="6:20" x14ac:dyDescent="0.45">
      <c r="F62" s="140">
        <v>45961</v>
      </c>
      <c r="G62" s="161">
        <v>16988</v>
      </c>
      <c r="H62" s="161">
        <v>5909</v>
      </c>
      <c r="I62" s="161">
        <v>56</v>
      </c>
      <c r="K62" s="127"/>
    </row>
    <row r="63" spans="6:20" x14ac:dyDescent="0.45">
      <c r="F63" s="152"/>
      <c r="G63" s="150"/>
      <c r="H63" s="150"/>
      <c r="I63" s="150"/>
    </row>
    <row r="64" spans="6:20" x14ac:dyDescent="0.45">
      <c r="F64" s="153"/>
      <c r="G64" s="128"/>
    </row>
    <row r="65" spans="3:12" x14ac:dyDescent="0.45">
      <c r="C65" s="213" t="s">
        <v>32</v>
      </c>
      <c r="D65" s="214"/>
      <c r="E65" s="214"/>
      <c r="F65" s="214"/>
      <c r="G65" s="214"/>
      <c r="H65" s="214"/>
      <c r="I65" s="214"/>
      <c r="J65" s="214"/>
      <c r="K65" s="214"/>
      <c r="L65" s="215"/>
    </row>
    <row r="66" spans="3:12" ht="15" customHeight="1" x14ac:dyDescent="0.45">
      <c r="C66" s="217"/>
      <c r="D66" s="218"/>
      <c r="E66" s="218"/>
      <c r="F66" s="218"/>
      <c r="G66" s="218"/>
      <c r="H66" s="218"/>
      <c r="I66" s="218"/>
      <c r="J66" s="218"/>
      <c r="K66" s="218"/>
      <c r="L66" s="219"/>
    </row>
    <row r="67" spans="3:12" x14ac:dyDescent="0.45">
      <c r="C67" s="220"/>
      <c r="D67" s="221"/>
      <c r="E67" s="221"/>
      <c r="F67" s="221"/>
      <c r="G67" s="221"/>
      <c r="H67" s="221"/>
      <c r="I67" s="221"/>
      <c r="J67" s="221"/>
      <c r="K67" s="221"/>
      <c r="L67" s="222"/>
    </row>
    <row r="68" spans="3:12" x14ac:dyDescent="0.45">
      <c r="C68" s="223"/>
      <c r="D68" s="224"/>
      <c r="E68" s="224"/>
      <c r="F68" s="224"/>
      <c r="G68" s="224"/>
      <c r="H68" s="224"/>
      <c r="I68" s="224"/>
      <c r="J68" s="224"/>
      <c r="K68" s="224"/>
      <c r="L68" s="225"/>
    </row>
    <row r="70" spans="3:12" x14ac:dyDescent="0.45">
      <c r="C70" s="228" t="s">
        <v>33</v>
      </c>
      <c r="D70" s="229"/>
      <c r="E70" s="229"/>
      <c r="F70" s="229"/>
      <c r="G70" s="229"/>
      <c r="H70" s="229"/>
      <c r="I70" s="229"/>
      <c r="J70" s="229"/>
      <c r="K70" s="229"/>
      <c r="L70" s="230"/>
    </row>
    <row r="71" spans="3:12" ht="14.85" customHeight="1" x14ac:dyDescent="0.45">
      <c r="C71" s="217"/>
      <c r="D71" s="218"/>
      <c r="E71" s="218"/>
      <c r="F71" s="218"/>
      <c r="G71" s="218"/>
      <c r="H71" s="218"/>
      <c r="I71" s="218"/>
      <c r="J71" s="218"/>
      <c r="K71" s="218"/>
      <c r="L71" s="219"/>
    </row>
    <row r="72" spans="3:12" x14ac:dyDescent="0.45">
      <c r="C72" s="220"/>
      <c r="D72" s="221"/>
      <c r="E72" s="221"/>
      <c r="F72" s="221"/>
      <c r="G72" s="221"/>
      <c r="H72" s="221"/>
      <c r="I72" s="221"/>
      <c r="J72" s="221"/>
      <c r="K72" s="221"/>
      <c r="L72" s="222"/>
    </row>
    <row r="73" spans="3:12" x14ac:dyDescent="0.45">
      <c r="C73" s="223"/>
      <c r="D73" s="224"/>
      <c r="E73" s="224"/>
      <c r="F73" s="224"/>
      <c r="G73" s="224"/>
      <c r="H73" s="224"/>
      <c r="I73" s="224"/>
      <c r="J73" s="224"/>
      <c r="K73" s="224"/>
      <c r="L73" s="225"/>
    </row>
  </sheetData>
  <mergeCells count="19">
    <mergeCell ref="C71:L73"/>
    <mergeCell ref="E14:I14"/>
    <mergeCell ref="C16:L16"/>
    <mergeCell ref="F30:I30"/>
    <mergeCell ref="C65:L65"/>
    <mergeCell ref="C66:L68"/>
    <mergeCell ref="C70:L70"/>
    <mergeCell ref="E13:I13"/>
    <mergeCell ref="E1:J1"/>
    <mergeCell ref="E2:J2"/>
    <mergeCell ref="E3:J3"/>
    <mergeCell ref="C5:L5"/>
    <mergeCell ref="E6:I6"/>
    <mergeCell ref="E7:I7"/>
    <mergeCell ref="E8:I8"/>
    <mergeCell ref="E9:I9"/>
    <mergeCell ref="E10:I10"/>
    <mergeCell ref="E11:I11"/>
    <mergeCell ref="E12:I12"/>
  </mergeCells>
  <pageMargins left="0.7" right="0.7" top="0.75" bottom="0.75" header="0.3" footer="0.3"/>
  <pageSetup scale="6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rgb="FFFFC000"/>
  </sheetPr>
  <dimension ref="C4:L50"/>
  <sheetViews>
    <sheetView topLeftCell="A26" zoomScaleNormal="100" workbookViewId="0">
      <selection activeCell="K47" sqref="K47"/>
    </sheetView>
  </sheetViews>
  <sheetFormatPr defaultRowHeight="14.25" x14ac:dyDescent="0.45"/>
  <cols>
    <col min="3" max="3" width="15.53125" bestFit="1" customWidth="1"/>
    <col min="4" max="4" width="10.1328125" bestFit="1" customWidth="1"/>
    <col min="5" max="5" width="10.46484375" bestFit="1" customWidth="1"/>
    <col min="7" max="7" width="12.1328125" bestFit="1" customWidth="1"/>
    <col min="8" max="8" width="10.1328125" bestFit="1" customWidth="1"/>
    <col min="9" max="9" width="10.46484375" bestFit="1" customWidth="1"/>
    <col min="11" max="11" width="11.1328125" bestFit="1" customWidth="1"/>
    <col min="12" max="12" width="8.6640625" bestFit="1" customWidth="1"/>
  </cols>
  <sheetData>
    <row r="4" spans="3:9" x14ac:dyDescent="0.45">
      <c r="C4" s="234" t="s">
        <v>36</v>
      </c>
      <c r="D4" s="235"/>
      <c r="E4" s="236"/>
      <c r="G4" s="234" t="s">
        <v>37</v>
      </c>
      <c r="H4" s="235"/>
      <c r="I4" s="236"/>
    </row>
    <row r="5" spans="3:9" x14ac:dyDescent="0.45">
      <c r="C5" s="1"/>
      <c r="D5" s="42" t="s">
        <v>34</v>
      </c>
      <c r="E5" s="42" t="s">
        <v>22</v>
      </c>
      <c r="G5" s="1"/>
      <c r="H5" s="42" t="s">
        <v>34</v>
      </c>
      <c r="I5" s="42" t="s">
        <v>22</v>
      </c>
    </row>
    <row r="6" spans="3:9" x14ac:dyDescent="0.45">
      <c r="C6" s="43" t="s">
        <v>38</v>
      </c>
      <c r="D6" s="46"/>
      <c r="E6" s="46"/>
      <c r="G6" s="43" t="s">
        <v>38</v>
      </c>
      <c r="H6" s="62">
        <v>0.99899000000000004</v>
      </c>
      <c r="I6" s="62">
        <v>0.99677000000000004</v>
      </c>
    </row>
    <row r="7" spans="3:9" x14ac:dyDescent="0.45">
      <c r="C7" s="43" t="s">
        <v>39</v>
      </c>
      <c r="D7" s="46"/>
      <c r="E7" s="46"/>
      <c r="G7" s="43" t="s">
        <v>39</v>
      </c>
      <c r="H7" s="62">
        <v>0.99977000000000005</v>
      </c>
      <c r="I7" s="62">
        <v>0.96015000000000006</v>
      </c>
    </row>
    <row r="8" spans="3:9" x14ac:dyDescent="0.45">
      <c r="C8" s="43" t="s">
        <v>40</v>
      </c>
      <c r="D8" s="46"/>
      <c r="E8" s="46"/>
      <c r="G8" s="43" t="s">
        <v>40</v>
      </c>
      <c r="H8" s="62">
        <v>0.99834999999999996</v>
      </c>
      <c r="I8" s="62">
        <v>0.99973000000000001</v>
      </c>
    </row>
    <row r="9" spans="3:9" x14ac:dyDescent="0.45">
      <c r="C9" s="43" t="s">
        <v>41</v>
      </c>
      <c r="D9" s="46"/>
      <c r="E9" s="46"/>
      <c r="G9" s="43" t="s">
        <v>41</v>
      </c>
      <c r="H9" s="62">
        <v>1</v>
      </c>
      <c r="I9" s="62">
        <v>1</v>
      </c>
    </row>
    <row r="10" spans="3:9" x14ac:dyDescent="0.45">
      <c r="C10" s="43" t="s">
        <v>42</v>
      </c>
      <c r="D10" s="46"/>
      <c r="E10" s="46"/>
      <c r="G10" s="43" t="s">
        <v>42</v>
      </c>
      <c r="H10" s="62">
        <v>1</v>
      </c>
      <c r="I10" s="62">
        <v>1</v>
      </c>
    </row>
    <row r="11" spans="3:9" x14ac:dyDescent="0.45">
      <c r="C11" s="43" t="s">
        <v>43</v>
      </c>
      <c r="D11" s="46"/>
      <c r="E11" s="46"/>
      <c r="G11" s="43" t="s">
        <v>43</v>
      </c>
      <c r="H11" s="62">
        <v>1</v>
      </c>
      <c r="I11" s="62">
        <v>0.99909999999999999</v>
      </c>
    </row>
    <row r="12" spans="3:9" x14ac:dyDescent="0.45">
      <c r="C12" s="43" t="s">
        <v>44</v>
      </c>
      <c r="D12" s="46">
        <v>0.98024</v>
      </c>
      <c r="E12" s="46">
        <v>1</v>
      </c>
      <c r="G12" s="43" t="s">
        <v>44</v>
      </c>
      <c r="H12" s="62">
        <v>1</v>
      </c>
      <c r="I12" s="62">
        <v>1</v>
      </c>
    </row>
    <row r="13" spans="3:9" x14ac:dyDescent="0.45">
      <c r="C13" s="43" t="s">
        <v>45</v>
      </c>
      <c r="D13" s="46">
        <v>0.98093999999999992</v>
      </c>
      <c r="E13" s="46">
        <v>1</v>
      </c>
      <c r="G13" s="43" t="s">
        <v>45</v>
      </c>
      <c r="H13" s="90">
        <v>0.998</v>
      </c>
      <c r="I13" s="91">
        <v>1</v>
      </c>
    </row>
    <row r="14" spans="3:9" x14ac:dyDescent="0.45">
      <c r="C14" s="43" t="s">
        <v>46</v>
      </c>
      <c r="D14" s="46">
        <v>0.97177999999999998</v>
      </c>
      <c r="E14" s="46">
        <v>1</v>
      </c>
      <c r="G14" s="43" t="s">
        <v>46</v>
      </c>
      <c r="H14" s="90">
        <v>1</v>
      </c>
      <c r="I14" s="91">
        <v>0.97929999999999995</v>
      </c>
    </row>
    <row r="15" spans="3:9" x14ac:dyDescent="0.45">
      <c r="C15" s="43" t="s">
        <v>47</v>
      </c>
      <c r="D15" s="46">
        <v>0.99820999999999993</v>
      </c>
      <c r="E15" s="46">
        <v>0.99462000000000006</v>
      </c>
      <c r="G15" s="43" t="s">
        <v>47</v>
      </c>
      <c r="H15" s="62">
        <v>1</v>
      </c>
      <c r="I15" s="62">
        <v>1</v>
      </c>
    </row>
    <row r="16" spans="3:9" x14ac:dyDescent="0.45">
      <c r="C16" s="43" t="s">
        <v>48</v>
      </c>
      <c r="D16" s="46">
        <v>1</v>
      </c>
      <c r="E16" s="46">
        <v>1</v>
      </c>
      <c r="G16" s="43" t="s">
        <v>48</v>
      </c>
      <c r="H16" s="62">
        <v>1</v>
      </c>
      <c r="I16" s="46">
        <v>0.98499999999999999</v>
      </c>
    </row>
    <row r="17" spans="3:12" x14ac:dyDescent="0.45">
      <c r="C17" s="43" t="s">
        <v>49</v>
      </c>
      <c r="D17" s="46">
        <v>1</v>
      </c>
      <c r="E17" s="46">
        <v>0.99820999999999993</v>
      </c>
      <c r="G17" s="43" t="s">
        <v>49</v>
      </c>
      <c r="H17" s="46">
        <v>0.98167000000000004</v>
      </c>
      <c r="I17" s="46">
        <v>1</v>
      </c>
    </row>
    <row r="18" spans="3:12" x14ac:dyDescent="0.45">
      <c r="C18" s="56" t="s">
        <v>50</v>
      </c>
      <c r="D18" s="52">
        <f>AVERAGE(D6:D17)</f>
        <v>0.98852833333333334</v>
      </c>
      <c r="E18" s="52">
        <f>AVERAGE(E6:E17)</f>
        <v>0.99880500000000005</v>
      </c>
      <c r="G18" s="56" t="s">
        <v>50</v>
      </c>
      <c r="H18" s="52">
        <f>AVERAGE(H6:H17)</f>
        <v>0.99806499999999998</v>
      </c>
      <c r="I18" s="52">
        <f>AVERAGE(I6:I17)</f>
        <v>0.99333749999999998</v>
      </c>
    </row>
    <row r="20" spans="3:12" x14ac:dyDescent="0.45">
      <c r="C20" s="234" t="s">
        <v>51</v>
      </c>
      <c r="D20" s="235"/>
      <c r="E20" s="236"/>
      <c r="G20" s="231" t="s">
        <v>52</v>
      </c>
      <c r="H20" s="237"/>
      <c r="I20" s="232"/>
      <c r="K20" s="231" t="s">
        <v>52</v>
      </c>
      <c r="L20" s="232"/>
    </row>
    <row r="21" spans="3:12" x14ac:dyDescent="0.45">
      <c r="C21" s="1"/>
      <c r="D21" s="42" t="s">
        <v>34</v>
      </c>
      <c r="E21" s="42" t="s">
        <v>22</v>
      </c>
      <c r="G21" s="1"/>
      <c r="H21" s="42" t="s">
        <v>34</v>
      </c>
      <c r="I21" s="42" t="s">
        <v>22</v>
      </c>
      <c r="K21" s="1"/>
      <c r="L21" s="42" t="s">
        <v>35</v>
      </c>
    </row>
    <row r="22" spans="3:12" x14ac:dyDescent="0.45">
      <c r="C22" s="43" t="s">
        <v>38</v>
      </c>
      <c r="D22" s="62">
        <v>1</v>
      </c>
      <c r="E22" s="62">
        <v>1</v>
      </c>
      <c r="G22" s="43" t="s">
        <v>38</v>
      </c>
      <c r="H22" s="62">
        <v>1</v>
      </c>
      <c r="I22" s="62">
        <v>0.99860000000000004</v>
      </c>
      <c r="K22" s="43" t="s">
        <v>38</v>
      </c>
      <c r="L22" s="62">
        <v>0.9647</v>
      </c>
    </row>
    <row r="23" spans="3:12" x14ac:dyDescent="0.45">
      <c r="C23" s="43" t="s">
        <v>39</v>
      </c>
      <c r="D23" s="62">
        <v>1</v>
      </c>
      <c r="E23" s="62">
        <v>0.99867000000000006</v>
      </c>
      <c r="G23" s="43" t="s">
        <v>39</v>
      </c>
      <c r="H23" s="62">
        <v>1</v>
      </c>
      <c r="I23" s="62">
        <v>0.99960000000000004</v>
      </c>
      <c r="K23" s="43" t="s">
        <v>39</v>
      </c>
      <c r="L23" s="62">
        <v>0.82140000000000002</v>
      </c>
    </row>
    <row r="24" spans="3:12" x14ac:dyDescent="0.45">
      <c r="C24" s="43" t="s">
        <v>40</v>
      </c>
      <c r="D24" s="62">
        <v>1</v>
      </c>
      <c r="E24" s="62">
        <v>1</v>
      </c>
      <c r="G24" s="43" t="s">
        <v>40</v>
      </c>
      <c r="H24" s="62">
        <v>1</v>
      </c>
      <c r="I24" s="62">
        <v>1</v>
      </c>
      <c r="K24" s="43" t="s">
        <v>40</v>
      </c>
      <c r="L24" s="62">
        <v>1</v>
      </c>
    </row>
    <row r="25" spans="3:12" x14ac:dyDescent="0.45">
      <c r="C25" s="43" t="s">
        <v>41</v>
      </c>
      <c r="D25" s="62">
        <v>1</v>
      </c>
      <c r="E25" s="62">
        <v>1</v>
      </c>
      <c r="G25" s="43" t="s">
        <v>41</v>
      </c>
      <c r="H25" s="62">
        <v>1</v>
      </c>
      <c r="I25" s="62">
        <v>1</v>
      </c>
      <c r="K25" s="43" t="s">
        <v>41</v>
      </c>
      <c r="L25" s="62">
        <v>1</v>
      </c>
    </row>
    <row r="26" spans="3:12" x14ac:dyDescent="0.45">
      <c r="C26" s="43" t="s">
        <v>42</v>
      </c>
      <c r="D26" s="62">
        <v>0.99953999999999998</v>
      </c>
      <c r="E26" s="62">
        <v>0.99919000000000002</v>
      </c>
      <c r="G26" s="43" t="s">
        <v>42</v>
      </c>
      <c r="H26" s="62">
        <v>1</v>
      </c>
      <c r="I26" s="62">
        <v>1</v>
      </c>
      <c r="K26" s="43" t="s">
        <v>42</v>
      </c>
      <c r="L26" s="62">
        <v>1</v>
      </c>
    </row>
    <row r="27" spans="3:12" x14ac:dyDescent="0.45">
      <c r="C27" s="43" t="s">
        <v>43</v>
      </c>
      <c r="D27" s="62">
        <v>1</v>
      </c>
      <c r="E27" s="62">
        <v>1</v>
      </c>
      <c r="G27" s="43" t="s">
        <v>43</v>
      </c>
      <c r="H27" s="62">
        <v>1</v>
      </c>
      <c r="I27" s="62">
        <v>0.88139999999999996</v>
      </c>
      <c r="K27" s="43" t="s">
        <v>43</v>
      </c>
      <c r="L27" s="136">
        <v>1</v>
      </c>
    </row>
    <row r="28" spans="3:12" x14ac:dyDescent="0.45">
      <c r="C28" s="43" t="s">
        <v>44</v>
      </c>
      <c r="D28" s="62">
        <v>1</v>
      </c>
      <c r="E28" s="62">
        <v>1</v>
      </c>
      <c r="G28" s="43" t="s">
        <v>44</v>
      </c>
      <c r="H28" s="62">
        <v>0.99544999999999995</v>
      </c>
      <c r="I28" s="62">
        <v>1</v>
      </c>
      <c r="K28" s="43" t="s">
        <v>44</v>
      </c>
      <c r="L28" s="136">
        <v>1</v>
      </c>
    </row>
    <row r="29" spans="3:12" x14ac:dyDescent="0.45">
      <c r="C29" s="43" t="s">
        <v>45</v>
      </c>
      <c r="D29" s="62">
        <v>1</v>
      </c>
      <c r="E29" s="62">
        <v>0.99942999999999993</v>
      </c>
      <c r="G29" s="43" t="s">
        <v>45</v>
      </c>
      <c r="H29" s="62">
        <v>1</v>
      </c>
      <c r="I29" s="62">
        <v>1</v>
      </c>
      <c r="K29" s="43" t="s">
        <v>45</v>
      </c>
      <c r="L29" s="62">
        <v>0.98</v>
      </c>
    </row>
    <row r="30" spans="3:12" x14ac:dyDescent="0.45">
      <c r="C30" s="43" t="s">
        <v>46</v>
      </c>
      <c r="D30" s="62">
        <v>1</v>
      </c>
      <c r="E30" s="62">
        <v>1</v>
      </c>
      <c r="G30" s="43" t="s">
        <v>46</v>
      </c>
      <c r="H30" s="62">
        <v>1</v>
      </c>
      <c r="I30" s="62">
        <v>1</v>
      </c>
      <c r="K30" s="43" t="s">
        <v>46</v>
      </c>
      <c r="L30" s="62">
        <v>1</v>
      </c>
    </row>
    <row r="31" spans="3:12" x14ac:dyDescent="0.45">
      <c r="C31" s="43" t="s">
        <v>47</v>
      </c>
      <c r="D31" s="46">
        <v>1</v>
      </c>
      <c r="E31" s="46">
        <v>0.99968000000000001</v>
      </c>
      <c r="G31" s="43" t="s">
        <v>47</v>
      </c>
      <c r="H31" s="62">
        <v>0.99950000000000006</v>
      </c>
      <c r="I31" s="62">
        <v>1</v>
      </c>
      <c r="K31" s="43" t="s">
        <v>47</v>
      </c>
      <c r="L31" s="62">
        <v>1</v>
      </c>
    </row>
    <row r="32" spans="3:12" x14ac:dyDescent="0.45">
      <c r="C32" s="43" t="s">
        <v>48</v>
      </c>
      <c r="D32" s="46">
        <v>1</v>
      </c>
      <c r="E32" s="46">
        <v>0.99951999999999996</v>
      </c>
      <c r="G32" s="43" t="s">
        <v>48</v>
      </c>
      <c r="H32" s="62">
        <v>1</v>
      </c>
      <c r="I32" s="46" t="s">
        <v>53</v>
      </c>
      <c r="K32" s="43" t="s">
        <v>48</v>
      </c>
      <c r="L32" s="142">
        <v>0.96</v>
      </c>
    </row>
    <row r="33" spans="3:12" x14ac:dyDescent="0.45">
      <c r="C33" s="43" t="s">
        <v>49</v>
      </c>
      <c r="D33" s="46">
        <v>1</v>
      </c>
      <c r="E33" s="46">
        <v>1</v>
      </c>
      <c r="G33" s="43" t="s">
        <v>49</v>
      </c>
      <c r="H33" s="46">
        <v>1</v>
      </c>
      <c r="I33" s="46">
        <v>1</v>
      </c>
      <c r="K33" s="43" t="s">
        <v>49</v>
      </c>
      <c r="L33" s="46">
        <v>1</v>
      </c>
    </row>
    <row r="34" spans="3:12" x14ac:dyDescent="0.45">
      <c r="C34" s="56" t="s">
        <v>50</v>
      </c>
      <c r="D34" s="52">
        <f>AVERAGE(D22:D33)</f>
        <v>0.99996166666666664</v>
      </c>
      <c r="E34" s="52">
        <f>AVERAGE(E22:E33)</f>
        <v>0.99970749999999997</v>
      </c>
      <c r="G34" s="56" t="s">
        <v>50</v>
      </c>
      <c r="H34" s="52">
        <f>AVERAGE(H22:H33)</f>
        <v>0.99957916666666657</v>
      </c>
      <c r="I34" s="52">
        <f>AVERAGE(I22:I33)</f>
        <v>0.98905454545454541</v>
      </c>
      <c r="K34" s="56" t="s">
        <v>50</v>
      </c>
      <c r="L34" s="52">
        <f>AVERAGE(L22:L33)</f>
        <v>0.9771749999999999</v>
      </c>
    </row>
    <row r="36" spans="3:12" x14ac:dyDescent="0.45">
      <c r="C36" s="233" t="s">
        <v>54</v>
      </c>
      <c r="D36" s="233"/>
      <c r="E36" s="233"/>
      <c r="F36" s="233"/>
      <c r="H36" s="233" t="s">
        <v>55</v>
      </c>
      <c r="I36" s="233"/>
      <c r="J36" s="233"/>
      <c r="K36" s="233"/>
    </row>
    <row r="37" spans="3:12" x14ac:dyDescent="0.45">
      <c r="C37" s="1"/>
      <c r="D37" s="42" t="s">
        <v>34</v>
      </c>
      <c r="E37" s="42" t="s">
        <v>22</v>
      </c>
      <c r="F37" s="42" t="s">
        <v>35</v>
      </c>
      <c r="H37" s="1"/>
      <c r="I37" s="42" t="s">
        <v>34</v>
      </c>
      <c r="J37" s="42" t="s">
        <v>22</v>
      </c>
      <c r="K37" s="42" t="s">
        <v>35</v>
      </c>
    </row>
    <row r="38" spans="3:12" x14ac:dyDescent="0.45">
      <c r="C38" s="43" t="s">
        <v>38</v>
      </c>
      <c r="D38" s="62">
        <v>1</v>
      </c>
      <c r="E38" s="62">
        <v>0.98660000000000003</v>
      </c>
      <c r="F38" s="62">
        <v>1</v>
      </c>
      <c r="H38" s="43" t="s">
        <v>38</v>
      </c>
      <c r="I38" s="62">
        <v>0.99419999999999997</v>
      </c>
      <c r="J38" s="62">
        <v>0.99180000000000001</v>
      </c>
      <c r="K38" s="62">
        <v>0.99429999999999996</v>
      </c>
    </row>
    <row r="39" spans="3:12" x14ac:dyDescent="0.45">
      <c r="C39" s="43" t="s">
        <v>39</v>
      </c>
      <c r="D39" s="62">
        <v>0.99970000000000003</v>
      </c>
      <c r="E39" s="62">
        <v>1</v>
      </c>
      <c r="F39" s="62">
        <v>0.99809999999999999</v>
      </c>
      <c r="H39" s="43" t="s">
        <v>39</v>
      </c>
      <c r="I39" s="62">
        <v>0.99970000000000003</v>
      </c>
      <c r="J39" s="62">
        <v>0.98819999999999997</v>
      </c>
      <c r="K39" s="62">
        <v>1</v>
      </c>
    </row>
    <row r="40" spans="3:12" x14ac:dyDescent="0.45">
      <c r="C40" s="43" t="s">
        <v>40</v>
      </c>
      <c r="D40" s="62">
        <v>1</v>
      </c>
      <c r="E40" s="62">
        <v>1</v>
      </c>
      <c r="F40" s="62">
        <v>0.99750000000000005</v>
      </c>
      <c r="H40" s="43" t="s">
        <v>40</v>
      </c>
      <c r="I40" s="62">
        <v>0.99796666666666667</v>
      </c>
      <c r="J40" s="62">
        <v>0.99333333333333329</v>
      </c>
      <c r="K40" s="62">
        <v>0.99809999999999999</v>
      </c>
    </row>
    <row r="41" spans="3:12" x14ac:dyDescent="0.45">
      <c r="C41" s="43" t="s">
        <v>41</v>
      </c>
      <c r="D41" s="62">
        <v>1</v>
      </c>
      <c r="E41" s="62">
        <v>1</v>
      </c>
      <c r="F41" s="62">
        <v>1</v>
      </c>
      <c r="H41" s="43" t="s">
        <v>41</v>
      </c>
      <c r="I41" s="62">
        <v>0.998475</v>
      </c>
      <c r="J41" s="62">
        <v>0.995</v>
      </c>
      <c r="K41" s="62">
        <v>0.99857499999999999</v>
      </c>
    </row>
    <row r="42" spans="3:12" x14ac:dyDescent="0.45">
      <c r="C42" s="43" t="s">
        <v>42</v>
      </c>
      <c r="D42" s="62">
        <v>1</v>
      </c>
      <c r="E42" s="62">
        <v>1</v>
      </c>
      <c r="F42" s="62">
        <v>1</v>
      </c>
      <c r="H42" s="43" t="s">
        <v>42</v>
      </c>
      <c r="I42" s="62">
        <v>1</v>
      </c>
      <c r="J42" s="62">
        <v>0.99600000000000011</v>
      </c>
      <c r="K42" s="62">
        <v>0.99885999999999997</v>
      </c>
    </row>
    <row r="43" spans="3:12" x14ac:dyDescent="0.45">
      <c r="C43" s="43" t="s">
        <v>43</v>
      </c>
      <c r="D43" s="62">
        <v>1</v>
      </c>
      <c r="E43" s="62">
        <v>1</v>
      </c>
      <c r="F43" s="62">
        <v>1</v>
      </c>
      <c r="H43" s="43" t="s">
        <v>43</v>
      </c>
      <c r="I43" s="62">
        <v>0.9966666666666667</v>
      </c>
      <c r="J43" s="62">
        <v>0.99898333333333333</v>
      </c>
      <c r="K43" s="62">
        <v>0.99904999999999999</v>
      </c>
    </row>
    <row r="44" spans="3:12" x14ac:dyDescent="0.45">
      <c r="C44" s="43" t="s">
        <v>44</v>
      </c>
      <c r="D44" s="62">
        <v>1</v>
      </c>
      <c r="E44" s="149">
        <v>1</v>
      </c>
      <c r="F44" s="62">
        <v>1</v>
      </c>
      <c r="H44" s="43" t="s">
        <v>44</v>
      </c>
      <c r="I44" s="62">
        <v>0.99665000000000004</v>
      </c>
      <c r="J44" s="149">
        <v>0.99859285714285717</v>
      </c>
      <c r="K44" s="62">
        <v>0.99833333333333341</v>
      </c>
    </row>
    <row r="45" spans="3:12" x14ac:dyDescent="0.45">
      <c r="C45" s="43" t="s">
        <v>45</v>
      </c>
      <c r="D45" s="62">
        <v>0.98780000000000001</v>
      </c>
      <c r="E45" s="149">
        <v>1</v>
      </c>
      <c r="F45" s="62">
        <v>1</v>
      </c>
      <c r="H45" s="43" t="s">
        <v>45</v>
      </c>
      <c r="I45" s="62">
        <v>1</v>
      </c>
      <c r="J45" s="149">
        <v>0.88170000000000004</v>
      </c>
      <c r="K45" s="62">
        <v>0.98850000000000005</v>
      </c>
    </row>
    <row r="46" spans="3:12" x14ac:dyDescent="0.45">
      <c r="C46" s="43" t="s">
        <v>46</v>
      </c>
      <c r="D46" s="62">
        <v>1</v>
      </c>
      <c r="E46" s="149">
        <v>1</v>
      </c>
      <c r="F46" s="62">
        <v>1</v>
      </c>
      <c r="H46" s="43" t="s">
        <v>46</v>
      </c>
      <c r="I46" s="62">
        <v>1</v>
      </c>
      <c r="J46" s="149">
        <v>0.66659999999999997</v>
      </c>
      <c r="K46" s="62">
        <v>1</v>
      </c>
    </row>
    <row r="47" spans="3:12" x14ac:dyDescent="0.45">
      <c r="C47" s="43" t="s">
        <v>47</v>
      </c>
      <c r="D47" s="62">
        <v>1</v>
      </c>
      <c r="E47" s="62">
        <v>1</v>
      </c>
      <c r="F47" s="62">
        <v>0.97189999999999999</v>
      </c>
      <c r="H47" s="43" t="s">
        <v>47</v>
      </c>
      <c r="I47" s="62">
        <v>1</v>
      </c>
      <c r="J47" s="149">
        <v>0.66659999999999997</v>
      </c>
      <c r="K47" s="62">
        <v>0.99150000000000005</v>
      </c>
    </row>
    <row r="48" spans="3:12" x14ac:dyDescent="0.45">
      <c r="C48" s="43" t="s">
        <v>48</v>
      </c>
      <c r="D48" s="62">
        <v>1</v>
      </c>
      <c r="E48" s="46">
        <v>1</v>
      </c>
      <c r="F48" s="62">
        <v>0.99109999999999998</v>
      </c>
      <c r="H48" s="43" t="s">
        <v>48</v>
      </c>
      <c r="I48" s="62"/>
      <c r="J48" s="46"/>
      <c r="K48" s="62"/>
    </row>
    <row r="49" spans="3:11" x14ac:dyDescent="0.45">
      <c r="C49" s="43" t="s">
        <v>49</v>
      </c>
      <c r="D49" s="46">
        <v>0.99750000000000005</v>
      </c>
      <c r="E49" s="46">
        <v>1</v>
      </c>
      <c r="F49" s="46">
        <v>1</v>
      </c>
      <c r="H49" s="43" t="s">
        <v>49</v>
      </c>
      <c r="I49" s="46"/>
      <c r="J49" s="46"/>
      <c r="K49" s="46"/>
    </row>
    <row r="50" spans="3:11" x14ac:dyDescent="0.45">
      <c r="C50" s="56" t="s">
        <v>50</v>
      </c>
      <c r="D50" s="52">
        <f>AVERAGE(D38:D49)</f>
        <v>0.99875000000000014</v>
      </c>
      <c r="E50" s="52">
        <f>AVERAGE(E38:E49)</f>
        <v>0.99888333333333323</v>
      </c>
      <c r="F50" s="52">
        <f>AVERAGE(F38:F49)</f>
        <v>0.99654999999999994</v>
      </c>
      <c r="H50" s="56" t="s">
        <v>50</v>
      </c>
      <c r="I50" s="52">
        <f>AVERAGE(I38:I49)</f>
        <v>0.9983658333333334</v>
      </c>
      <c r="J50" s="52">
        <f>AVERAGE(J38:J49)</f>
        <v>0.9176809523809526</v>
      </c>
      <c r="K50" s="52">
        <f>AVERAGE(K38:K49)</f>
        <v>0.99672183333333331</v>
      </c>
    </row>
  </sheetData>
  <mergeCells count="7">
    <mergeCell ref="K20:L20"/>
    <mergeCell ref="C36:F36"/>
    <mergeCell ref="G4:I4"/>
    <mergeCell ref="C4:E4"/>
    <mergeCell ref="C20:E20"/>
    <mergeCell ref="G20:I20"/>
    <mergeCell ref="H36:K3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rgb="FFFFC000"/>
  </sheetPr>
  <dimension ref="C4:AQ109"/>
  <sheetViews>
    <sheetView topLeftCell="A88" zoomScaleNormal="100" workbookViewId="0">
      <selection activeCell="R108" sqref="R108"/>
    </sheetView>
  </sheetViews>
  <sheetFormatPr defaultColWidth="9.1328125" defaultRowHeight="14.25" x14ac:dyDescent="0.45"/>
  <cols>
    <col min="3" max="3" width="10.53125" bestFit="1" customWidth="1"/>
    <col min="4" max="4" width="9.1328125" customWidth="1"/>
    <col min="5" max="5" width="10.1328125" customWidth="1"/>
    <col min="6" max="6" width="9.1328125" customWidth="1"/>
    <col min="7" max="8" width="10.1328125" customWidth="1"/>
    <col min="9" max="9" width="7.6640625" customWidth="1"/>
    <col min="10" max="11" width="10.6640625" customWidth="1"/>
    <col min="13" max="13" width="11" bestFit="1" customWidth="1"/>
    <col min="14" max="14" width="12.53125" customWidth="1"/>
  </cols>
  <sheetData>
    <row r="4" spans="3:12" x14ac:dyDescent="0.45">
      <c r="C4" s="238" t="s">
        <v>56</v>
      </c>
      <c r="D4" s="239"/>
      <c r="E4" s="239"/>
      <c r="F4" s="239"/>
      <c r="G4" s="239"/>
      <c r="H4" s="239"/>
      <c r="I4" s="239"/>
      <c r="J4" s="77"/>
      <c r="K4" s="77"/>
      <c r="L4" s="78"/>
    </row>
    <row r="5" spans="3:12" ht="15.75" x14ac:dyDescent="0.5">
      <c r="C5" s="42"/>
      <c r="D5" s="244" t="s">
        <v>34</v>
      </c>
      <c r="E5" s="245"/>
      <c r="F5" s="246"/>
      <c r="G5" s="244" t="s">
        <v>22</v>
      </c>
      <c r="H5" s="245"/>
      <c r="I5" s="246"/>
      <c r="J5" s="241" t="s">
        <v>57</v>
      </c>
      <c r="K5" s="242"/>
      <c r="L5" s="243"/>
    </row>
    <row r="6" spans="3:12" x14ac:dyDescent="0.45">
      <c r="C6" s="42"/>
      <c r="D6" s="42" t="s">
        <v>58</v>
      </c>
      <c r="E6" s="42" t="s">
        <v>59</v>
      </c>
      <c r="F6" s="42" t="s">
        <v>60</v>
      </c>
      <c r="G6" s="42" t="s">
        <v>58</v>
      </c>
      <c r="H6" s="42" t="s">
        <v>59</v>
      </c>
      <c r="I6" s="42" t="s">
        <v>60</v>
      </c>
      <c r="J6" s="49" t="s">
        <v>58</v>
      </c>
      <c r="K6" s="49" t="s">
        <v>59</v>
      </c>
      <c r="L6" s="49" t="s">
        <v>60</v>
      </c>
    </row>
    <row r="7" spans="3:12" x14ac:dyDescent="0.45">
      <c r="C7" s="47" t="s">
        <v>38</v>
      </c>
      <c r="D7" s="86" t="s">
        <v>61</v>
      </c>
      <c r="E7" s="86" t="s">
        <v>61</v>
      </c>
      <c r="F7" s="86" t="s">
        <v>61</v>
      </c>
      <c r="G7" s="86" t="s">
        <v>61</v>
      </c>
      <c r="H7" s="86" t="s">
        <v>61</v>
      </c>
      <c r="I7" s="86" t="s">
        <v>61</v>
      </c>
      <c r="J7" s="86" t="s">
        <v>61</v>
      </c>
      <c r="K7" s="86" t="s">
        <v>61</v>
      </c>
      <c r="L7" s="86" t="s">
        <v>61</v>
      </c>
    </row>
    <row r="8" spans="3:12" x14ac:dyDescent="0.45">
      <c r="C8" s="47" t="s">
        <v>39</v>
      </c>
      <c r="D8" s="86" t="s">
        <v>61</v>
      </c>
      <c r="E8" s="86" t="s">
        <v>61</v>
      </c>
      <c r="F8" s="86" t="s">
        <v>61</v>
      </c>
      <c r="G8" s="86" t="s">
        <v>61</v>
      </c>
      <c r="H8" s="86" t="s">
        <v>61</v>
      </c>
      <c r="I8" s="86" t="s">
        <v>61</v>
      </c>
      <c r="J8" s="86" t="s">
        <v>61</v>
      </c>
      <c r="K8" s="86" t="s">
        <v>61</v>
      </c>
      <c r="L8" s="86" t="s">
        <v>61</v>
      </c>
    </row>
    <row r="9" spans="3:12" x14ac:dyDescent="0.45">
      <c r="C9" s="47" t="s">
        <v>40</v>
      </c>
      <c r="D9" s="86" t="s">
        <v>61</v>
      </c>
      <c r="E9" s="86" t="s">
        <v>61</v>
      </c>
      <c r="F9" s="86" t="s">
        <v>61</v>
      </c>
      <c r="G9" s="86" t="s">
        <v>61</v>
      </c>
      <c r="H9" s="86" t="s">
        <v>61</v>
      </c>
      <c r="I9" s="86" t="s">
        <v>61</v>
      </c>
      <c r="J9" s="86" t="s">
        <v>61</v>
      </c>
      <c r="K9" s="86" t="s">
        <v>61</v>
      </c>
      <c r="L9" s="86" t="s">
        <v>61</v>
      </c>
    </row>
    <row r="10" spans="3:12" x14ac:dyDescent="0.45">
      <c r="C10" s="47" t="s">
        <v>41</v>
      </c>
      <c r="D10" s="86" t="s">
        <v>61</v>
      </c>
      <c r="E10" s="86" t="s">
        <v>61</v>
      </c>
      <c r="F10" s="86" t="s">
        <v>61</v>
      </c>
      <c r="G10" s="86" t="s">
        <v>61</v>
      </c>
      <c r="H10" s="86" t="s">
        <v>61</v>
      </c>
      <c r="I10" s="86" t="s">
        <v>61</v>
      </c>
      <c r="J10" s="86" t="s">
        <v>61</v>
      </c>
      <c r="K10" s="86" t="s">
        <v>61</v>
      </c>
      <c r="L10" s="86" t="s">
        <v>61</v>
      </c>
    </row>
    <row r="11" spans="3:12" x14ac:dyDescent="0.45">
      <c r="C11" s="47" t="s">
        <v>42</v>
      </c>
      <c r="D11" s="86" t="s">
        <v>61</v>
      </c>
      <c r="E11" s="86" t="s">
        <v>61</v>
      </c>
      <c r="F11" s="86" t="s">
        <v>61</v>
      </c>
      <c r="G11" s="86" t="s">
        <v>61</v>
      </c>
      <c r="H11" s="86" t="s">
        <v>61</v>
      </c>
      <c r="I11" s="86" t="s">
        <v>61</v>
      </c>
      <c r="J11" s="86" t="s">
        <v>61</v>
      </c>
      <c r="K11" s="86" t="s">
        <v>61</v>
      </c>
      <c r="L11" s="86" t="s">
        <v>61</v>
      </c>
    </row>
    <row r="12" spans="3:12" x14ac:dyDescent="0.45">
      <c r="C12" s="47" t="s">
        <v>43</v>
      </c>
      <c r="D12" s="86" t="s">
        <v>61</v>
      </c>
      <c r="E12" s="86" t="s">
        <v>61</v>
      </c>
      <c r="F12" s="86" t="s">
        <v>61</v>
      </c>
      <c r="G12" s="86" t="s">
        <v>61</v>
      </c>
      <c r="H12" s="86" t="s">
        <v>61</v>
      </c>
      <c r="I12" s="86" t="s">
        <v>61</v>
      </c>
      <c r="J12" s="86" t="s">
        <v>61</v>
      </c>
      <c r="K12" s="86" t="s">
        <v>61</v>
      </c>
      <c r="L12" s="86" t="s">
        <v>61</v>
      </c>
    </row>
    <row r="13" spans="3:12" x14ac:dyDescent="0.45">
      <c r="C13" s="47" t="s">
        <v>44</v>
      </c>
      <c r="D13" s="48">
        <v>116911.2</v>
      </c>
      <c r="E13" s="48">
        <v>261526.7</v>
      </c>
      <c r="F13" s="46">
        <f t="shared" ref="F13:F18" si="0">D13/E13</f>
        <v>0.44703351512484191</v>
      </c>
      <c r="G13" s="48">
        <v>424573</v>
      </c>
      <c r="H13" s="48">
        <v>269641.8</v>
      </c>
      <c r="I13" s="46">
        <f t="shared" ref="I13:I18" si="1">G13/H13</f>
        <v>1.5745815374322527</v>
      </c>
      <c r="J13" s="50">
        <f t="shared" ref="J13:K18" si="2">SUM(D13,G13)</f>
        <v>541484.19999999995</v>
      </c>
      <c r="K13" s="50">
        <f t="shared" si="2"/>
        <v>531168.5</v>
      </c>
      <c r="L13" s="51">
        <f t="shared" ref="L13:L18" si="3">J13/K13</f>
        <v>1.019420767609525</v>
      </c>
    </row>
    <row r="14" spans="3:12" x14ac:dyDescent="0.45">
      <c r="C14" s="47" t="s">
        <v>45</v>
      </c>
      <c r="D14" s="48">
        <v>140722.4</v>
      </c>
      <c r="E14" s="48">
        <v>498528.6</v>
      </c>
      <c r="F14" s="46">
        <f t="shared" si="0"/>
        <v>0.2822754802833779</v>
      </c>
      <c r="G14" s="48">
        <v>438642</v>
      </c>
      <c r="H14" s="83">
        <v>1E-3</v>
      </c>
      <c r="I14" s="87" t="s">
        <v>61</v>
      </c>
      <c r="J14" s="50">
        <f t="shared" si="2"/>
        <v>579364.4</v>
      </c>
      <c r="K14" s="50">
        <f t="shared" si="2"/>
        <v>498528.60099999997</v>
      </c>
      <c r="L14" s="51">
        <f t="shared" si="3"/>
        <v>1.1621487690733316</v>
      </c>
    </row>
    <row r="15" spans="3:12" x14ac:dyDescent="0.45">
      <c r="C15" s="47" t="s">
        <v>46</v>
      </c>
      <c r="D15" s="48">
        <v>110264.4</v>
      </c>
      <c r="E15" s="48">
        <v>425599.2</v>
      </c>
      <c r="F15" s="46">
        <f t="shared" si="0"/>
        <v>0.2590803742112297</v>
      </c>
      <c r="G15" s="48">
        <v>381452</v>
      </c>
      <c r="H15" s="83">
        <v>1E-3</v>
      </c>
      <c r="I15" s="87" t="s">
        <v>61</v>
      </c>
      <c r="J15" s="50">
        <f t="shared" si="2"/>
        <v>491716.4</v>
      </c>
      <c r="K15" s="50">
        <f t="shared" si="2"/>
        <v>425599.201</v>
      </c>
      <c r="L15" s="51">
        <f t="shared" si="3"/>
        <v>1.1553508532080163</v>
      </c>
    </row>
    <row r="16" spans="3:12" x14ac:dyDescent="0.45">
      <c r="C16" s="47" t="s">
        <v>47</v>
      </c>
      <c r="D16" s="48">
        <v>56659.41</v>
      </c>
      <c r="E16" s="48">
        <v>143112.1</v>
      </c>
      <c r="F16" s="46">
        <f t="shared" si="0"/>
        <v>0.39590929068890751</v>
      </c>
      <c r="G16" s="48">
        <v>252863</v>
      </c>
      <c r="H16" s="48">
        <v>213893.1</v>
      </c>
      <c r="I16" s="46">
        <f t="shared" si="1"/>
        <v>1.1821933479855125</v>
      </c>
      <c r="J16" s="50">
        <f t="shared" si="2"/>
        <v>309522.41000000003</v>
      </c>
      <c r="K16" s="50">
        <f t="shared" si="2"/>
        <v>357005.2</v>
      </c>
      <c r="L16" s="51">
        <f t="shared" si="3"/>
        <v>0.8669969232941146</v>
      </c>
    </row>
    <row r="17" spans="3:12" x14ac:dyDescent="0.45">
      <c r="C17" s="47" t="s">
        <v>48</v>
      </c>
      <c r="D17" s="48">
        <v>240103.9</v>
      </c>
      <c r="E17" s="48">
        <v>256321.4</v>
      </c>
      <c r="F17" s="46">
        <f t="shared" si="0"/>
        <v>0.93672982435333141</v>
      </c>
      <c r="G17" s="48">
        <v>201336</v>
      </c>
      <c r="H17" s="48">
        <v>218336.2</v>
      </c>
      <c r="I17" s="46">
        <f t="shared" si="1"/>
        <v>0.92213751086626949</v>
      </c>
      <c r="J17" s="50">
        <f t="shared" si="2"/>
        <v>441439.9</v>
      </c>
      <c r="K17" s="50">
        <f t="shared" si="2"/>
        <v>474657.6</v>
      </c>
      <c r="L17" s="51">
        <f t="shared" si="3"/>
        <v>0.93001755370608208</v>
      </c>
    </row>
    <row r="18" spans="3:12" x14ac:dyDescent="0.45">
      <c r="C18" s="47" t="s">
        <v>49</v>
      </c>
      <c r="D18" s="48">
        <v>156599.79999999999</v>
      </c>
      <c r="E18" s="48">
        <v>200907.8</v>
      </c>
      <c r="F18" s="46">
        <f t="shared" si="0"/>
        <v>0.7794610264011651</v>
      </c>
      <c r="G18" s="48">
        <v>112849</v>
      </c>
      <c r="H18" s="48">
        <v>155562.4</v>
      </c>
      <c r="I18" s="46">
        <f t="shared" si="1"/>
        <v>0.72542593840156755</v>
      </c>
      <c r="J18" s="50">
        <f t="shared" si="2"/>
        <v>269448.8</v>
      </c>
      <c r="K18" s="50">
        <f t="shared" si="2"/>
        <v>356470.19999999995</v>
      </c>
      <c r="L18" s="51">
        <f t="shared" si="3"/>
        <v>0.7558802951831598</v>
      </c>
    </row>
    <row r="19" spans="3:12" x14ac:dyDescent="0.45">
      <c r="C19" s="49" t="s">
        <v>62</v>
      </c>
      <c r="D19" s="53">
        <f>SUM(D7:D18)</f>
        <v>821261.1100000001</v>
      </c>
      <c r="E19" s="53">
        <f>SUM(E7:E18)</f>
        <v>1785995.8</v>
      </c>
      <c r="F19" s="55">
        <f>D19/E19</f>
        <v>0.45983372973217523</v>
      </c>
      <c r="G19" s="53">
        <f>SUM(G7:G18)</f>
        <v>1811715</v>
      </c>
      <c r="H19" s="53">
        <f>SUM(H7:H18)</f>
        <v>857433.50199999998</v>
      </c>
      <c r="I19" s="55">
        <f t="shared" ref="I19" si="4">G19/H19</f>
        <v>2.1129510285918358</v>
      </c>
      <c r="J19" s="54">
        <f>SUM(D19,G19)</f>
        <v>2632976.1100000003</v>
      </c>
      <c r="K19" s="54">
        <f>SUM(E19,H19)</f>
        <v>2643429.3020000001</v>
      </c>
      <c r="L19" s="55">
        <f t="shared" ref="L19" si="5">J19/K19</f>
        <v>0.99604559426193429</v>
      </c>
    </row>
    <row r="22" spans="3:12" x14ac:dyDescent="0.45">
      <c r="C22" s="238" t="s">
        <v>63</v>
      </c>
      <c r="D22" s="239"/>
      <c r="E22" s="239"/>
      <c r="F22" s="239"/>
      <c r="G22" s="239"/>
      <c r="H22" s="239"/>
      <c r="I22" s="239"/>
      <c r="J22" s="77"/>
      <c r="K22" s="77"/>
      <c r="L22" s="78"/>
    </row>
    <row r="23" spans="3:12" ht="15.75" x14ac:dyDescent="0.5">
      <c r="C23" s="42"/>
      <c r="D23" s="244" t="s">
        <v>34</v>
      </c>
      <c r="E23" s="245"/>
      <c r="F23" s="246"/>
      <c r="G23" s="244" t="s">
        <v>22</v>
      </c>
      <c r="H23" s="245"/>
      <c r="I23" s="246"/>
      <c r="J23" s="241" t="s">
        <v>57</v>
      </c>
      <c r="K23" s="242"/>
      <c r="L23" s="243"/>
    </row>
    <row r="24" spans="3:12" x14ac:dyDescent="0.45">
      <c r="C24" s="42"/>
      <c r="D24" s="42" t="s">
        <v>58</v>
      </c>
      <c r="E24" s="42" t="s">
        <v>59</v>
      </c>
      <c r="F24" s="42" t="s">
        <v>60</v>
      </c>
      <c r="G24" s="42" t="s">
        <v>58</v>
      </c>
      <c r="H24" s="42" t="s">
        <v>59</v>
      </c>
      <c r="I24" s="42" t="s">
        <v>60</v>
      </c>
      <c r="J24" s="49" t="s">
        <v>58</v>
      </c>
      <c r="K24" s="49" t="s">
        <v>59</v>
      </c>
      <c r="L24" s="49" t="s">
        <v>60</v>
      </c>
    </row>
    <row r="25" spans="3:12" x14ac:dyDescent="0.45">
      <c r="C25" s="47" t="s">
        <v>38</v>
      </c>
      <c r="D25" s="48">
        <v>227679.5</v>
      </c>
      <c r="E25" s="48">
        <v>257471.3</v>
      </c>
      <c r="F25" s="46">
        <f>D25/E25</f>
        <v>0.8842907927990421</v>
      </c>
      <c r="G25" s="48">
        <v>183752</v>
      </c>
      <c r="H25" s="48">
        <v>225537.8</v>
      </c>
      <c r="I25" s="46">
        <f>G25/H25</f>
        <v>0.81472817416858734</v>
      </c>
      <c r="J25" s="50">
        <f>SUM(D25,G25)</f>
        <v>411431.5</v>
      </c>
      <c r="K25" s="50">
        <f>SUM(E25,H25)</f>
        <v>483009.1</v>
      </c>
      <c r="L25" s="51">
        <f>J25/K25</f>
        <v>0.85180900318441211</v>
      </c>
    </row>
    <row r="26" spans="3:12" x14ac:dyDescent="0.45">
      <c r="C26" s="47" t="s">
        <v>39</v>
      </c>
      <c r="D26" s="48">
        <v>143871.79999999999</v>
      </c>
      <c r="E26" s="48">
        <v>255271</v>
      </c>
      <c r="F26" s="46">
        <f t="shared" ref="F26:F36" si="6">D26/E26</f>
        <v>0.56360416968633331</v>
      </c>
      <c r="G26" s="48">
        <v>126222</v>
      </c>
      <c r="H26" s="48">
        <v>205320.8</v>
      </c>
      <c r="I26" s="46">
        <f t="shared" ref="I26:I36" si="7">G26/H26</f>
        <v>0.61475505647747331</v>
      </c>
      <c r="J26" s="50">
        <f t="shared" ref="J26:K36" si="8">SUM(D26,G26)</f>
        <v>270093.8</v>
      </c>
      <c r="K26" s="50">
        <f t="shared" si="8"/>
        <v>460591.8</v>
      </c>
      <c r="L26" s="51">
        <f t="shared" ref="L26:L27" si="9">J26/K26</f>
        <v>0.58640601070188392</v>
      </c>
    </row>
    <row r="27" spans="3:12" x14ac:dyDescent="0.45">
      <c r="C27" s="47" t="s">
        <v>40</v>
      </c>
      <c r="D27" s="48">
        <v>492310.9</v>
      </c>
      <c r="E27" s="48">
        <v>494013.2</v>
      </c>
      <c r="F27" s="46">
        <f t="shared" si="6"/>
        <v>0.99655414065858972</v>
      </c>
      <c r="G27" s="48">
        <v>437625</v>
      </c>
      <c r="H27" s="48">
        <v>445515.7</v>
      </c>
      <c r="I27" s="46">
        <f t="shared" si="7"/>
        <v>0.98228861519358346</v>
      </c>
      <c r="J27" s="50">
        <f t="shared" si="8"/>
        <v>929935.9</v>
      </c>
      <c r="K27" s="50">
        <f t="shared" si="8"/>
        <v>939528.9</v>
      </c>
      <c r="L27" s="51">
        <f t="shared" si="9"/>
        <v>0.9897895636845232</v>
      </c>
    </row>
    <row r="28" spans="3:12" x14ac:dyDescent="0.45">
      <c r="C28" s="47" t="s">
        <v>41</v>
      </c>
      <c r="D28" s="48">
        <v>439047</v>
      </c>
      <c r="E28" s="48">
        <v>448567.2</v>
      </c>
      <c r="F28" s="46">
        <f t="shared" si="6"/>
        <v>0.97877642413444399</v>
      </c>
      <c r="G28" s="48">
        <v>367530</v>
      </c>
      <c r="H28" s="48">
        <v>372152.7</v>
      </c>
      <c r="I28" s="46">
        <f t="shared" si="7"/>
        <v>0.98757848592795372</v>
      </c>
      <c r="J28" s="50">
        <f t="shared" si="8"/>
        <v>806577</v>
      </c>
      <c r="K28" s="50">
        <f t="shared" si="8"/>
        <v>820719.9</v>
      </c>
      <c r="L28" s="51">
        <f>J28/K28</f>
        <v>0.98276768968316719</v>
      </c>
    </row>
    <row r="29" spans="3:12" x14ac:dyDescent="0.45">
      <c r="C29" s="47" t="s">
        <v>42</v>
      </c>
      <c r="D29" s="48">
        <v>501618.9</v>
      </c>
      <c r="E29" s="48">
        <v>514260.1</v>
      </c>
      <c r="F29" s="46">
        <f t="shared" si="6"/>
        <v>0.97541866460182314</v>
      </c>
      <c r="G29" s="48">
        <v>436580</v>
      </c>
      <c r="H29" s="48">
        <v>440019.8</v>
      </c>
      <c r="I29" s="46">
        <f t="shared" si="7"/>
        <v>0.99218262450916983</v>
      </c>
      <c r="J29" s="50">
        <f t="shared" si="8"/>
        <v>938198.9</v>
      </c>
      <c r="K29" s="50">
        <f t="shared" si="8"/>
        <v>954279.89999999991</v>
      </c>
      <c r="L29" s="51">
        <f t="shared" ref="L29:L35" si="10">J29/K29</f>
        <v>0.98314855002185431</v>
      </c>
    </row>
    <row r="30" spans="3:12" x14ac:dyDescent="0.45">
      <c r="C30" s="47" t="s">
        <v>43</v>
      </c>
      <c r="D30" s="48">
        <v>543264.6</v>
      </c>
      <c r="E30" s="48">
        <v>552014.80000000005</v>
      </c>
      <c r="F30" s="46">
        <f t="shared" si="6"/>
        <v>0.98414861340674187</v>
      </c>
      <c r="G30" s="48">
        <v>459791</v>
      </c>
      <c r="H30" s="48">
        <v>460611.1</v>
      </c>
      <c r="I30" s="46">
        <f t="shared" si="7"/>
        <v>0.99821953921648876</v>
      </c>
      <c r="J30" s="50">
        <f t="shared" si="8"/>
        <v>1003055.6</v>
      </c>
      <c r="K30" s="50">
        <f t="shared" si="8"/>
        <v>1012625.9</v>
      </c>
      <c r="L30" s="51">
        <f t="shared" si="10"/>
        <v>0.99054902703950187</v>
      </c>
    </row>
    <row r="31" spans="3:12" x14ac:dyDescent="0.45">
      <c r="C31" s="47" t="s">
        <v>44</v>
      </c>
      <c r="D31" s="48">
        <v>420906.1</v>
      </c>
      <c r="E31" s="48">
        <v>429467.7</v>
      </c>
      <c r="F31" s="46">
        <f t="shared" si="6"/>
        <v>0.98006462418477558</v>
      </c>
      <c r="G31" s="48">
        <v>350714</v>
      </c>
      <c r="H31" s="48">
        <v>355421.8</v>
      </c>
      <c r="I31" s="46">
        <f t="shared" si="7"/>
        <v>0.98675432964438314</v>
      </c>
      <c r="J31" s="50">
        <f>SUM(D31,G31)</f>
        <v>771620.1</v>
      </c>
      <c r="K31" s="50">
        <f t="shared" si="8"/>
        <v>784889.5</v>
      </c>
      <c r="L31" s="51">
        <f t="shared" si="10"/>
        <v>0.98309392596027845</v>
      </c>
    </row>
    <row r="32" spans="3:12" x14ac:dyDescent="0.45">
      <c r="C32" s="47" t="s">
        <v>45</v>
      </c>
      <c r="D32" s="48">
        <v>441017.5</v>
      </c>
      <c r="E32" s="48">
        <v>449526.7</v>
      </c>
      <c r="F32" s="46">
        <f t="shared" si="6"/>
        <v>0.98107075730985494</v>
      </c>
      <c r="G32" s="48">
        <v>367845</v>
      </c>
      <c r="H32" s="48">
        <v>379397.1</v>
      </c>
      <c r="I32" s="46">
        <f t="shared" si="7"/>
        <v>0.96955142777844117</v>
      </c>
      <c r="J32" s="50">
        <f t="shared" si="8"/>
        <v>808862.5</v>
      </c>
      <c r="K32" s="50">
        <f t="shared" si="8"/>
        <v>828923.8</v>
      </c>
      <c r="L32" s="51">
        <f t="shared" si="10"/>
        <v>0.97579837857231266</v>
      </c>
    </row>
    <row r="33" spans="3:43" x14ac:dyDescent="0.45">
      <c r="C33" s="47" t="s">
        <v>46</v>
      </c>
      <c r="D33" s="48">
        <v>385420.2</v>
      </c>
      <c r="E33" s="48">
        <v>394461.6</v>
      </c>
      <c r="F33" s="46">
        <f t="shared" si="6"/>
        <v>0.97707913774116428</v>
      </c>
      <c r="G33" s="48">
        <v>326443</v>
      </c>
      <c r="H33" s="48">
        <v>350030.6</v>
      </c>
      <c r="I33" s="46">
        <f t="shared" si="7"/>
        <v>0.9326127487139696</v>
      </c>
      <c r="J33" s="50">
        <f t="shared" si="8"/>
        <v>711863.2</v>
      </c>
      <c r="K33" s="50">
        <f t="shared" si="8"/>
        <v>744492.2</v>
      </c>
      <c r="L33" s="51">
        <f t="shared" si="10"/>
        <v>0.95617281148143662</v>
      </c>
    </row>
    <row r="34" spans="3:43" x14ac:dyDescent="0.45">
      <c r="C34" s="47" t="s">
        <v>47</v>
      </c>
      <c r="D34" s="48">
        <v>305337.09999999998</v>
      </c>
      <c r="E34" s="48">
        <v>312573.2</v>
      </c>
      <c r="F34" s="46">
        <f t="shared" si="6"/>
        <v>0.97684990267879646</v>
      </c>
      <c r="G34" s="48">
        <v>249653</v>
      </c>
      <c r="H34" s="48">
        <v>271991.8</v>
      </c>
      <c r="I34" s="46">
        <f t="shared" si="7"/>
        <v>0.9178695828330119</v>
      </c>
      <c r="J34" s="50">
        <f t="shared" si="8"/>
        <v>554990.1</v>
      </c>
      <c r="K34" s="50">
        <f t="shared" si="8"/>
        <v>584565</v>
      </c>
      <c r="L34" s="51">
        <f t="shared" si="10"/>
        <v>0.94940699494495906</v>
      </c>
    </row>
    <row r="35" spans="3:43" x14ac:dyDescent="0.45">
      <c r="C35" s="47" t="s">
        <v>48</v>
      </c>
      <c r="D35" s="48">
        <v>303576.09999999998</v>
      </c>
      <c r="E35" s="48">
        <v>303145.09999999998</v>
      </c>
      <c r="F35" s="46">
        <f t="shared" si="6"/>
        <v>1.001421761394131</v>
      </c>
      <c r="G35" s="48">
        <v>251687.7</v>
      </c>
      <c r="H35" s="48">
        <v>281496.90000000002</v>
      </c>
      <c r="I35" s="46">
        <f t="shared" si="7"/>
        <v>0.89410469529149339</v>
      </c>
      <c r="J35" s="50">
        <f t="shared" si="8"/>
        <v>555263.80000000005</v>
      </c>
      <c r="K35" s="50">
        <f t="shared" si="8"/>
        <v>584642</v>
      </c>
      <c r="L35" s="51">
        <f t="shared" si="10"/>
        <v>0.94975010348213107</v>
      </c>
    </row>
    <row r="36" spans="3:43" x14ac:dyDescent="0.45">
      <c r="C36" s="47" t="s">
        <v>49</v>
      </c>
      <c r="D36" s="48">
        <v>161260.79999999999</v>
      </c>
      <c r="E36" s="48">
        <v>178274.2</v>
      </c>
      <c r="F36" s="46">
        <f t="shared" si="6"/>
        <v>0.90456611220243854</v>
      </c>
      <c r="G36" s="48">
        <v>126900.7</v>
      </c>
      <c r="H36" s="48">
        <v>166144.70000000001</v>
      </c>
      <c r="I36" s="46">
        <f t="shared" si="7"/>
        <v>0.76379625711804222</v>
      </c>
      <c r="J36" s="50">
        <f t="shared" si="8"/>
        <v>288161.5</v>
      </c>
      <c r="K36" s="50">
        <f t="shared" si="8"/>
        <v>344418.9</v>
      </c>
      <c r="L36" s="51">
        <f>J36/K36</f>
        <v>0.83665995100733437</v>
      </c>
    </row>
    <row r="37" spans="3:43" x14ac:dyDescent="0.45">
      <c r="C37" s="49" t="s">
        <v>62</v>
      </c>
      <c r="D37" s="53">
        <f>SUM(D25:D36)</f>
        <v>4365310.5</v>
      </c>
      <c r="E37" s="53">
        <f>SUM(E25:E36)</f>
        <v>4589046.1000000006</v>
      </c>
      <c r="F37" s="55">
        <f>D37/E37</f>
        <v>0.95124572838786681</v>
      </c>
      <c r="G37" s="53">
        <f>SUM(G25:G36)</f>
        <v>3684743.4000000004</v>
      </c>
      <c r="H37" s="53">
        <f>SUM(H25:H36)</f>
        <v>3953640.8</v>
      </c>
      <c r="I37" s="55">
        <f t="shared" ref="I37" si="11">G37/H37</f>
        <v>0.93198739754000937</v>
      </c>
      <c r="J37" s="54">
        <f>SUM(D37,G37)</f>
        <v>8050053.9000000004</v>
      </c>
      <c r="K37" s="54">
        <f>SUM(E37,H37)</f>
        <v>8542686.9000000004</v>
      </c>
      <c r="L37" s="55">
        <f t="shared" ref="L37" si="12">J37/K37</f>
        <v>0.94233278056813718</v>
      </c>
    </row>
    <row r="40" spans="3:43" x14ac:dyDescent="0.45">
      <c r="C40" s="238" t="s">
        <v>64</v>
      </c>
      <c r="D40" s="239"/>
      <c r="E40" s="239"/>
      <c r="F40" s="239"/>
      <c r="G40" s="239"/>
      <c r="H40" s="239"/>
      <c r="I40" s="239"/>
      <c r="J40" s="77"/>
      <c r="K40" s="77"/>
      <c r="L40" s="78"/>
    </row>
    <row r="41" spans="3:43" ht="15.75" x14ac:dyDescent="0.5">
      <c r="C41" s="42"/>
      <c r="D41" s="244" t="s">
        <v>34</v>
      </c>
      <c r="E41" s="245"/>
      <c r="F41" s="246"/>
      <c r="G41" s="244" t="s">
        <v>22</v>
      </c>
      <c r="H41" s="245"/>
      <c r="I41" s="246"/>
      <c r="J41" s="241" t="s">
        <v>57</v>
      </c>
      <c r="K41" s="242"/>
      <c r="L41" s="243"/>
    </row>
    <row r="42" spans="3:43" x14ac:dyDescent="0.45">
      <c r="C42" s="42"/>
      <c r="D42" s="42" t="s">
        <v>58</v>
      </c>
      <c r="E42" s="42" t="s">
        <v>59</v>
      </c>
      <c r="F42" s="42" t="s">
        <v>60</v>
      </c>
      <c r="G42" s="42" t="s">
        <v>58</v>
      </c>
      <c r="H42" s="42" t="s">
        <v>59</v>
      </c>
      <c r="I42" s="42" t="s">
        <v>60</v>
      </c>
      <c r="J42" s="49" t="s">
        <v>58</v>
      </c>
      <c r="K42" s="49" t="s">
        <v>59</v>
      </c>
      <c r="L42" s="49" t="s">
        <v>60</v>
      </c>
    </row>
    <row r="43" spans="3:43" x14ac:dyDescent="0.45">
      <c r="C43" s="47" t="s">
        <v>38</v>
      </c>
      <c r="D43" s="48">
        <v>202947.9</v>
      </c>
      <c r="E43" s="48">
        <v>251246.2</v>
      </c>
      <c r="F43" s="46">
        <f>D43/E43</f>
        <v>0.80776505276497712</v>
      </c>
      <c r="G43" s="48">
        <v>186214.39999999999</v>
      </c>
      <c r="H43" s="48">
        <v>234624.4</v>
      </c>
      <c r="I43" s="46">
        <f>G43/H43</f>
        <v>0.79367022355731121</v>
      </c>
      <c r="J43" s="50">
        <f>SUM(D43,G43)</f>
        <v>389162.3</v>
      </c>
      <c r="K43" s="50">
        <f>SUM(E43,H43)</f>
        <v>485870.6</v>
      </c>
      <c r="L43" s="51">
        <f>J43/K43</f>
        <v>0.80095873263375061</v>
      </c>
    </row>
    <row r="44" spans="3:43" x14ac:dyDescent="0.45">
      <c r="C44" s="47" t="s">
        <v>39</v>
      </c>
      <c r="D44" s="48">
        <v>200639.6</v>
      </c>
      <c r="E44" s="48">
        <v>292574.90000000002</v>
      </c>
      <c r="F44" s="46">
        <f t="shared" ref="F44:F54" si="13">D44/E44</f>
        <v>0.68577174597000623</v>
      </c>
      <c r="G44" s="48">
        <v>188160.6</v>
      </c>
      <c r="H44" s="48">
        <v>272070.09999999998</v>
      </c>
      <c r="I44" s="46">
        <f t="shared" ref="I44:I55" si="14">G44/H44</f>
        <v>0.69158867512453603</v>
      </c>
      <c r="J44" s="50">
        <f t="shared" ref="J44:K54" si="15">SUM(D44,G44)</f>
        <v>388800.2</v>
      </c>
      <c r="K44" s="50">
        <f t="shared" si="15"/>
        <v>564645</v>
      </c>
      <c r="L44" s="51">
        <f t="shared" ref="L44:L45" si="16">J44/K44</f>
        <v>0.68857459111477126</v>
      </c>
    </row>
    <row r="45" spans="3:43" x14ac:dyDescent="0.45">
      <c r="C45" s="47" t="s">
        <v>40</v>
      </c>
      <c r="D45" s="48">
        <v>402985</v>
      </c>
      <c r="E45" s="48">
        <v>413695.1</v>
      </c>
      <c r="F45" s="46">
        <f t="shared" si="13"/>
        <v>0.97411112676944933</v>
      </c>
      <c r="G45" s="48">
        <v>340534.4</v>
      </c>
      <c r="H45" s="48">
        <v>359950.5</v>
      </c>
      <c r="I45" s="46">
        <f t="shared" si="14"/>
        <v>0.94605897199753863</v>
      </c>
      <c r="J45" s="50">
        <f t="shared" si="15"/>
        <v>743519.4</v>
      </c>
      <c r="K45" s="50">
        <f t="shared" si="15"/>
        <v>773645.6</v>
      </c>
      <c r="L45" s="51">
        <f t="shared" si="16"/>
        <v>0.96105943082982703</v>
      </c>
      <c r="AB45" s="2"/>
      <c r="AC45" s="2"/>
      <c r="AD45" s="2"/>
      <c r="AE45" s="2"/>
      <c r="AF45" s="2"/>
      <c r="AG45" s="2"/>
      <c r="AH45" s="2"/>
      <c r="AI45" s="2"/>
      <c r="AJ45" s="2"/>
      <c r="AK45" s="2"/>
      <c r="AL45" s="2"/>
      <c r="AM45" s="2"/>
      <c r="AN45" s="2"/>
      <c r="AO45" s="2"/>
      <c r="AP45" s="2"/>
      <c r="AQ45" s="2"/>
    </row>
    <row r="46" spans="3:43" x14ac:dyDescent="0.45">
      <c r="C46" s="47" t="s">
        <v>41</v>
      </c>
      <c r="D46" s="48">
        <v>481629</v>
      </c>
      <c r="E46" s="48">
        <v>485708.5</v>
      </c>
      <c r="F46" s="46">
        <f>D46/E46</f>
        <v>0.99160092936401156</v>
      </c>
      <c r="G46" s="48">
        <v>376650</v>
      </c>
      <c r="H46" s="48">
        <v>377357.3</v>
      </c>
      <c r="I46" s="46">
        <f t="shared" si="14"/>
        <v>0.99812564908642287</v>
      </c>
      <c r="J46" s="50">
        <f t="shared" si="15"/>
        <v>858279</v>
      </c>
      <c r="K46" s="50">
        <f t="shared" si="15"/>
        <v>863065.8</v>
      </c>
      <c r="L46" s="51">
        <f>J46/K46</f>
        <v>0.99445372531271659</v>
      </c>
      <c r="AB46" s="2"/>
      <c r="AC46" s="2"/>
      <c r="AD46" s="2"/>
      <c r="AE46" s="2"/>
      <c r="AF46" s="2"/>
      <c r="AG46" s="2"/>
      <c r="AH46" s="2"/>
      <c r="AI46" s="2"/>
      <c r="AJ46" s="2"/>
      <c r="AK46" s="2"/>
      <c r="AL46" s="2"/>
      <c r="AM46" s="2"/>
      <c r="AN46" s="2"/>
      <c r="AO46" s="2"/>
      <c r="AP46" s="2"/>
      <c r="AQ46" s="2"/>
    </row>
    <row r="47" spans="3:43" x14ac:dyDescent="0.45">
      <c r="C47" s="47" t="s">
        <v>42</v>
      </c>
      <c r="D47" s="48">
        <v>518502.9</v>
      </c>
      <c r="E47" s="48">
        <v>533788.30000000005</v>
      </c>
      <c r="F47" s="46">
        <f t="shared" si="13"/>
        <v>0.9713643030392386</v>
      </c>
      <c r="G47" s="48">
        <v>478677.5</v>
      </c>
      <c r="H47" s="48">
        <v>472852.1</v>
      </c>
      <c r="I47" s="46">
        <f t="shared" si="14"/>
        <v>1.0123197084246851</v>
      </c>
      <c r="J47" s="50">
        <f t="shared" si="15"/>
        <v>997180.4</v>
      </c>
      <c r="K47" s="50">
        <f t="shared" si="15"/>
        <v>1006640.4</v>
      </c>
      <c r="L47" s="51">
        <f t="shared" ref="L47:L55" si="17">J47/K47</f>
        <v>0.99060240379782094</v>
      </c>
      <c r="AB47" s="2"/>
      <c r="AC47" s="2"/>
      <c r="AD47" s="2"/>
      <c r="AE47" s="2"/>
      <c r="AF47" s="2"/>
      <c r="AG47" s="2"/>
      <c r="AH47" s="2"/>
      <c r="AI47" s="2"/>
      <c r="AJ47" s="2"/>
      <c r="AK47" s="2"/>
      <c r="AL47" s="2"/>
      <c r="AM47" s="2"/>
      <c r="AN47" s="2"/>
      <c r="AO47" s="2"/>
      <c r="AP47" s="2"/>
      <c r="AQ47" s="2"/>
    </row>
    <row r="48" spans="3:43" x14ac:dyDescent="0.45">
      <c r="C48" s="47" t="s">
        <v>43</v>
      </c>
      <c r="D48" s="48">
        <v>513473.5</v>
      </c>
      <c r="E48" s="48">
        <v>535108</v>
      </c>
      <c r="F48" s="46">
        <f t="shared" si="13"/>
        <v>0.95956984384460708</v>
      </c>
      <c r="G48" s="48">
        <v>440374.3</v>
      </c>
      <c r="H48" s="48">
        <v>446764.9</v>
      </c>
      <c r="I48" s="46">
        <f t="shared" si="14"/>
        <v>0.98569583241655723</v>
      </c>
      <c r="J48" s="50">
        <f t="shared" si="15"/>
        <v>953847.8</v>
      </c>
      <c r="K48" s="50">
        <f t="shared" si="15"/>
        <v>981872.9</v>
      </c>
      <c r="L48" s="51">
        <f t="shared" si="17"/>
        <v>0.97145750738206549</v>
      </c>
      <c r="AB48" s="2"/>
      <c r="AC48" s="2"/>
      <c r="AD48" s="2"/>
      <c r="AE48" s="2"/>
      <c r="AF48" s="2"/>
      <c r="AG48" s="2"/>
      <c r="AH48" s="2"/>
      <c r="AI48" s="2"/>
      <c r="AJ48" s="2"/>
      <c r="AK48" s="2"/>
      <c r="AL48" s="2"/>
      <c r="AM48" s="2"/>
      <c r="AN48" s="2"/>
      <c r="AO48" s="2"/>
      <c r="AP48" s="2"/>
      <c r="AQ48" s="2"/>
    </row>
    <row r="49" spans="3:43" x14ac:dyDescent="0.45">
      <c r="C49" s="47" t="s">
        <v>44</v>
      </c>
      <c r="D49" s="48">
        <v>580554.4</v>
      </c>
      <c r="E49" s="48">
        <v>593414.80000000005</v>
      </c>
      <c r="F49" s="46">
        <f t="shared" si="13"/>
        <v>0.97832814415818403</v>
      </c>
      <c r="G49" s="48">
        <v>489301.6</v>
      </c>
      <c r="H49" s="48">
        <v>492918</v>
      </c>
      <c r="I49" s="46">
        <f t="shared" si="14"/>
        <v>0.99266328273668236</v>
      </c>
      <c r="J49" s="50">
        <f>SUM(D49,G49)</f>
        <v>1069856</v>
      </c>
      <c r="K49" s="50">
        <f t="shared" si="15"/>
        <v>1086332.8</v>
      </c>
      <c r="L49" s="51">
        <f t="shared" si="17"/>
        <v>0.98483264060516262</v>
      </c>
      <c r="AB49" s="2"/>
      <c r="AC49" s="2"/>
      <c r="AD49" s="2"/>
      <c r="AE49" s="2"/>
      <c r="AF49" s="2"/>
      <c r="AG49" s="2"/>
      <c r="AH49" s="2"/>
      <c r="AI49" s="2"/>
      <c r="AJ49" s="2"/>
      <c r="AK49" s="2"/>
      <c r="AL49" s="2"/>
      <c r="AM49" s="2"/>
      <c r="AN49" s="247"/>
      <c r="AO49" s="247"/>
      <c r="AP49" s="247"/>
      <c r="AQ49" s="247"/>
    </row>
    <row r="50" spans="3:43" ht="15.75" x14ac:dyDescent="0.5">
      <c r="C50" s="47" t="s">
        <v>45</v>
      </c>
      <c r="D50" s="95">
        <v>503219</v>
      </c>
      <c r="E50" s="96">
        <v>515233</v>
      </c>
      <c r="F50" s="97">
        <v>0.97670000000000001</v>
      </c>
      <c r="G50" s="98">
        <v>438861</v>
      </c>
      <c r="H50" s="98">
        <v>443561</v>
      </c>
      <c r="I50" s="97">
        <v>0.98899999999999999</v>
      </c>
      <c r="J50" s="99">
        <v>942080</v>
      </c>
      <c r="K50" s="99">
        <v>958794</v>
      </c>
      <c r="L50" s="100">
        <v>0.98299999999999998</v>
      </c>
      <c r="AB50" s="2"/>
      <c r="AC50" s="2"/>
      <c r="AD50" s="2"/>
      <c r="AE50" s="2"/>
      <c r="AF50" s="2"/>
      <c r="AG50" s="2"/>
      <c r="AH50" s="2"/>
      <c r="AI50" s="2"/>
      <c r="AJ50" s="2"/>
      <c r="AK50" s="2"/>
      <c r="AL50" s="2"/>
      <c r="AM50" s="2"/>
      <c r="AN50" s="130"/>
      <c r="AO50" s="248"/>
      <c r="AP50" s="248"/>
      <c r="AQ50" s="248"/>
    </row>
    <row r="51" spans="3:43" x14ac:dyDescent="0.45">
      <c r="C51" s="47" t="s">
        <v>46</v>
      </c>
      <c r="D51" s="95">
        <v>409308</v>
      </c>
      <c r="E51" s="96">
        <v>411175</v>
      </c>
      <c r="F51" s="101">
        <v>1</v>
      </c>
      <c r="G51" s="98">
        <v>340575</v>
      </c>
      <c r="H51" s="98">
        <v>323126</v>
      </c>
      <c r="I51" s="101">
        <v>1.05</v>
      </c>
      <c r="J51" s="99">
        <v>749883</v>
      </c>
      <c r="K51" s="99">
        <v>734301</v>
      </c>
      <c r="L51" s="102">
        <v>1.02</v>
      </c>
      <c r="AB51" s="2"/>
      <c r="AC51" s="2"/>
      <c r="AD51" s="2"/>
      <c r="AE51" s="2"/>
      <c r="AF51" s="2"/>
      <c r="AG51" s="2"/>
      <c r="AH51" s="2"/>
      <c r="AI51" s="2"/>
      <c r="AJ51" s="2"/>
      <c r="AK51" s="2"/>
      <c r="AL51" s="2"/>
      <c r="AM51" s="2"/>
      <c r="AN51" s="130"/>
      <c r="AO51" s="130"/>
      <c r="AP51" s="130"/>
      <c r="AQ51" s="130"/>
    </row>
    <row r="52" spans="3:43" x14ac:dyDescent="0.45">
      <c r="C52" s="47" t="s">
        <v>47</v>
      </c>
      <c r="D52" s="86">
        <v>334449.611328125</v>
      </c>
      <c r="E52" s="103">
        <v>336304.36399999994</v>
      </c>
      <c r="F52" s="46">
        <f t="shared" si="13"/>
        <v>0.99448489859062628</v>
      </c>
      <c r="G52" s="86">
        <v>271839.6376953125</v>
      </c>
      <c r="H52" s="86">
        <v>311452.85800000001</v>
      </c>
      <c r="I52" s="46">
        <f t="shared" si="14"/>
        <v>0.87281150489655324</v>
      </c>
      <c r="J52" s="50">
        <f t="shared" ref="J52:J54" si="18">SUM(D52,G52)</f>
        <v>606289.2490234375</v>
      </c>
      <c r="K52" s="50">
        <f t="shared" si="15"/>
        <v>647757.22199999995</v>
      </c>
      <c r="L52" s="51">
        <f t="shared" si="17"/>
        <v>0.93598222981053469</v>
      </c>
      <c r="AB52" s="2"/>
      <c r="AC52" s="2"/>
      <c r="AD52" s="2"/>
      <c r="AE52" s="2"/>
      <c r="AF52" s="2"/>
      <c r="AG52" s="2"/>
      <c r="AH52" s="2"/>
      <c r="AI52" s="2"/>
      <c r="AJ52" s="2"/>
      <c r="AK52" s="2"/>
      <c r="AL52" s="2"/>
      <c r="AM52" s="2"/>
      <c r="AN52" s="130"/>
      <c r="AO52" s="92"/>
      <c r="AP52" s="92"/>
      <c r="AQ52" s="131"/>
    </row>
    <row r="53" spans="3:43" x14ac:dyDescent="0.45">
      <c r="C53" s="47" t="s">
        <v>48</v>
      </c>
      <c r="D53" s="86">
        <v>276297.74</v>
      </c>
      <c r="E53" s="86">
        <v>290335.56</v>
      </c>
      <c r="F53" s="46">
        <f t="shared" si="13"/>
        <v>0.95164967047095439</v>
      </c>
      <c r="G53" s="86">
        <v>218105.76</v>
      </c>
      <c r="H53" s="86">
        <v>262568</v>
      </c>
      <c r="I53" s="46">
        <f t="shared" si="14"/>
        <v>0.830663904207672</v>
      </c>
      <c r="J53" s="50">
        <f t="shared" si="18"/>
        <v>494403.5</v>
      </c>
      <c r="K53" s="50">
        <f t="shared" si="15"/>
        <v>552903.56000000006</v>
      </c>
      <c r="L53" s="51">
        <f t="shared" si="17"/>
        <v>0.89419482124513716</v>
      </c>
      <c r="AB53" s="2"/>
      <c r="AC53" s="2"/>
      <c r="AD53" s="2"/>
      <c r="AE53" s="2"/>
      <c r="AF53" s="2"/>
      <c r="AG53" s="2"/>
      <c r="AH53" s="2"/>
      <c r="AI53" s="2"/>
      <c r="AJ53" s="2"/>
      <c r="AK53" s="2"/>
      <c r="AL53" s="2"/>
      <c r="AM53" s="2"/>
      <c r="AN53" s="130"/>
      <c r="AO53" s="92"/>
      <c r="AP53" s="92"/>
      <c r="AQ53" s="131"/>
    </row>
    <row r="54" spans="3:43" x14ac:dyDescent="0.45">
      <c r="C54" s="47" t="s">
        <v>49</v>
      </c>
      <c r="D54" s="86">
        <v>183609</v>
      </c>
      <c r="E54" s="86">
        <v>230716</v>
      </c>
      <c r="F54" s="46">
        <f t="shared" si="13"/>
        <v>0.79582256973941989</v>
      </c>
      <c r="G54" s="86">
        <v>157162</v>
      </c>
      <c r="H54" s="86">
        <v>215864</v>
      </c>
      <c r="I54" s="46">
        <f t="shared" si="14"/>
        <v>0.72806026016380687</v>
      </c>
      <c r="J54" s="50">
        <f t="shared" si="18"/>
        <v>340771</v>
      </c>
      <c r="K54" s="50">
        <f t="shared" si="15"/>
        <v>446580</v>
      </c>
      <c r="L54" s="51">
        <f t="shared" si="17"/>
        <v>0.76306820726409597</v>
      </c>
      <c r="AB54" s="2"/>
      <c r="AC54" s="2"/>
      <c r="AD54" s="2"/>
      <c r="AE54" s="2"/>
      <c r="AF54" s="2"/>
      <c r="AG54" s="2"/>
      <c r="AH54" s="2"/>
      <c r="AI54" s="2"/>
      <c r="AJ54" s="2"/>
      <c r="AK54" s="2"/>
      <c r="AL54" s="2"/>
      <c r="AM54" s="2"/>
      <c r="AN54" s="130"/>
      <c r="AO54" s="92"/>
      <c r="AP54" s="92"/>
      <c r="AQ54" s="131"/>
    </row>
    <row r="55" spans="3:43" x14ac:dyDescent="0.45">
      <c r="C55" s="49" t="s">
        <v>62</v>
      </c>
      <c r="D55" s="53">
        <f>SUM(D43:D54)</f>
        <v>4607615.651328125</v>
      </c>
      <c r="E55" s="53">
        <f>SUM(E43:E54)</f>
        <v>4889299.7239999995</v>
      </c>
      <c r="F55" s="55">
        <f>D55/E55</f>
        <v>0.94238764473996595</v>
      </c>
      <c r="G55" s="53">
        <f>SUM(G43:G54)</f>
        <v>3926456.1976953121</v>
      </c>
      <c r="H55" s="53">
        <f>SUM(H43:H54)</f>
        <v>4213109.1579999998</v>
      </c>
      <c r="I55" s="55">
        <f t="shared" si="14"/>
        <v>0.93196165834906486</v>
      </c>
      <c r="J55" s="54">
        <f>SUM(D55,G55)</f>
        <v>8534071.8490234371</v>
      </c>
      <c r="K55" s="54">
        <f>SUM(E55,H5)</f>
        <v>4889299.7239999995</v>
      </c>
      <c r="L55" s="55">
        <f t="shared" si="17"/>
        <v>1.7454589267932223</v>
      </c>
      <c r="AB55" s="2"/>
      <c r="AC55" s="2"/>
      <c r="AD55" s="2"/>
      <c r="AE55" s="2"/>
      <c r="AF55" s="2"/>
      <c r="AG55" s="2"/>
      <c r="AH55" s="2"/>
      <c r="AI55" s="2"/>
      <c r="AJ55" s="2"/>
      <c r="AK55" s="2"/>
      <c r="AL55" s="2"/>
      <c r="AM55" s="2"/>
      <c r="AN55" s="130"/>
      <c r="AO55" s="132"/>
      <c r="AP55" s="92"/>
      <c r="AQ55" s="131"/>
    </row>
    <row r="56" spans="3:43" x14ac:dyDescent="0.45">
      <c r="AB56" s="2"/>
      <c r="AC56" s="2"/>
      <c r="AD56" s="2"/>
      <c r="AE56" s="2"/>
      <c r="AF56" s="2"/>
      <c r="AG56" s="2"/>
      <c r="AH56" s="2"/>
      <c r="AI56" s="2"/>
      <c r="AJ56" s="2"/>
      <c r="AK56" s="2"/>
      <c r="AL56" s="2"/>
      <c r="AM56" s="2"/>
      <c r="AN56" s="130"/>
      <c r="AO56" s="92"/>
      <c r="AP56" s="92"/>
      <c r="AQ56" s="131"/>
    </row>
    <row r="57" spans="3:43" x14ac:dyDescent="0.45">
      <c r="AB57" s="2"/>
      <c r="AC57" s="130"/>
      <c r="AD57" s="92"/>
      <c r="AE57" s="92"/>
      <c r="AF57" s="131"/>
      <c r="AG57" s="2"/>
      <c r="AH57" s="2"/>
      <c r="AI57" s="2"/>
      <c r="AJ57" s="2"/>
      <c r="AK57" s="2"/>
      <c r="AL57" s="2"/>
      <c r="AM57" s="2"/>
      <c r="AN57" s="2"/>
      <c r="AO57" s="2"/>
      <c r="AP57" s="2"/>
      <c r="AQ57" s="2"/>
    </row>
    <row r="58" spans="3:43" x14ac:dyDescent="0.45">
      <c r="C58" s="238" t="s">
        <v>65</v>
      </c>
      <c r="D58" s="239"/>
      <c r="E58" s="239"/>
      <c r="F58" s="239"/>
      <c r="G58" s="239"/>
      <c r="H58" s="239"/>
      <c r="I58" s="239"/>
      <c r="J58" s="239"/>
      <c r="K58" s="239"/>
      <c r="L58" s="239"/>
      <c r="M58" s="239"/>
      <c r="N58" s="239"/>
      <c r="O58" s="240"/>
      <c r="AB58" s="2"/>
      <c r="AC58" s="130"/>
      <c r="AD58" s="92"/>
      <c r="AE58" s="92"/>
      <c r="AF58" s="131"/>
      <c r="AG58" s="2"/>
      <c r="AH58" s="2"/>
      <c r="AI58" s="2"/>
      <c r="AJ58" s="2"/>
      <c r="AK58" s="2"/>
      <c r="AL58" s="2"/>
      <c r="AM58" s="2"/>
      <c r="AN58" s="2"/>
      <c r="AO58" s="2"/>
      <c r="AP58" s="2"/>
      <c r="AQ58" s="2"/>
    </row>
    <row r="59" spans="3:43" ht="15.75" x14ac:dyDescent="0.5">
      <c r="C59" s="42"/>
      <c r="D59" s="241" t="s">
        <v>34</v>
      </c>
      <c r="E59" s="242"/>
      <c r="F59" s="243"/>
      <c r="G59" s="241" t="s">
        <v>22</v>
      </c>
      <c r="H59" s="242"/>
      <c r="I59" s="243"/>
      <c r="J59" s="241" t="s">
        <v>35</v>
      </c>
      <c r="K59" s="242"/>
      <c r="L59" s="243"/>
      <c r="M59" s="241" t="s">
        <v>57</v>
      </c>
      <c r="N59" s="242"/>
      <c r="O59" s="243"/>
      <c r="AB59" s="2"/>
      <c r="AC59" s="130"/>
      <c r="AD59" s="132"/>
      <c r="AE59" s="132"/>
      <c r="AF59" s="131"/>
      <c r="AG59" s="2"/>
      <c r="AH59" s="2"/>
      <c r="AI59" s="2"/>
      <c r="AJ59" s="2"/>
      <c r="AK59" s="2"/>
      <c r="AL59" s="2"/>
      <c r="AM59" s="2"/>
      <c r="AN59" s="2"/>
      <c r="AO59" s="2"/>
      <c r="AP59" s="2"/>
      <c r="AQ59" s="2"/>
    </row>
    <row r="60" spans="3:43" x14ac:dyDescent="0.45">
      <c r="C60" s="42"/>
      <c r="D60" s="42" t="s">
        <v>58</v>
      </c>
      <c r="E60" s="42" t="s">
        <v>59</v>
      </c>
      <c r="F60" s="42" t="s">
        <v>60</v>
      </c>
      <c r="G60" s="42" t="s">
        <v>58</v>
      </c>
      <c r="H60" s="42" t="s">
        <v>59</v>
      </c>
      <c r="I60" s="42" t="s">
        <v>60</v>
      </c>
      <c r="J60" s="42" t="s">
        <v>58</v>
      </c>
      <c r="K60" s="42" t="s">
        <v>59</v>
      </c>
      <c r="L60" s="42" t="s">
        <v>60</v>
      </c>
      <c r="M60" s="49" t="s">
        <v>58</v>
      </c>
      <c r="N60" s="49" t="s">
        <v>59</v>
      </c>
      <c r="O60" s="49" t="s">
        <v>60</v>
      </c>
      <c r="AB60" s="2"/>
      <c r="AC60" s="130"/>
      <c r="AD60" s="132"/>
      <c r="AE60" s="132"/>
      <c r="AF60" s="131"/>
      <c r="AG60" s="2"/>
      <c r="AH60" s="2"/>
      <c r="AI60" s="2"/>
      <c r="AJ60" s="2"/>
      <c r="AK60" s="2"/>
      <c r="AL60" s="2"/>
      <c r="AM60" s="2"/>
      <c r="AN60" s="2"/>
      <c r="AO60" s="2"/>
      <c r="AP60" s="2"/>
      <c r="AQ60" s="2"/>
    </row>
    <row r="61" spans="3:43" x14ac:dyDescent="0.45">
      <c r="C61" s="47" t="s">
        <v>38</v>
      </c>
      <c r="D61" s="48">
        <v>142189</v>
      </c>
      <c r="E61" s="48">
        <v>160873.49100000001</v>
      </c>
      <c r="F61" s="46">
        <f t="shared" ref="F61:F70" si="19">D61/E61</f>
        <v>0.88385599837576712</v>
      </c>
      <c r="G61" s="48">
        <v>103552</v>
      </c>
      <c r="H61" s="48">
        <v>127331.577</v>
      </c>
      <c r="I61" s="46">
        <f t="shared" ref="I61:I70" si="20">G61/H61</f>
        <v>0.8132468193651603</v>
      </c>
      <c r="J61" s="48">
        <v>74263.420806961061</v>
      </c>
      <c r="K61" s="48">
        <v>82952</v>
      </c>
      <c r="L61" s="46">
        <f t="shared" ref="L61:L72" si="21">J61/K61</f>
        <v>0.89525774914361389</v>
      </c>
      <c r="M61" s="50">
        <f>SUM(D61,G61,J61)</f>
        <v>320004.42080696108</v>
      </c>
      <c r="N61" s="50">
        <f>SUM(E61,H61,K61)</f>
        <v>371157.06800000003</v>
      </c>
      <c r="O61" s="51">
        <f t="shared" ref="O61:O70" si="22">M61/N61</f>
        <v>0.86218059252198065</v>
      </c>
      <c r="S61" s="88"/>
      <c r="T61" s="88"/>
      <c r="U61" s="88"/>
      <c r="AB61" s="2"/>
      <c r="AC61" s="130"/>
      <c r="AD61" s="132"/>
      <c r="AE61" s="133"/>
      <c r="AF61" s="131"/>
      <c r="AG61" s="2"/>
      <c r="AH61" s="2"/>
      <c r="AI61" s="2"/>
      <c r="AJ61" s="2"/>
      <c r="AK61" s="2"/>
      <c r="AL61" s="2"/>
      <c r="AM61" s="2"/>
      <c r="AN61" s="2"/>
      <c r="AO61" s="2"/>
      <c r="AP61" s="2"/>
      <c r="AQ61" s="2"/>
    </row>
    <row r="62" spans="3:43" x14ac:dyDescent="0.45">
      <c r="C62" s="47" t="s">
        <v>39</v>
      </c>
      <c r="D62" s="48">
        <v>266942</v>
      </c>
      <c r="E62" s="48">
        <v>276241</v>
      </c>
      <c r="F62" s="46">
        <f t="shared" si="19"/>
        <v>0.96633736483722543</v>
      </c>
      <c r="G62" s="48">
        <v>180752</v>
      </c>
      <c r="H62" s="48">
        <v>208700.522</v>
      </c>
      <c r="I62" s="46">
        <f t="shared" si="20"/>
        <v>0.86608312364451112</v>
      </c>
      <c r="J62" s="48">
        <v>221260.76570145582</v>
      </c>
      <c r="K62" s="48">
        <v>227016</v>
      </c>
      <c r="L62" s="46">
        <f t="shared" si="21"/>
        <v>0.97464833184205435</v>
      </c>
      <c r="M62" s="50">
        <f t="shared" ref="M62:M65" si="23">SUM(D62,G62,J62)</f>
        <v>668954.76570145576</v>
      </c>
      <c r="N62" s="50">
        <f t="shared" ref="N62:N70" si="24">SUM(E62,H62,K62)</f>
        <v>711957.522</v>
      </c>
      <c r="O62" s="51">
        <f t="shared" si="22"/>
        <v>0.93959926685268702</v>
      </c>
      <c r="AB62" s="2"/>
      <c r="AC62" s="130"/>
      <c r="AD62" s="132"/>
      <c r="AE62" s="132"/>
      <c r="AF62" s="131"/>
      <c r="AG62" s="2"/>
      <c r="AH62" s="2"/>
      <c r="AI62" s="2"/>
      <c r="AJ62" s="2"/>
      <c r="AK62" s="2"/>
      <c r="AL62" s="2"/>
      <c r="AM62" s="2"/>
      <c r="AN62" s="2"/>
      <c r="AO62" s="2"/>
      <c r="AP62" s="2"/>
      <c r="AQ62" s="2"/>
    </row>
    <row r="63" spans="3:43" x14ac:dyDescent="0.45">
      <c r="C63" s="93" t="s">
        <v>40</v>
      </c>
      <c r="D63" s="92">
        <v>409565</v>
      </c>
      <c r="E63" s="94">
        <v>417304</v>
      </c>
      <c r="F63" s="46">
        <f t="shared" si="19"/>
        <v>0.98145476678872001</v>
      </c>
      <c r="G63" s="48">
        <v>308153</v>
      </c>
      <c r="H63" s="48">
        <v>321220.88</v>
      </c>
      <c r="I63" s="46">
        <f t="shared" si="20"/>
        <v>0.95931808666983287</v>
      </c>
      <c r="J63" s="48">
        <v>286064.4375</v>
      </c>
      <c r="K63" s="48">
        <v>346799</v>
      </c>
      <c r="L63" s="46">
        <f t="shared" si="21"/>
        <v>0.82487099876297221</v>
      </c>
      <c r="M63" s="50">
        <f t="shared" si="23"/>
        <v>1003782.4375</v>
      </c>
      <c r="N63" s="50">
        <f t="shared" si="24"/>
        <v>1085323.8799999999</v>
      </c>
      <c r="O63" s="51">
        <f t="shared" si="22"/>
        <v>0.924869023889901</v>
      </c>
      <c r="AB63" s="2"/>
      <c r="AC63" s="130"/>
      <c r="AD63" s="132"/>
      <c r="AE63" s="132"/>
      <c r="AF63" s="131"/>
      <c r="AG63" s="2"/>
      <c r="AH63" s="2"/>
      <c r="AI63" s="2"/>
      <c r="AJ63" s="2"/>
      <c r="AK63" s="2"/>
      <c r="AL63" s="2"/>
      <c r="AM63" s="2"/>
      <c r="AN63" s="2"/>
      <c r="AO63" s="2"/>
      <c r="AP63" s="2"/>
      <c r="AQ63" s="2"/>
    </row>
    <row r="64" spans="3:43" x14ac:dyDescent="0.45">
      <c r="C64" s="47" t="s">
        <v>41</v>
      </c>
      <c r="D64" s="92">
        <v>430190</v>
      </c>
      <c r="E64" s="48">
        <v>412086</v>
      </c>
      <c r="F64" s="46">
        <f t="shared" si="19"/>
        <v>1.0439325771804915</v>
      </c>
      <c r="G64" s="103">
        <v>328902</v>
      </c>
      <c r="H64" s="48">
        <v>322311</v>
      </c>
      <c r="I64" s="46">
        <f t="shared" si="20"/>
        <v>1.0204491934808306</v>
      </c>
      <c r="J64" s="86">
        <v>339090.4375</v>
      </c>
      <c r="K64" s="48">
        <v>392844</v>
      </c>
      <c r="L64" s="46">
        <f t="shared" si="21"/>
        <v>0.86316817235340237</v>
      </c>
      <c r="M64" s="50">
        <f t="shared" si="23"/>
        <v>1098182.4375</v>
      </c>
      <c r="N64" s="50">
        <f t="shared" si="24"/>
        <v>1127241</v>
      </c>
      <c r="O64" s="51">
        <f t="shared" si="22"/>
        <v>0.97422151740399787</v>
      </c>
      <c r="AB64" s="2"/>
      <c r="AC64" s="129"/>
      <c r="AD64" s="92"/>
      <c r="AE64" s="92"/>
      <c r="AF64" s="134"/>
      <c r="AG64" s="2"/>
      <c r="AH64" s="2"/>
      <c r="AI64" s="2"/>
      <c r="AJ64" s="2"/>
      <c r="AK64" s="2"/>
      <c r="AL64" s="2"/>
      <c r="AM64" s="2"/>
      <c r="AN64" s="2"/>
      <c r="AO64" s="2"/>
      <c r="AP64" s="2"/>
      <c r="AQ64" s="2"/>
    </row>
    <row r="65" spans="3:43" x14ac:dyDescent="0.45">
      <c r="C65" s="47" t="s">
        <v>42</v>
      </c>
      <c r="D65" s="105">
        <v>612258</v>
      </c>
      <c r="E65" s="48">
        <v>577875</v>
      </c>
      <c r="F65" s="46">
        <f t="shared" si="19"/>
        <v>1.0594990266061</v>
      </c>
      <c r="G65" s="105">
        <v>471181</v>
      </c>
      <c r="H65" s="48">
        <v>453222</v>
      </c>
      <c r="I65" s="46">
        <f t="shared" si="20"/>
        <v>1.0396251726526955</v>
      </c>
      <c r="J65" s="48">
        <v>511189</v>
      </c>
      <c r="K65" s="48">
        <v>438062</v>
      </c>
      <c r="L65" s="46">
        <f t="shared" si="21"/>
        <v>1.1669329912204209</v>
      </c>
      <c r="M65" s="50">
        <f t="shared" si="23"/>
        <v>1594628</v>
      </c>
      <c r="N65" s="50">
        <f t="shared" si="24"/>
        <v>1469159</v>
      </c>
      <c r="O65" s="51">
        <f t="shared" si="22"/>
        <v>1.0854019204184162</v>
      </c>
      <c r="AB65" s="2"/>
      <c r="AC65" s="2"/>
      <c r="AD65" s="2"/>
      <c r="AE65" s="2"/>
      <c r="AF65" s="2"/>
      <c r="AG65" s="2"/>
      <c r="AH65" s="2"/>
      <c r="AI65" s="2"/>
      <c r="AJ65" s="2"/>
      <c r="AK65" s="2"/>
      <c r="AL65" s="2"/>
      <c r="AM65" s="2"/>
      <c r="AN65" s="2"/>
      <c r="AO65" s="2"/>
      <c r="AP65" s="2"/>
      <c r="AQ65" s="2"/>
    </row>
    <row r="66" spans="3:43" x14ac:dyDescent="0.45">
      <c r="C66" s="47" t="s">
        <v>43</v>
      </c>
      <c r="D66" s="48">
        <v>444301</v>
      </c>
      <c r="E66" s="48">
        <v>414597</v>
      </c>
      <c r="F66" s="46">
        <f t="shared" si="19"/>
        <v>1.0716454774154178</v>
      </c>
      <c r="G66" s="48">
        <v>324882</v>
      </c>
      <c r="H66" s="48">
        <v>310497</v>
      </c>
      <c r="I66" s="46">
        <f t="shared" si="20"/>
        <v>1.0463289500381647</v>
      </c>
      <c r="J66" s="48">
        <v>600188</v>
      </c>
      <c r="K66" s="48">
        <v>467714</v>
      </c>
      <c r="L66" s="46">
        <f t="shared" si="21"/>
        <v>1.2832371919591887</v>
      </c>
      <c r="M66" s="50">
        <f>SUM(D66,G66,J66)</f>
        <v>1369371</v>
      </c>
      <c r="N66" s="50">
        <f t="shared" si="24"/>
        <v>1192808</v>
      </c>
      <c r="O66" s="51">
        <f t="shared" si="22"/>
        <v>1.148022984419957</v>
      </c>
      <c r="AB66" s="2"/>
      <c r="AC66" s="2"/>
      <c r="AD66" s="2"/>
      <c r="AE66" s="2"/>
      <c r="AF66" s="2"/>
      <c r="AG66" s="2"/>
      <c r="AH66" s="2"/>
      <c r="AI66" s="2"/>
      <c r="AJ66" s="2"/>
      <c r="AK66" s="2"/>
      <c r="AL66" s="2"/>
      <c r="AM66" s="2"/>
      <c r="AN66" s="2"/>
      <c r="AO66" s="2"/>
      <c r="AP66" s="2"/>
      <c r="AQ66" s="2"/>
    </row>
    <row r="67" spans="3:43" x14ac:dyDescent="0.45">
      <c r="C67" s="47" t="s">
        <v>44</v>
      </c>
      <c r="D67" s="48">
        <v>498245</v>
      </c>
      <c r="E67" s="48">
        <v>458945.995</v>
      </c>
      <c r="F67" s="46">
        <f t="shared" si="19"/>
        <v>1.0856288221885453</v>
      </c>
      <c r="G67" s="48">
        <v>367235.8740234375</v>
      </c>
      <c r="H67" s="48">
        <v>349396.21299999999</v>
      </c>
      <c r="I67" s="46">
        <f t="shared" si="20"/>
        <v>1.0510585414485805</v>
      </c>
      <c r="J67" s="48">
        <v>652371</v>
      </c>
      <c r="K67" s="48">
        <v>496657.50799999997</v>
      </c>
      <c r="L67" s="46">
        <f t="shared" si="21"/>
        <v>1.3135228794326412</v>
      </c>
      <c r="M67" s="50">
        <f>SUM(D67,G67,J67)</f>
        <v>1517851.8740234375</v>
      </c>
      <c r="N67" s="50">
        <f t="shared" si="24"/>
        <v>1304999.716</v>
      </c>
      <c r="O67" s="51">
        <f t="shared" si="22"/>
        <v>1.163105137429346</v>
      </c>
      <c r="AB67" s="2"/>
      <c r="AC67" s="2"/>
      <c r="AD67" s="2"/>
      <c r="AE67" s="2"/>
      <c r="AF67" s="2"/>
      <c r="AG67" s="2"/>
      <c r="AH67" s="2"/>
      <c r="AI67" s="2"/>
      <c r="AJ67" s="2"/>
      <c r="AK67" s="2"/>
      <c r="AL67" s="2"/>
      <c r="AM67" s="2"/>
      <c r="AN67" s="2"/>
      <c r="AO67" s="2"/>
      <c r="AP67" s="2"/>
      <c r="AQ67" s="2"/>
    </row>
    <row r="68" spans="3:43" x14ac:dyDescent="0.45">
      <c r="C68" s="47" t="s">
        <v>45</v>
      </c>
      <c r="D68" s="86">
        <v>436164</v>
      </c>
      <c r="E68" s="86">
        <v>405408</v>
      </c>
      <c r="F68" s="46">
        <f t="shared" si="19"/>
        <v>1.0758643144683875</v>
      </c>
      <c r="G68" s="86">
        <v>352637</v>
      </c>
      <c r="H68" s="86">
        <v>339249.26</v>
      </c>
      <c r="I68" s="46">
        <f t="shared" si="20"/>
        <v>1.0394628421591841</v>
      </c>
      <c r="J68" s="86">
        <v>667760</v>
      </c>
      <c r="K68" s="86">
        <v>487676.83</v>
      </c>
      <c r="L68" s="46">
        <f t="shared" si="21"/>
        <v>1.3692674306466435</v>
      </c>
      <c r="M68" s="50">
        <f>SUM(D68,G68,J68)</f>
        <v>1456561</v>
      </c>
      <c r="N68" s="50">
        <f t="shared" si="24"/>
        <v>1232334.0900000001</v>
      </c>
      <c r="O68" s="51">
        <f t="shared" si="22"/>
        <v>1.1819530205481859</v>
      </c>
      <c r="AB68" s="2"/>
      <c r="AC68" s="2"/>
      <c r="AD68" s="2"/>
      <c r="AE68" s="2"/>
      <c r="AF68" s="2"/>
      <c r="AG68" s="2"/>
      <c r="AH68" s="2"/>
      <c r="AI68" s="2"/>
      <c r="AJ68" s="2"/>
      <c r="AK68" s="2"/>
      <c r="AL68" s="2"/>
      <c r="AM68" s="2"/>
      <c r="AN68" s="2"/>
      <c r="AO68" s="2"/>
      <c r="AP68" s="2"/>
      <c r="AQ68" s="2"/>
    </row>
    <row r="69" spans="3:43" x14ac:dyDescent="0.45">
      <c r="C69" s="47" t="s">
        <v>46</v>
      </c>
      <c r="D69" s="86">
        <v>370272.75</v>
      </c>
      <c r="E69" s="86">
        <v>333333.36800000007</v>
      </c>
      <c r="F69" s="46">
        <f t="shared" si="19"/>
        <v>1.1108181344749137</v>
      </c>
      <c r="G69" s="86">
        <v>287373.76500000001</v>
      </c>
      <c r="H69" s="86">
        <v>283946.67300000001</v>
      </c>
      <c r="I69" s="46">
        <f t="shared" si="20"/>
        <v>1.0120694916541599</v>
      </c>
      <c r="J69" s="86">
        <v>489777.5</v>
      </c>
      <c r="K69" s="86">
        <v>444764.08100000001</v>
      </c>
      <c r="L69" s="46">
        <f t="shared" si="21"/>
        <v>1.1012074061799069</v>
      </c>
      <c r="M69" s="50">
        <f t="shared" ref="M69:M70" si="25">SUM(D69,G69,J69)</f>
        <v>1147424.0150000001</v>
      </c>
      <c r="N69" s="50">
        <f t="shared" si="24"/>
        <v>1062044.122</v>
      </c>
      <c r="O69" s="51">
        <f t="shared" si="22"/>
        <v>1.0803920394938169</v>
      </c>
      <c r="AB69" s="2"/>
      <c r="AC69" s="2"/>
      <c r="AD69" s="2"/>
      <c r="AE69" s="2"/>
      <c r="AF69" s="2"/>
      <c r="AG69" s="2"/>
      <c r="AH69" s="2"/>
      <c r="AI69" s="2"/>
      <c r="AJ69" s="2"/>
      <c r="AK69" s="2"/>
      <c r="AL69" s="2"/>
      <c r="AM69" s="2"/>
      <c r="AN69" s="2"/>
      <c r="AO69" s="2"/>
      <c r="AP69" s="2"/>
      <c r="AQ69" s="2"/>
    </row>
    <row r="70" spans="3:43" x14ac:dyDescent="0.45">
      <c r="C70" s="47" t="s">
        <v>47</v>
      </c>
      <c r="D70" s="86">
        <v>332044</v>
      </c>
      <c r="E70" s="19">
        <v>298236.435</v>
      </c>
      <c r="F70" s="46">
        <f t="shared" si="19"/>
        <v>1.1133582655653727</v>
      </c>
      <c r="G70" s="48">
        <v>240465.75</v>
      </c>
      <c r="H70" s="86">
        <v>241283.68850000008</v>
      </c>
      <c r="I70" s="46">
        <f t="shared" si="20"/>
        <v>0.99661005472402631</v>
      </c>
      <c r="J70" s="86">
        <v>409184.25</v>
      </c>
      <c r="K70" s="19">
        <v>385714.625</v>
      </c>
      <c r="L70" s="46">
        <f t="shared" si="21"/>
        <v>1.0608471224029943</v>
      </c>
      <c r="M70" s="50">
        <f t="shared" si="25"/>
        <v>981694</v>
      </c>
      <c r="N70" s="50">
        <f t="shared" si="24"/>
        <v>925234.7485000001</v>
      </c>
      <c r="O70" s="51">
        <f t="shared" si="22"/>
        <v>1.0610215424696621</v>
      </c>
    </row>
    <row r="71" spans="3:43" x14ac:dyDescent="0.45">
      <c r="C71" s="47" t="s">
        <v>48</v>
      </c>
      <c r="D71" s="48">
        <v>269789.5</v>
      </c>
      <c r="E71" s="48">
        <v>248912.23</v>
      </c>
      <c r="F71" s="46">
        <f>D71/E71</f>
        <v>1.0838740225821768</v>
      </c>
      <c r="G71" s="48">
        <v>205501</v>
      </c>
      <c r="H71" s="48">
        <v>216124.568</v>
      </c>
      <c r="I71" s="46">
        <f>G71/H71</f>
        <v>0.95084516259160323</v>
      </c>
      <c r="J71" s="86">
        <v>290843</v>
      </c>
      <c r="K71" s="105">
        <v>280653</v>
      </c>
      <c r="L71" s="46">
        <f t="shared" si="21"/>
        <v>1.0363081812772357</v>
      </c>
      <c r="M71" s="50">
        <f t="shared" ref="M71:N73" si="26">SUM(D71,G71,J71)</f>
        <v>766133.5</v>
      </c>
      <c r="N71" s="50">
        <f t="shared" si="26"/>
        <v>745689.79799999995</v>
      </c>
      <c r="O71" s="51">
        <f>M71/N71</f>
        <v>1.0274158263326543</v>
      </c>
    </row>
    <row r="72" spans="3:43" x14ac:dyDescent="0.45">
      <c r="C72" s="47" t="s">
        <v>49</v>
      </c>
      <c r="D72" s="86">
        <v>177182.5</v>
      </c>
      <c r="E72" s="86">
        <v>171320.8149</v>
      </c>
      <c r="F72" s="46">
        <f>D72/E72</f>
        <v>1.0342146697318797</v>
      </c>
      <c r="G72" s="86">
        <v>131479.25</v>
      </c>
      <c r="H72" s="86">
        <v>147101.93149999998</v>
      </c>
      <c r="I72" s="46">
        <f>G72/H72</f>
        <v>0.89379689756147096</v>
      </c>
      <c r="J72" s="86">
        <v>304092.5</v>
      </c>
      <c r="K72" s="86">
        <v>298353.07649999997</v>
      </c>
      <c r="L72" s="46">
        <f t="shared" si="21"/>
        <v>1.0192370179899923</v>
      </c>
      <c r="M72" s="50">
        <f t="shared" si="26"/>
        <v>612754.25</v>
      </c>
      <c r="N72" s="50">
        <f t="shared" si="26"/>
        <v>616775.82289999991</v>
      </c>
      <c r="O72" s="51">
        <f>M72/N72</f>
        <v>0.99347968459416747</v>
      </c>
    </row>
    <row r="73" spans="3:43" x14ac:dyDescent="0.45">
      <c r="C73" s="49" t="s">
        <v>62</v>
      </c>
      <c r="D73" s="53">
        <f>SUM(D61:D72)</f>
        <v>4389142.75</v>
      </c>
      <c r="E73" s="53">
        <f>SUM(E61:E72)</f>
        <v>4175133.3339000004</v>
      </c>
      <c r="F73" s="55">
        <f>D73/E73</f>
        <v>1.0512581033909385</v>
      </c>
      <c r="G73" s="53">
        <f>SUM(G61:G72)</f>
        <v>3302114.6390234376</v>
      </c>
      <c r="H73" s="53">
        <f>SUM(H61:H72)</f>
        <v>3320385.3130000001</v>
      </c>
      <c r="I73" s="55">
        <f t="shared" ref="I73" si="27">G73/H73</f>
        <v>0.99449742356556359</v>
      </c>
      <c r="J73" s="53">
        <f>SUM(J61:J72)</f>
        <v>4846084.3115084171</v>
      </c>
      <c r="K73" s="53">
        <f>SUM(K61:K72)</f>
        <v>4349206.1205000002</v>
      </c>
      <c r="L73" s="55">
        <f>J73/K73</f>
        <v>1.1142457214585393</v>
      </c>
      <c r="M73" s="54">
        <f t="shared" si="26"/>
        <v>12537341.700531855</v>
      </c>
      <c r="N73" s="54">
        <f t="shared" si="26"/>
        <v>11844724.7674</v>
      </c>
      <c r="O73" s="55">
        <f t="shared" ref="O73" si="28">M73/N73</f>
        <v>1.0584747173727609</v>
      </c>
    </row>
    <row r="76" spans="3:43" x14ac:dyDescent="0.45">
      <c r="C76" s="238" t="s">
        <v>66</v>
      </c>
      <c r="D76" s="239"/>
      <c r="E76" s="239"/>
      <c r="F76" s="239"/>
      <c r="G76" s="239"/>
      <c r="H76" s="239"/>
      <c r="I76" s="239"/>
      <c r="J76" s="239"/>
      <c r="K76" s="239"/>
      <c r="L76" s="239"/>
      <c r="M76" s="239"/>
      <c r="N76" s="239"/>
      <c r="O76" s="240"/>
    </row>
    <row r="77" spans="3:43" ht="15.75" x14ac:dyDescent="0.5">
      <c r="C77" s="42"/>
      <c r="D77" s="241" t="s">
        <v>34</v>
      </c>
      <c r="E77" s="242"/>
      <c r="F77" s="243"/>
      <c r="G77" s="241" t="s">
        <v>22</v>
      </c>
      <c r="H77" s="242"/>
      <c r="I77" s="243"/>
      <c r="J77" s="241" t="s">
        <v>35</v>
      </c>
      <c r="K77" s="242"/>
      <c r="L77" s="243"/>
      <c r="M77" s="241" t="s">
        <v>57</v>
      </c>
      <c r="N77" s="242"/>
      <c r="O77" s="243"/>
    </row>
    <row r="78" spans="3:43" x14ac:dyDescent="0.45">
      <c r="C78" s="42"/>
      <c r="D78" s="42" t="s">
        <v>58</v>
      </c>
      <c r="E78" s="42" t="s">
        <v>59</v>
      </c>
      <c r="F78" s="42" t="s">
        <v>60</v>
      </c>
      <c r="G78" s="42" t="s">
        <v>58</v>
      </c>
      <c r="H78" s="42" t="s">
        <v>59</v>
      </c>
      <c r="I78" s="42" t="s">
        <v>60</v>
      </c>
      <c r="J78" s="42" t="s">
        <v>58</v>
      </c>
      <c r="K78" s="42" t="s">
        <v>59</v>
      </c>
      <c r="L78" s="42" t="s">
        <v>60</v>
      </c>
      <c r="M78" s="49" t="s">
        <v>58</v>
      </c>
      <c r="N78" s="49" t="s">
        <v>59</v>
      </c>
      <c r="O78" s="49" t="s">
        <v>60</v>
      </c>
    </row>
    <row r="79" spans="3:43" x14ac:dyDescent="0.45">
      <c r="C79" s="47" t="s">
        <v>38</v>
      </c>
      <c r="D79" s="48">
        <v>108163</v>
      </c>
      <c r="E79" s="48">
        <v>172809.64279999997</v>
      </c>
      <c r="F79" s="46">
        <f t="shared" ref="F79:F90" si="29">D79/E79</f>
        <v>0.62590835932218025</v>
      </c>
      <c r="G79" s="48">
        <v>86767.62</v>
      </c>
      <c r="H79" s="48">
        <v>151534.5576</v>
      </c>
      <c r="I79" s="46">
        <f t="shared" ref="I79:I87" si="30">G79/H79</f>
        <v>0.57259295420281076</v>
      </c>
      <c r="J79" s="48">
        <v>290245</v>
      </c>
      <c r="K79" s="48">
        <v>287392.10129999998</v>
      </c>
      <c r="L79" s="46">
        <f t="shared" ref="L79:L90" si="31">J79/K79</f>
        <v>1.0099268514586697</v>
      </c>
      <c r="M79" s="50">
        <f>SUM(D79,G79,J79)</f>
        <v>485175.62</v>
      </c>
      <c r="N79" s="50">
        <f>SUM(E79,H79,K79)</f>
        <v>611736.30169999995</v>
      </c>
      <c r="O79" s="51">
        <f t="shared" ref="O79:O90" si="32">M79/N79</f>
        <v>0.79311235683040071</v>
      </c>
    </row>
    <row r="80" spans="3:43" x14ac:dyDescent="0.45">
      <c r="C80" s="47" t="s">
        <v>39</v>
      </c>
      <c r="D80" s="48">
        <v>291709.5</v>
      </c>
      <c r="E80" s="48">
        <v>299537</v>
      </c>
      <c r="F80" s="46">
        <f t="shared" si="29"/>
        <v>0.97386800295122133</v>
      </c>
      <c r="G80" s="48">
        <v>276717.49</v>
      </c>
      <c r="H80" s="48">
        <v>278641</v>
      </c>
      <c r="I80" s="46">
        <f t="shared" si="30"/>
        <v>0.99309681633356184</v>
      </c>
      <c r="J80" s="48">
        <v>356261.00000000093</v>
      </c>
      <c r="K80" s="48">
        <v>335365</v>
      </c>
      <c r="L80" s="46">
        <f t="shared" si="31"/>
        <v>1.0623082313300463</v>
      </c>
      <c r="M80" s="50">
        <f t="shared" ref="M80:M83" si="33">SUM(D80,G80,J80)</f>
        <v>924687.99000000092</v>
      </c>
      <c r="N80" s="50">
        <f t="shared" ref="N80:N91" si="34">SUM(E80,H80,K80)</f>
        <v>913543</v>
      </c>
      <c r="O80" s="51">
        <f t="shared" si="32"/>
        <v>1.0121997431976393</v>
      </c>
    </row>
    <row r="81" spans="3:16" x14ac:dyDescent="0.45">
      <c r="C81" s="93" t="s">
        <v>40</v>
      </c>
      <c r="D81" s="92">
        <v>384849</v>
      </c>
      <c r="E81" s="94">
        <v>349402</v>
      </c>
      <c r="F81" s="46">
        <f t="shared" si="29"/>
        <v>1.1014504782456884</v>
      </c>
      <c r="G81" s="48">
        <v>290874.48499999999</v>
      </c>
      <c r="H81" s="48">
        <v>290005</v>
      </c>
      <c r="I81" s="46">
        <f t="shared" si="30"/>
        <v>1.0029981724453025</v>
      </c>
      <c r="J81" s="48">
        <v>449834</v>
      </c>
      <c r="K81" s="48">
        <v>418928</v>
      </c>
      <c r="L81" s="46">
        <f t="shared" si="31"/>
        <v>1.0737740136729939</v>
      </c>
      <c r="M81" s="50">
        <f t="shared" si="33"/>
        <v>1125557.4849999999</v>
      </c>
      <c r="N81" s="50">
        <f t="shared" si="34"/>
        <v>1058335</v>
      </c>
      <c r="O81" s="51">
        <f t="shared" si="32"/>
        <v>1.063517208634317</v>
      </c>
      <c r="P81" t="s">
        <v>67</v>
      </c>
    </row>
    <row r="82" spans="3:16" x14ac:dyDescent="0.45">
      <c r="C82" s="47" t="s">
        <v>41</v>
      </c>
      <c r="D82" s="92">
        <v>414025.5</v>
      </c>
      <c r="E82" s="48">
        <v>375655.00099999993</v>
      </c>
      <c r="F82" s="46">
        <f t="shared" si="29"/>
        <v>1.1021429207593594</v>
      </c>
      <c r="G82" s="103">
        <v>324347.375</v>
      </c>
      <c r="H82" s="48">
        <v>310941.49400000001</v>
      </c>
      <c r="I82" s="46">
        <f t="shared" si="30"/>
        <v>1.0431138373574547</v>
      </c>
      <c r="J82" s="86">
        <v>456273</v>
      </c>
      <c r="K82" s="48">
        <v>424083.80119999999</v>
      </c>
      <c r="L82" s="46">
        <f t="shared" si="31"/>
        <v>1.0759029199156311</v>
      </c>
      <c r="M82" s="50">
        <f t="shared" si="33"/>
        <v>1194645.875</v>
      </c>
      <c r="N82" s="50">
        <f t="shared" si="34"/>
        <v>1110680.2961999997</v>
      </c>
      <c r="O82" s="51">
        <f t="shared" si="32"/>
        <v>1.0755983329201697</v>
      </c>
    </row>
    <row r="83" spans="3:16" x14ac:dyDescent="0.45">
      <c r="C83" s="47" t="s">
        <v>42</v>
      </c>
      <c r="D83" s="105">
        <v>475700.7</v>
      </c>
      <c r="E83" s="48">
        <v>439660</v>
      </c>
      <c r="F83" s="46">
        <f t="shared" si="29"/>
        <v>1.0819740253832508</v>
      </c>
      <c r="G83" s="105">
        <v>364333</v>
      </c>
      <c r="H83" s="48">
        <v>345125</v>
      </c>
      <c r="I83" s="46">
        <f t="shared" si="30"/>
        <v>1.0556551973922492</v>
      </c>
      <c r="J83" s="48">
        <v>485088</v>
      </c>
      <c r="K83" s="48">
        <v>456660.9</v>
      </c>
      <c r="L83" s="46">
        <f t="shared" si="31"/>
        <v>1.0622499101630991</v>
      </c>
      <c r="M83" s="50">
        <f t="shared" si="33"/>
        <v>1325121.7</v>
      </c>
      <c r="N83" s="50">
        <f t="shared" si="34"/>
        <v>1241445.8999999999</v>
      </c>
      <c r="O83" s="51">
        <f t="shared" si="32"/>
        <v>1.0674018900058393</v>
      </c>
    </row>
    <row r="84" spans="3:16" x14ac:dyDescent="0.45">
      <c r="C84" s="47" t="s">
        <v>43</v>
      </c>
      <c r="D84" s="48">
        <v>545003</v>
      </c>
      <c r="E84" s="48">
        <v>507017</v>
      </c>
      <c r="F84" s="46">
        <f t="shared" si="29"/>
        <v>1.0749205647936855</v>
      </c>
      <c r="G84" s="48">
        <v>395194</v>
      </c>
      <c r="H84" s="48">
        <v>373160</v>
      </c>
      <c r="I84" s="46">
        <f t="shared" si="30"/>
        <v>1.0590470575624398</v>
      </c>
      <c r="J84" s="48">
        <v>549490</v>
      </c>
      <c r="K84" s="48">
        <v>571603</v>
      </c>
      <c r="L84" s="46">
        <f t="shared" si="31"/>
        <v>0.96131405888352583</v>
      </c>
      <c r="M84" s="50">
        <f>SUM(D84,G84,J84)</f>
        <v>1489687</v>
      </c>
      <c r="N84" s="50">
        <f t="shared" si="34"/>
        <v>1451780</v>
      </c>
      <c r="O84" s="51">
        <f t="shared" si="32"/>
        <v>1.0261107054787915</v>
      </c>
    </row>
    <row r="85" spans="3:16" x14ac:dyDescent="0.45">
      <c r="C85" s="47" t="s">
        <v>44</v>
      </c>
      <c r="D85" s="48">
        <v>488518</v>
      </c>
      <c r="E85" s="48">
        <v>449196.19799999997</v>
      </c>
      <c r="F85" s="46">
        <f t="shared" si="29"/>
        <v>1.0875381451915138</v>
      </c>
      <c r="G85" s="48">
        <v>417508.625</v>
      </c>
      <c r="H85" s="48">
        <v>397684.88199999998</v>
      </c>
      <c r="I85" s="46">
        <f t="shared" si="30"/>
        <v>1.0498478667338429</v>
      </c>
      <c r="J85" s="48">
        <v>603952.5</v>
      </c>
      <c r="K85" s="48">
        <v>574900.63100000005</v>
      </c>
      <c r="L85" s="46">
        <f t="shared" si="31"/>
        <v>1.0505337225834424</v>
      </c>
      <c r="M85" s="50">
        <f>SUM(D85,G85,J85)</f>
        <v>1509979.125</v>
      </c>
      <c r="N85" s="50">
        <f t="shared" si="34"/>
        <v>1421781.7110000001</v>
      </c>
      <c r="O85" s="51">
        <f t="shared" si="32"/>
        <v>1.0620330204824247</v>
      </c>
    </row>
    <row r="86" spans="3:16" x14ac:dyDescent="0.45">
      <c r="C86" s="47" t="s">
        <v>45</v>
      </c>
      <c r="D86" s="86">
        <v>483924.5</v>
      </c>
      <c r="E86" s="86">
        <v>443177.53599999996</v>
      </c>
      <c r="F86" s="46">
        <f t="shared" si="29"/>
        <v>1.0919427558710919</v>
      </c>
      <c r="G86" s="86">
        <v>344011.75</v>
      </c>
      <c r="H86" s="86">
        <v>331427.21200000006</v>
      </c>
      <c r="I86" s="46">
        <f t="shared" si="30"/>
        <v>1.0379707445386226</v>
      </c>
      <c r="J86" s="86">
        <v>625539.5</v>
      </c>
      <c r="K86" s="86">
        <v>592446.23400000005</v>
      </c>
      <c r="L86" s="46">
        <f t="shared" si="31"/>
        <v>1.0558586823593514</v>
      </c>
      <c r="M86" s="50">
        <f>SUM(D86,G86,J86)</f>
        <v>1453475.75</v>
      </c>
      <c r="N86" s="50">
        <f t="shared" si="34"/>
        <v>1367050.9820000001</v>
      </c>
      <c r="O86" s="51">
        <f t="shared" si="32"/>
        <v>1.0632198572971727</v>
      </c>
    </row>
    <row r="87" spans="3:16" x14ac:dyDescent="0.45">
      <c r="C87" s="47" t="s">
        <v>46</v>
      </c>
      <c r="D87" s="86">
        <v>391241.75</v>
      </c>
      <c r="E87" s="86">
        <v>349632.51700000005</v>
      </c>
      <c r="F87" s="46">
        <f t="shared" si="29"/>
        <v>1.1190084759765064</v>
      </c>
      <c r="G87" s="48">
        <v>337959</v>
      </c>
      <c r="H87" s="86">
        <v>331960.91300000006</v>
      </c>
      <c r="I87" s="46">
        <f t="shared" si="30"/>
        <v>1.0180686543659432</v>
      </c>
      <c r="J87" s="86">
        <v>495010</v>
      </c>
      <c r="K87" s="86">
        <v>465279.016</v>
      </c>
      <c r="L87" s="46">
        <f t="shared" si="31"/>
        <v>1.063899258246368</v>
      </c>
      <c r="M87" s="50">
        <f t="shared" ref="M87:M91" si="35">SUM(D87,G87,J87)</f>
        <v>1224210.75</v>
      </c>
      <c r="N87" s="50">
        <f t="shared" si="34"/>
        <v>1146872.4460000002</v>
      </c>
      <c r="O87" s="51">
        <f t="shared" si="32"/>
        <v>1.0674340937126323</v>
      </c>
    </row>
    <row r="88" spans="3:16" x14ac:dyDescent="0.45">
      <c r="C88" s="47" t="s">
        <v>47</v>
      </c>
      <c r="D88" s="86">
        <v>394041.25</v>
      </c>
      <c r="E88" s="19">
        <v>349911.49000000005</v>
      </c>
      <c r="F88" s="46">
        <f t="shared" si="29"/>
        <v>1.1261169217392659</v>
      </c>
      <c r="G88" s="48">
        <v>301213</v>
      </c>
      <c r="H88" s="86">
        <v>303095</v>
      </c>
      <c r="I88" s="46">
        <f>G88/H88</f>
        <v>0.99379072568006732</v>
      </c>
      <c r="J88" s="86">
        <v>496884</v>
      </c>
      <c r="K88" s="19">
        <v>462332.13900000008</v>
      </c>
      <c r="L88" s="46">
        <f t="shared" si="31"/>
        <v>1.0747338505922035</v>
      </c>
      <c r="M88" s="50">
        <f t="shared" si="35"/>
        <v>1192138.25</v>
      </c>
      <c r="N88" s="50">
        <f t="shared" si="34"/>
        <v>1115338.6290000002</v>
      </c>
      <c r="O88" s="51">
        <f t="shared" si="32"/>
        <v>1.0688576715655025</v>
      </c>
    </row>
    <row r="89" spans="3:16" x14ac:dyDescent="0.45">
      <c r="C89" s="47" t="s">
        <v>48</v>
      </c>
      <c r="D89" s="48">
        <v>286999.5</v>
      </c>
      <c r="E89" s="48">
        <v>263489.48449999996</v>
      </c>
      <c r="F89" s="46">
        <f t="shared" si="29"/>
        <v>1.089225630937845</v>
      </c>
      <c r="G89" s="48">
        <v>220606</v>
      </c>
      <c r="H89" s="48">
        <v>228078</v>
      </c>
      <c r="I89" s="46">
        <f>G89/H89</f>
        <v>0.96723927779093122</v>
      </c>
      <c r="J89" s="86">
        <v>330561</v>
      </c>
      <c r="K89" s="105">
        <v>301310.37399999995</v>
      </c>
      <c r="L89" s="46">
        <f t="shared" si="31"/>
        <v>1.0970780581222206</v>
      </c>
      <c r="M89" s="50">
        <f t="shared" si="35"/>
        <v>838166.5</v>
      </c>
      <c r="N89" s="50">
        <f t="shared" si="34"/>
        <v>792877.85849999986</v>
      </c>
      <c r="O89" s="51">
        <f t="shared" si="32"/>
        <v>1.0571193166948554</v>
      </c>
    </row>
    <row r="90" spans="3:16" x14ac:dyDescent="0.45">
      <c r="C90" s="47" t="s">
        <v>49</v>
      </c>
      <c r="D90" s="86">
        <f>Smithfield!J6</f>
        <v>351940</v>
      </c>
      <c r="E90" s="86">
        <v>200509</v>
      </c>
      <c r="F90" s="46">
        <f t="shared" si="29"/>
        <v>1.7552329321875826</v>
      </c>
      <c r="G90" s="86">
        <f>Merrimack!J6</f>
        <v>231241.13461538404</v>
      </c>
      <c r="H90" s="86">
        <v>186514</v>
      </c>
      <c r="I90" s="46">
        <f>G90/H90</f>
        <v>1.2398057765925563</v>
      </c>
      <c r="J90" s="86">
        <f>Westlake!J6</f>
        <v>487146</v>
      </c>
      <c r="K90" s="86">
        <v>250803</v>
      </c>
      <c r="L90" s="46">
        <f t="shared" si="31"/>
        <v>1.9423451872585256</v>
      </c>
      <c r="M90" s="50">
        <f t="shared" si="35"/>
        <v>1070327.134615384</v>
      </c>
      <c r="N90" s="50">
        <f t="shared" si="34"/>
        <v>637826</v>
      </c>
      <c r="O90" s="51">
        <f t="shared" si="32"/>
        <v>1.6780863975682774</v>
      </c>
    </row>
    <row r="91" spans="3:16" x14ac:dyDescent="0.45">
      <c r="C91" s="49" t="s">
        <v>62</v>
      </c>
      <c r="D91" s="53">
        <f>SUM(D79:D90)</f>
        <v>4616115.7</v>
      </c>
      <c r="E91" s="53">
        <f>SUM(E79:E90)</f>
        <v>4199996.8692999994</v>
      </c>
      <c r="F91" s="55">
        <f>D91/E91</f>
        <v>1.0990759859231405</v>
      </c>
      <c r="G91" s="53">
        <f>SUM(G79:G90)</f>
        <v>3590773.4796153838</v>
      </c>
      <c r="H91" s="53">
        <f>SUM(H79:H90)</f>
        <v>3528167.0586000006</v>
      </c>
      <c r="I91" s="55">
        <f t="shared" ref="I91" si="36">G91/H91</f>
        <v>1.0177447439351768</v>
      </c>
      <c r="J91" s="53">
        <f>SUM(J79:J90)</f>
        <v>5626284.0000000009</v>
      </c>
      <c r="K91" s="53">
        <f>SUM(K79:K90)</f>
        <v>5141104.1964999996</v>
      </c>
      <c r="L91" s="55">
        <f>J91/K91</f>
        <v>1.0943726843409058</v>
      </c>
      <c r="M91" s="54">
        <f t="shared" si="35"/>
        <v>13833173.179615386</v>
      </c>
      <c r="N91" s="54">
        <f t="shared" si="34"/>
        <v>12869268.124399999</v>
      </c>
      <c r="O91" s="55">
        <f t="shared" ref="O91" si="37">M91/N91</f>
        <v>1.0748997569945593</v>
      </c>
    </row>
    <row r="94" spans="3:16" x14ac:dyDescent="0.45">
      <c r="C94" s="238" t="s">
        <v>66</v>
      </c>
      <c r="D94" s="239"/>
      <c r="E94" s="239"/>
      <c r="F94" s="239"/>
      <c r="G94" s="239"/>
      <c r="H94" s="239"/>
      <c r="I94" s="239"/>
      <c r="J94" s="239"/>
      <c r="K94" s="239"/>
      <c r="L94" s="239"/>
      <c r="M94" s="239"/>
      <c r="N94" s="239"/>
      <c r="O94" s="240"/>
    </row>
    <row r="95" spans="3:16" ht="15.75" x14ac:dyDescent="0.5">
      <c r="C95" s="42"/>
      <c r="D95" s="241" t="s">
        <v>34</v>
      </c>
      <c r="E95" s="242"/>
      <c r="F95" s="243"/>
      <c r="G95" s="241" t="s">
        <v>22</v>
      </c>
      <c r="H95" s="242"/>
      <c r="I95" s="243"/>
      <c r="J95" s="241" t="s">
        <v>35</v>
      </c>
      <c r="K95" s="242"/>
      <c r="L95" s="243"/>
      <c r="M95" s="241" t="s">
        <v>57</v>
      </c>
      <c r="N95" s="242"/>
      <c r="O95" s="243"/>
    </row>
    <row r="96" spans="3:16" x14ac:dyDescent="0.45">
      <c r="C96" s="42"/>
      <c r="D96" s="42" t="s">
        <v>58</v>
      </c>
      <c r="E96" s="42" t="s">
        <v>59</v>
      </c>
      <c r="F96" s="42" t="s">
        <v>60</v>
      </c>
      <c r="G96" s="42" t="s">
        <v>58</v>
      </c>
      <c r="H96" s="42" t="s">
        <v>59</v>
      </c>
      <c r="I96" s="42" t="s">
        <v>60</v>
      </c>
      <c r="J96" s="42" t="s">
        <v>58</v>
      </c>
      <c r="K96" s="42" t="s">
        <v>59</v>
      </c>
      <c r="L96" s="42" t="s">
        <v>60</v>
      </c>
      <c r="M96" s="49" t="s">
        <v>58</v>
      </c>
      <c r="N96" s="49" t="s">
        <v>59</v>
      </c>
      <c r="O96" s="49" t="s">
        <v>60</v>
      </c>
    </row>
    <row r="97" spans="3:15" hidden="1" x14ac:dyDescent="0.45">
      <c r="C97" s="47" t="s">
        <v>38</v>
      </c>
      <c r="D97" s="48">
        <v>194299.75</v>
      </c>
      <c r="E97" s="48">
        <v>261206.57600000006</v>
      </c>
      <c r="F97" s="46">
        <f t="shared" ref="F97:F106" si="38">D97/E97</f>
        <v>0.74385474123744866</v>
      </c>
      <c r="G97" s="48">
        <v>152720.45000000001</v>
      </c>
      <c r="H97" s="48">
        <v>225291.31930000006</v>
      </c>
      <c r="I97" s="46">
        <f t="shared" ref="I97:I106" si="39">G97/H97</f>
        <v>0.67787986893820795</v>
      </c>
      <c r="J97" s="48">
        <v>359558</v>
      </c>
      <c r="K97" s="48">
        <v>330650.56599999988</v>
      </c>
      <c r="L97" s="46">
        <f t="shared" ref="L97:L106" si="40">J97/K97</f>
        <v>1.0874259323058293</v>
      </c>
      <c r="M97" s="50">
        <f>SUM(D97,G97,J97)</f>
        <v>706578.2</v>
      </c>
      <c r="N97" s="50">
        <f>SUM(E97,H97,K97)</f>
        <v>817148.46129999997</v>
      </c>
      <c r="O97" s="51">
        <f t="shared" ref="O97:O109" si="41">M97/N97</f>
        <v>0.86468767116798584</v>
      </c>
    </row>
    <row r="98" spans="3:15" hidden="1" x14ac:dyDescent="0.45">
      <c r="C98" s="47" t="s">
        <v>39</v>
      </c>
      <c r="D98" s="48">
        <v>232765.75</v>
      </c>
      <c r="E98" s="48">
        <v>275819.69799999992</v>
      </c>
      <c r="F98" s="46">
        <f t="shared" si="38"/>
        <v>0.8439054631986439</v>
      </c>
      <c r="G98" s="48">
        <v>125322.75</v>
      </c>
      <c r="H98" s="48">
        <v>234467.2997</v>
      </c>
      <c r="I98" s="46">
        <f t="shared" si="39"/>
        <v>0.53449990749392329</v>
      </c>
      <c r="J98" s="48">
        <v>346482</v>
      </c>
      <c r="K98" s="48">
        <v>304224.79679999995</v>
      </c>
      <c r="L98" s="46">
        <f t="shared" si="40"/>
        <v>1.1389012455410736</v>
      </c>
      <c r="M98" s="50">
        <f t="shared" ref="M98:M106" si="42">SUM(D98,G98,J98)</f>
        <v>704570.5</v>
      </c>
      <c r="N98" s="50">
        <f t="shared" ref="N98:N106" si="43">SUM(E98,H98,K98)</f>
        <v>814511.79449999984</v>
      </c>
      <c r="O98" s="51">
        <f t="shared" si="41"/>
        <v>0.86502185082845984</v>
      </c>
    </row>
    <row r="99" spans="3:15" hidden="1" x14ac:dyDescent="0.45">
      <c r="C99" s="93" t="s">
        <v>40</v>
      </c>
      <c r="D99" s="92">
        <v>404018.25</v>
      </c>
      <c r="E99" s="94">
        <v>365174.32600000006</v>
      </c>
      <c r="F99" s="46">
        <f t="shared" si="38"/>
        <v>1.1063709062613563</v>
      </c>
      <c r="G99" s="48">
        <v>304936.25099999999</v>
      </c>
      <c r="H99" s="48">
        <v>299552.9276</v>
      </c>
      <c r="I99" s="46">
        <f t="shared" si="39"/>
        <v>1.017971192747575</v>
      </c>
      <c r="J99" s="48">
        <v>537723</v>
      </c>
      <c r="K99" s="48">
        <v>487139.34199999989</v>
      </c>
      <c r="L99" s="46">
        <f t="shared" si="40"/>
        <v>1.1038381703935547</v>
      </c>
      <c r="M99" s="50">
        <f t="shared" si="42"/>
        <v>1246677.5009999999</v>
      </c>
      <c r="N99" s="50">
        <f t="shared" si="43"/>
        <v>1151866.5955999999</v>
      </c>
      <c r="O99" s="51">
        <f t="shared" si="41"/>
        <v>1.0823106649347825</v>
      </c>
    </row>
    <row r="100" spans="3:15" hidden="1" x14ac:dyDescent="0.45">
      <c r="C100" s="47" t="s">
        <v>41</v>
      </c>
      <c r="D100" s="92">
        <v>439579.5</v>
      </c>
      <c r="E100" s="48">
        <v>404058.087</v>
      </c>
      <c r="F100" s="46">
        <f t="shared" si="38"/>
        <v>1.0879116496930799</v>
      </c>
      <c r="G100" s="103">
        <v>341440.81690140814</v>
      </c>
      <c r="H100" s="48">
        <v>330691.26899999997</v>
      </c>
      <c r="I100" s="46">
        <f t="shared" si="39"/>
        <v>1.0325062948710877</v>
      </c>
      <c r="J100" s="86">
        <v>466366</v>
      </c>
      <c r="K100" s="48">
        <v>420008.97500000003</v>
      </c>
      <c r="L100" s="46">
        <f t="shared" si="40"/>
        <v>1.110371510513555</v>
      </c>
      <c r="M100" s="50">
        <f t="shared" si="42"/>
        <v>1247386.3169014081</v>
      </c>
      <c r="N100" s="50">
        <f t="shared" si="43"/>
        <v>1154758.331</v>
      </c>
      <c r="O100" s="51">
        <f t="shared" si="41"/>
        <v>1.0802141741823972</v>
      </c>
    </row>
    <row r="101" spans="3:15" hidden="1" x14ac:dyDescent="0.45">
      <c r="C101" s="47" t="s">
        <v>42</v>
      </c>
      <c r="D101" s="105">
        <v>426205.5</v>
      </c>
      <c r="E101" s="48">
        <v>392392.74499999988</v>
      </c>
      <c r="F101" s="46">
        <f t="shared" si="38"/>
        <v>1.0861706935993429</v>
      </c>
      <c r="G101" s="105">
        <v>294851.58735391125</v>
      </c>
      <c r="H101" s="48">
        <v>282521.75280000007</v>
      </c>
      <c r="I101" s="46">
        <f t="shared" si="39"/>
        <v>1.0436420715633872</v>
      </c>
      <c r="J101" s="48">
        <v>526758</v>
      </c>
      <c r="K101" s="48">
        <v>496290.51</v>
      </c>
      <c r="L101" s="46">
        <f t="shared" si="40"/>
        <v>1.0613904344050422</v>
      </c>
      <c r="M101" s="50">
        <f t="shared" si="42"/>
        <v>1247815.0873539113</v>
      </c>
      <c r="N101" s="50">
        <f t="shared" si="43"/>
        <v>1171205.0078</v>
      </c>
      <c r="O101" s="51">
        <f t="shared" si="41"/>
        <v>1.0654113319561502</v>
      </c>
    </row>
    <row r="102" spans="3:15" hidden="1" x14ac:dyDescent="0.45">
      <c r="C102" s="47" t="s">
        <v>43</v>
      </c>
      <c r="D102" s="48">
        <v>493050</v>
      </c>
      <c r="E102" s="48">
        <v>452685.08499999985</v>
      </c>
      <c r="F102" s="46">
        <f t="shared" si="38"/>
        <v>1.089167759967175</v>
      </c>
      <c r="G102" s="48">
        <v>363249.59574468061</v>
      </c>
      <c r="H102" s="48">
        <v>356731.43699999992</v>
      </c>
      <c r="I102" s="46">
        <f t="shared" si="39"/>
        <v>1.0182718932749419</v>
      </c>
      <c r="J102" s="48">
        <v>575204</v>
      </c>
      <c r="K102" s="48">
        <v>541222.24100000004</v>
      </c>
      <c r="L102" s="46">
        <f t="shared" si="40"/>
        <v>1.0627870704966094</v>
      </c>
      <c r="M102" s="50">
        <f t="shared" si="42"/>
        <v>1431503.5957446806</v>
      </c>
      <c r="N102" s="50">
        <f t="shared" si="43"/>
        <v>1350638.7629999998</v>
      </c>
      <c r="O102" s="51">
        <f t="shared" si="41"/>
        <v>1.0598715474188423</v>
      </c>
    </row>
    <row r="103" spans="3:15" hidden="1" x14ac:dyDescent="0.45">
      <c r="C103" s="47" t="s">
        <v>44</v>
      </c>
      <c r="D103" s="48">
        <v>522988</v>
      </c>
      <c r="E103" s="48">
        <v>480180.57900000003</v>
      </c>
      <c r="F103" s="46">
        <f t="shared" si="38"/>
        <v>1.0891485888270378</v>
      </c>
      <c r="G103" s="48">
        <v>400549</v>
      </c>
      <c r="H103" s="48">
        <v>389230.01399999997</v>
      </c>
      <c r="I103" s="46">
        <f t="shared" si="39"/>
        <v>1.0290804552395079</v>
      </c>
      <c r="J103" s="48">
        <v>584796</v>
      </c>
      <c r="K103" s="48">
        <v>546596.85399999993</v>
      </c>
      <c r="L103" s="46">
        <f t="shared" si="40"/>
        <v>1.0698854113785297</v>
      </c>
      <c r="M103" s="50">
        <f t="shared" si="42"/>
        <v>1508333</v>
      </c>
      <c r="N103" s="50">
        <f t="shared" si="43"/>
        <v>1416007.4469999999</v>
      </c>
      <c r="O103" s="51">
        <f t="shared" si="41"/>
        <v>1.0652013188176404</v>
      </c>
    </row>
    <row r="104" spans="3:15" x14ac:dyDescent="0.45">
      <c r="C104" s="47" t="s">
        <v>45</v>
      </c>
      <c r="D104" s="86">
        <v>537219.5</v>
      </c>
      <c r="E104" s="86">
        <v>498537.88899999991</v>
      </c>
      <c r="F104" s="46">
        <f t="shared" si="38"/>
        <v>1.0775901127145826</v>
      </c>
      <c r="G104" s="86">
        <v>404137.47058823518</v>
      </c>
      <c r="H104" s="86">
        <v>406788.51279999997</v>
      </c>
      <c r="I104" s="46">
        <f t="shared" si="39"/>
        <v>0.99348299637687121</v>
      </c>
      <c r="J104" s="86">
        <v>552466</v>
      </c>
      <c r="K104" s="86">
        <v>501635.62900000007</v>
      </c>
      <c r="L104" s="46">
        <f t="shared" si="40"/>
        <v>1.101329267822003</v>
      </c>
      <c r="M104" s="50">
        <f t="shared" si="42"/>
        <v>1493822.9705882352</v>
      </c>
      <c r="N104" s="50">
        <f t="shared" si="43"/>
        <v>1406962.0307999998</v>
      </c>
      <c r="O104" s="51">
        <f t="shared" si="41"/>
        <v>1.0617365201666786</v>
      </c>
    </row>
    <row r="105" spans="3:15" x14ac:dyDescent="0.45">
      <c r="C105" s="47" t="s">
        <v>46</v>
      </c>
      <c r="D105" s="86">
        <v>424355</v>
      </c>
      <c r="E105" s="86">
        <v>393985</v>
      </c>
      <c r="F105" s="46">
        <f t="shared" si="38"/>
        <v>1.0770841529499855</v>
      </c>
      <c r="G105" s="48">
        <v>287715</v>
      </c>
      <c r="H105" s="86">
        <v>334796</v>
      </c>
      <c r="I105" s="46">
        <f t="shared" si="39"/>
        <v>0.85937406659577775</v>
      </c>
      <c r="J105" s="86">
        <v>537548</v>
      </c>
      <c r="K105" s="86">
        <v>474608</v>
      </c>
      <c r="L105" s="46">
        <f t="shared" si="40"/>
        <v>1.1326147051882818</v>
      </c>
      <c r="M105" s="50">
        <f t="shared" si="42"/>
        <v>1249618</v>
      </c>
      <c r="N105" s="50">
        <f t="shared" si="43"/>
        <v>1203389</v>
      </c>
      <c r="O105" s="51">
        <f t="shared" si="41"/>
        <v>1.0384156743995498</v>
      </c>
    </row>
    <row r="106" spans="3:15" x14ac:dyDescent="0.45">
      <c r="C106" s="47" t="s">
        <v>47</v>
      </c>
      <c r="D106" s="86">
        <v>351940</v>
      </c>
      <c r="E106" s="19">
        <v>331548</v>
      </c>
      <c r="F106" s="46">
        <f t="shared" si="38"/>
        <v>1.0615054230458334</v>
      </c>
      <c r="G106" s="48">
        <v>231241</v>
      </c>
      <c r="H106" s="86">
        <v>276238</v>
      </c>
      <c r="I106" s="46">
        <f t="shared" si="39"/>
        <v>0.83710785626886963</v>
      </c>
      <c r="J106" s="86">
        <v>487146</v>
      </c>
      <c r="K106" s="19">
        <v>439993</v>
      </c>
      <c r="L106" s="46">
        <f t="shared" si="40"/>
        <v>1.1071676140302231</v>
      </c>
      <c r="M106" s="50">
        <f t="shared" si="42"/>
        <v>1070327</v>
      </c>
      <c r="N106" s="50">
        <f t="shared" si="43"/>
        <v>1047779</v>
      </c>
      <c r="O106" s="51">
        <f t="shared" si="41"/>
        <v>1.0215198052261021</v>
      </c>
    </row>
    <row r="107" spans="3:15" x14ac:dyDescent="0.45">
      <c r="C107" s="47" t="s">
        <v>48</v>
      </c>
      <c r="D107" s="48"/>
      <c r="E107" s="48"/>
      <c r="F107" s="46"/>
      <c r="G107" s="48"/>
      <c r="H107" s="48"/>
      <c r="I107" s="46"/>
      <c r="J107" s="86"/>
      <c r="K107" s="105"/>
      <c r="L107" s="46"/>
      <c r="M107" s="50"/>
      <c r="N107" s="50"/>
      <c r="O107" s="51"/>
    </row>
    <row r="108" spans="3:15" x14ac:dyDescent="0.45">
      <c r="C108" s="47" t="s">
        <v>49</v>
      </c>
      <c r="D108" s="86"/>
      <c r="E108" s="86"/>
      <c r="F108" s="46"/>
      <c r="G108" s="86"/>
      <c r="H108" s="86"/>
      <c r="I108" s="46"/>
      <c r="J108" s="86"/>
      <c r="K108" s="86"/>
      <c r="L108" s="46"/>
      <c r="M108" s="50"/>
      <c r="N108" s="50"/>
      <c r="O108" s="51"/>
    </row>
    <row r="109" spans="3:15" x14ac:dyDescent="0.45">
      <c r="C109" s="49" t="s">
        <v>62</v>
      </c>
      <c r="D109" s="53">
        <f>SUM(D97:D108)</f>
        <v>4026421.25</v>
      </c>
      <c r="E109" s="53">
        <f>SUM(E97:E108)</f>
        <v>3855587.9849999999</v>
      </c>
      <c r="F109" s="55">
        <f>D109/E109</f>
        <v>1.0443079669468365</v>
      </c>
      <c r="G109" s="53">
        <f>SUM(G97:G108)</f>
        <v>2906163.9215882351</v>
      </c>
      <c r="H109" s="53">
        <f>SUM(H97:H108)</f>
        <v>3136308.5321999998</v>
      </c>
      <c r="I109" s="55">
        <f t="shared" ref="I109" si="44">G109/H109</f>
        <v>0.92661926967678554</v>
      </c>
      <c r="J109" s="53">
        <f>SUM(J97:J108)</f>
        <v>4974047</v>
      </c>
      <c r="K109" s="53">
        <f>SUM(K97:K108)</f>
        <v>4542369.9137999993</v>
      </c>
      <c r="L109" s="55">
        <f>J109/K109</f>
        <v>1.0950334504657004</v>
      </c>
      <c r="M109" s="54">
        <f t="shared" ref="M109" si="45">SUM(D109,G109,J109)</f>
        <v>11906632.171588235</v>
      </c>
      <c r="N109" s="54">
        <f t="shared" ref="N109" si="46">SUM(E109,H109,K109)</f>
        <v>11534266.430999998</v>
      </c>
      <c r="O109" s="55">
        <f t="shared" si="41"/>
        <v>1.0322834349991648</v>
      </c>
    </row>
  </sheetData>
  <mergeCells count="29">
    <mergeCell ref="C76:O76"/>
    <mergeCell ref="D77:F77"/>
    <mergeCell ref="G77:I77"/>
    <mergeCell ref="J77:L77"/>
    <mergeCell ref="M77:O77"/>
    <mergeCell ref="D59:F59"/>
    <mergeCell ref="AN49:AQ49"/>
    <mergeCell ref="AO50:AQ50"/>
    <mergeCell ref="G59:I59"/>
    <mergeCell ref="M59:O59"/>
    <mergeCell ref="J59:L59"/>
    <mergeCell ref="C58:O58"/>
    <mergeCell ref="D41:F41"/>
    <mergeCell ref="G41:I41"/>
    <mergeCell ref="J41:L41"/>
    <mergeCell ref="C40:I40"/>
    <mergeCell ref="C4:I4"/>
    <mergeCell ref="D23:F23"/>
    <mergeCell ref="G23:I23"/>
    <mergeCell ref="J23:L23"/>
    <mergeCell ref="C22:I22"/>
    <mergeCell ref="D5:F5"/>
    <mergeCell ref="G5:I5"/>
    <mergeCell ref="J5:L5"/>
    <mergeCell ref="C94:O94"/>
    <mergeCell ref="D95:F95"/>
    <mergeCell ref="G95:I95"/>
    <mergeCell ref="J95:L95"/>
    <mergeCell ref="M95:O95"/>
  </mergeCells>
  <pageMargins left="0.7" right="0.7" top="0.75" bottom="0.75" header="0.3" footer="0.3"/>
  <pageSetup orientation="portrait" verticalDpi="597"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4:H41"/>
  <sheetViews>
    <sheetView workbookViewId="0">
      <selection activeCell="I42" sqref="I42"/>
    </sheetView>
  </sheetViews>
  <sheetFormatPr defaultRowHeight="14.25" x14ac:dyDescent="0.45"/>
  <cols>
    <col min="1" max="1" width="11.46484375" customWidth="1"/>
    <col min="4" max="4" width="15.6640625" bestFit="1" customWidth="1"/>
    <col min="5" max="5" width="17.1328125" bestFit="1" customWidth="1"/>
  </cols>
  <sheetData>
    <row r="4" spans="1:8" s="59" customFormat="1" ht="30" x14ac:dyDescent="0.45">
      <c r="A4" s="70" t="s">
        <v>68</v>
      </c>
      <c r="B4" s="71" t="s">
        <v>69</v>
      </c>
      <c r="C4" s="71" t="s">
        <v>70</v>
      </c>
      <c r="D4" s="72" t="s">
        <v>4</v>
      </c>
      <c r="E4" s="73" t="s">
        <v>71</v>
      </c>
      <c r="F4" s="60"/>
      <c r="G4" s="60"/>
      <c r="H4" s="60"/>
    </row>
    <row r="5" spans="1:8" x14ac:dyDescent="0.45">
      <c r="A5" s="1" t="s">
        <v>34</v>
      </c>
      <c r="B5" s="1">
        <v>1</v>
      </c>
      <c r="C5" s="1">
        <f>2025</f>
        <v>2025</v>
      </c>
      <c r="D5" s="104">
        <v>173872.6</v>
      </c>
      <c r="E5" s="80"/>
    </row>
    <row r="6" spans="1:8" x14ac:dyDescent="0.45">
      <c r="A6" s="1" t="s">
        <v>34</v>
      </c>
      <c r="B6" s="1">
        <v>2</v>
      </c>
      <c r="C6" s="1">
        <f>2025</f>
        <v>2025</v>
      </c>
      <c r="D6" s="104">
        <v>223465.4</v>
      </c>
      <c r="E6" s="81"/>
    </row>
    <row r="7" spans="1:8" x14ac:dyDescent="0.45">
      <c r="A7" s="1" t="s">
        <v>34</v>
      </c>
      <c r="B7" s="1">
        <v>3</v>
      </c>
      <c r="C7" s="1">
        <f>2025</f>
        <v>2025</v>
      </c>
      <c r="D7" s="104">
        <v>344525.3</v>
      </c>
      <c r="E7" s="81"/>
    </row>
    <row r="8" spans="1:8" x14ac:dyDescent="0.45">
      <c r="A8" s="1" t="s">
        <v>34</v>
      </c>
      <c r="B8" s="1">
        <v>4</v>
      </c>
      <c r="C8" s="1">
        <f>2025</f>
        <v>2025</v>
      </c>
      <c r="D8" s="104">
        <v>439674.5</v>
      </c>
      <c r="E8" s="81"/>
    </row>
    <row r="9" spans="1:8" x14ac:dyDescent="0.45">
      <c r="A9" s="1" t="s">
        <v>34</v>
      </c>
      <c r="B9" s="1">
        <v>5</v>
      </c>
      <c r="C9" s="1">
        <f>2025</f>
        <v>2025</v>
      </c>
      <c r="D9" s="104">
        <v>455091.20000000001</v>
      </c>
      <c r="E9" s="81"/>
    </row>
    <row r="10" spans="1:8" x14ac:dyDescent="0.45">
      <c r="A10" s="1" t="s">
        <v>34</v>
      </c>
      <c r="B10" s="1">
        <v>6</v>
      </c>
      <c r="C10" s="1">
        <f>2025</f>
        <v>2025</v>
      </c>
      <c r="D10" s="104">
        <v>491177.6</v>
      </c>
      <c r="E10" s="81"/>
    </row>
    <row r="11" spans="1:8" x14ac:dyDescent="0.45">
      <c r="A11" s="1" t="s">
        <v>34</v>
      </c>
      <c r="B11" s="1">
        <v>7</v>
      </c>
      <c r="C11" s="1">
        <f>2025</f>
        <v>2025</v>
      </c>
      <c r="D11" s="104">
        <v>524395</v>
      </c>
      <c r="E11" s="81"/>
    </row>
    <row r="12" spans="1:8" x14ac:dyDescent="0.45">
      <c r="A12" s="1" t="s">
        <v>34</v>
      </c>
      <c r="B12" s="1">
        <v>8</v>
      </c>
      <c r="C12" s="1">
        <f>2025</f>
        <v>2025</v>
      </c>
      <c r="D12" s="104">
        <v>488163.4</v>
      </c>
      <c r="E12" s="81"/>
    </row>
    <row r="13" spans="1:8" x14ac:dyDescent="0.45">
      <c r="A13" s="1" t="s">
        <v>34</v>
      </c>
      <c r="B13" s="1">
        <v>9</v>
      </c>
      <c r="C13" s="1">
        <f>2025</f>
        <v>2025</v>
      </c>
      <c r="D13" s="104">
        <v>412507.2</v>
      </c>
      <c r="E13" s="81"/>
    </row>
    <row r="14" spans="1:8" x14ac:dyDescent="0.45">
      <c r="A14" s="1" t="s">
        <v>34</v>
      </c>
      <c r="B14" s="1">
        <v>10</v>
      </c>
      <c r="C14" s="1">
        <f>2025</f>
        <v>2025</v>
      </c>
      <c r="D14" s="104">
        <v>292225.09999999998</v>
      </c>
      <c r="E14" s="81"/>
    </row>
    <row r="15" spans="1:8" x14ac:dyDescent="0.45">
      <c r="A15" s="1" t="s">
        <v>34</v>
      </c>
      <c r="B15" s="1">
        <v>11</v>
      </c>
      <c r="C15" s="1">
        <f>2025</f>
        <v>2025</v>
      </c>
      <c r="D15" s="104">
        <v>204482.1</v>
      </c>
      <c r="E15" s="81"/>
    </row>
    <row r="16" spans="1:8" x14ac:dyDescent="0.45">
      <c r="A16" s="1" t="s">
        <v>34</v>
      </c>
      <c r="B16" s="1">
        <v>12</v>
      </c>
      <c r="C16" s="1">
        <f>2025</f>
        <v>2025</v>
      </c>
      <c r="D16" s="104">
        <v>160442.79999999999</v>
      </c>
      <c r="E16" s="82"/>
    </row>
    <row r="17" spans="1:6" x14ac:dyDescent="0.45">
      <c r="A17" s="1" t="s">
        <v>22</v>
      </c>
      <c r="B17" s="1">
        <v>1</v>
      </c>
      <c r="C17" s="1">
        <f>2025</f>
        <v>2025</v>
      </c>
      <c r="D17" s="104">
        <v>148923.29999999999</v>
      </c>
      <c r="E17" s="81"/>
      <c r="F17" s="89"/>
    </row>
    <row r="18" spans="1:6" x14ac:dyDescent="0.45">
      <c r="A18" s="1" t="s">
        <v>22</v>
      </c>
      <c r="B18" s="1">
        <v>2</v>
      </c>
      <c r="C18" s="1">
        <f>2025</f>
        <v>2025</v>
      </c>
      <c r="D18" s="104">
        <v>218895</v>
      </c>
      <c r="E18" s="81"/>
      <c r="F18" s="89"/>
    </row>
    <row r="19" spans="1:6" x14ac:dyDescent="0.45">
      <c r="A19" s="1" t="s">
        <v>22</v>
      </c>
      <c r="B19" s="1">
        <v>3</v>
      </c>
      <c r="C19" s="1">
        <f>2025</f>
        <v>2025</v>
      </c>
      <c r="D19" s="104">
        <v>315967.90000000002</v>
      </c>
      <c r="E19" s="81"/>
      <c r="F19" s="89"/>
    </row>
    <row r="20" spans="1:6" x14ac:dyDescent="0.45">
      <c r="A20" s="1" t="s">
        <v>22</v>
      </c>
      <c r="B20" s="1">
        <v>4</v>
      </c>
      <c r="C20" s="1">
        <f>2025</f>
        <v>2025</v>
      </c>
      <c r="D20" s="104">
        <v>391436.4</v>
      </c>
      <c r="E20" s="81"/>
      <c r="F20" s="89"/>
    </row>
    <row r="21" spans="1:6" x14ac:dyDescent="0.45">
      <c r="A21" s="1" t="s">
        <v>22</v>
      </c>
      <c r="B21" s="1">
        <v>5</v>
      </c>
      <c r="C21" s="1">
        <f>2025</f>
        <v>2025</v>
      </c>
      <c r="D21" s="104">
        <v>412289</v>
      </c>
      <c r="E21" s="81"/>
      <c r="F21" s="89"/>
    </row>
    <row r="22" spans="1:6" x14ac:dyDescent="0.45">
      <c r="A22" s="1" t="s">
        <v>22</v>
      </c>
      <c r="B22" s="1">
        <v>6</v>
      </c>
      <c r="C22" s="1">
        <f>2025</f>
        <v>2025</v>
      </c>
      <c r="D22" s="104">
        <v>441106.2</v>
      </c>
      <c r="E22" s="81"/>
      <c r="F22" s="89"/>
    </row>
    <row r="23" spans="1:6" x14ac:dyDescent="0.45">
      <c r="A23" s="1" t="s">
        <v>22</v>
      </c>
      <c r="B23" s="1">
        <v>7</v>
      </c>
      <c r="C23" s="1">
        <f>2025</f>
        <v>2025</v>
      </c>
      <c r="D23" s="104">
        <v>465962.5</v>
      </c>
      <c r="E23" s="81"/>
      <c r="F23" s="89"/>
    </row>
    <row r="24" spans="1:6" x14ac:dyDescent="0.45">
      <c r="A24" s="1" t="s">
        <v>22</v>
      </c>
      <c r="B24" s="1">
        <v>8</v>
      </c>
      <c r="C24" s="1">
        <f>2025</f>
        <v>2025</v>
      </c>
      <c r="D24" s="104">
        <v>429405.9</v>
      </c>
      <c r="E24" s="81"/>
      <c r="F24" s="89"/>
    </row>
    <row r="25" spans="1:6" x14ac:dyDescent="0.45">
      <c r="A25" s="1" t="s">
        <v>22</v>
      </c>
      <c r="B25" s="1">
        <v>9</v>
      </c>
      <c r="C25" s="1">
        <f>2025</f>
        <v>2025</v>
      </c>
      <c r="D25" s="104">
        <v>359589.8</v>
      </c>
      <c r="E25" s="81"/>
      <c r="F25" s="89"/>
    </row>
    <row r="26" spans="1:6" x14ac:dyDescent="0.45">
      <c r="A26" s="1" t="s">
        <v>22</v>
      </c>
      <c r="B26" s="1">
        <v>10</v>
      </c>
      <c r="C26" s="1">
        <f>2025</f>
        <v>2025</v>
      </c>
      <c r="D26" s="104">
        <v>287672</v>
      </c>
      <c r="E26" s="81"/>
      <c r="F26" s="89"/>
    </row>
    <row r="27" spans="1:6" x14ac:dyDescent="0.45">
      <c r="A27" s="1" t="s">
        <v>22</v>
      </c>
      <c r="B27" s="1">
        <v>11</v>
      </c>
      <c r="C27" s="1">
        <f>2025</f>
        <v>2025</v>
      </c>
      <c r="D27" s="104">
        <v>186483.9</v>
      </c>
      <c r="E27" s="81"/>
      <c r="F27" s="89"/>
    </row>
    <row r="28" spans="1:6" x14ac:dyDescent="0.45">
      <c r="A28" s="147" t="s">
        <v>22</v>
      </c>
      <c r="B28" s="147">
        <v>12</v>
      </c>
      <c r="C28" s="1">
        <f>2025</f>
        <v>2025</v>
      </c>
      <c r="D28" s="148">
        <v>140863.4</v>
      </c>
      <c r="E28" s="82"/>
      <c r="F28" s="89"/>
    </row>
    <row r="29" spans="1:6" x14ac:dyDescent="0.45">
      <c r="A29" s="144" t="s">
        <v>35</v>
      </c>
      <c r="B29" s="144">
        <v>1</v>
      </c>
      <c r="C29" s="1">
        <f>2025</f>
        <v>2025</v>
      </c>
      <c r="D29" s="135">
        <v>359065</v>
      </c>
      <c r="E29" s="81"/>
    </row>
    <row r="30" spans="1:6" x14ac:dyDescent="0.45">
      <c r="A30" s="144" t="s">
        <v>35</v>
      </c>
      <c r="B30" s="144">
        <v>2</v>
      </c>
      <c r="C30" s="1">
        <f>2025</f>
        <v>2025</v>
      </c>
      <c r="D30" s="135">
        <v>341764</v>
      </c>
      <c r="E30" s="81"/>
    </row>
    <row r="31" spans="1:6" x14ac:dyDescent="0.45">
      <c r="A31" s="144" t="s">
        <v>35</v>
      </c>
      <c r="B31" s="144">
        <v>3</v>
      </c>
      <c r="C31" s="1">
        <f>2025</f>
        <v>2025</v>
      </c>
      <c r="D31" s="135">
        <v>409489</v>
      </c>
      <c r="E31" s="81"/>
    </row>
    <row r="32" spans="1:6" x14ac:dyDescent="0.45">
      <c r="A32" s="144" t="s">
        <v>35</v>
      </c>
      <c r="B32" s="144">
        <v>4</v>
      </c>
      <c r="C32" s="1">
        <f>2025</f>
        <v>2025</v>
      </c>
      <c r="D32" s="135">
        <v>426854</v>
      </c>
      <c r="E32" s="81"/>
    </row>
    <row r="33" spans="1:5" x14ac:dyDescent="0.45">
      <c r="A33" s="144" t="s">
        <v>35</v>
      </c>
      <c r="B33" s="144">
        <v>5</v>
      </c>
      <c r="C33" s="1">
        <f>2025</f>
        <v>2025</v>
      </c>
      <c r="D33" s="135">
        <v>491560</v>
      </c>
      <c r="E33" s="81"/>
    </row>
    <row r="34" spans="1:5" x14ac:dyDescent="0.45">
      <c r="A34" s="144" t="s">
        <v>35</v>
      </c>
      <c r="B34" s="144">
        <v>6</v>
      </c>
      <c r="C34" s="1">
        <f>2025</f>
        <v>2025</v>
      </c>
      <c r="D34" s="135">
        <v>511081</v>
      </c>
      <c r="E34" s="81"/>
    </row>
    <row r="35" spans="1:5" x14ac:dyDescent="0.45">
      <c r="A35" s="144" t="s">
        <v>35</v>
      </c>
      <c r="B35" s="144">
        <v>7</v>
      </c>
      <c r="C35" s="1">
        <f>2025</f>
        <v>2025</v>
      </c>
      <c r="D35" s="145">
        <v>528500</v>
      </c>
      <c r="E35" s="81"/>
    </row>
    <row r="36" spans="1:5" x14ac:dyDescent="0.45">
      <c r="A36" s="144" t="s">
        <v>35</v>
      </c>
      <c r="B36" s="144">
        <v>8</v>
      </c>
      <c r="C36" s="1">
        <f>2025</f>
        <v>2025</v>
      </c>
      <c r="D36" s="135">
        <v>491649</v>
      </c>
      <c r="E36" s="81"/>
    </row>
    <row r="37" spans="1:5" x14ac:dyDescent="0.45">
      <c r="A37" s="144" t="s">
        <v>35</v>
      </c>
      <c r="B37" s="144">
        <v>9</v>
      </c>
      <c r="C37" s="1">
        <f>2025</f>
        <v>2025</v>
      </c>
      <c r="D37" s="135">
        <v>422985</v>
      </c>
      <c r="E37" s="81"/>
    </row>
    <row r="38" spans="1:5" x14ac:dyDescent="0.45">
      <c r="A38" s="144" t="s">
        <v>35</v>
      </c>
      <c r="B38" s="144">
        <v>10</v>
      </c>
      <c r="C38" s="1">
        <f>2025</f>
        <v>2025</v>
      </c>
      <c r="D38" s="135">
        <v>426835</v>
      </c>
      <c r="E38" s="81"/>
    </row>
    <row r="39" spans="1:5" x14ac:dyDescent="0.45">
      <c r="A39" s="144" t="s">
        <v>35</v>
      </c>
      <c r="B39" s="144">
        <v>11</v>
      </c>
      <c r="C39" s="1">
        <f>2025</f>
        <v>2025</v>
      </c>
      <c r="D39" s="135">
        <v>378158</v>
      </c>
      <c r="E39" s="81"/>
    </row>
    <row r="40" spans="1:5" x14ac:dyDescent="0.45">
      <c r="A40" s="144" t="s">
        <v>35</v>
      </c>
      <c r="B40" s="144">
        <v>12</v>
      </c>
      <c r="C40" s="1">
        <f>2025</f>
        <v>2025</v>
      </c>
      <c r="D40" s="146">
        <v>357864</v>
      </c>
      <c r="E40" s="82"/>
    </row>
    <row r="41" spans="1:5" x14ac:dyDescent="0.45">
      <c r="A41" s="2"/>
      <c r="B41" s="2"/>
      <c r="C41" s="2"/>
      <c r="D41" s="2"/>
    </row>
  </sheetData>
  <pageMargins left="0.7" right="0.7" top="0.75" bottom="0.75" header="0.3" footer="0.3"/>
  <pageSetup orientation="portrait" verticalDpi="597"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Q99"/>
  <sheetViews>
    <sheetView topLeftCell="A79" workbookViewId="0">
      <selection activeCell="C87" sqref="C87"/>
    </sheetView>
  </sheetViews>
  <sheetFormatPr defaultRowHeight="14.25" x14ac:dyDescent="0.45"/>
  <cols>
    <col min="2" max="2" width="9.1328125" style="19" bestFit="1" collapsed="1"/>
    <col min="3" max="3" width="8.6640625" style="19" collapsed="1"/>
    <col min="7" max="7" width="14.6640625" bestFit="1" customWidth="1"/>
    <col min="8" max="8" width="20.6640625" customWidth="1"/>
    <col min="9" max="9" width="19.1328125" customWidth="1"/>
  </cols>
  <sheetData>
    <row r="1" spans="1:17" x14ac:dyDescent="0.45">
      <c r="A1" s="33" t="s">
        <v>72</v>
      </c>
      <c r="B1" s="17" t="s">
        <v>73</v>
      </c>
      <c r="C1" s="17" t="s">
        <v>74</v>
      </c>
      <c r="D1" s="32"/>
      <c r="H1" s="179" t="s">
        <v>75</v>
      </c>
      <c r="I1" s="179"/>
      <c r="J1" s="179"/>
      <c r="K1" s="179"/>
      <c r="L1" s="179"/>
      <c r="M1" s="179"/>
      <c r="N1" s="179"/>
      <c r="O1" s="179"/>
      <c r="Q1" s="32" t="s">
        <v>76</v>
      </c>
    </row>
    <row r="2" spans="1:17" x14ac:dyDescent="0.45">
      <c r="A2" s="33" t="s">
        <v>77</v>
      </c>
      <c r="B2" s="34" t="s">
        <v>78</v>
      </c>
      <c r="C2" s="34" t="s">
        <v>79</v>
      </c>
      <c r="D2" s="32"/>
      <c r="H2">
        <v>2015</v>
      </c>
      <c r="I2">
        <v>2016</v>
      </c>
      <c r="J2">
        <v>2017</v>
      </c>
      <c r="K2">
        <v>2018</v>
      </c>
      <c r="L2">
        <v>2019</v>
      </c>
      <c r="M2">
        <v>2020</v>
      </c>
      <c r="N2">
        <v>2021</v>
      </c>
      <c r="O2">
        <v>2022</v>
      </c>
      <c r="Q2" s="32">
        <v>2022</v>
      </c>
    </row>
    <row r="3" spans="1:17" x14ac:dyDescent="0.45">
      <c r="A3" s="35">
        <v>42005</v>
      </c>
      <c r="B3" s="19">
        <v>430600</v>
      </c>
      <c r="C3" s="19">
        <v>88900</v>
      </c>
      <c r="D3" s="32"/>
      <c r="F3" s="27"/>
      <c r="G3" t="s">
        <v>38</v>
      </c>
      <c r="H3" s="74">
        <v>430600</v>
      </c>
      <c r="I3" s="74">
        <v>430600</v>
      </c>
      <c r="J3" s="74">
        <f t="shared" ref="J3:O5" si="0">I3*0.995</f>
        <v>428447</v>
      </c>
      <c r="K3" s="74">
        <f t="shared" si="0"/>
        <v>426304.76500000001</v>
      </c>
      <c r="L3" s="74">
        <f t="shared" si="0"/>
        <v>424173.24117500003</v>
      </c>
      <c r="M3" s="74">
        <f t="shared" si="0"/>
        <v>422052.37496912503</v>
      </c>
      <c r="N3" s="74">
        <f t="shared" si="0"/>
        <v>419942.11309427943</v>
      </c>
      <c r="O3" s="74">
        <f t="shared" si="0"/>
        <v>417842.40252880804</v>
      </c>
      <c r="Q3" s="19">
        <v>99200</v>
      </c>
    </row>
    <row r="4" spans="1:17" x14ac:dyDescent="0.45">
      <c r="A4" s="35">
        <v>42036</v>
      </c>
      <c r="B4" s="19">
        <v>472000</v>
      </c>
      <c r="C4" s="19">
        <v>99800</v>
      </c>
      <c r="D4" s="32"/>
      <c r="F4" s="27"/>
      <c r="G4" t="s">
        <v>39</v>
      </c>
      <c r="H4" s="74">
        <v>472000</v>
      </c>
      <c r="I4" s="74">
        <v>472000</v>
      </c>
      <c r="J4" s="74">
        <f t="shared" si="0"/>
        <v>469640</v>
      </c>
      <c r="K4" s="74">
        <f t="shared" si="0"/>
        <v>467291.8</v>
      </c>
      <c r="L4" s="74">
        <f t="shared" si="0"/>
        <v>464955.34100000001</v>
      </c>
      <c r="M4" s="74">
        <f t="shared" si="0"/>
        <v>462630.56429499999</v>
      </c>
      <c r="N4" s="74">
        <f t="shared" si="0"/>
        <v>460317.41147352499</v>
      </c>
      <c r="O4" s="74">
        <f t="shared" si="0"/>
        <v>458015.82441615738</v>
      </c>
      <c r="Q4" s="19">
        <v>108300</v>
      </c>
    </row>
    <row r="5" spans="1:17" x14ac:dyDescent="0.45">
      <c r="A5" s="36">
        <v>42064</v>
      </c>
      <c r="B5" s="25">
        <v>637500</v>
      </c>
      <c r="C5" s="25">
        <v>138300</v>
      </c>
      <c r="D5" s="37" t="s">
        <v>80</v>
      </c>
      <c r="F5" s="19"/>
      <c r="G5" t="s">
        <v>81</v>
      </c>
      <c r="H5" s="75">
        <v>637500</v>
      </c>
      <c r="I5" s="74">
        <f>H5*0.995</f>
        <v>634312.5</v>
      </c>
      <c r="J5" s="74">
        <f t="shared" si="0"/>
        <v>631140.9375</v>
      </c>
      <c r="K5" s="74">
        <f t="shared" si="0"/>
        <v>627985.23281249998</v>
      </c>
      <c r="L5" s="74">
        <f t="shared" si="0"/>
        <v>624845.30664843752</v>
      </c>
      <c r="M5" s="74">
        <f t="shared" si="0"/>
        <v>621721.08011519536</v>
      </c>
      <c r="N5" s="74">
        <f t="shared" si="0"/>
        <v>618612.47471461934</v>
      </c>
      <c r="O5" s="74">
        <f>N5*0.995</f>
        <v>615519.41234104626</v>
      </c>
      <c r="Q5" s="19">
        <v>150000</v>
      </c>
    </row>
    <row r="6" spans="1:17" x14ac:dyDescent="0.45">
      <c r="A6" s="35">
        <v>42095</v>
      </c>
      <c r="B6" s="19">
        <v>719700</v>
      </c>
      <c r="C6" s="19">
        <v>158700</v>
      </c>
      <c r="D6" s="32"/>
      <c r="F6" s="19"/>
      <c r="G6" t="s">
        <v>41</v>
      </c>
      <c r="H6" s="74">
        <v>719700</v>
      </c>
      <c r="I6" s="74">
        <f t="shared" ref="I6:O14" si="1">H6*0.995</f>
        <v>716101.5</v>
      </c>
      <c r="J6" s="74">
        <f t="shared" si="1"/>
        <v>712520.99250000005</v>
      </c>
      <c r="K6" s="74">
        <f t="shared" si="1"/>
        <v>708958.38753750001</v>
      </c>
      <c r="L6" s="74">
        <f t="shared" si="1"/>
        <v>705413.59559981246</v>
      </c>
      <c r="M6" s="74">
        <f t="shared" si="1"/>
        <v>701886.52762181335</v>
      </c>
      <c r="N6" s="74">
        <f t="shared" si="1"/>
        <v>698377.09498370427</v>
      </c>
      <c r="O6" s="74">
        <f t="shared" si="1"/>
        <v>694885.20950878575</v>
      </c>
      <c r="Q6" s="19">
        <v>171200</v>
      </c>
    </row>
    <row r="7" spans="1:17" x14ac:dyDescent="0.45">
      <c r="A7" s="35">
        <v>42125</v>
      </c>
      <c r="B7" s="19">
        <v>729800</v>
      </c>
      <c r="C7" s="19">
        <v>162100</v>
      </c>
      <c r="D7" s="32"/>
      <c r="F7" s="19"/>
      <c r="G7" t="s">
        <v>42</v>
      </c>
      <c r="H7" s="74">
        <v>729800</v>
      </c>
      <c r="I7" s="74">
        <f t="shared" si="1"/>
        <v>726151</v>
      </c>
      <c r="J7" s="74">
        <f t="shared" si="1"/>
        <v>722520.245</v>
      </c>
      <c r="K7" s="74">
        <f t="shared" si="1"/>
        <v>718907.643775</v>
      </c>
      <c r="L7" s="74">
        <f t="shared" si="1"/>
        <v>715313.10555612505</v>
      </c>
      <c r="M7" s="74">
        <f t="shared" si="1"/>
        <v>711736.54002834437</v>
      </c>
      <c r="N7" s="74">
        <f t="shared" si="1"/>
        <v>708177.85732820269</v>
      </c>
      <c r="O7" s="74">
        <f t="shared" si="1"/>
        <v>704636.96804156166</v>
      </c>
      <c r="Q7" s="19">
        <v>174100</v>
      </c>
    </row>
    <row r="8" spans="1:17" x14ac:dyDescent="0.45">
      <c r="A8" s="35">
        <v>42156</v>
      </c>
      <c r="B8" s="19">
        <v>764800</v>
      </c>
      <c r="C8" s="19">
        <v>172600</v>
      </c>
      <c r="D8" s="32"/>
      <c r="F8" s="19"/>
      <c r="G8" t="s">
        <v>43</v>
      </c>
      <c r="H8" s="74">
        <v>764800</v>
      </c>
      <c r="I8" s="74">
        <f t="shared" si="1"/>
        <v>760976</v>
      </c>
      <c r="J8" s="74">
        <f t="shared" si="1"/>
        <v>757171.12</v>
      </c>
      <c r="K8" s="74">
        <f t="shared" si="1"/>
        <v>753385.26439999999</v>
      </c>
      <c r="L8" s="74">
        <f t="shared" si="1"/>
        <v>749618.338078</v>
      </c>
      <c r="M8" s="74">
        <f t="shared" si="1"/>
        <v>745870.24638760998</v>
      </c>
      <c r="N8" s="74">
        <f t="shared" si="1"/>
        <v>742140.89515567198</v>
      </c>
      <c r="O8" s="74">
        <f t="shared" si="1"/>
        <v>738430.1906798936</v>
      </c>
      <c r="Q8" s="19">
        <v>182400</v>
      </c>
    </row>
    <row r="9" spans="1:17" x14ac:dyDescent="0.45">
      <c r="A9" s="35">
        <v>42186</v>
      </c>
      <c r="B9" s="19">
        <v>773600</v>
      </c>
      <c r="C9" s="19">
        <v>175600</v>
      </c>
      <c r="D9" s="32"/>
      <c r="F9" s="19"/>
      <c r="G9" t="s">
        <v>44</v>
      </c>
      <c r="H9" s="74">
        <v>773600</v>
      </c>
      <c r="I9" s="74">
        <f t="shared" si="1"/>
        <v>769732</v>
      </c>
      <c r="J9" s="74">
        <f t="shared" si="1"/>
        <v>765883.34</v>
      </c>
      <c r="K9" s="74">
        <f t="shared" si="1"/>
        <v>762053.92329999991</v>
      </c>
      <c r="L9" s="74">
        <f t="shared" si="1"/>
        <v>758243.6536834999</v>
      </c>
      <c r="M9" s="74">
        <f t="shared" si="1"/>
        <v>754452.43541508238</v>
      </c>
      <c r="N9" s="74">
        <f t="shared" si="1"/>
        <v>750680.173238007</v>
      </c>
      <c r="O9" s="74">
        <f t="shared" si="1"/>
        <v>746926.77237181691</v>
      </c>
      <c r="Q9" s="19">
        <v>185100</v>
      </c>
    </row>
    <row r="10" spans="1:17" x14ac:dyDescent="0.45">
      <c r="A10" s="35">
        <v>42217</v>
      </c>
      <c r="B10" s="19">
        <v>753100</v>
      </c>
      <c r="C10" s="19">
        <v>170100</v>
      </c>
      <c r="D10" s="32"/>
      <c r="F10" s="19"/>
      <c r="G10" t="s">
        <v>45</v>
      </c>
      <c r="H10" s="74">
        <v>753100</v>
      </c>
      <c r="I10" s="74">
        <f t="shared" si="1"/>
        <v>749334.5</v>
      </c>
      <c r="J10" s="74">
        <f t="shared" si="1"/>
        <v>745587.82750000001</v>
      </c>
      <c r="K10" s="74">
        <f t="shared" si="1"/>
        <v>741859.8883625</v>
      </c>
      <c r="L10" s="74">
        <f t="shared" si="1"/>
        <v>738150.58892068744</v>
      </c>
      <c r="M10" s="74">
        <f t="shared" si="1"/>
        <v>734459.835976084</v>
      </c>
      <c r="N10" s="74">
        <f t="shared" si="1"/>
        <v>730787.53679620358</v>
      </c>
      <c r="O10" s="74">
        <f t="shared" si="1"/>
        <v>727133.59911222255</v>
      </c>
      <c r="Q10" s="19">
        <v>178400</v>
      </c>
    </row>
    <row r="11" spans="1:17" x14ac:dyDescent="0.45">
      <c r="A11" s="35">
        <v>42248</v>
      </c>
      <c r="B11" s="19">
        <v>622300</v>
      </c>
      <c r="C11" s="19">
        <v>138000</v>
      </c>
      <c r="D11" s="32"/>
      <c r="F11" s="19"/>
      <c r="G11" t="s">
        <v>46</v>
      </c>
      <c r="H11" s="74">
        <v>622300</v>
      </c>
      <c r="I11" s="74">
        <f>H11*0.995</f>
        <v>619188.5</v>
      </c>
      <c r="J11" s="74">
        <f t="shared" si="1"/>
        <v>616092.5575</v>
      </c>
      <c r="K11" s="74">
        <f t="shared" si="1"/>
        <v>613012.09471249999</v>
      </c>
      <c r="L11" s="74">
        <f t="shared" si="1"/>
        <v>609947.03423893754</v>
      </c>
      <c r="M11" s="74">
        <f t="shared" si="1"/>
        <v>606897.29906774289</v>
      </c>
      <c r="N11" s="74">
        <f t="shared" si="1"/>
        <v>603862.81257240416</v>
      </c>
      <c r="O11" s="74">
        <f t="shared" si="1"/>
        <v>600843.49850954209</v>
      </c>
      <c r="Q11" s="19">
        <v>146600</v>
      </c>
    </row>
    <row r="12" spans="1:17" x14ac:dyDescent="0.45">
      <c r="A12" s="35">
        <v>42278</v>
      </c>
      <c r="B12" s="19">
        <v>572800</v>
      </c>
      <c r="C12" s="19">
        <v>124400</v>
      </c>
      <c r="D12" s="32"/>
      <c r="F12" s="19"/>
      <c r="G12" t="s">
        <v>47</v>
      </c>
      <c r="H12" s="74">
        <v>572800</v>
      </c>
      <c r="I12" s="74">
        <f>H12*0.995</f>
        <v>569936</v>
      </c>
      <c r="J12" s="74">
        <f t="shared" si="1"/>
        <v>567086.31999999995</v>
      </c>
      <c r="K12" s="74">
        <f t="shared" si="1"/>
        <v>564250.88839999994</v>
      </c>
      <c r="L12" s="74">
        <f t="shared" si="1"/>
        <v>561429.63395799999</v>
      </c>
      <c r="M12" s="74">
        <f t="shared" si="1"/>
        <v>558622.48578820995</v>
      </c>
      <c r="N12" s="74">
        <f t="shared" si="1"/>
        <v>555829.37335926888</v>
      </c>
      <c r="O12" s="74">
        <f t="shared" si="1"/>
        <v>553050.22649247258</v>
      </c>
      <c r="Q12" s="19">
        <v>133800</v>
      </c>
    </row>
    <row r="13" spans="1:17" x14ac:dyDescent="0.45">
      <c r="A13" s="35">
        <v>42309</v>
      </c>
      <c r="B13" s="19">
        <v>413200</v>
      </c>
      <c r="C13" s="19">
        <v>88700</v>
      </c>
      <c r="D13" s="32"/>
      <c r="F13" s="27"/>
      <c r="G13" t="s">
        <v>48</v>
      </c>
      <c r="H13" s="74">
        <v>413200</v>
      </c>
      <c r="I13" s="74">
        <f>H13*0.995</f>
        <v>411134</v>
      </c>
      <c r="J13" s="74">
        <f t="shared" si="1"/>
        <v>409078.33</v>
      </c>
      <c r="K13" s="74">
        <f t="shared" si="1"/>
        <v>407032.93835000001</v>
      </c>
      <c r="L13" s="74">
        <f t="shared" si="1"/>
        <v>404997.77365824999</v>
      </c>
      <c r="M13" s="74">
        <f t="shared" si="1"/>
        <v>402972.78478995874</v>
      </c>
      <c r="N13" s="74">
        <f t="shared" si="1"/>
        <v>400957.92086600896</v>
      </c>
      <c r="O13" s="74">
        <f t="shared" si="1"/>
        <v>398953.13126167894</v>
      </c>
      <c r="Q13" s="19">
        <v>96000</v>
      </c>
    </row>
    <row r="14" spans="1:17" x14ac:dyDescent="0.45">
      <c r="A14" s="35">
        <v>42339</v>
      </c>
      <c r="B14" s="19">
        <v>420700</v>
      </c>
      <c r="C14" s="19">
        <v>88000</v>
      </c>
      <c r="D14" s="32"/>
      <c r="F14" s="27"/>
      <c r="G14" t="s">
        <v>49</v>
      </c>
      <c r="H14" s="74">
        <v>420700</v>
      </c>
      <c r="I14" s="74">
        <f>H14*0.995</f>
        <v>418596.5</v>
      </c>
      <c r="J14" s="74">
        <f t="shared" si="1"/>
        <v>416503.51750000002</v>
      </c>
      <c r="K14" s="74">
        <f t="shared" si="1"/>
        <v>414420.99991250003</v>
      </c>
      <c r="L14" s="74">
        <f t="shared" si="1"/>
        <v>412348.89491293754</v>
      </c>
      <c r="M14" s="74">
        <f t="shared" si="1"/>
        <v>410287.15043837286</v>
      </c>
      <c r="N14" s="74">
        <f t="shared" si="1"/>
        <v>408235.71468618099</v>
      </c>
      <c r="O14" s="74">
        <f t="shared" si="1"/>
        <v>406194.53611275007</v>
      </c>
      <c r="Q14" s="19">
        <v>98000</v>
      </c>
    </row>
    <row r="15" spans="1:17" x14ac:dyDescent="0.45">
      <c r="A15" s="36">
        <v>42370</v>
      </c>
      <c r="B15" s="25">
        <v>430600</v>
      </c>
      <c r="C15" s="25">
        <v>88900</v>
      </c>
      <c r="D15" s="32"/>
      <c r="G15" s="26"/>
      <c r="H15" s="27"/>
      <c r="I15" s="27"/>
    </row>
    <row r="16" spans="1:17" x14ac:dyDescent="0.45">
      <c r="A16" s="36">
        <v>42401</v>
      </c>
      <c r="B16" s="25">
        <v>472000</v>
      </c>
      <c r="C16" s="25">
        <v>99800</v>
      </c>
      <c r="D16" s="32"/>
      <c r="G16" s="26"/>
      <c r="H16" s="27"/>
      <c r="I16" s="27"/>
    </row>
    <row r="17" spans="1:10" x14ac:dyDescent="0.45">
      <c r="A17" s="36">
        <v>42430</v>
      </c>
      <c r="B17" s="25">
        <f>B5*0.995</f>
        <v>634312.5</v>
      </c>
      <c r="C17" s="25">
        <v>138300</v>
      </c>
      <c r="D17" s="32"/>
      <c r="G17" s="26"/>
      <c r="H17" s="27"/>
      <c r="I17" s="27"/>
      <c r="J17" s="27"/>
    </row>
    <row r="18" spans="1:10" x14ac:dyDescent="0.45">
      <c r="A18" s="36">
        <v>42461</v>
      </c>
      <c r="B18" s="25">
        <f t="shared" ref="B18:B26" si="2">B6*0.995</f>
        <v>716101.5</v>
      </c>
      <c r="C18" s="25">
        <v>158700</v>
      </c>
      <c r="D18" s="32"/>
      <c r="G18" s="26"/>
      <c r="H18" s="27"/>
      <c r="I18" s="27"/>
      <c r="J18" s="27"/>
    </row>
    <row r="19" spans="1:10" x14ac:dyDescent="0.45">
      <c r="A19" s="36">
        <v>42491</v>
      </c>
      <c r="B19" s="25">
        <f t="shared" si="2"/>
        <v>726151</v>
      </c>
      <c r="C19" s="25">
        <v>162100</v>
      </c>
      <c r="D19" s="32"/>
      <c r="G19" s="26"/>
      <c r="H19" s="27"/>
      <c r="I19" s="27"/>
      <c r="J19" s="27"/>
    </row>
    <row r="20" spans="1:10" x14ac:dyDescent="0.45">
      <c r="A20" s="36">
        <v>42522</v>
      </c>
      <c r="B20" s="25">
        <f t="shared" si="2"/>
        <v>760976</v>
      </c>
      <c r="C20" s="25">
        <v>172600</v>
      </c>
      <c r="D20" s="32"/>
      <c r="G20" s="26"/>
      <c r="H20" s="27"/>
      <c r="I20" s="27"/>
      <c r="J20" s="27"/>
    </row>
    <row r="21" spans="1:10" x14ac:dyDescent="0.45">
      <c r="A21" s="36">
        <v>42552</v>
      </c>
      <c r="B21" s="25">
        <f t="shared" si="2"/>
        <v>769732</v>
      </c>
      <c r="C21" s="25">
        <v>175600</v>
      </c>
      <c r="D21" s="32"/>
      <c r="G21" s="26"/>
      <c r="H21" s="27"/>
      <c r="I21" s="27"/>
    </row>
    <row r="22" spans="1:10" x14ac:dyDescent="0.45">
      <c r="A22" s="36">
        <v>42583</v>
      </c>
      <c r="B22" s="25">
        <f t="shared" si="2"/>
        <v>749334.5</v>
      </c>
      <c r="C22" s="25">
        <v>170100</v>
      </c>
      <c r="D22" s="32"/>
      <c r="G22" s="26"/>
      <c r="H22" s="27"/>
      <c r="I22" s="27"/>
      <c r="J22" s="27"/>
    </row>
    <row r="23" spans="1:10" x14ac:dyDescent="0.45">
      <c r="A23" s="36">
        <v>42614</v>
      </c>
      <c r="B23" s="25">
        <f t="shared" si="2"/>
        <v>619188.5</v>
      </c>
      <c r="C23" s="25">
        <v>138000</v>
      </c>
      <c r="D23" s="32"/>
      <c r="G23" s="26"/>
      <c r="H23" s="27"/>
      <c r="I23" s="27"/>
      <c r="J23" s="27"/>
    </row>
    <row r="24" spans="1:10" x14ac:dyDescent="0.45">
      <c r="A24" s="36">
        <v>42644</v>
      </c>
      <c r="B24" s="25">
        <f t="shared" si="2"/>
        <v>569936</v>
      </c>
      <c r="C24" s="25">
        <v>124400</v>
      </c>
      <c r="D24" s="32"/>
      <c r="G24" s="26"/>
      <c r="H24" s="27"/>
      <c r="I24" s="27"/>
      <c r="J24" s="27"/>
    </row>
    <row r="25" spans="1:10" x14ac:dyDescent="0.45">
      <c r="A25" s="36">
        <v>42675</v>
      </c>
      <c r="B25" s="25">
        <f t="shared" si="2"/>
        <v>411134</v>
      </c>
      <c r="C25" s="25">
        <v>88700</v>
      </c>
      <c r="D25" s="32"/>
      <c r="G25" s="26"/>
      <c r="H25" s="27"/>
      <c r="I25" s="27"/>
    </row>
    <row r="26" spans="1:10" x14ac:dyDescent="0.45">
      <c r="A26" s="36">
        <v>42705</v>
      </c>
      <c r="B26" s="25">
        <f t="shared" si="2"/>
        <v>418596.5</v>
      </c>
      <c r="C26" s="25">
        <v>88000</v>
      </c>
      <c r="D26" s="32"/>
      <c r="G26" s="26"/>
      <c r="H26" s="27"/>
      <c r="I26" s="27"/>
      <c r="J26" s="27"/>
    </row>
    <row r="27" spans="1:10" x14ac:dyDescent="0.45">
      <c r="A27" s="35">
        <v>42736</v>
      </c>
      <c r="B27" s="19">
        <f>B3*0.995</f>
        <v>428447</v>
      </c>
      <c r="C27" s="19">
        <v>88900</v>
      </c>
      <c r="D27" s="32"/>
      <c r="G27" s="26"/>
      <c r="H27" s="27"/>
      <c r="I27" s="27"/>
      <c r="J27" s="27"/>
    </row>
    <row r="28" spans="1:10" x14ac:dyDescent="0.45">
      <c r="A28" s="35">
        <v>42767</v>
      </c>
      <c r="B28" s="19">
        <f>B4*0.995</f>
        <v>469640</v>
      </c>
      <c r="C28" s="19">
        <v>99800</v>
      </c>
      <c r="D28" s="32"/>
      <c r="G28" s="26"/>
      <c r="H28" s="27"/>
      <c r="I28" s="27"/>
      <c r="J28" s="27"/>
    </row>
    <row r="29" spans="1:10" x14ac:dyDescent="0.45">
      <c r="A29" s="35">
        <v>42795</v>
      </c>
      <c r="B29" s="19">
        <f>B5*0.99</f>
        <v>631125</v>
      </c>
      <c r="C29" s="19">
        <v>138300</v>
      </c>
      <c r="D29" s="32"/>
      <c r="G29" s="26"/>
      <c r="H29" s="27"/>
      <c r="I29" s="27"/>
      <c r="J29" s="27"/>
    </row>
    <row r="30" spans="1:10" x14ac:dyDescent="0.45">
      <c r="A30" s="35">
        <v>42826</v>
      </c>
      <c r="B30" s="19">
        <f t="shared" ref="B30:B38" si="3">B6*0.99</f>
        <v>712503</v>
      </c>
      <c r="C30" s="19">
        <v>158700</v>
      </c>
      <c r="D30" s="32"/>
      <c r="G30" s="26"/>
      <c r="H30" s="27"/>
      <c r="I30" s="27"/>
      <c r="J30" s="27"/>
    </row>
    <row r="31" spans="1:10" x14ac:dyDescent="0.45">
      <c r="A31" s="35">
        <v>42856</v>
      </c>
      <c r="B31" s="19">
        <f t="shared" si="3"/>
        <v>722502</v>
      </c>
      <c r="C31" s="19">
        <v>162100</v>
      </c>
      <c r="D31" s="32"/>
      <c r="G31" s="26"/>
      <c r="H31" s="27"/>
      <c r="I31" s="27"/>
    </row>
    <row r="32" spans="1:10" x14ac:dyDescent="0.45">
      <c r="A32" s="35">
        <v>42887</v>
      </c>
      <c r="B32" s="19">
        <f t="shared" si="3"/>
        <v>757152</v>
      </c>
      <c r="C32" s="19">
        <v>172600</v>
      </c>
      <c r="D32" s="32"/>
      <c r="G32" s="26"/>
      <c r="H32" s="27"/>
      <c r="I32" s="27"/>
      <c r="J32" s="27"/>
    </row>
    <row r="33" spans="1:10" x14ac:dyDescent="0.45">
      <c r="A33" s="35">
        <v>42917</v>
      </c>
      <c r="B33" s="19">
        <f t="shared" si="3"/>
        <v>765864</v>
      </c>
      <c r="C33" s="19">
        <v>175600</v>
      </c>
      <c r="D33" s="32"/>
      <c r="G33" s="26"/>
      <c r="H33" s="27"/>
      <c r="I33" s="27"/>
      <c r="J33" s="27"/>
    </row>
    <row r="34" spans="1:10" x14ac:dyDescent="0.45">
      <c r="A34" s="35">
        <v>42948</v>
      </c>
      <c r="B34" s="19">
        <f>B10*0.99</f>
        <v>745569</v>
      </c>
      <c r="C34" s="19">
        <v>170100</v>
      </c>
      <c r="D34" s="32"/>
      <c r="G34" s="26"/>
      <c r="H34" s="28"/>
      <c r="I34" s="27"/>
    </row>
    <row r="35" spans="1:10" x14ac:dyDescent="0.45">
      <c r="A35" s="35">
        <v>42979</v>
      </c>
      <c r="B35" s="19">
        <f t="shared" si="3"/>
        <v>616077</v>
      </c>
      <c r="C35" s="19">
        <v>138000</v>
      </c>
      <c r="D35" s="32"/>
      <c r="G35" s="26"/>
      <c r="I35" s="29"/>
      <c r="J35" s="29"/>
    </row>
    <row r="36" spans="1:10" x14ac:dyDescent="0.45">
      <c r="A36" s="35">
        <v>43009</v>
      </c>
      <c r="B36" s="19">
        <f t="shared" si="3"/>
        <v>567072</v>
      </c>
      <c r="C36" s="19">
        <v>124400</v>
      </c>
      <c r="D36" s="32"/>
      <c r="G36" s="26"/>
      <c r="I36" s="27"/>
    </row>
    <row r="37" spans="1:10" x14ac:dyDescent="0.45">
      <c r="A37" s="35">
        <v>43040</v>
      </c>
      <c r="B37" s="19">
        <f t="shared" si="3"/>
        <v>409068</v>
      </c>
      <c r="C37" s="19">
        <v>88700</v>
      </c>
      <c r="D37" s="32"/>
      <c r="G37" s="26"/>
      <c r="I37" s="27"/>
    </row>
    <row r="38" spans="1:10" x14ac:dyDescent="0.45">
      <c r="A38" s="35">
        <v>43070</v>
      </c>
      <c r="B38" s="19">
        <f t="shared" si="3"/>
        <v>416493</v>
      </c>
      <c r="C38" s="19">
        <v>88000</v>
      </c>
      <c r="D38" s="32"/>
      <c r="G38" s="26"/>
      <c r="I38" s="27"/>
    </row>
    <row r="39" spans="1:10" x14ac:dyDescent="0.45">
      <c r="A39" s="36">
        <v>43101</v>
      </c>
      <c r="B39" s="25">
        <f>B3*0.99</f>
        <v>426294</v>
      </c>
      <c r="C39" s="25">
        <v>88900</v>
      </c>
      <c r="D39" s="32"/>
      <c r="G39" s="26"/>
      <c r="I39" s="27"/>
    </row>
    <row r="40" spans="1:10" x14ac:dyDescent="0.45">
      <c r="A40" s="36">
        <v>43132</v>
      </c>
      <c r="B40" s="25">
        <f>B4*0.99</f>
        <v>467280</v>
      </c>
      <c r="C40" s="25">
        <v>99800</v>
      </c>
      <c r="D40" s="32"/>
      <c r="G40" s="26"/>
      <c r="I40" s="27"/>
    </row>
    <row r="41" spans="1:10" x14ac:dyDescent="0.45">
      <c r="A41" s="36">
        <v>43160</v>
      </c>
      <c r="B41" s="25">
        <f>B5*0.985</f>
        <v>627937.5</v>
      </c>
      <c r="C41" s="25">
        <v>138300</v>
      </c>
      <c r="D41" s="32"/>
      <c r="G41" s="26"/>
      <c r="I41" s="27"/>
    </row>
    <row r="42" spans="1:10" x14ac:dyDescent="0.45">
      <c r="A42" s="36">
        <v>43191</v>
      </c>
      <c r="B42" s="25">
        <f t="shared" ref="B42:B50" si="4">B6*0.985</f>
        <v>708904.5</v>
      </c>
      <c r="C42" s="25">
        <v>158700</v>
      </c>
      <c r="D42" s="32"/>
      <c r="G42" s="26"/>
      <c r="I42" s="27"/>
    </row>
    <row r="43" spans="1:10" x14ac:dyDescent="0.45">
      <c r="A43" s="36">
        <v>43221</v>
      </c>
      <c r="B43" s="25">
        <f t="shared" si="4"/>
        <v>718853</v>
      </c>
      <c r="C43" s="25">
        <v>162100</v>
      </c>
      <c r="D43" s="32"/>
      <c r="G43" s="26"/>
      <c r="I43" s="27"/>
    </row>
    <row r="44" spans="1:10" x14ac:dyDescent="0.45">
      <c r="A44" s="36">
        <v>43252</v>
      </c>
      <c r="B44" s="25">
        <f t="shared" si="4"/>
        <v>753328</v>
      </c>
      <c r="C44" s="25">
        <v>172600</v>
      </c>
      <c r="D44" s="32"/>
      <c r="G44" s="26"/>
      <c r="I44" s="27"/>
    </row>
    <row r="45" spans="1:10" x14ac:dyDescent="0.45">
      <c r="A45" s="36">
        <v>43282</v>
      </c>
      <c r="B45" s="25">
        <f t="shared" si="4"/>
        <v>761996</v>
      </c>
      <c r="C45" s="25">
        <v>175600</v>
      </c>
      <c r="D45" s="32"/>
      <c r="G45" s="26"/>
      <c r="I45" s="27"/>
    </row>
    <row r="46" spans="1:10" x14ac:dyDescent="0.45">
      <c r="A46" s="36">
        <v>43313</v>
      </c>
      <c r="B46" s="25">
        <f t="shared" si="4"/>
        <v>741803.5</v>
      </c>
      <c r="C46" s="25">
        <v>170100</v>
      </c>
      <c r="D46" s="32"/>
      <c r="G46" s="26"/>
      <c r="I46" s="27"/>
    </row>
    <row r="47" spans="1:10" x14ac:dyDescent="0.45">
      <c r="A47" s="36">
        <v>43344</v>
      </c>
      <c r="B47" s="25">
        <f t="shared" si="4"/>
        <v>612965.5</v>
      </c>
      <c r="C47" s="25">
        <v>138000</v>
      </c>
      <c r="D47" s="32"/>
      <c r="G47" s="26"/>
      <c r="I47" s="27"/>
    </row>
    <row r="48" spans="1:10" x14ac:dyDescent="0.45">
      <c r="A48" s="36">
        <v>43374</v>
      </c>
      <c r="B48" s="25">
        <f t="shared" si="4"/>
        <v>564208</v>
      </c>
      <c r="C48" s="25">
        <v>124400</v>
      </c>
      <c r="D48" s="32"/>
      <c r="G48" s="26"/>
      <c r="I48" s="27"/>
    </row>
    <row r="49" spans="1:9" x14ac:dyDescent="0.45">
      <c r="A49" s="36">
        <v>43405</v>
      </c>
      <c r="B49" s="25">
        <f t="shared" si="4"/>
        <v>407002</v>
      </c>
      <c r="C49" s="25">
        <v>88700</v>
      </c>
      <c r="D49" s="32"/>
      <c r="G49" s="26"/>
      <c r="I49" s="27"/>
    </row>
    <row r="50" spans="1:9" x14ac:dyDescent="0.45">
      <c r="A50" s="36">
        <v>43435</v>
      </c>
      <c r="B50" s="25">
        <f t="shared" si="4"/>
        <v>414389.5</v>
      </c>
      <c r="C50" s="25">
        <v>88000</v>
      </c>
      <c r="D50" s="32"/>
      <c r="G50" s="26"/>
      <c r="I50" s="27"/>
    </row>
    <row r="51" spans="1:9" x14ac:dyDescent="0.45">
      <c r="A51" s="35">
        <v>43466</v>
      </c>
      <c r="B51" s="19">
        <f>B3*0.985</f>
        <v>424141</v>
      </c>
      <c r="C51" s="19">
        <v>88900</v>
      </c>
      <c r="D51" s="32"/>
      <c r="G51" s="26"/>
      <c r="I51" s="27"/>
    </row>
    <row r="52" spans="1:9" x14ac:dyDescent="0.45">
      <c r="A52" s="35">
        <v>43497</v>
      </c>
      <c r="B52" s="19">
        <f>B4*0.985</f>
        <v>464920</v>
      </c>
      <c r="C52" s="19">
        <v>99800</v>
      </c>
      <c r="D52" s="32"/>
      <c r="G52" s="26"/>
      <c r="I52" s="27"/>
    </row>
    <row r="53" spans="1:9" x14ac:dyDescent="0.45">
      <c r="A53" s="35">
        <v>43525</v>
      </c>
      <c r="B53" s="19">
        <f>B5*0.98</f>
        <v>624750</v>
      </c>
      <c r="C53" s="19">
        <v>138300</v>
      </c>
      <c r="D53" s="32"/>
      <c r="G53" s="26"/>
      <c r="I53" s="27"/>
    </row>
    <row r="54" spans="1:9" x14ac:dyDescent="0.45">
      <c r="A54" s="35">
        <v>43556</v>
      </c>
      <c r="B54" s="19">
        <f t="shared" ref="B54:B62" si="5">B6*0.98</f>
        <v>705306</v>
      </c>
      <c r="C54" s="19">
        <v>158700</v>
      </c>
      <c r="D54" s="32"/>
      <c r="G54" s="26"/>
      <c r="I54" s="27"/>
    </row>
    <row r="55" spans="1:9" x14ac:dyDescent="0.45">
      <c r="A55" s="35">
        <v>43586</v>
      </c>
      <c r="B55" s="19">
        <f t="shared" si="5"/>
        <v>715204</v>
      </c>
      <c r="C55" s="19">
        <v>162100</v>
      </c>
      <c r="D55" s="32"/>
      <c r="G55" s="26"/>
      <c r="I55" s="27"/>
    </row>
    <row r="56" spans="1:9" x14ac:dyDescent="0.45">
      <c r="A56" s="35">
        <v>43617</v>
      </c>
      <c r="B56" s="19">
        <f t="shared" si="5"/>
        <v>749504</v>
      </c>
      <c r="C56" s="19">
        <v>172600</v>
      </c>
      <c r="D56" s="32"/>
      <c r="G56" s="26"/>
      <c r="I56" s="27"/>
    </row>
    <row r="57" spans="1:9" x14ac:dyDescent="0.45">
      <c r="A57" s="35">
        <v>43647</v>
      </c>
      <c r="B57" s="19">
        <f t="shared" si="5"/>
        <v>758128</v>
      </c>
      <c r="C57" s="19">
        <v>175600</v>
      </c>
      <c r="D57" s="32"/>
      <c r="G57" s="26"/>
      <c r="I57" s="27"/>
    </row>
    <row r="58" spans="1:9" x14ac:dyDescent="0.45">
      <c r="A58" s="35">
        <v>43678</v>
      </c>
      <c r="B58" s="19">
        <f t="shared" si="5"/>
        <v>738038</v>
      </c>
      <c r="C58" s="19">
        <v>170100</v>
      </c>
      <c r="D58" s="32"/>
      <c r="G58" s="26"/>
      <c r="I58" s="27"/>
    </row>
    <row r="59" spans="1:9" x14ac:dyDescent="0.45">
      <c r="A59" s="35">
        <v>43709</v>
      </c>
      <c r="B59" s="19">
        <f t="shared" si="5"/>
        <v>609854</v>
      </c>
      <c r="C59" s="19">
        <v>138000</v>
      </c>
      <c r="D59" s="32"/>
      <c r="G59" s="26"/>
      <c r="I59" s="27"/>
    </row>
    <row r="60" spans="1:9" x14ac:dyDescent="0.45">
      <c r="A60" s="35">
        <v>43739</v>
      </c>
      <c r="B60" s="19">
        <f t="shared" si="5"/>
        <v>561344</v>
      </c>
      <c r="C60" s="19">
        <v>124400</v>
      </c>
      <c r="D60" s="32"/>
      <c r="G60" s="26"/>
      <c r="I60" s="27"/>
    </row>
    <row r="61" spans="1:9" x14ac:dyDescent="0.45">
      <c r="A61" s="35">
        <v>43770</v>
      </c>
      <c r="B61" s="19">
        <f t="shared" si="5"/>
        <v>404936</v>
      </c>
      <c r="C61" s="19">
        <v>88700</v>
      </c>
      <c r="D61" s="32"/>
      <c r="G61" s="26"/>
      <c r="I61" s="27"/>
    </row>
    <row r="62" spans="1:9" x14ac:dyDescent="0.45">
      <c r="A62" s="35">
        <v>43800</v>
      </c>
      <c r="B62" s="19">
        <f t="shared" si="5"/>
        <v>412286</v>
      </c>
      <c r="C62" s="19">
        <v>88000</v>
      </c>
      <c r="D62" s="32"/>
      <c r="G62" s="26"/>
      <c r="I62" s="27"/>
    </row>
    <row r="63" spans="1:9" x14ac:dyDescent="0.45">
      <c r="A63" s="36">
        <v>43831</v>
      </c>
      <c r="B63" s="25">
        <f>B3*0.98</f>
        <v>421988</v>
      </c>
      <c r="C63" s="25">
        <v>88900</v>
      </c>
      <c r="G63" s="26"/>
      <c r="I63" s="27"/>
    </row>
    <row r="64" spans="1:9" x14ac:dyDescent="0.45">
      <c r="A64" s="36">
        <v>43862</v>
      </c>
      <c r="B64" s="25">
        <f>B4*0.98</f>
        <v>462560</v>
      </c>
      <c r="C64" s="25">
        <v>99800</v>
      </c>
      <c r="G64" s="26"/>
      <c r="I64" s="27"/>
    </row>
    <row r="65" spans="1:9" x14ac:dyDescent="0.45">
      <c r="A65" s="36">
        <v>43891</v>
      </c>
      <c r="B65" s="25">
        <f>B5*0.985</f>
        <v>627937.5</v>
      </c>
      <c r="C65" s="25">
        <v>138300</v>
      </c>
      <c r="G65" s="26"/>
      <c r="I65" s="27"/>
    </row>
    <row r="66" spans="1:9" x14ac:dyDescent="0.45">
      <c r="A66" s="36">
        <v>43922</v>
      </c>
      <c r="B66" s="25">
        <f>B6*0.985</f>
        <v>708904.5</v>
      </c>
      <c r="C66" s="25">
        <v>158700</v>
      </c>
      <c r="G66" s="26"/>
      <c r="I66" s="27"/>
    </row>
    <row r="67" spans="1:9" x14ac:dyDescent="0.45">
      <c r="A67" s="36">
        <v>43952</v>
      </c>
      <c r="B67" s="25">
        <f t="shared" ref="B67:B74" si="6">B7*0.985</f>
        <v>718853</v>
      </c>
      <c r="C67" s="25">
        <v>162100</v>
      </c>
      <c r="G67" s="26"/>
      <c r="I67" s="27"/>
    </row>
    <row r="68" spans="1:9" x14ac:dyDescent="0.45">
      <c r="A68" s="36">
        <v>43983</v>
      </c>
      <c r="B68" s="25">
        <f t="shared" si="6"/>
        <v>753328</v>
      </c>
      <c r="C68" s="25">
        <v>172600</v>
      </c>
      <c r="G68" s="26"/>
      <c r="I68" s="27"/>
    </row>
    <row r="69" spans="1:9" x14ac:dyDescent="0.45">
      <c r="A69" s="36">
        <v>44013</v>
      </c>
      <c r="B69" s="25">
        <f t="shared" si="6"/>
        <v>761996</v>
      </c>
      <c r="C69" s="25">
        <v>175600</v>
      </c>
      <c r="G69" s="26"/>
      <c r="I69" s="27"/>
    </row>
    <row r="70" spans="1:9" x14ac:dyDescent="0.45">
      <c r="A70" s="36">
        <v>44044</v>
      </c>
      <c r="B70" s="25">
        <f t="shared" si="6"/>
        <v>741803.5</v>
      </c>
      <c r="C70" s="25">
        <v>170100</v>
      </c>
      <c r="G70" s="26"/>
      <c r="I70" s="27"/>
    </row>
    <row r="71" spans="1:9" x14ac:dyDescent="0.45">
      <c r="A71" s="36">
        <v>44075</v>
      </c>
      <c r="B71" s="25">
        <f t="shared" si="6"/>
        <v>612965.5</v>
      </c>
      <c r="C71" s="25">
        <v>138000</v>
      </c>
      <c r="G71" s="26"/>
      <c r="I71" s="27"/>
    </row>
    <row r="72" spans="1:9" x14ac:dyDescent="0.45">
      <c r="A72" s="36">
        <v>44105</v>
      </c>
      <c r="B72" s="25">
        <f t="shared" si="6"/>
        <v>564208</v>
      </c>
      <c r="C72" s="25">
        <v>124400</v>
      </c>
      <c r="G72" s="26"/>
      <c r="I72" s="27"/>
    </row>
    <row r="73" spans="1:9" x14ac:dyDescent="0.45">
      <c r="A73" s="36">
        <v>44136</v>
      </c>
      <c r="B73" s="25">
        <f t="shared" si="6"/>
        <v>407002</v>
      </c>
      <c r="C73" s="25">
        <v>88700</v>
      </c>
      <c r="G73" s="26"/>
      <c r="I73" s="27"/>
    </row>
    <row r="74" spans="1:9" x14ac:dyDescent="0.45">
      <c r="A74" s="36">
        <v>44166</v>
      </c>
      <c r="B74" s="25">
        <f t="shared" si="6"/>
        <v>414389.5</v>
      </c>
      <c r="C74" s="25">
        <v>88000</v>
      </c>
      <c r="G74" s="26"/>
      <c r="I74" s="27"/>
    </row>
    <row r="75" spans="1:9" x14ac:dyDescent="0.45">
      <c r="A75" s="35">
        <v>44197</v>
      </c>
      <c r="B75" s="19">
        <f>B3*0.98</f>
        <v>421988</v>
      </c>
      <c r="C75" s="19">
        <v>88900</v>
      </c>
      <c r="G75" s="26"/>
      <c r="I75" s="27"/>
    </row>
    <row r="76" spans="1:9" x14ac:dyDescent="0.45">
      <c r="A76" s="35">
        <v>44228</v>
      </c>
      <c r="B76" s="19">
        <f t="shared" ref="B76:B86" si="7">B4*0.98</f>
        <v>462560</v>
      </c>
      <c r="C76" s="19">
        <v>99800</v>
      </c>
      <c r="G76" s="26"/>
      <c r="I76" s="27"/>
    </row>
    <row r="77" spans="1:9" x14ac:dyDescent="0.45">
      <c r="A77" s="35">
        <v>44256</v>
      </c>
      <c r="B77" s="19">
        <f t="shared" si="7"/>
        <v>624750</v>
      </c>
      <c r="C77" s="19">
        <v>138300</v>
      </c>
      <c r="G77" s="26"/>
      <c r="I77" s="27"/>
    </row>
    <row r="78" spans="1:9" x14ac:dyDescent="0.45">
      <c r="A78" s="35">
        <v>44287</v>
      </c>
      <c r="B78" s="19">
        <f t="shared" si="7"/>
        <v>705306</v>
      </c>
      <c r="C78" s="19">
        <v>158700</v>
      </c>
      <c r="G78" s="26"/>
      <c r="I78" s="27"/>
    </row>
    <row r="79" spans="1:9" x14ac:dyDescent="0.45">
      <c r="A79" s="35">
        <v>44317</v>
      </c>
      <c r="B79" s="19">
        <f t="shared" si="7"/>
        <v>715204</v>
      </c>
      <c r="C79" s="19">
        <v>162100</v>
      </c>
      <c r="G79" s="26"/>
      <c r="I79" s="27"/>
    </row>
    <row r="80" spans="1:9" x14ac:dyDescent="0.45">
      <c r="A80" s="35">
        <v>44348</v>
      </c>
      <c r="B80" s="19">
        <f t="shared" si="7"/>
        <v>749504</v>
      </c>
      <c r="C80" s="19">
        <v>172600</v>
      </c>
      <c r="G80" s="26"/>
      <c r="I80" s="27"/>
    </row>
    <row r="81" spans="1:9" x14ac:dyDescent="0.45">
      <c r="A81" s="35">
        <v>44378</v>
      </c>
      <c r="B81" s="19">
        <f t="shared" si="7"/>
        <v>758128</v>
      </c>
      <c r="C81" s="19">
        <v>175600</v>
      </c>
      <c r="G81" s="26"/>
      <c r="I81" s="27"/>
    </row>
    <row r="82" spans="1:9" x14ac:dyDescent="0.45">
      <c r="A82" s="35">
        <v>44409</v>
      </c>
      <c r="B82" s="19">
        <f t="shared" si="7"/>
        <v>738038</v>
      </c>
      <c r="C82" s="19">
        <v>170100</v>
      </c>
      <c r="G82" s="26"/>
      <c r="I82" s="27"/>
    </row>
    <row r="83" spans="1:9" x14ac:dyDescent="0.45">
      <c r="A83" s="35">
        <v>44440</v>
      </c>
      <c r="B83" s="19">
        <f t="shared" si="7"/>
        <v>609854</v>
      </c>
      <c r="C83" s="19">
        <v>138000</v>
      </c>
      <c r="G83" s="26"/>
      <c r="I83" s="27"/>
    </row>
    <row r="84" spans="1:9" x14ac:dyDescent="0.45">
      <c r="A84" s="35">
        <v>44470</v>
      </c>
      <c r="B84" s="19">
        <f t="shared" si="7"/>
        <v>561344</v>
      </c>
      <c r="C84" s="19">
        <v>124400</v>
      </c>
      <c r="G84" s="26"/>
      <c r="I84" s="27"/>
    </row>
    <row r="85" spans="1:9" x14ac:dyDescent="0.45">
      <c r="A85" s="35">
        <v>44501</v>
      </c>
      <c r="B85" s="19">
        <f t="shared" si="7"/>
        <v>404936</v>
      </c>
      <c r="C85" s="19">
        <v>88700</v>
      </c>
      <c r="G85" s="26"/>
      <c r="I85" s="27"/>
    </row>
    <row r="86" spans="1:9" x14ac:dyDescent="0.45">
      <c r="A86" s="35">
        <v>44531</v>
      </c>
      <c r="B86" s="19">
        <f t="shared" si="7"/>
        <v>412286</v>
      </c>
      <c r="C86" s="19">
        <v>88000</v>
      </c>
      <c r="G86" s="26"/>
      <c r="I86" s="27"/>
    </row>
    <row r="87" spans="1:9" x14ac:dyDescent="0.45">
      <c r="A87" s="36">
        <v>44562</v>
      </c>
      <c r="B87" s="25">
        <v>417842.40252880804</v>
      </c>
      <c r="C87" s="25">
        <v>99200</v>
      </c>
      <c r="G87" s="26"/>
      <c r="I87" s="27"/>
    </row>
    <row r="88" spans="1:9" x14ac:dyDescent="0.45">
      <c r="A88" s="36">
        <v>44593</v>
      </c>
      <c r="B88" s="25">
        <v>458015.82441615738</v>
      </c>
      <c r="C88" s="25">
        <v>108300</v>
      </c>
      <c r="G88" s="26"/>
      <c r="I88" s="27"/>
    </row>
    <row r="89" spans="1:9" x14ac:dyDescent="0.45">
      <c r="A89" s="36">
        <v>44621</v>
      </c>
      <c r="B89" s="25">
        <v>615519.41234104626</v>
      </c>
      <c r="C89" s="25">
        <v>150000</v>
      </c>
      <c r="G89" s="26"/>
      <c r="I89" s="27"/>
    </row>
    <row r="90" spans="1:9" x14ac:dyDescent="0.45">
      <c r="A90" s="36">
        <v>44652</v>
      </c>
      <c r="B90" s="25">
        <v>694885.20950878575</v>
      </c>
      <c r="C90" s="25">
        <v>171200</v>
      </c>
      <c r="G90" s="26"/>
      <c r="I90" s="27"/>
    </row>
    <row r="91" spans="1:9" x14ac:dyDescent="0.45">
      <c r="A91" s="36">
        <v>44682</v>
      </c>
      <c r="B91" s="25">
        <v>704636.96804156166</v>
      </c>
      <c r="C91" s="25">
        <v>174100</v>
      </c>
      <c r="G91" s="26"/>
      <c r="I91" s="27"/>
    </row>
    <row r="92" spans="1:9" x14ac:dyDescent="0.45">
      <c r="A92" s="36">
        <v>44713</v>
      </c>
      <c r="B92" s="25">
        <v>738430.1906798936</v>
      </c>
      <c r="C92" s="25">
        <v>182400</v>
      </c>
      <c r="G92" s="26"/>
      <c r="I92" s="27"/>
    </row>
    <row r="93" spans="1:9" x14ac:dyDescent="0.45">
      <c r="A93" s="36">
        <v>44743</v>
      </c>
      <c r="B93" s="25">
        <v>746926.77237181691</v>
      </c>
      <c r="C93" s="25">
        <v>185100</v>
      </c>
      <c r="G93" s="26"/>
      <c r="I93" s="27"/>
    </row>
    <row r="94" spans="1:9" x14ac:dyDescent="0.45">
      <c r="A94" s="36">
        <v>44774</v>
      </c>
      <c r="B94" s="25">
        <v>727133.59911222255</v>
      </c>
      <c r="C94" s="25">
        <v>178400</v>
      </c>
      <c r="G94" s="26"/>
      <c r="I94" s="27"/>
    </row>
    <row r="95" spans="1:9" x14ac:dyDescent="0.45">
      <c r="A95" s="36">
        <v>44805</v>
      </c>
      <c r="B95" s="25">
        <v>600843.49850954209</v>
      </c>
      <c r="C95" s="25">
        <v>146600</v>
      </c>
      <c r="G95" s="26"/>
      <c r="I95" s="27"/>
    </row>
    <row r="96" spans="1:9" x14ac:dyDescent="0.45">
      <c r="A96" s="36">
        <v>44835</v>
      </c>
      <c r="B96" s="25">
        <v>553050.22649247258</v>
      </c>
      <c r="C96" s="25">
        <v>133800</v>
      </c>
      <c r="G96" s="26"/>
      <c r="I96" s="27"/>
    </row>
    <row r="97" spans="1:9" x14ac:dyDescent="0.45">
      <c r="A97" s="36">
        <v>44866</v>
      </c>
      <c r="B97" s="25">
        <v>398953.13126167894</v>
      </c>
      <c r="C97" s="25">
        <v>96000</v>
      </c>
      <c r="G97" s="26"/>
      <c r="I97" s="27"/>
    </row>
    <row r="98" spans="1:9" x14ac:dyDescent="0.45">
      <c r="A98" s="36">
        <v>44896</v>
      </c>
      <c r="B98" s="25">
        <v>406194.53611275007</v>
      </c>
      <c r="C98" s="25">
        <v>98000</v>
      </c>
      <c r="G98" s="26"/>
      <c r="I98" s="27"/>
    </row>
    <row r="99" spans="1:9" x14ac:dyDescent="0.45">
      <c r="I99" s="27"/>
    </row>
  </sheetData>
  <mergeCells count="1">
    <mergeCell ref="H1:O1"/>
  </mergeCells>
  <pageMargins left="0.7" right="0.7" top="0.75" bottom="0.75" header="0.3" footer="0.3"/>
  <pageSetup orientation="portrait" verticalDpi="597"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P98"/>
  <sheetViews>
    <sheetView workbookViewId="0">
      <selection activeCell="C87" sqref="C87"/>
    </sheetView>
  </sheetViews>
  <sheetFormatPr defaultRowHeight="14.25" x14ac:dyDescent="0.45"/>
  <cols>
    <col min="2" max="3" width="9.1328125" style="19" collapsed="1"/>
    <col min="6" max="6" width="13.6640625" bestFit="1" customWidth="1"/>
    <col min="7" max="7" width="11.6640625" bestFit="1" customWidth="1"/>
    <col min="8" max="8" width="18.1328125" customWidth="1"/>
    <col min="10" max="10" width="10" bestFit="1" customWidth="1"/>
  </cols>
  <sheetData>
    <row r="1" spans="1:16" x14ac:dyDescent="0.45">
      <c r="A1" s="16" t="s">
        <v>72</v>
      </c>
      <c r="B1" s="17" t="s">
        <v>73</v>
      </c>
      <c r="C1" s="17" t="s">
        <v>74</v>
      </c>
      <c r="G1" t="s">
        <v>82</v>
      </c>
      <c r="P1" t="s">
        <v>83</v>
      </c>
    </row>
    <row r="2" spans="1:16" x14ac:dyDescent="0.45">
      <c r="A2" s="16" t="s">
        <v>77</v>
      </c>
      <c r="B2" s="18" t="s">
        <v>78</v>
      </c>
      <c r="C2" s="18" t="s">
        <v>79</v>
      </c>
      <c r="G2">
        <v>2015</v>
      </c>
      <c r="H2">
        <v>2016</v>
      </c>
      <c r="I2">
        <v>2017</v>
      </c>
      <c r="J2">
        <v>2018</v>
      </c>
      <c r="K2">
        <v>2019</v>
      </c>
      <c r="L2">
        <v>2020</v>
      </c>
      <c r="M2">
        <v>2021</v>
      </c>
      <c r="N2">
        <v>2022</v>
      </c>
      <c r="P2">
        <v>2022</v>
      </c>
    </row>
    <row r="3" spans="1:16" x14ac:dyDescent="0.45">
      <c r="A3" s="15">
        <v>42005</v>
      </c>
      <c r="B3" s="19">
        <v>558000</v>
      </c>
      <c r="C3" s="19">
        <v>89800</v>
      </c>
      <c r="F3" t="s">
        <v>38</v>
      </c>
      <c r="G3">
        <v>558000</v>
      </c>
      <c r="H3">
        <v>558000</v>
      </c>
      <c r="I3">
        <v>555210</v>
      </c>
      <c r="J3">
        <v>552433.94999999995</v>
      </c>
      <c r="K3">
        <v>549671.78024999995</v>
      </c>
      <c r="L3">
        <v>546923.42134874989</v>
      </c>
      <c r="M3">
        <v>544188.80424200615</v>
      </c>
      <c r="N3">
        <v>541467.86022079608</v>
      </c>
      <c r="P3">
        <v>99500</v>
      </c>
    </row>
    <row r="4" spans="1:16" x14ac:dyDescent="0.45">
      <c r="A4" s="15">
        <v>42036</v>
      </c>
      <c r="B4" s="19">
        <v>618000</v>
      </c>
      <c r="C4" s="19">
        <v>100200</v>
      </c>
      <c r="F4" s="26" t="s">
        <v>39</v>
      </c>
      <c r="G4" s="27">
        <v>618000</v>
      </c>
      <c r="H4" s="27">
        <v>618000</v>
      </c>
      <c r="I4">
        <v>614910</v>
      </c>
      <c r="J4" s="27">
        <v>611835.44999999995</v>
      </c>
      <c r="K4">
        <v>608776.27275</v>
      </c>
      <c r="L4">
        <v>605732.39138625003</v>
      </c>
      <c r="M4">
        <v>602703.7294293188</v>
      </c>
      <c r="N4">
        <v>599690.21078217216</v>
      </c>
      <c r="P4">
        <v>110300</v>
      </c>
    </row>
    <row r="5" spans="1:16" x14ac:dyDescent="0.45">
      <c r="A5" s="15">
        <v>42064</v>
      </c>
      <c r="B5" s="19">
        <v>832000</v>
      </c>
      <c r="C5" s="19">
        <v>140000</v>
      </c>
      <c r="F5" s="26" t="s">
        <v>81</v>
      </c>
      <c r="G5" s="27">
        <v>832000</v>
      </c>
      <c r="H5" s="27">
        <v>832000</v>
      </c>
      <c r="I5">
        <v>827840</v>
      </c>
      <c r="J5" s="27">
        <v>823700.8</v>
      </c>
      <c r="K5">
        <v>819582.29600000009</v>
      </c>
      <c r="L5">
        <v>815484.38452000008</v>
      </c>
      <c r="M5">
        <v>811406.96259740007</v>
      </c>
      <c r="N5">
        <v>807349.9277844131</v>
      </c>
      <c r="P5">
        <v>152700</v>
      </c>
    </row>
    <row r="6" spans="1:16" x14ac:dyDescent="0.45">
      <c r="A6" s="15">
        <v>42095</v>
      </c>
      <c r="B6" s="19">
        <v>960000</v>
      </c>
      <c r="C6" s="19">
        <v>164500</v>
      </c>
      <c r="F6" s="26" t="s">
        <v>41</v>
      </c>
      <c r="G6" s="27">
        <v>960000</v>
      </c>
      <c r="H6" s="27">
        <v>960000</v>
      </c>
      <c r="I6">
        <v>955200</v>
      </c>
      <c r="J6">
        <v>950424</v>
      </c>
      <c r="K6">
        <v>945671.88</v>
      </c>
      <c r="L6">
        <v>940943.52060000005</v>
      </c>
      <c r="M6">
        <v>936238.80299700005</v>
      </c>
      <c r="N6">
        <v>931557.60898201505</v>
      </c>
      <c r="P6">
        <v>177600</v>
      </c>
    </row>
    <row r="7" spans="1:16" x14ac:dyDescent="0.45">
      <c r="A7" s="15">
        <v>42125</v>
      </c>
      <c r="B7" s="19">
        <v>965000</v>
      </c>
      <c r="C7" s="19">
        <v>166700</v>
      </c>
      <c r="F7" s="26" t="s">
        <v>42</v>
      </c>
      <c r="G7" s="27">
        <v>965000</v>
      </c>
      <c r="H7" s="27">
        <v>965000</v>
      </c>
      <c r="I7">
        <v>960175</v>
      </c>
      <c r="J7">
        <v>955374.125</v>
      </c>
      <c r="K7">
        <v>950597.25437500002</v>
      </c>
      <c r="L7">
        <v>945844.26810312504</v>
      </c>
      <c r="M7">
        <v>941115.04676260939</v>
      </c>
      <c r="N7">
        <v>936409.47152879636</v>
      </c>
      <c r="P7">
        <v>178000</v>
      </c>
    </row>
    <row r="8" spans="1:16" x14ac:dyDescent="0.45">
      <c r="A8" s="15">
        <v>42156</v>
      </c>
      <c r="B8" s="19">
        <v>1010000</v>
      </c>
      <c r="C8" s="19">
        <v>175600</v>
      </c>
      <c r="F8" s="26" t="s">
        <v>43</v>
      </c>
      <c r="G8" s="27">
        <v>1010000</v>
      </c>
      <c r="H8" s="27">
        <v>1010000</v>
      </c>
      <c r="I8">
        <v>1004950</v>
      </c>
      <c r="J8" s="27">
        <v>999925.25</v>
      </c>
      <c r="K8">
        <v>994925.62375000003</v>
      </c>
      <c r="L8">
        <v>989950.99563124997</v>
      </c>
      <c r="M8">
        <v>985001.24065309367</v>
      </c>
      <c r="N8">
        <v>980076.23444982816</v>
      </c>
      <c r="P8">
        <v>186200</v>
      </c>
    </row>
    <row r="9" spans="1:16" x14ac:dyDescent="0.45">
      <c r="A9" s="15">
        <v>42186</v>
      </c>
      <c r="B9" s="19">
        <v>1006000</v>
      </c>
      <c r="C9" s="19">
        <v>175400</v>
      </c>
      <c r="F9" s="26" t="s">
        <v>44</v>
      </c>
      <c r="G9" s="27">
        <v>1006000</v>
      </c>
      <c r="H9" s="27">
        <v>1006000</v>
      </c>
      <c r="I9">
        <v>1000970</v>
      </c>
      <c r="J9">
        <v>995965.15</v>
      </c>
      <c r="K9">
        <v>990985.32425000006</v>
      </c>
      <c r="L9">
        <v>986030.39762875007</v>
      </c>
      <c r="M9">
        <v>981100.24564060627</v>
      </c>
      <c r="N9">
        <v>976194.7444124032</v>
      </c>
      <c r="P9">
        <v>184400</v>
      </c>
    </row>
    <row r="10" spans="1:16" x14ac:dyDescent="0.45">
      <c r="A10" s="15">
        <v>42217</v>
      </c>
      <c r="B10" s="19">
        <v>958000</v>
      </c>
      <c r="C10" s="19">
        <v>166400</v>
      </c>
      <c r="F10" s="26" t="s">
        <v>45</v>
      </c>
      <c r="G10" s="27">
        <v>958000</v>
      </c>
      <c r="H10" s="27">
        <v>958000</v>
      </c>
      <c r="I10">
        <v>953210</v>
      </c>
      <c r="J10" s="27">
        <v>948443.95</v>
      </c>
      <c r="K10">
        <v>943701.73024999991</v>
      </c>
      <c r="L10">
        <v>938983.22159874986</v>
      </c>
      <c r="M10">
        <v>934288.30549075606</v>
      </c>
      <c r="N10">
        <v>929616.86396330222</v>
      </c>
      <c r="P10">
        <v>176400</v>
      </c>
    </row>
    <row r="11" spans="1:16" x14ac:dyDescent="0.45">
      <c r="A11" s="15">
        <v>42248</v>
      </c>
      <c r="B11" s="19">
        <v>804000</v>
      </c>
      <c r="C11" s="19">
        <v>138400</v>
      </c>
      <c r="F11" s="26" t="s">
        <v>46</v>
      </c>
      <c r="G11" s="27">
        <v>804000</v>
      </c>
      <c r="H11" s="27">
        <v>804000</v>
      </c>
      <c r="I11">
        <v>799980</v>
      </c>
      <c r="J11" s="27">
        <v>795980.1</v>
      </c>
      <c r="K11">
        <v>792000.19949999999</v>
      </c>
      <c r="L11">
        <v>788040.19850249996</v>
      </c>
      <c r="M11">
        <v>784099.99750998744</v>
      </c>
      <c r="N11">
        <v>780179.49752243748</v>
      </c>
      <c r="P11">
        <v>147200</v>
      </c>
    </row>
    <row r="12" spans="1:16" x14ac:dyDescent="0.45">
      <c r="A12" s="24">
        <v>42278</v>
      </c>
      <c r="B12" s="25">
        <v>772000</v>
      </c>
      <c r="C12" s="25">
        <v>129600</v>
      </c>
      <c r="D12" s="38" t="s">
        <v>84</v>
      </c>
      <c r="F12" s="26" t="s">
        <v>47</v>
      </c>
      <c r="G12" s="76">
        <v>772000</v>
      </c>
      <c r="H12" s="27">
        <v>768140</v>
      </c>
      <c r="I12">
        <v>764299.3</v>
      </c>
      <c r="J12" s="27">
        <v>760477.80350000004</v>
      </c>
      <c r="K12">
        <v>756675.41448250005</v>
      </c>
      <c r="L12">
        <v>752892.03741008753</v>
      </c>
      <c r="M12">
        <v>749127.57722303714</v>
      </c>
      <c r="N12">
        <v>745381.9393369219</v>
      </c>
      <c r="P12">
        <v>139100</v>
      </c>
    </row>
    <row r="13" spans="1:16" x14ac:dyDescent="0.45">
      <c r="A13" s="15">
        <v>42309</v>
      </c>
      <c r="B13" s="19">
        <v>546000</v>
      </c>
      <c r="C13" s="19">
        <v>90200</v>
      </c>
      <c r="F13" s="26" t="s">
        <v>48</v>
      </c>
      <c r="G13" s="27">
        <v>546000</v>
      </c>
      <c r="H13" s="27">
        <v>543270</v>
      </c>
      <c r="I13">
        <v>540553.65</v>
      </c>
      <c r="J13" s="27">
        <v>537850.88175000006</v>
      </c>
      <c r="K13">
        <v>535161.62734125007</v>
      </c>
      <c r="L13">
        <v>532485.81920454383</v>
      </c>
      <c r="M13">
        <v>529823.3901085211</v>
      </c>
      <c r="N13">
        <v>527174.27315797843</v>
      </c>
      <c r="P13">
        <v>97900</v>
      </c>
    </row>
    <row r="14" spans="1:16" x14ac:dyDescent="0.45">
      <c r="A14" s="15">
        <v>42339</v>
      </c>
      <c r="B14" s="19">
        <v>546000</v>
      </c>
      <c r="C14" s="19">
        <v>88300</v>
      </c>
      <c r="F14" s="26" t="s">
        <v>49</v>
      </c>
      <c r="G14" s="27">
        <v>546000</v>
      </c>
      <c r="H14" s="27">
        <v>543270</v>
      </c>
      <c r="I14">
        <v>540553.65</v>
      </c>
      <c r="J14" s="27">
        <v>537850.88175000006</v>
      </c>
      <c r="K14">
        <v>535161.62734125007</v>
      </c>
      <c r="L14">
        <v>532485.81920454383</v>
      </c>
      <c r="M14">
        <v>529823.3901085211</v>
      </c>
      <c r="N14">
        <v>527174.27315797843</v>
      </c>
      <c r="P14">
        <v>97800</v>
      </c>
    </row>
    <row r="15" spans="1:16" x14ac:dyDescent="0.45">
      <c r="A15" s="24">
        <v>42370</v>
      </c>
      <c r="B15" s="25">
        <v>558000</v>
      </c>
      <c r="C15" s="25">
        <v>89800</v>
      </c>
      <c r="F15" s="26"/>
      <c r="G15" s="27"/>
      <c r="H15" s="27"/>
      <c r="J15" s="27"/>
    </row>
    <row r="16" spans="1:16" x14ac:dyDescent="0.45">
      <c r="A16" s="24">
        <v>42401</v>
      </c>
      <c r="B16" s="25">
        <v>618000</v>
      </c>
      <c r="C16" s="25">
        <v>100200</v>
      </c>
      <c r="F16" s="26"/>
      <c r="G16" s="27"/>
      <c r="H16" s="27"/>
    </row>
    <row r="17" spans="1:10" x14ac:dyDescent="0.45">
      <c r="A17" s="24">
        <v>42430</v>
      </c>
      <c r="B17" s="25">
        <v>832000</v>
      </c>
      <c r="C17" s="25">
        <v>140000</v>
      </c>
      <c r="F17" s="26"/>
      <c r="G17" s="27"/>
      <c r="H17" s="27"/>
    </row>
    <row r="18" spans="1:10" x14ac:dyDescent="0.45">
      <c r="A18" s="24">
        <v>42461</v>
      </c>
      <c r="B18" s="25">
        <v>960000</v>
      </c>
      <c r="C18" s="25">
        <v>164500</v>
      </c>
      <c r="F18" s="26"/>
      <c r="G18" s="27"/>
      <c r="H18" s="27"/>
      <c r="J18" s="27"/>
    </row>
    <row r="19" spans="1:10" x14ac:dyDescent="0.45">
      <c r="A19" s="24">
        <v>42491</v>
      </c>
      <c r="B19" s="25">
        <v>965000</v>
      </c>
      <c r="C19" s="25">
        <v>166700</v>
      </c>
      <c r="F19" s="26"/>
      <c r="G19" s="27"/>
      <c r="H19" s="27"/>
      <c r="J19" s="27"/>
    </row>
    <row r="20" spans="1:10" x14ac:dyDescent="0.45">
      <c r="A20" s="24">
        <v>42522</v>
      </c>
      <c r="B20" s="25">
        <v>1010000</v>
      </c>
      <c r="C20" s="25">
        <v>175600</v>
      </c>
      <c r="F20" s="26"/>
      <c r="G20" s="27"/>
      <c r="H20" s="27"/>
      <c r="J20" s="27"/>
    </row>
    <row r="21" spans="1:10" x14ac:dyDescent="0.45">
      <c r="A21" s="24">
        <v>42552</v>
      </c>
      <c r="B21" s="25">
        <v>1006000</v>
      </c>
      <c r="C21" s="25">
        <v>175400</v>
      </c>
      <c r="F21" s="26"/>
      <c r="G21" s="27"/>
      <c r="H21" s="27"/>
      <c r="J21" s="27"/>
    </row>
    <row r="22" spans="1:10" x14ac:dyDescent="0.45">
      <c r="A22" s="24">
        <v>42583</v>
      </c>
      <c r="B22" s="25">
        <v>958000</v>
      </c>
      <c r="C22" s="25">
        <v>166400</v>
      </c>
      <c r="F22" s="26"/>
      <c r="G22" s="27"/>
      <c r="H22" s="27"/>
      <c r="J22" s="27"/>
    </row>
    <row r="23" spans="1:10" x14ac:dyDescent="0.45">
      <c r="A23" s="24">
        <v>42614</v>
      </c>
      <c r="B23" s="25">
        <v>804000</v>
      </c>
      <c r="C23" s="25">
        <v>138400</v>
      </c>
      <c r="F23" s="26"/>
      <c r="G23" s="27"/>
      <c r="H23" s="27"/>
      <c r="J23" s="27"/>
    </row>
    <row r="24" spans="1:10" x14ac:dyDescent="0.45">
      <c r="A24" s="24">
        <v>42644</v>
      </c>
      <c r="B24" s="25">
        <f>B12*0.995</f>
        <v>768140</v>
      </c>
      <c r="C24" s="25">
        <v>129600</v>
      </c>
      <c r="F24" s="26"/>
      <c r="G24" s="27"/>
      <c r="H24" s="27"/>
      <c r="J24" s="27"/>
    </row>
    <row r="25" spans="1:10" x14ac:dyDescent="0.45">
      <c r="A25" s="24">
        <v>42675</v>
      </c>
      <c r="B25" s="25">
        <f t="shared" ref="B25:B26" si="0">B13*0.995</f>
        <v>543270</v>
      </c>
      <c r="C25" s="25">
        <v>90200</v>
      </c>
      <c r="F25" s="26"/>
      <c r="G25" s="27"/>
      <c r="H25" s="27"/>
      <c r="J25" s="27"/>
    </row>
    <row r="26" spans="1:10" x14ac:dyDescent="0.45">
      <c r="A26" s="24">
        <v>42705</v>
      </c>
      <c r="B26" s="25">
        <f t="shared" si="0"/>
        <v>543270</v>
      </c>
      <c r="C26" s="25">
        <v>88300</v>
      </c>
      <c r="F26" s="26"/>
      <c r="G26" s="27"/>
      <c r="H26" s="27"/>
      <c r="J26" s="27"/>
    </row>
    <row r="27" spans="1:10" x14ac:dyDescent="0.45">
      <c r="A27" s="15">
        <v>42736</v>
      </c>
      <c r="B27" s="19">
        <f>B15*0.995</f>
        <v>555210</v>
      </c>
      <c r="C27" s="19">
        <v>89800</v>
      </c>
      <c r="F27" s="26"/>
      <c r="G27" s="27"/>
      <c r="H27" s="27"/>
      <c r="J27" s="27"/>
    </row>
    <row r="28" spans="1:10" x14ac:dyDescent="0.45">
      <c r="A28" s="15">
        <v>42767</v>
      </c>
      <c r="B28" s="19">
        <f t="shared" ref="B28:B35" si="1">B16*0.995</f>
        <v>614910</v>
      </c>
      <c r="C28" s="19">
        <v>100200</v>
      </c>
      <c r="F28" s="26"/>
      <c r="G28" s="27"/>
      <c r="H28" s="27"/>
      <c r="J28" s="27"/>
    </row>
    <row r="29" spans="1:10" x14ac:dyDescent="0.45">
      <c r="A29" s="15">
        <v>42795</v>
      </c>
      <c r="B29" s="19">
        <f t="shared" si="1"/>
        <v>827840</v>
      </c>
      <c r="C29" s="19">
        <v>140000</v>
      </c>
      <c r="F29" s="26"/>
      <c r="G29" s="27"/>
      <c r="H29" s="27"/>
      <c r="J29" s="27"/>
    </row>
    <row r="30" spans="1:10" x14ac:dyDescent="0.45">
      <c r="A30" s="15">
        <v>42826</v>
      </c>
      <c r="B30" s="19">
        <f t="shared" si="1"/>
        <v>955200</v>
      </c>
      <c r="C30" s="19">
        <v>164500</v>
      </c>
      <c r="F30" s="26"/>
      <c r="G30" s="27"/>
      <c r="H30" s="27"/>
      <c r="J30" s="27"/>
    </row>
    <row r="31" spans="1:10" x14ac:dyDescent="0.45">
      <c r="A31" s="15">
        <v>42856</v>
      </c>
      <c r="B31" s="19">
        <f t="shared" si="1"/>
        <v>960175</v>
      </c>
      <c r="C31" s="19">
        <v>166700</v>
      </c>
      <c r="F31" s="26"/>
      <c r="G31" s="27"/>
      <c r="H31" s="27"/>
      <c r="J31" s="27"/>
    </row>
    <row r="32" spans="1:10" x14ac:dyDescent="0.45">
      <c r="A32" s="15">
        <v>42887</v>
      </c>
      <c r="B32" s="19">
        <f t="shared" si="1"/>
        <v>1004950</v>
      </c>
      <c r="C32" s="19">
        <v>175600</v>
      </c>
      <c r="F32" s="26"/>
      <c r="G32" s="27"/>
      <c r="H32" s="27"/>
      <c r="J32" s="27"/>
    </row>
    <row r="33" spans="1:10" x14ac:dyDescent="0.45">
      <c r="A33" s="15">
        <v>42917</v>
      </c>
      <c r="B33" s="19">
        <f t="shared" si="1"/>
        <v>1000970</v>
      </c>
      <c r="C33" s="19">
        <v>175400</v>
      </c>
      <c r="F33" s="26"/>
      <c r="G33" s="27"/>
      <c r="H33" s="27"/>
      <c r="J33" s="27"/>
    </row>
    <row r="34" spans="1:10" x14ac:dyDescent="0.45">
      <c r="A34" s="15">
        <v>42948</v>
      </c>
      <c r="B34" s="19">
        <f t="shared" si="1"/>
        <v>953210</v>
      </c>
      <c r="C34" s="19">
        <v>166400</v>
      </c>
      <c r="F34" s="26"/>
      <c r="G34" s="27"/>
      <c r="H34" s="27"/>
      <c r="J34" s="27"/>
    </row>
    <row r="35" spans="1:10" x14ac:dyDescent="0.45">
      <c r="A35" s="15">
        <v>42979</v>
      </c>
      <c r="B35" s="19">
        <f t="shared" si="1"/>
        <v>799980</v>
      </c>
      <c r="C35" s="19">
        <v>138400</v>
      </c>
      <c r="G35" s="27"/>
      <c r="H35" s="28"/>
      <c r="J35" s="27"/>
    </row>
    <row r="36" spans="1:10" x14ac:dyDescent="0.45">
      <c r="A36" s="15">
        <v>43009</v>
      </c>
      <c r="B36" s="19">
        <f>B12*0.99</f>
        <v>764280</v>
      </c>
      <c r="C36" s="19">
        <v>129600</v>
      </c>
      <c r="H36" s="30"/>
    </row>
    <row r="37" spans="1:10" x14ac:dyDescent="0.45">
      <c r="A37" s="15">
        <v>43040</v>
      </c>
      <c r="B37" s="19">
        <f t="shared" ref="B37:B38" si="2">B13*0.99</f>
        <v>540540</v>
      </c>
      <c r="C37" s="19">
        <v>90200</v>
      </c>
    </row>
    <row r="38" spans="1:10" x14ac:dyDescent="0.45">
      <c r="A38" s="15">
        <v>43070</v>
      </c>
      <c r="B38" s="19">
        <f t="shared" si="2"/>
        <v>540540</v>
      </c>
      <c r="C38" s="19">
        <v>88300</v>
      </c>
    </row>
    <row r="39" spans="1:10" x14ac:dyDescent="0.45">
      <c r="A39" s="24">
        <v>43101</v>
      </c>
      <c r="B39" s="25">
        <f>B15*0.99</f>
        <v>552420</v>
      </c>
      <c r="C39" s="25">
        <v>89800</v>
      </c>
    </row>
    <row r="40" spans="1:10" x14ac:dyDescent="0.45">
      <c r="A40" s="24">
        <v>43132</v>
      </c>
      <c r="B40" s="25">
        <f t="shared" ref="B40:B47" si="3">B16*0.99</f>
        <v>611820</v>
      </c>
      <c r="C40" s="25">
        <v>100200</v>
      </c>
    </row>
    <row r="41" spans="1:10" x14ac:dyDescent="0.45">
      <c r="A41" s="24">
        <v>43160</v>
      </c>
      <c r="B41" s="25">
        <f t="shared" si="3"/>
        <v>823680</v>
      </c>
      <c r="C41" s="25">
        <v>140000</v>
      </c>
    </row>
    <row r="42" spans="1:10" x14ac:dyDescent="0.45">
      <c r="A42" s="24">
        <v>43191</v>
      </c>
      <c r="B42" s="25">
        <f t="shared" si="3"/>
        <v>950400</v>
      </c>
      <c r="C42" s="25">
        <v>164500</v>
      </c>
    </row>
    <row r="43" spans="1:10" x14ac:dyDescent="0.45">
      <c r="A43" s="24">
        <v>43221</v>
      </c>
      <c r="B43" s="25">
        <f t="shared" si="3"/>
        <v>955350</v>
      </c>
      <c r="C43" s="25">
        <v>166700</v>
      </c>
    </row>
    <row r="44" spans="1:10" x14ac:dyDescent="0.45">
      <c r="A44" s="24">
        <v>43252</v>
      </c>
      <c r="B44" s="25">
        <f t="shared" si="3"/>
        <v>999900</v>
      </c>
      <c r="C44" s="25">
        <v>175600</v>
      </c>
    </row>
    <row r="45" spans="1:10" x14ac:dyDescent="0.45">
      <c r="A45" s="24">
        <v>43282</v>
      </c>
      <c r="B45" s="25">
        <f t="shared" si="3"/>
        <v>995940</v>
      </c>
      <c r="C45" s="25">
        <v>175400</v>
      </c>
    </row>
    <row r="46" spans="1:10" x14ac:dyDescent="0.45">
      <c r="A46" s="24">
        <v>43313</v>
      </c>
      <c r="B46" s="25">
        <f t="shared" si="3"/>
        <v>948420</v>
      </c>
      <c r="C46" s="25">
        <v>166400</v>
      </c>
    </row>
    <row r="47" spans="1:10" x14ac:dyDescent="0.45">
      <c r="A47" s="24">
        <v>43344</v>
      </c>
      <c r="B47" s="25">
        <f t="shared" si="3"/>
        <v>795960</v>
      </c>
      <c r="C47" s="25">
        <v>138400</v>
      </c>
    </row>
    <row r="48" spans="1:10" x14ac:dyDescent="0.45">
      <c r="A48" s="24">
        <v>43374</v>
      </c>
      <c r="B48" s="25">
        <f>B12*0.985</f>
        <v>760420</v>
      </c>
      <c r="C48" s="25">
        <v>129600</v>
      </c>
    </row>
    <row r="49" spans="1:3" x14ac:dyDescent="0.45">
      <c r="A49" s="24">
        <v>43405</v>
      </c>
      <c r="B49" s="25">
        <f t="shared" ref="B49:B50" si="4">B13*0.985</f>
        <v>537810</v>
      </c>
      <c r="C49" s="25">
        <v>90200</v>
      </c>
    </row>
    <row r="50" spans="1:3" x14ac:dyDescent="0.45">
      <c r="A50" s="24">
        <v>43435</v>
      </c>
      <c r="B50" s="25">
        <f t="shared" si="4"/>
        <v>537810</v>
      </c>
      <c r="C50" s="25">
        <v>88300</v>
      </c>
    </row>
    <row r="51" spans="1:3" x14ac:dyDescent="0.45">
      <c r="A51" s="15">
        <v>43466</v>
      </c>
      <c r="B51" s="19">
        <f>B15*0.985</f>
        <v>549630</v>
      </c>
      <c r="C51" s="19">
        <v>89800</v>
      </c>
    </row>
    <row r="52" spans="1:3" x14ac:dyDescent="0.45">
      <c r="A52" s="15">
        <v>43497</v>
      </c>
      <c r="B52" s="19">
        <f t="shared" ref="B52:B59" si="5">B16*0.985</f>
        <v>608730</v>
      </c>
      <c r="C52" s="19">
        <v>100200</v>
      </c>
    </row>
    <row r="53" spans="1:3" x14ac:dyDescent="0.45">
      <c r="A53" s="15">
        <v>43525</v>
      </c>
      <c r="B53" s="19">
        <f t="shared" si="5"/>
        <v>819520</v>
      </c>
      <c r="C53" s="19">
        <v>140000</v>
      </c>
    </row>
    <row r="54" spans="1:3" x14ac:dyDescent="0.45">
      <c r="A54" s="15">
        <v>43556</v>
      </c>
      <c r="B54" s="19">
        <f t="shared" si="5"/>
        <v>945600</v>
      </c>
      <c r="C54" s="19">
        <v>164500</v>
      </c>
    </row>
    <row r="55" spans="1:3" x14ac:dyDescent="0.45">
      <c r="A55" s="15">
        <v>43586</v>
      </c>
      <c r="B55" s="19">
        <f t="shared" si="5"/>
        <v>950525</v>
      </c>
      <c r="C55" s="19">
        <v>166700</v>
      </c>
    </row>
    <row r="56" spans="1:3" x14ac:dyDescent="0.45">
      <c r="A56" s="15">
        <v>43617</v>
      </c>
      <c r="B56" s="19">
        <f t="shared" si="5"/>
        <v>994850</v>
      </c>
      <c r="C56" s="19">
        <v>175600</v>
      </c>
    </row>
    <row r="57" spans="1:3" x14ac:dyDescent="0.45">
      <c r="A57" s="15">
        <v>43647</v>
      </c>
      <c r="B57" s="19">
        <f t="shared" si="5"/>
        <v>990910</v>
      </c>
      <c r="C57" s="19">
        <v>175400</v>
      </c>
    </row>
    <row r="58" spans="1:3" x14ac:dyDescent="0.45">
      <c r="A58" s="15">
        <v>43678</v>
      </c>
      <c r="B58" s="19">
        <f t="shared" si="5"/>
        <v>943630</v>
      </c>
      <c r="C58" s="19">
        <v>166400</v>
      </c>
    </row>
    <row r="59" spans="1:3" x14ac:dyDescent="0.45">
      <c r="A59" s="15">
        <v>43709</v>
      </c>
      <c r="B59" s="19">
        <f t="shared" si="5"/>
        <v>791940</v>
      </c>
      <c r="C59" s="19">
        <v>138400</v>
      </c>
    </row>
    <row r="60" spans="1:3" x14ac:dyDescent="0.45">
      <c r="A60" s="15">
        <v>43739</v>
      </c>
      <c r="B60" s="19">
        <f>B12*0.98</f>
        <v>756560</v>
      </c>
      <c r="C60" s="19">
        <v>129600</v>
      </c>
    </row>
    <row r="61" spans="1:3" x14ac:dyDescent="0.45">
      <c r="A61" s="15">
        <v>43770</v>
      </c>
      <c r="B61" s="19">
        <f t="shared" ref="B61:B62" si="6">B13*0.98</f>
        <v>535080</v>
      </c>
      <c r="C61" s="19">
        <v>90200</v>
      </c>
    </row>
    <row r="62" spans="1:3" x14ac:dyDescent="0.45">
      <c r="A62" s="15">
        <v>43800</v>
      </c>
      <c r="B62" s="19">
        <f t="shared" si="6"/>
        <v>535080</v>
      </c>
      <c r="C62" s="19">
        <v>88300</v>
      </c>
    </row>
    <row r="63" spans="1:3" x14ac:dyDescent="0.45">
      <c r="A63" s="24">
        <v>43831</v>
      </c>
      <c r="B63" s="25">
        <f>B3*0.98</f>
        <v>546840</v>
      </c>
      <c r="C63" s="25">
        <v>89800</v>
      </c>
    </row>
    <row r="64" spans="1:3" x14ac:dyDescent="0.45">
      <c r="A64" s="24">
        <v>43862</v>
      </c>
      <c r="B64" s="25">
        <f t="shared" ref="B64:B71" si="7">B4*0.98</f>
        <v>605640</v>
      </c>
      <c r="C64" s="25">
        <v>100200</v>
      </c>
    </row>
    <row r="65" spans="1:3" x14ac:dyDescent="0.45">
      <c r="A65" s="24">
        <v>43891</v>
      </c>
      <c r="B65" s="25">
        <f t="shared" si="7"/>
        <v>815360</v>
      </c>
      <c r="C65" s="25">
        <v>140000</v>
      </c>
    </row>
    <row r="66" spans="1:3" x14ac:dyDescent="0.45">
      <c r="A66" s="24">
        <v>43922</v>
      </c>
      <c r="B66" s="25">
        <f t="shared" si="7"/>
        <v>940800</v>
      </c>
      <c r="C66" s="25">
        <v>164500</v>
      </c>
    </row>
    <row r="67" spans="1:3" x14ac:dyDescent="0.45">
      <c r="A67" s="24">
        <v>43952</v>
      </c>
      <c r="B67" s="25">
        <f t="shared" si="7"/>
        <v>945700</v>
      </c>
      <c r="C67" s="25">
        <v>166700</v>
      </c>
    </row>
    <row r="68" spans="1:3" x14ac:dyDescent="0.45">
      <c r="A68" s="24">
        <v>43983</v>
      </c>
      <c r="B68" s="25">
        <f t="shared" si="7"/>
        <v>989800</v>
      </c>
      <c r="C68" s="25">
        <v>175600</v>
      </c>
    </row>
    <row r="69" spans="1:3" x14ac:dyDescent="0.45">
      <c r="A69" s="24">
        <v>44013</v>
      </c>
      <c r="B69" s="25">
        <f t="shared" si="7"/>
        <v>985880</v>
      </c>
      <c r="C69" s="25">
        <v>175400</v>
      </c>
    </row>
    <row r="70" spans="1:3" x14ac:dyDescent="0.45">
      <c r="A70" s="24">
        <v>44044</v>
      </c>
      <c r="B70" s="25">
        <f t="shared" si="7"/>
        <v>938840</v>
      </c>
      <c r="C70" s="25">
        <v>166400</v>
      </c>
    </row>
    <row r="71" spans="1:3" x14ac:dyDescent="0.45">
      <c r="A71" s="24">
        <v>44075</v>
      </c>
      <c r="B71" s="25">
        <f t="shared" si="7"/>
        <v>787920</v>
      </c>
      <c r="C71" s="25">
        <v>138400</v>
      </c>
    </row>
    <row r="72" spans="1:3" x14ac:dyDescent="0.45">
      <c r="A72" s="24">
        <v>44105</v>
      </c>
      <c r="B72" s="25">
        <f>B12*0.975</f>
        <v>752700</v>
      </c>
      <c r="C72" s="25">
        <v>129600</v>
      </c>
    </row>
    <row r="73" spans="1:3" x14ac:dyDescent="0.45">
      <c r="A73" s="24">
        <v>44136</v>
      </c>
      <c r="B73" s="25">
        <f>B13*0.975</f>
        <v>532350</v>
      </c>
      <c r="C73" s="25">
        <v>90200</v>
      </c>
    </row>
    <row r="74" spans="1:3" x14ac:dyDescent="0.45">
      <c r="A74" s="24">
        <v>44166</v>
      </c>
      <c r="B74" s="25">
        <f>B14*0.975</f>
        <v>532350</v>
      </c>
      <c r="C74" s="25">
        <v>88300</v>
      </c>
    </row>
    <row r="75" spans="1:3" x14ac:dyDescent="0.45">
      <c r="A75" s="15">
        <v>44197</v>
      </c>
      <c r="B75" s="19">
        <f>B3*0.975</f>
        <v>544050</v>
      </c>
      <c r="C75" s="19">
        <v>89800</v>
      </c>
    </row>
    <row r="76" spans="1:3" x14ac:dyDescent="0.45">
      <c r="A76" s="15">
        <v>44228</v>
      </c>
      <c r="B76" s="19">
        <f t="shared" ref="B76:B86" si="8">B4*0.975</f>
        <v>602550</v>
      </c>
      <c r="C76" s="19">
        <v>100200</v>
      </c>
    </row>
    <row r="77" spans="1:3" x14ac:dyDescent="0.45">
      <c r="A77" s="15">
        <v>44256</v>
      </c>
      <c r="B77" s="19">
        <f t="shared" si="8"/>
        <v>811200</v>
      </c>
      <c r="C77" s="19">
        <v>140000</v>
      </c>
    </row>
    <row r="78" spans="1:3" x14ac:dyDescent="0.45">
      <c r="A78" s="15">
        <v>44287</v>
      </c>
      <c r="B78" s="19">
        <f t="shared" si="8"/>
        <v>936000</v>
      </c>
      <c r="C78" s="19">
        <v>164500</v>
      </c>
    </row>
    <row r="79" spans="1:3" x14ac:dyDescent="0.45">
      <c r="A79" s="15">
        <v>44317</v>
      </c>
      <c r="B79" s="19">
        <f t="shared" si="8"/>
        <v>940875</v>
      </c>
      <c r="C79" s="19">
        <v>166700</v>
      </c>
    </row>
    <row r="80" spans="1:3" x14ac:dyDescent="0.45">
      <c r="A80" s="15">
        <v>44348</v>
      </c>
      <c r="B80" s="19">
        <f t="shared" si="8"/>
        <v>984750</v>
      </c>
      <c r="C80" s="19">
        <v>175600</v>
      </c>
    </row>
    <row r="81" spans="1:3" x14ac:dyDescent="0.45">
      <c r="A81" s="15">
        <v>44378</v>
      </c>
      <c r="B81" s="19">
        <f t="shared" si="8"/>
        <v>980850</v>
      </c>
      <c r="C81" s="19">
        <v>175400</v>
      </c>
    </row>
    <row r="82" spans="1:3" x14ac:dyDescent="0.45">
      <c r="A82" s="15">
        <v>44409</v>
      </c>
      <c r="B82" s="19">
        <f t="shared" si="8"/>
        <v>934050</v>
      </c>
      <c r="C82" s="19">
        <v>166400</v>
      </c>
    </row>
    <row r="83" spans="1:3" x14ac:dyDescent="0.45">
      <c r="A83" s="15">
        <v>44440</v>
      </c>
      <c r="B83" s="19">
        <f t="shared" si="8"/>
        <v>783900</v>
      </c>
      <c r="C83" s="19">
        <v>138400</v>
      </c>
    </row>
    <row r="84" spans="1:3" x14ac:dyDescent="0.45">
      <c r="A84" s="15">
        <v>44470</v>
      </c>
      <c r="B84" s="19">
        <f t="shared" si="8"/>
        <v>752700</v>
      </c>
      <c r="C84" s="19">
        <v>129600</v>
      </c>
    </row>
    <row r="85" spans="1:3" x14ac:dyDescent="0.45">
      <c r="A85" s="15">
        <v>44501</v>
      </c>
      <c r="B85" s="19">
        <f t="shared" si="8"/>
        <v>532350</v>
      </c>
      <c r="C85" s="19">
        <v>90200</v>
      </c>
    </row>
    <row r="86" spans="1:3" x14ac:dyDescent="0.45">
      <c r="A86" s="15">
        <v>44531</v>
      </c>
      <c r="B86" s="19">
        <f t="shared" si="8"/>
        <v>532350</v>
      </c>
      <c r="C86" s="19">
        <v>88300</v>
      </c>
    </row>
    <row r="87" spans="1:3" x14ac:dyDescent="0.45">
      <c r="A87" s="24">
        <v>44562</v>
      </c>
      <c r="B87" s="25">
        <v>541467.86022079608</v>
      </c>
      <c r="C87" s="25">
        <v>99500</v>
      </c>
    </row>
    <row r="88" spans="1:3" x14ac:dyDescent="0.45">
      <c r="A88" s="24">
        <v>44593</v>
      </c>
      <c r="B88" s="25">
        <v>599690.21078217216</v>
      </c>
      <c r="C88" s="25">
        <v>110300</v>
      </c>
    </row>
    <row r="89" spans="1:3" x14ac:dyDescent="0.45">
      <c r="A89" s="24">
        <v>44621</v>
      </c>
      <c r="B89" s="25">
        <v>807349.9277844131</v>
      </c>
      <c r="C89" s="25">
        <v>152700</v>
      </c>
    </row>
    <row r="90" spans="1:3" x14ac:dyDescent="0.45">
      <c r="A90" s="24">
        <v>44652</v>
      </c>
      <c r="B90" s="25">
        <v>931557.60898201505</v>
      </c>
      <c r="C90" s="25">
        <v>177600</v>
      </c>
    </row>
    <row r="91" spans="1:3" x14ac:dyDescent="0.45">
      <c r="A91" s="24">
        <v>44682</v>
      </c>
      <c r="B91" s="25">
        <v>936409.47152879636</v>
      </c>
      <c r="C91" s="25">
        <v>178000</v>
      </c>
    </row>
    <row r="92" spans="1:3" x14ac:dyDescent="0.45">
      <c r="A92" s="24">
        <v>44713</v>
      </c>
      <c r="B92" s="25">
        <v>980076.23444982816</v>
      </c>
      <c r="C92" s="25">
        <v>186200</v>
      </c>
    </row>
    <row r="93" spans="1:3" x14ac:dyDescent="0.45">
      <c r="A93" s="24">
        <v>44743</v>
      </c>
      <c r="B93" s="25">
        <v>976194.7444124032</v>
      </c>
      <c r="C93" s="25">
        <v>184400</v>
      </c>
    </row>
    <row r="94" spans="1:3" x14ac:dyDescent="0.45">
      <c r="A94" s="24">
        <v>44774</v>
      </c>
      <c r="B94" s="25">
        <v>929616.86396330222</v>
      </c>
      <c r="C94" s="25">
        <v>176400</v>
      </c>
    </row>
    <row r="95" spans="1:3" x14ac:dyDescent="0.45">
      <c r="A95" s="24">
        <v>44805</v>
      </c>
      <c r="B95" s="25">
        <v>780179.49752243748</v>
      </c>
      <c r="C95" s="25">
        <v>147200</v>
      </c>
    </row>
    <row r="96" spans="1:3" x14ac:dyDescent="0.45">
      <c r="A96" s="24">
        <v>44835</v>
      </c>
      <c r="B96" s="25">
        <v>745381.9393369219</v>
      </c>
      <c r="C96" s="25">
        <v>139100</v>
      </c>
    </row>
    <row r="97" spans="1:3" x14ac:dyDescent="0.45">
      <c r="A97" s="24">
        <v>44866</v>
      </c>
      <c r="B97" s="25">
        <v>527174.27315797843</v>
      </c>
      <c r="C97" s="25">
        <v>97900</v>
      </c>
    </row>
    <row r="98" spans="1:3" x14ac:dyDescent="0.45">
      <c r="A98" s="24">
        <v>44896</v>
      </c>
      <c r="B98" s="25">
        <v>527174.27315797843</v>
      </c>
      <c r="C98" s="25">
        <v>97800</v>
      </c>
    </row>
  </sheetData>
  <pageMargins left="0.7" right="0.7" top="0.75" bottom="0.75" header="0.3" footer="0.3"/>
  <pageSetup orientation="portrait" verticalDpi="597"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P98"/>
  <sheetViews>
    <sheetView workbookViewId="0">
      <selection activeCell="C87" sqref="C87"/>
    </sheetView>
  </sheetViews>
  <sheetFormatPr defaultRowHeight="14.25" x14ac:dyDescent="0.45"/>
  <cols>
    <col min="2" max="3" width="9.1328125" style="19" collapsed="1"/>
    <col min="5" max="5" width="13.6640625" bestFit="1" customWidth="1"/>
    <col min="6" max="6" width="14.6640625" customWidth="1"/>
    <col min="7" max="7" width="10" bestFit="1" customWidth="1"/>
    <col min="10" max="10" width="10.1328125" customWidth="1"/>
    <col min="11" max="11" width="12" customWidth="1"/>
    <col min="13" max="13" width="12.1328125" customWidth="1"/>
  </cols>
  <sheetData>
    <row r="1" spans="1:16" x14ac:dyDescent="0.45">
      <c r="A1" s="16" t="s">
        <v>72</v>
      </c>
      <c r="B1" s="17" t="s">
        <v>73</v>
      </c>
      <c r="C1" s="17" t="s">
        <v>74</v>
      </c>
      <c r="G1" s="179" t="s">
        <v>85</v>
      </c>
      <c r="H1" s="179"/>
      <c r="I1" s="179"/>
      <c r="J1" s="179"/>
      <c r="K1" s="179"/>
      <c r="L1" s="179"/>
      <c r="M1" s="179"/>
      <c r="N1" s="179"/>
      <c r="P1" s="32" t="s">
        <v>86</v>
      </c>
    </row>
    <row r="2" spans="1:16" x14ac:dyDescent="0.45">
      <c r="A2" s="16" t="s">
        <v>77</v>
      </c>
      <c r="B2" s="18" t="s">
        <v>78</v>
      </c>
      <c r="C2" s="18" t="s">
        <v>79</v>
      </c>
      <c r="G2">
        <v>2015</v>
      </c>
      <c r="H2">
        <v>2016</v>
      </c>
      <c r="I2">
        <v>2017</v>
      </c>
      <c r="J2">
        <v>2018</v>
      </c>
      <c r="K2">
        <v>2019</v>
      </c>
      <c r="L2">
        <v>2020</v>
      </c>
      <c r="M2">
        <v>2021</v>
      </c>
      <c r="N2">
        <v>2022</v>
      </c>
      <c r="P2" s="32">
        <v>2022</v>
      </c>
    </row>
    <row r="3" spans="1:16" x14ac:dyDescent="0.45">
      <c r="A3" s="15">
        <v>42005</v>
      </c>
      <c r="B3" s="19">
        <v>596000</v>
      </c>
      <c r="C3" s="19">
        <v>95500</v>
      </c>
      <c r="F3" t="s">
        <v>38</v>
      </c>
      <c r="G3" s="74">
        <v>596000</v>
      </c>
      <c r="H3" s="74">
        <v>596000</v>
      </c>
      <c r="I3" s="74">
        <f>H3*0.995</f>
        <v>593020</v>
      </c>
      <c r="J3" s="74">
        <f t="shared" ref="J3:N3" si="0">I3*0.995</f>
        <v>590054.9</v>
      </c>
      <c r="K3" s="74">
        <f t="shared" si="0"/>
        <v>587104.62549999997</v>
      </c>
      <c r="L3" s="74">
        <f t="shared" si="0"/>
        <v>584169.1023725</v>
      </c>
      <c r="M3" s="74">
        <f t="shared" si="0"/>
        <v>581248.25686063746</v>
      </c>
      <c r="N3" s="74">
        <f t="shared" si="0"/>
        <v>578342.01557633432</v>
      </c>
      <c r="P3" s="19">
        <v>102800</v>
      </c>
    </row>
    <row r="4" spans="1:16" x14ac:dyDescent="0.45">
      <c r="A4" s="15">
        <v>42036</v>
      </c>
      <c r="B4" s="19">
        <v>602000</v>
      </c>
      <c r="C4" s="19">
        <v>98900</v>
      </c>
      <c r="E4" s="26"/>
      <c r="F4" t="s">
        <v>39</v>
      </c>
      <c r="G4" s="74">
        <v>602000</v>
      </c>
      <c r="H4" s="74">
        <v>602000</v>
      </c>
      <c r="I4" s="74">
        <f t="shared" ref="I4:N14" si="1">H4*0.995</f>
        <v>598990</v>
      </c>
      <c r="J4" s="74">
        <f t="shared" si="1"/>
        <v>595995.05000000005</v>
      </c>
      <c r="K4" s="74">
        <f t="shared" si="1"/>
        <v>593015.07475000003</v>
      </c>
      <c r="L4" s="74">
        <f t="shared" si="1"/>
        <v>590049.99937625008</v>
      </c>
      <c r="M4" s="74">
        <f t="shared" si="1"/>
        <v>587099.74937936885</v>
      </c>
      <c r="N4" s="74">
        <f t="shared" si="1"/>
        <v>584164.25063247199</v>
      </c>
      <c r="P4" s="19">
        <v>106600</v>
      </c>
    </row>
    <row r="5" spans="1:16" x14ac:dyDescent="0.45">
      <c r="A5" s="15">
        <v>42064</v>
      </c>
      <c r="B5" s="19">
        <v>866000</v>
      </c>
      <c r="C5" s="19">
        <v>144000</v>
      </c>
      <c r="E5" s="26"/>
      <c r="F5" t="s">
        <v>81</v>
      </c>
      <c r="G5" s="74">
        <v>866000</v>
      </c>
      <c r="H5" s="74">
        <v>866000</v>
      </c>
      <c r="I5" s="74">
        <f t="shared" si="1"/>
        <v>861670</v>
      </c>
      <c r="J5" s="74">
        <f t="shared" si="1"/>
        <v>857361.65</v>
      </c>
      <c r="K5" s="74">
        <f t="shared" si="1"/>
        <v>853074.84175000002</v>
      </c>
      <c r="L5" s="74">
        <f t="shared" si="1"/>
        <v>848809.46754125005</v>
      </c>
      <c r="M5" s="74">
        <f t="shared" si="1"/>
        <v>844565.42020354385</v>
      </c>
      <c r="N5" s="74">
        <f t="shared" si="1"/>
        <v>840342.59310252615</v>
      </c>
      <c r="P5" s="19">
        <v>156000</v>
      </c>
    </row>
    <row r="6" spans="1:16" x14ac:dyDescent="0.45">
      <c r="A6" s="15">
        <v>42095</v>
      </c>
      <c r="B6" s="19">
        <v>967000</v>
      </c>
      <c r="C6" s="19">
        <v>164800</v>
      </c>
      <c r="E6" s="26"/>
      <c r="F6" t="s">
        <v>41</v>
      </c>
      <c r="G6" s="74">
        <v>967000</v>
      </c>
      <c r="H6" s="74">
        <v>967000</v>
      </c>
      <c r="I6" s="74">
        <f t="shared" si="1"/>
        <v>962165</v>
      </c>
      <c r="J6" s="74">
        <f t="shared" si="1"/>
        <v>957354.17500000005</v>
      </c>
      <c r="K6" s="74">
        <f t="shared" si="1"/>
        <v>952567.404125</v>
      </c>
      <c r="L6" s="74">
        <f t="shared" si="1"/>
        <v>947804.56710437499</v>
      </c>
      <c r="M6" s="74">
        <f t="shared" si="1"/>
        <v>943065.54426885315</v>
      </c>
      <c r="N6" s="74">
        <f t="shared" si="1"/>
        <v>938350.21654750884</v>
      </c>
      <c r="P6" s="19">
        <v>176800</v>
      </c>
    </row>
    <row r="7" spans="1:16" x14ac:dyDescent="0.45">
      <c r="A7" s="15">
        <v>42125</v>
      </c>
      <c r="B7" s="19">
        <v>1006000</v>
      </c>
      <c r="C7" s="19">
        <v>172700</v>
      </c>
      <c r="E7" s="26"/>
      <c r="F7" t="s">
        <v>42</v>
      </c>
      <c r="G7" s="74">
        <v>1006000</v>
      </c>
      <c r="H7" s="74">
        <v>1006000</v>
      </c>
      <c r="I7" s="74">
        <f t="shared" si="1"/>
        <v>1000970</v>
      </c>
      <c r="J7" s="74">
        <f t="shared" si="1"/>
        <v>995965.15</v>
      </c>
      <c r="K7" s="74">
        <f t="shared" si="1"/>
        <v>990985.32425000006</v>
      </c>
      <c r="L7" s="74">
        <f t="shared" si="1"/>
        <v>986030.39762875007</v>
      </c>
      <c r="M7" s="74">
        <f t="shared" si="1"/>
        <v>981100.24564060627</v>
      </c>
      <c r="N7" s="74">
        <f t="shared" si="1"/>
        <v>976194.7444124032</v>
      </c>
      <c r="P7" s="19">
        <v>183300</v>
      </c>
    </row>
    <row r="8" spans="1:16" x14ac:dyDescent="0.45">
      <c r="A8" s="15">
        <v>42156</v>
      </c>
      <c r="B8" s="19">
        <v>1031000</v>
      </c>
      <c r="C8" s="19">
        <v>178800</v>
      </c>
      <c r="E8" s="26"/>
      <c r="F8" t="s">
        <v>43</v>
      </c>
      <c r="G8" s="74">
        <v>1031000</v>
      </c>
      <c r="H8" s="74">
        <v>1031000</v>
      </c>
      <c r="I8" s="74">
        <f t="shared" si="1"/>
        <v>1025845</v>
      </c>
      <c r="J8" s="74">
        <f t="shared" si="1"/>
        <v>1020715.775</v>
      </c>
      <c r="K8" s="74">
        <f t="shared" si="1"/>
        <v>1015612.196125</v>
      </c>
      <c r="L8" s="74">
        <f t="shared" si="1"/>
        <v>1010534.135144375</v>
      </c>
      <c r="M8" s="74">
        <f t="shared" si="1"/>
        <v>1005481.4644686532</v>
      </c>
      <c r="N8" s="74">
        <f t="shared" si="1"/>
        <v>1000454.0571463099</v>
      </c>
      <c r="P8" s="19">
        <v>188600</v>
      </c>
    </row>
    <row r="9" spans="1:16" x14ac:dyDescent="0.45">
      <c r="A9" s="15">
        <v>42186</v>
      </c>
      <c r="B9" s="19">
        <v>1045000</v>
      </c>
      <c r="C9" s="19">
        <v>182100</v>
      </c>
      <c r="E9" s="26"/>
      <c r="F9" t="s">
        <v>44</v>
      </c>
      <c r="G9" s="74">
        <v>1045000</v>
      </c>
      <c r="H9" s="74">
        <v>1045000</v>
      </c>
      <c r="I9" s="74">
        <f t="shared" si="1"/>
        <v>1039775</v>
      </c>
      <c r="J9" s="74">
        <f t="shared" si="1"/>
        <v>1034576.125</v>
      </c>
      <c r="K9" s="74">
        <f t="shared" si="1"/>
        <v>1029403.244375</v>
      </c>
      <c r="L9" s="74">
        <f t="shared" si="1"/>
        <v>1024256.228153125</v>
      </c>
      <c r="M9" s="74">
        <f t="shared" si="1"/>
        <v>1019134.9470123594</v>
      </c>
      <c r="N9" s="74">
        <f t="shared" si="1"/>
        <v>1014039.2722772976</v>
      </c>
      <c r="P9" s="19">
        <v>189200</v>
      </c>
    </row>
    <row r="10" spans="1:16" x14ac:dyDescent="0.45">
      <c r="A10" s="15">
        <v>42217</v>
      </c>
      <c r="B10" s="19">
        <v>967000</v>
      </c>
      <c r="C10" s="19">
        <v>168000</v>
      </c>
      <c r="E10" s="26"/>
      <c r="F10" t="s">
        <v>45</v>
      </c>
      <c r="G10" s="74">
        <v>967000</v>
      </c>
      <c r="H10" s="74">
        <v>967000</v>
      </c>
      <c r="I10" s="74">
        <f t="shared" si="1"/>
        <v>962165</v>
      </c>
      <c r="J10" s="74">
        <f t="shared" si="1"/>
        <v>957354.17500000005</v>
      </c>
      <c r="K10" s="74">
        <f t="shared" si="1"/>
        <v>952567.404125</v>
      </c>
      <c r="L10" s="74">
        <f t="shared" si="1"/>
        <v>947804.56710437499</v>
      </c>
      <c r="M10" s="74">
        <f t="shared" si="1"/>
        <v>943065.54426885315</v>
      </c>
      <c r="N10" s="74">
        <f t="shared" si="1"/>
        <v>938350.21654750884</v>
      </c>
      <c r="P10" s="19">
        <v>175100</v>
      </c>
    </row>
    <row r="11" spans="1:16" x14ac:dyDescent="0.45">
      <c r="A11" s="39">
        <v>42248</v>
      </c>
      <c r="B11" s="40">
        <v>845000</v>
      </c>
      <c r="C11" s="40">
        <v>145300</v>
      </c>
      <c r="D11" s="41" t="s">
        <v>87</v>
      </c>
      <c r="E11" s="26"/>
      <c r="F11" t="s">
        <v>46</v>
      </c>
      <c r="G11" s="75">
        <v>845000</v>
      </c>
      <c r="H11" s="74">
        <f>G11*0.995</f>
        <v>840775</v>
      </c>
      <c r="I11" s="74">
        <f t="shared" si="1"/>
        <v>836571.125</v>
      </c>
      <c r="J11" s="74">
        <f t="shared" si="1"/>
        <v>832388.26937500003</v>
      </c>
      <c r="K11" s="74">
        <f t="shared" si="1"/>
        <v>828226.32802812499</v>
      </c>
      <c r="L11" s="74">
        <f t="shared" si="1"/>
        <v>824085.19638798432</v>
      </c>
      <c r="M11" s="74">
        <f t="shared" si="1"/>
        <v>819964.77040604444</v>
      </c>
      <c r="N11" s="74">
        <f t="shared" si="1"/>
        <v>815864.94655401423</v>
      </c>
      <c r="P11" s="19">
        <v>153100</v>
      </c>
    </row>
    <row r="12" spans="1:16" x14ac:dyDescent="0.45">
      <c r="A12" s="15">
        <v>42278</v>
      </c>
      <c r="B12" s="19">
        <v>862000</v>
      </c>
      <c r="C12" s="19">
        <v>144600</v>
      </c>
      <c r="E12" s="26"/>
      <c r="F12" t="s">
        <v>47</v>
      </c>
      <c r="G12" s="74">
        <v>862000</v>
      </c>
      <c r="H12" s="74">
        <f t="shared" ref="H12:H14" si="2">G12*0.995</f>
        <v>857690</v>
      </c>
      <c r="I12" s="74">
        <f t="shared" si="1"/>
        <v>853401.55</v>
      </c>
      <c r="J12" s="74">
        <f t="shared" si="1"/>
        <v>849134.54225000006</v>
      </c>
      <c r="K12" s="74">
        <f t="shared" si="1"/>
        <v>844888.86953875003</v>
      </c>
      <c r="L12" s="74">
        <f t="shared" si="1"/>
        <v>840664.42519105633</v>
      </c>
      <c r="M12" s="74">
        <f t="shared" si="1"/>
        <v>836461.10306510108</v>
      </c>
      <c r="N12" s="74">
        <f t="shared" si="1"/>
        <v>832278.79754977557</v>
      </c>
      <c r="P12" s="19">
        <v>153800</v>
      </c>
    </row>
    <row r="13" spans="1:16" x14ac:dyDescent="0.45">
      <c r="A13" s="15">
        <v>42309</v>
      </c>
      <c r="B13" s="19">
        <v>629000</v>
      </c>
      <c r="C13" s="19">
        <v>103400</v>
      </c>
      <c r="E13" s="26"/>
      <c r="F13" t="s">
        <v>48</v>
      </c>
      <c r="G13" s="74">
        <v>629000</v>
      </c>
      <c r="H13" s="74">
        <f t="shared" si="2"/>
        <v>625855</v>
      </c>
      <c r="I13" s="74">
        <f t="shared" si="1"/>
        <v>622725.72499999998</v>
      </c>
      <c r="J13" s="74">
        <f t="shared" si="1"/>
        <v>619612.09637499996</v>
      </c>
      <c r="K13" s="74">
        <f t="shared" si="1"/>
        <v>616514.03589312499</v>
      </c>
      <c r="L13" s="74">
        <f t="shared" si="1"/>
        <v>613431.46571365942</v>
      </c>
      <c r="M13" s="74">
        <f t="shared" si="1"/>
        <v>610364.30838509114</v>
      </c>
      <c r="N13" s="74">
        <f t="shared" si="1"/>
        <v>607312.48684316571</v>
      </c>
      <c r="P13" s="19">
        <v>111400</v>
      </c>
    </row>
    <row r="14" spans="1:16" x14ac:dyDescent="0.45">
      <c r="A14" s="15">
        <v>42339</v>
      </c>
      <c r="B14" s="19">
        <v>582000</v>
      </c>
      <c r="C14" s="19">
        <v>94000</v>
      </c>
      <c r="E14" s="26"/>
      <c r="F14" t="s">
        <v>49</v>
      </c>
      <c r="G14" s="74">
        <v>582000</v>
      </c>
      <c r="H14" s="74">
        <f t="shared" si="2"/>
        <v>579090</v>
      </c>
      <c r="I14" s="74">
        <f t="shared" si="1"/>
        <v>576194.55000000005</v>
      </c>
      <c r="J14" s="74">
        <f t="shared" si="1"/>
        <v>573313.57725000009</v>
      </c>
      <c r="K14" s="74">
        <f t="shared" si="1"/>
        <v>570447.00936375011</v>
      </c>
      <c r="L14" s="74">
        <f t="shared" si="1"/>
        <v>567594.77431693138</v>
      </c>
      <c r="M14" s="74">
        <f t="shared" si="1"/>
        <v>564756.80044534674</v>
      </c>
      <c r="N14" s="74">
        <f t="shared" si="1"/>
        <v>561933.01644311997</v>
      </c>
      <c r="P14" s="19">
        <v>103100</v>
      </c>
    </row>
    <row r="15" spans="1:16" x14ac:dyDescent="0.45">
      <c r="A15" s="24">
        <v>42370</v>
      </c>
      <c r="B15" s="25">
        <v>596000</v>
      </c>
      <c r="C15" s="25">
        <v>95500</v>
      </c>
      <c r="E15" s="26"/>
      <c r="F15" s="27"/>
      <c r="G15" s="27"/>
    </row>
    <row r="16" spans="1:16" x14ac:dyDescent="0.45">
      <c r="A16" s="24">
        <v>42401</v>
      </c>
      <c r="B16" s="25">
        <v>602000</v>
      </c>
      <c r="C16" s="25">
        <v>98900</v>
      </c>
      <c r="E16" s="26"/>
      <c r="F16" s="27"/>
      <c r="G16" s="27"/>
    </row>
    <row r="17" spans="1:13" x14ac:dyDescent="0.45">
      <c r="A17" s="24">
        <v>42430</v>
      </c>
      <c r="B17" s="25">
        <v>866000</v>
      </c>
      <c r="C17" s="25">
        <v>144000</v>
      </c>
      <c r="E17" s="26"/>
      <c r="F17" s="27"/>
      <c r="G17" s="27"/>
      <c r="I17" s="27"/>
      <c r="K17" s="27"/>
      <c r="M17" s="27"/>
    </row>
    <row r="18" spans="1:13" x14ac:dyDescent="0.45">
      <c r="A18" s="24">
        <v>42461</v>
      </c>
      <c r="B18" s="25">
        <v>967000</v>
      </c>
      <c r="C18" s="25">
        <v>164800</v>
      </c>
      <c r="E18" s="26"/>
      <c r="F18" s="27"/>
      <c r="G18" s="27"/>
      <c r="I18" s="27"/>
      <c r="K18" s="27"/>
      <c r="M18" s="27"/>
    </row>
    <row r="19" spans="1:13" x14ac:dyDescent="0.45">
      <c r="A19" s="24">
        <v>42491</v>
      </c>
      <c r="B19" s="25">
        <v>1006000</v>
      </c>
      <c r="C19" s="25">
        <v>172700</v>
      </c>
      <c r="E19" s="26"/>
      <c r="F19" s="27"/>
      <c r="G19" s="27"/>
      <c r="I19" s="27"/>
      <c r="K19" s="27"/>
      <c r="M19" s="27"/>
    </row>
    <row r="20" spans="1:13" x14ac:dyDescent="0.45">
      <c r="A20" s="24">
        <v>42522</v>
      </c>
      <c r="B20" s="25">
        <v>1031000</v>
      </c>
      <c r="C20" s="25">
        <v>178800</v>
      </c>
      <c r="E20" s="26"/>
      <c r="F20" s="27"/>
      <c r="G20" s="27"/>
      <c r="I20" s="27"/>
      <c r="K20" s="27"/>
      <c r="M20" s="27"/>
    </row>
    <row r="21" spans="1:13" x14ac:dyDescent="0.45">
      <c r="A21" s="24">
        <v>42552</v>
      </c>
      <c r="B21" s="25">
        <v>1045000</v>
      </c>
      <c r="C21" s="25">
        <v>182100</v>
      </c>
      <c r="E21" s="26"/>
      <c r="F21" s="27"/>
      <c r="G21" s="27"/>
      <c r="I21" s="27"/>
      <c r="K21" s="27"/>
      <c r="M21" s="27"/>
    </row>
    <row r="22" spans="1:13" x14ac:dyDescent="0.45">
      <c r="A22" s="24">
        <v>42583</v>
      </c>
      <c r="B22" s="25">
        <v>967000</v>
      </c>
      <c r="C22" s="25">
        <v>168000</v>
      </c>
      <c r="E22" s="26"/>
      <c r="F22" s="27"/>
      <c r="G22" s="27"/>
    </row>
    <row r="23" spans="1:13" x14ac:dyDescent="0.45">
      <c r="A23" s="24">
        <v>42614</v>
      </c>
      <c r="B23" s="25">
        <f>B11*0.995</f>
        <v>840775</v>
      </c>
      <c r="C23" s="25">
        <v>145300</v>
      </c>
      <c r="E23" s="26"/>
      <c r="F23" s="27"/>
      <c r="G23" s="27"/>
      <c r="I23" s="27"/>
      <c r="K23" s="27"/>
      <c r="M23" s="27"/>
    </row>
    <row r="24" spans="1:13" x14ac:dyDescent="0.45">
      <c r="A24" s="24">
        <v>42644</v>
      </c>
      <c r="B24" s="25">
        <f t="shared" ref="B24:B34" si="3">B12*0.995</f>
        <v>857690</v>
      </c>
      <c r="C24" s="25">
        <v>144600</v>
      </c>
      <c r="E24" s="26"/>
      <c r="F24" s="27"/>
      <c r="G24" s="27"/>
      <c r="I24" s="27"/>
      <c r="K24" s="27"/>
      <c r="M24" s="27"/>
    </row>
    <row r="25" spans="1:13" x14ac:dyDescent="0.45">
      <c r="A25" s="24">
        <v>42675</v>
      </c>
      <c r="B25" s="25">
        <f t="shared" si="3"/>
        <v>625855</v>
      </c>
      <c r="C25" s="25">
        <v>103400</v>
      </c>
      <c r="E25" s="26"/>
      <c r="F25" s="27"/>
      <c r="G25" s="27"/>
      <c r="I25" s="27"/>
      <c r="K25" s="27"/>
      <c r="M25" s="27"/>
    </row>
    <row r="26" spans="1:13" x14ac:dyDescent="0.45">
      <c r="A26" s="24">
        <v>42705</v>
      </c>
      <c r="B26" s="25">
        <f t="shared" si="3"/>
        <v>579090</v>
      </c>
      <c r="C26" s="25">
        <v>94000</v>
      </c>
      <c r="E26" s="26"/>
      <c r="F26" s="27"/>
      <c r="G26" s="27"/>
    </row>
    <row r="27" spans="1:13" x14ac:dyDescent="0.45">
      <c r="A27" s="15">
        <v>42736</v>
      </c>
      <c r="B27" s="19">
        <f t="shared" si="3"/>
        <v>593020</v>
      </c>
      <c r="C27" s="19">
        <v>95500</v>
      </c>
      <c r="E27" s="26"/>
      <c r="F27" s="27"/>
      <c r="G27" s="27"/>
      <c r="I27" s="27"/>
      <c r="K27" s="27"/>
      <c r="M27" s="27"/>
    </row>
    <row r="28" spans="1:13" x14ac:dyDescent="0.45">
      <c r="A28" s="15">
        <v>42767</v>
      </c>
      <c r="B28" s="19">
        <f t="shared" si="3"/>
        <v>598990</v>
      </c>
      <c r="C28" s="19">
        <v>98900</v>
      </c>
      <c r="E28" s="26"/>
      <c r="F28" s="27"/>
      <c r="G28" s="27"/>
      <c r="I28" s="27"/>
      <c r="K28" s="27"/>
      <c r="M28" s="27"/>
    </row>
    <row r="29" spans="1:13" x14ac:dyDescent="0.45">
      <c r="A29" s="15">
        <v>42795</v>
      </c>
      <c r="B29" s="19">
        <f t="shared" si="3"/>
        <v>861670</v>
      </c>
      <c r="C29" s="19">
        <v>144000</v>
      </c>
      <c r="E29" s="26"/>
      <c r="F29" s="27"/>
      <c r="G29" s="27"/>
      <c r="I29" s="27"/>
      <c r="K29" s="27"/>
      <c r="M29" s="27"/>
    </row>
    <row r="30" spans="1:13" x14ac:dyDescent="0.45">
      <c r="A30" s="15">
        <v>42826</v>
      </c>
      <c r="B30" s="19">
        <f t="shared" si="3"/>
        <v>962165</v>
      </c>
      <c r="C30" s="19">
        <v>164800</v>
      </c>
      <c r="E30" s="26"/>
      <c r="F30" s="27"/>
      <c r="G30" s="27"/>
      <c r="I30" s="27"/>
      <c r="K30" s="27"/>
      <c r="M30" s="27"/>
    </row>
    <row r="31" spans="1:13" x14ac:dyDescent="0.45">
      <c r="A31" s="15">
        <v>42856</v>
      </c>
      <c r="B31" s="19">
        <f t="shared" si="3"/>
        <v>1000970</v>
      </c>
      <c r="C31" s="19">
        <v>172700</v>
      </c>
      <c r="E31" s="26"/>
      <c r="F31" s="27"/>
      <c r="G31" s="27"/>
      <c r="I31" s="27"/>
      <c r="K31" s="27"/>
      <c r="M31" s="27"/>
    </row>
    <row r="32" spans="1:13" x14ac:dyDescent="0.45">
      <c r="A32" s="15">
        <v>42887</v>
      </c>
      <c r="B32" s="19">
        <f t="shared" si="3"/>
        <v>1025845</v>
      </c>
      <c r="C32" s="19">
        <v>178800</v>
      </c>
      <c r="E32" s="26"/>
      <c r="F32" s="27"/>
      <c r="G32" s="27"/>
      <c r="I32" s="27"/>
      <c r="K32" s="27"/>
      <c r="M32" s="27"/>
    </row>
    <row r="33" spans="1:13" x14ac:dyDescent="0.45">
      <c r="A33" s="15">
        <v>42917</v>
      </c>
      <c r="B33" s="19">
        <f t="shared" si="3"/>
        <v>1039775</v>
      </c>
      <c r="C33" s="19">
        <v>182100</v>
      </c>
      <c r="E33" s="26"/>
      <c r="F33" s="27"/>
      <c r="G33" s="27"/>
      <c r="I33" s="27"/>
      <c r="K33" s="27"/>
      <c r="M33" s="27"/>
    </row>
    <row r="34" spans="1:13" x14ac:dyDescent="0.45">
      <c r="A34" s="15">
        <v>42948</v>
      </c>
      <c r="B34" s="19">
        <f t="shared" si="3"/>
        <v>962165</v>
      </c>
      <c r="C34" s="19">
        <v>168000</v>
      </c>
      <c r="E34" s="26"/>
      <c r="F34" s="27"/>
      <c r="G34" s="27"/>
      <c r="I34" s="27"/>
      <c r="K34" s="27"/>
      <c r="M34" s="27"/>
    </row>
    <row r="35" spans="1:13" x14ac:dyDescent="0.45">
      <c r="A35" s="15">
        <v>42979</v>
      </c>
      <c r="B35" s="19">
        <f>B11*0.99</f>
        <v>836550</v>
      </c>
      <c r="C35" s="19">
        <v>145300</v>
      </c>
      <c r="G35" s="27"/>
      <c r="I35" s="27"/>
      <c r="K35" s="27"/>
      <c r="M35" s="27"/>
    </row>
    <row r="36" spans="1:13" x14ac:dyDescent="0.45">
      <c r="A36" s="15">
        <v>43009</v>
      </c>
      <c r="B36" s="19">
        <f t="shared" ref="B36:B46" si="4">B12*0.99</f>
        <v>853380</v>
      </c>
      <c r="C36" s="19">
        <v>144600</v>
      </c>
      <c r="G36" s="29"/>
      <c r="H36" s="29"/>
      <c r="I36" s="29"/>
      <c r="J36" s="29"/>
      <c r="K36" s="29"/>
      <c r="L36" s="29"/>
      <c r="M36" s="29"/>
    </row>
    <row r="37" spans="1:13" x14ac:dyDescent="0.45">
      <c r="A37" s="15">
        <v>43040</v>
      </c>
      <c r="B37" s="19">
        <f t="shared" si="4"/>
        <v>622710</v>
      </c>
      <c r="C37" s="19">
        <v>103400</v>
      </c>
    </row>
    <row r="38" spans="1:13" x14ac:dyDescent="0.45">
      <c r="A38" s="15">
        <v>43070</v>
      </c>
      <c r="B38" s="19">
        <f t="shared" si="4"/>
        <v>576180</v>
      </c>
      <c r="C38" s="19">
        <v>94000</v>
      </c>
    </row>
    <row r="39" spans="1:13" x14ac:dyDescent="0.45">
      <c r="A39" s="24">
        <v>43101</v>
      </c>
      <c r="B39" s="25">
        <f t="shared" si="4"/>
        <v>590040</v>
      </c>
      <c r="C39" s="25">
        <v>95500</v>
      </c>
    </row>
    <row r="40" spans="1:13" x14ac:dyDescent="0.45">
      <c r="A40" s="24">
        <v>43132</v>
      </c>
      <c r="B40" s="25">
        <f t="shared" si="4"/>
        <v>595980</v>
      </c>
      <c r="C40" s="25">
        <v>98900</v>
      </c>
    </row>
    <row r="41" spans="1:13" x14ac:dyDescent="0.45">
      <c r="A41" s="24">
        <v>43160</v>
      </c>
      <c r="B41" s="25">
        <f t="shared" si="4"/>
        <v>857340</v>
      </c>
      <c r="C41" s="25">
        <v>144000</v>
      </c>
    </row>
    <row r="42" spans="1:13" x14ac:dyDescent="0.45">
      <c r="A42" s="24">
        <v>43191</v>
      </c>
      <c r="B42" s="25">
        <f t="shared" si="4"/>
        <v>957330</v>
      </c>
      <c r="C42" s="25">
        <v>164800</v>
      </c>
    </row>
    <row r="43" spans="1:13" x14ac:dyDescent="0.45">
      <c r="A43" s="24">
        <v>43221</v>
      </c>
      <c r="B43" s="25">
        <f t="shared" si="4"/>
        <v>995940</v>
      </c>
      <c r="C43" s="25">
        <v>172700</v>
      </c>
    </row>
    <row r="44" spans="1:13" x14ac:dyDescent="0.45">
      <c r="A44" s="24">
        <v>43252</v>
      </c>
      <c r="B44" s="25">
        <f t="shared" si="4"/>
        <v>1020690</v>
      </c>
      <c r="C44" s="25">
        <v>178800</v>
      </c>
    </row>
    <row r="45" spans="1:13" x14ac:dyDescent="0.45">
      <c r="A45" s="24">
        <v>43282</v>
      </c>
      <c r="B45" s="25">
        <f t="shared" si="4"/>
        <v>1034550</v>
      </c>
      <c r="C45" s="25">
        <v>182100</v>
      </c>
    </row>
    <row r="46" spans="1:13" x14ac:dyDescent="0.45">
      <c r="A46" s="24">
        <v>43313</v>
      </c>
      <c r="B46" s="25">
        <f t="shared" si="4"/>
        <v>957330</v>
      </c>
      <c r="C46" s="25">
        <v>168000</v>
      </c>
    </row>
    <row r="47" spans="1:13" x14ac:dyDescent="0.45">
      <c r="A47" s="24">
        <v>43344</v>
      </c>
      <c r="B47" s="25">
        <f>B11*0.985</f>
        <v>832325</v>
      </c>
      <c r="C47" s="25">
        <v>145300</v>
      </c>
    </row>
    <row r="48" spans="1:13" x14ac:dyDescent="0.45">
      <c r="A48" s="24">
        <v>43374</v>
      </c>
      <c r="B48" s="25">
        <f t="shared" ref="B48:B50" si="5">B12*0.985</f>
        <v>849070</v>
      </c>
      <c r="C48" s="25">
        <v>144600</v>
      </c>
    </row>
    <row r="49" spans="1:3" x14ac:dyDescent="0.45">
      <c r="A49" s="24">
        <v>43405</v>
      </c>
      <c r="B49" s="25">
        <f t="shared" si="5"/>
        <v>619565</v>
      </c>
      <c r="C49" s="25">
        <v>103400</v>
      </c>
    </row>
    <row r="50" spans="1:3" x14ac:dyDescent="0.45">
      <c r="A50" s="24">
        <v>43435</v>
      </c>
      <c r="B50" s="25">
        <f t="shared" si="5"/>
        <v>573270</v>
      </c>
      <c r="C50" s="25">
        <v>94000</v>
      </c>
    </row>
    <row r="51" spans="1:3" x14ac:dyDescent="0.45">
      <c r="A51" s="15">
        <v>43466</v>
      </c>
      <c r="B51" s="19">
        <f>B3*0.985</f>
        <v>587060</v>
      </c>
      <c r="C51" s="19">
        <v>95500</v>
      </c>
    </row>
    <row r="52" spans="1:3" x14ac:dyDescent="0.45">
      <c r="A52" s="15">
        <v>43497</v>
      </c>
      <c r="B52" s="19">
        <f t="shared" ref="B52:B58" si="6">B4*0.985</f>
        <v>592970</v>
      </c>
      <c r="C52" s="19">
        <v>98900</v>
      </c>
    </row>
    <row r="53" spans="1:3" x14ac:dyDescent="0.45">
      <c r="A53" s="15">
        <v>43525</v>
      </c>
      <c r="B53" s="19">
        <f t="shared" si="6"/>
        <v>853010</v>
      </c>
      <c r="C53" s="19">
        <v>144000</v>
      </c>
    </row>
    <row r="54" spans="1:3" x14ac:dyDescent="0.45">
      <c r="A54" s="15">
        <v>43556</v>
      </c>
      <c r="B54" s="19">
        <f t="shared" si="6"/>
        <v>952495</v>
      </c>
      <c r="C54" s="19">
        <v>164800</v>
      </c>
    </row>
    <row r="55" spans="1:3" x14ac:dyDescent="0.45">
      <c r="A55" s="15">
        <v>43586</v>
      </c>
      <c r="B55" s="19">
        <f t="shared" si="6"/>
        <v>990910</v>
      </c>
      <c r="C55" s="19">
        <v>172700</v>
      </c>
    </row>
    <row r="56" spans="1:3" x14ac:dyDescent="0.45">
      <c r="A56" s="15">
        <v>43617</v>
      </c>
      <c r="B56" s="19">
        <f t="shared" si="6"/>
        <v>1015535</v>
      </c>
      <c r="C56" s="19">
        <v>178800</v>
      </c>
    </row>
    <row r="57" spans="1:3" x14ac:dyDescent="0.45">
      <c r="A57" s="15">
        <v>43647</v>
      </c>
      <c r="B57" s="19">
        <f t="shared" si="6"/>
        <v>1029325</v>
      </c>
      <c r="C57" s="19">
        <v>182100</v>
      </c>
    </row>
    <row r="58" spans="1:3" x14ac:dyDescent="0.45">
      <c r="A58" s="15">
        <v>43678</v>
      </c>
      <c r="B58" s="19">
        <f t="shared" si="6"/>
        <v>952495</v>
      </c>
      <c r="C58" s="19">
        <v>168000</v>
      </c>
    </row>
    <row r="59" spans="1:3" x14ac:dyDescent="0.45">
      <c r="A59" s="15">
        <v>43709</v>
      </c>
      <c r="B59" s="19">
        <f>B11*0.98</f>
        <v>828100</v>
      </c>
      <c r="C59" s="19">
        <v>145300</v>
      </c>
    </row>
    <row r="60" spans="1:3" x14ac:dyDescent="0.45">
      <c r="A60" s="15">
        <v>43739</v>
      </c>
      <c r="B60" s="19">
        <f t="shared" ref="B60:B62" si="7">B12*0.98</f>
        <v>844760</v>
      </c>
      <c r="C60" s="19">
        <v>144600</v>
      </c>
    </row>
    <row r="61" spans="1:3" x14ac:dyDescent="0.45">
      <c r="A61" s="15">
        <v>43770</v>
      </c>
      <c r="B61" s="19">
        <f t="shared" si="7"/>
        <v>616420</v>
      </c>
      <c r="C61" s="19">
        <v>103400</v>
      </c>
    </row>
    <row r="62" spans="1:3" x14ac:dyDescent="0.45">
      <c r="A62" s="15">
        <v>43800</v>
      </c>
      <c r="B62" s="19">
        <f t="shared" si="7"/>
        <v>570360</v>
      </c>
      <c r="C62" s="19">
        <v>94000</v>
      </c>
    </row>
    <row r="63" spans="1:3" x14ac:dyDescent="0.45">
      <c r="A63" s="24">
        <v>43831</v>
      </c>
      <c r="B63" s="25">
        <f>B3*0.98</f>
        <v>584080</v>
      </c>
      <c r="C63" s="25">
        <v>95500</v>
      </c>
    </row>
    <row r="64" spans="1:3" x14ac:dyDescent="0.45">
      <c r="A64" s="24">
        <v>43862</v>
      </c>
      <c r="B64" s="25">
        <f t="shared" ref="B64:B70" si="8">B4*0.98</f>
        <v>589960</v>
      </c>
      <c r="C64" s="25">
        <v>98900</v>
      </c>
    </row>
    <row r="65" spans="1:3" x14ac:dyDescent="0.45">
      <c r="A65" s="24">
        <v>43891</v>
      </c>
      <c r="B65" s="25">
        <f t="shared" si="8"/>
        <v>848680</v>
      </c>
      <c r="C65" s="25">
        <v>144000</v>
      </c>
    </row>
    <row r="66" spans="1:3" x14ac:dyDescent="0.45">
      <c r="A66" s="24">
        <v>43922</v>
      </c>
      <c r="B66" s="25">
        <f t="shared" si="8"/>
        <v>947660</v>
      </c>
      <c r="C66" s="25">
        <v>164800</v>
      </c>
    </row>
    <row r="67" spans="1:3" x14ac:dyDescent="0.45">
      <c r="A67" s="24">
        <v>43952</v>
      </c>
      <c r="B67" s="25">
        <f t="shared" si="8"/>
        <v>985880</v>
      </c>
      <c r="C67" s="25">
        <v>172700</v>
      </c>
    </row>
    <row r="68" spans="1:3" x14ac:dyDescent="0.45">
      <c r="A68" s="24">
        <v>43983</v>
      </c>
      <c r="B68" s="25">
        <f t="shared" si="8"/>
        <v>1010380</v>
      </c>
      <c r="C68" s="25">
        <v>178800</v>
      </c>
    </row>
    <row r="69" spans="1:3" x14ac:dyDescent="0.45">
      <c r="A69" s="24">
        <v>44013</v>
      </c>
      <c r="B69" s="25">
        <f t="shared" si="8"/>
        <v>1024100</v>
      </c>
      <c r="C69" s="25">
        <v>182100</v>
      </c>
    </row>
    <row r="70" spans="1:3" x14ac:dyDescent="0.45">
      <c r="A70" s="24">
        <v>44044</v>
      </c>
      <c r="B70" s="25">
        <f t="shared" si="8"/>
        <v>947660</v>
      </c>
      <c r="C70" s="25">
        <v>168000</v>
      </c>
    </row>
    <row r="71" spans="1:3" x14ac:dyDescent="0.45">
      <c r="A71" s="24">
        <v>44075</v>
      </c>
      <c r="B71" s="25">
        <f>B11*0.975</f>
        <v>823875</v>
      </c>
      <c r="C71" s="25">
        <v>145300</v>
      </c>
    </row>
    <row r="72" spans="1:3" x14ac:dyDescent="0.45">
      <c r="A72" s="24">
        <v>44105</v>
      </c>
      <c r="B72" s="25">
        <f>B12*0.975</f>
        <v>840450</v>
      </c>
      <c r="C72" s="25">
        <v>144600</v>
      </c>
    </row>
    <row r="73" spans="1:3" x14ac:dyDescent="0.45">
      <c r="A73" s="24">
        <v>44136</v>
      </c>
      <c r="B73" s="25">
        <f>B13*0.975</f>
        <v>613275</v>
      </c>
      <c r="C73" s="25">
        <v>103400</v>
      </c>
    </row>
    <row r="74" spans="1:3" x14ac:dyDescent="0.45">
      <c r="A74" s="24">
        <v>44166</v>
      </c>
      <c r="B74" s="25">
        <f>B14*0.975</f>
        <v>567450</v>
      </c>
      <c r="C74" s="25">
        <v>94000</v>
      </c>
    </row>
    <row r="75" spans="1:3" x14ac:dyDescent="0.45">
      <c r="A75" s="15">
        <v>44197</v>
      </c>
      <c r="B75" s="19">
        <f>B3*0.975</f>
        <v>581100</v>
      </c>
      <c r="C75" s="19">
        <v>95500</v>
      </c>
    </row>
    <row r="76" spans="1:3" x14ac:dyDescent="0.45">
      <c r="A76" s="15">
        <v>44228</v>
      </c>
      <c r="B76" s="19">
        <f t="shared" ref="B76:B86" si="9">B4*0.975</f>
        <v>586950</v>
      </c>
      <c r="C76" s="19">
        <v>98900</v>
      </c>
    </row>
    <row r="77" spans="1:3" x14ac:dyDescent="0.45">
      <c r="A77" s="15">
        <v>44256</v>
      </c>
      <c r="B77" s="19">
        <f t="shared" si="9"/>
        <v>844350</v>
      </c>
      <c r="C77" s="19">
        <v>144000</v>
      </c>
    </row>
    <row r="78" spans="1:3" x14ac:dyDescent="0.45">
      <c r="A78" s="15">
        <v>44287</v>
      </c>
      <c r="B78" s="19">
        <f t="shared" si="9"/>
        <v>942825</v>
      </c>
      <c r="C78" s="19">
        <v>164800</v>
      </c>
    </row>
    <row r="79" spans="1:3" x14ac:dyDescent="0.45">
      <c r="A79" s="15">
        <v>44317</v>
      </c>
      <c r="B79" s="19">
        <f t="shared" si="9"/>
        <v>980850</v>
      </c>
      <c r="C79" s="19">
        <v>172700</v>
      </c>
    </row>
    <row r="80" spans="1:3" x14ac:dyDescent="0.45">
      <c r="A80" s="15">
        <v>44348</v>
      </c>
      <c r="B80" s="19">
        <f t="shared" si="9"/>
        <v>1005225</v>
      </c>
      <c r="C80" s="19">
        <v>178800</v>
      </c>
    </row>
    <row r="81" spans="1:3" x14ac:dyDescent="0.45">
      <c r="A81" s="15">
        <v>44378</v>
      </c>
      <c r="B81" s="19">
        <f t="shared" si="9"/>
        <v>1018875</v>
      </c>
      <c r="C81" s="19">
        <v>182100</v>
      </c>
    </row>
    <row r="82" spans="1:3" x14ac:dyDescent="0.45">
      <c r="A82" s="15">
        <v>44409</v>
      </c>
      <c r="B82" s="19">
        <f t="shared" si="9"/>
        <v>942825</v>
      </c>
      <c r="C82" s="19">
        <v>168000</v>
      </c>
    </row>
    <row r="83" spans="1:3" x14ac:dyDescent="0.45">
      <c r="A83" s="15">
        <v>44440</v>
      </c>
      <c r="B83" s="19">
        <f t="shared" si="9"/>
        <v>823875</v>
      </c>
      <c r="C83" s="19">
        <v>145300</v>
      </c>
    </row>
    <row r="84" spans="1:3" x14ac:dyDescent="0.45">
      <c r="A84" s="15">
        <v>44470</v>
      </c>
      <c r="B84" s="19">
        <f t="shared" si="9"/>
        <v>840450</v>
      </c>
      <c r="C84" s="19">
        <v>144600</v>
      </c>
    </row>
    <row r="85" spans="1:3" x14ac:dyDescent="0.45">
      <c r="A85" s="15">
        <v>44501</v>
      </c>
      <c r="B85" s="19">
        <f t="shared" si="9"/>
        <v>613275</v>
      </c>
      <c r="C85" s="19">
        <v>103400</v>
      </c>
    </row>
    <row r="86" spans="1:3" x14ac:dyDescent="0.45">
      <c r="A86" s="15">
        <v>44531</v>
      </c>
      <c r="B86" s="19">
        <f t="shared" si="9"/>
        <v>567450</v>
      </c>
      <c r="C86" s="19">
        <v>94000</v>
      </c>
    </row>
    <row r="87" spans="1:3" x14ac:dyDescent="0.45">
      <c r="A87" s="24">
        <v>44562</v>
      </c>
      <c r="B87" s="25">
        <v>578342.01557633432</v>
      </c>
      <c r="C87" s="25">
        <v>102800</v>
      </c>
    </row>
    <row r="88" spans="1:3" x14ac:dyDescent="0.45">
      <c r="A88" s="24">
        <v>44593</v>
      </c>
      <c r="B88" s="25">
        <v>584164.25063247199</v>
      </c>
      <c r="C88" s="25">
        <v>106600</v>
      </c>
    </row>
    <row r="89" spans="1:3" x14ac:dyDescent="0.45">
      <c r="A89" s="24">
        <v>44621</v>
      </c>
      <c r="B89" s="25">
        <v>840342.59310252615</v>
      </c>
      <c r="C89" s="25">
        <v>156000</v>
      </c>
    </row>
    <row r="90" spans="1:3" x14ac:dyDescent="0.45">
      <c r="A90" s="24">
        <v>44652</v>
      </c>
      <c r="B90" s="25">
        <v>938350.21654750884</v>
      </c>
      <c r="C90" s="25">
        <v>176800</v>
      </c>
    </row>
    <row r="91" spans="1:3" x14ac:dyDescent="0.45">
      <c r="A91" s="24">
        <v>44682</v>
      </c>
      <c r="B91" s="25">
        <v>976194.7444124032</v>
      </c>
      <c r="C91" s="25">
        <v>183300</v>
      </c>
    </row>
    <row r="92" spans="1:3" x14ac:dyDescent="0.45">
      <c r="A92" s="24">
        <v>44713</v>
      </c>
      <c r="B92" s="25">
        <v>1000454.0571463099</v>
      </c>
      <c r="C92" s="25">
        <v>188600</v>
      </c>
    </row>
    <row r="93" spans="1:3" x14ac:dyDescent="0.45">
      <c r="A93" s="24">
        <v>44743</v>
      </c>
      <c r="B93" s="25">
        <v>1014039.2722772976</v>
      </c>
      <c r="C93" s="25">
        <v>189200</v>
      </c>
    </row>
    <row r="94" spans="1:3" x14ac:dyDescent="0.45">
      <c r="A94" s="24">
        <v>44774</v>
      </c>
      <c r="B94" s="25">
        <v>938350.21654750884</v>
      </c>
      <c r="C94" s="25">
        <v>175100</v>
      </c>
    </row>
    <row r="95" spans="1:3" x14ac:dyDescent="0.45">
      <c r="A95" s="24">
        <v>44805</v>
      </c>
      <c r="B95" s="25">
        <v>815864.94655401423</v>
      </c>
      <c r="C95" s="25">
        <v>153100</v>
      </c>
    </row>
    <row r="96" spans="1:3" x14ac:dyDescent="0.45">
      <c r="A96" s="24">
        <v>44835</v>
      </c>
      <c r="B96" s="25">
        <v>832278.79754977557</v>
      </c>
      <c r="C96" s="25">
        <v>153800</v>
      </c>
    </row>
    <row r="97" spans="1:3" x14ac:dyDescent="0.45">
      <c r="A97" s="24">
        <v>44866</v>
      </c>
      <c r="B97" s="25">
        <v>607312.48684316571</v>
      </c>
      <c r="C97" s="25">
        <v>111400</v>
      </c>
    </row>
    <row r="98" spans="1:3" x14ac:dyDescent="0.45">
      <c r="A98" s="24">
        <v>44896</v>
      </c>
      <c r="B98" s="25">
        <v>561933.01644311997</v>
      </c>
      <c r="C98" s="25">
        <v>103100</v>
      </c>
    </row>
  </sheetData>
  <mergeCells count="1">
    <mergeCell ref="G1:N1"/>
  </mergeCells>
  <pageMargins left="0.7" right="0.7" top="0.75" bottom="0.75" header="0.3" footer="0.3"/>
  <pageSetup orientation="portrait" verticalDpi="597"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P98"/>
  <sheetViews>
    <sheetView workbookViewId="0">
      <selection activeCell="C87" sqref="C87"/>
    </sheetView>
  </sheetViews>
  <sheetFormatPr defaultRowHeight="14.25" x14ac:dyDescent="0.45"/>
  <cols>
    <col min="2" max="3" width="9.1328125" style="19" collapsed="1"/>
    <col min="5" max="5" width="13.6640625" bestFit="1" customWidth="1"/>
    <col min="6" max="6" width="10.6640625" customWidth="1"/>
    <col min="7" max="7" width="10" bestFit="1" customWidth="1"/>
  </cols>
  <sheetData>
    <row r="1" spans="1:16" x14ac:dyDescent="0.45">
      <c r="A1" s="16" t="s">
        <v>72</v>
      </c>
      <c r="B1" s="17" t="s">
        <v>73</v>
      </c>
      <c r="C1" s="17" t="s">
        <v>74</v>
      </c>
      <c r="G1" s="179" t="s">
        <v>88</v>
      </c>
      <c r="H1" s="179"/>
      <c r="I1" s="179"/>
      <c r="J1" s="179"/>
      <c r="K1" s="179"/>
      <c r="L1" s="179"/>
      <c r="M1" s="179"/>
      <c r="N1" s="179"/>
      <c r="P1" s="32" t="s">
        <v>89</v>
      </c>
    </row>
    <row r="2" spans="1:16" x14ac:dyDescent="0.45">
      <c r="A2" s="16" t="s">
        <v>77</v>
      </c>
      <c r="B2" s="18" t="s">
        <v>78</v>
      </c>
      <c r="C2" s="18" t="s">
        <v>79</v>
      </c>
      <c r="G2">
        <v>2015</v>
      </c>
      <c r="H2">
        <v>2016</v>
      </c>
      <c r="I2">
        <v>2017</v>
      </c>
      <c r="J2">
        <v>2018</v>
      </c>
      <c r="K2">
        <v>2019</v>
      </c>
      <c r="L2">
        <v>2020</v>
      </c>
      <c r="M2">
        <v>2021</v>
      </c>
      <c r="N2">
        <v>2022</v>
      </c>
      <c r="P2" s="32">
        <v>2022</v>
      </c>
    </row>
    <row r="3" spans="1:16" x14ac:dyDescent="0.45">
      <c r="A3" s="15">
        <v>42005</v>
      </c>
      <c r="B3" s="19">
        <v>349000</v>
      </c>
      <c r="C3" s="19">
        <v>90100</v>
      </c>
      <c r="E3" s="26"/>
      <c r="F3" t="s">
        <v>38</v>
      </c>
      <c r="G3" s="74">
        <v>349000</v>
      </c>
      <c r="H3" s="74">
        <v>349000</v>
      </c>
      <c r="I3" s="74">
        <f>H3*0.995</f>
        <v>347255</v>
      </c>
      <c r="J3" s="74">
        <f t="shared" ref="J3:N3" si="0">I3*0.995</f>
        <v>345518.72499999998</v>
      </c>
      <c r="K3" s="74">
        <f t="shared" si="0"/>
        <v>343791.131375</v>
      </c>
      <c r="L3" s="74">
        <f t="shared" si="0"/>
        <v>342072.17571812501</v>
      </c>
      <c r="M3" s="74">
        <f t="shared" si="0"/>
        <v>340361.8148395344</v>
      </c>
      <c r="N3" s="74">
        <f t="shared" si="0"/>
        <v>338660.00576533674</v>
      </c>
      <c r="P3" s="19">
        <v>99200</v>
      </c>
    </row>
    <row r="4" spans="1:16" x14ac:dyDescent="0.45">
      <c r="A4" s="15">
        <v>42036</v>
      </c>
      <c r="B4" s="19">
        <v>379200</v>
      </c>
      <c r="C4" s="19">
        <v>100800</v>
      </c>
      <c r="E4" s="26"/>
      <c r="F4" t="s">
        <v>39</v>
      </c>
      <c r="G4" s="74">
        <v>379200</v>
      </c>
      <c r="H4" s="74">
        <v>379200</v>
      </c>
      <c r="I4" s="74">
        <f t="shared" ref="I4:N14" si="1">H4*0.995</f>
        <v>377304</v>
      </c>
      <c r="J4" s="74">
        <f t="shared" si="1"/>
        <v>375417.48</v>
      </c>
      <c r="K4" s="74">
        <f t="shared" si="1"/>
        <v>373540.39259999996</v>
      </c>
      <c r="L4" s="74">
        <f t="shared" si="1"/>
        <v>371672.69063699996</v>
      </c>
      <c r="M4" s="74">
        <f t="shared" si="1"/>
        <v>369814.32718381495</v>
      </c>
      <c r="N4" s="74">
        <f t="shared" si="1"/>
        <v>367965.25554789585</v>
      </c>
      <c r="P4" s="19">
        <v>108300</v>
      </c>
    </row>
    <row r="5" spans="1:16" x14ac:dyDescent="0.45">
      <c r="A5" s="15">
        <v>42064</v>
      </c>
      <c r="B5" s="19">
        <v>508200</v>
      </c>
      <c r="C5" s="19">
        <v>139500</v>
      </c>
      <c r="E5" s="26"/>
      <c r="F5" t="s">
        <v>81</v>
      </c>
      <c r="G5" s="74">
        <v>508200</v>
      </c>
      <c r="H5" s="74">
        <v>508200</v>
      </c>
      <c r="I5" s="74">
        <f t="shared" si="1"/>
        <v>505659</v>
      </c>
      <c r="J5" s="74">
        <f t="shared" si="1"/>
        <v>503130.70500000002</v>
      </c>
      <c r="K5" s="74">
        <f t="shared" si="1"/>
        <v>500615.05147499999</v>
      </c>
      <c r="L5" s="74">
        <f t="shared" si="1"/>
        <v>498111.97621762496</v>
      </c>
      <c r="M5" s="74">
        <f t="shared" si="1"/>
        <v>495621.41633653681</v>
      </c>
      <c r="N5" s="74">
        <f t="shared" si="1"/>
        <v>493143.3092548541</v>
      </c>
      <c r="P5" s="19">
        <v>150000</v>
      </c>
    </row>
    <row r="6" spans="1:16" x14ac:dyDescent="0.45">
      <c r="A6" s="15">
        <v>42095</v>
      </c>
      <c r="B6" s="19">
        <v>571100</v>
      </c>
      <c r="C6" s="19">
        <v>159800</v>
      </c>
      <c r="E6" s="26"/>
      <c r="F6" t="s">
        <v>41</v>
      </c>
      <c r="G6" s="74">
        <v>571100</v>
      </c>
      <c r="H6" s="74">
        <v>571100</v>
      </c>
      <c r="I6" s="74">
        <f t="shared" si="1"/>
        <v>568244.5</v>
      </c>
      <c r="J6" s="74">
        <f t="shared" si="1"/>
        <v>565403.27749999997</v>
      </c>
      <c r="K6" s="74">
        <f t="shared" si="1"/>
        <v>562576.26111249998</v>
      </c>
      <c r="L6" s="74">
        <f t="shared" si="1"/>
        <v>559763.37980693753</v>
      </c>
      <c r="M6" s="74">
        <f t="shared" si="1"/>
        <v>556964.56290790287</v>
      </c>
      <c r="N6" s="74">
        <f t="shared" si="1"/>
        <v>554179.74009336333</v>
      </c>
      <c r="P6" s="19">
        <v>171200</v>
      </c>
    </row>
    <row r="7" spans="1:16" x14ac:dyDescent="0.45">
      <c r="A7" s="15">
        <v>42125</v>
      </c>
      <c r="B7" s="19">
        <v>581500</v>
      </c>
      <c r="C7" s="19">
        <v>163300</v>
      </c>
      <c r="E7" s="26"/>
      <c r="F7" t="s">
        <v>42</v>
      </c>
      <c r="G7" s="74">
        <v>581500</v>
      </c>
      <c r="H7" s="74">
        <v>581500</v>
      </c>
      <c r="I7" s="74">
        <f t="shared" si="1"/>
        <v>578592.5</v>
      </c>
      <c r="J7" s="74">
        <f t="shared" si="1"/>
        <v>575699.53749999998</v>
      </c>
      <c r="K7" s="74">
        <f t="shared" si="1"/>
        <v>572821.03981250001</v>
      </c>
      <c r="L7" s="74">
        <f t="shared" si="1"/>
        <v>569956.93461343751</v>
      </c>
      <c r="M7" s="74">
        <f t="shared" si="1"/>
        <v>567107.14994037035</v>
      </c>
      <c r="N7" s="74">
        <f t="shared" si="1"/>
        <v>564271.61419066845</v>
      </c>
      <c r="P7" s="19">
        <v>174100</v>
      </c>
    </row>
    <row r="8" spans="1:16" x14ac:dyDescent="0.45">
      <c r="A8" s="15">
        <v>42156</v>
      </c>
      <c r="B8" s="19">
        <v>613000</v>
      </c>
      <c r="C8" s="19">
        <v>173900</v>
      </c>
      <c r="E8" s="26"/>
      <c r="F8" t="s">
        <v>43</v>
      </c>
      <c r="G8" s="74">
        <v>613000</v>
      </c>
      <c r="H8" s="74">
        <v>613000</v>
      </c>
      <c r="I8" s="74">
        <f t="shared" si="1"/>
        <v>609935</v>
      </c>
      <c r="J8" s="74">
        <f t="shared" si="1"/>
        <v>606885.32499999995</v>
      </c>
      <c r="K8" s="74">
        <f t="shared" si="1"/>
        <v>603850.89837499999</v>
      </c>
      <c r="L8" s="74">
        <f t="shared" si="1"/>
        <v>600831.64388312504</v>
      </c>
      <c r="M8" s="74">
        <f t="shared" si="1"/>
        <v>597827.48566370946</v>
      </c>
      <c r="N8" s="74">
        <f t="shared" si="1"/>
        <v>594838.34823539096</v>
      </c>
      <c r="P8" s="19">
        <v>182400</v>
      </c>
    </row>
    <row r="9" spans="1:16" x14ac:dyDescent="0.45">
      <c r="A9" s="15">
        <v>42186</v>
      </c>
      <c r="B9" s="19">
        <v>621300</v>
      </c>
      <c r="C9" s="19">
        <v>176800</v>
      </c>
      <c r="E9" s="26"/>
      <c r="F9" t="s">
        <v>44</v>
      </c>
      <c r="G9" s="74">
        <v>621300</v>
      </c>
      <c r="H9" s="74">
        <v>621300</v>
      </c>
      <c r="I9" s="74">
        <f t="shared" si="1"/>
        <v>618193.5</v>
      </c>
      <c r="J9" s="74">
        <f t="shared" si="1"/>
        <v>615102.53249999997</v>
      </c>
      <c r="K9" s="74">
        <f t="shared" si="1"/>
        <v>612027.01983749995</v>
      </c>
      <c r="L9" s="74">
        <f t="shared" si="1"/>
        <v>608966.88473831245</v>
      </c>
      <c r="M9" s="74">
        <f t="shared" si="1"/>
        <v>605922.05031462084</v>
      </c>
      <c r="N9" s="74">
        <f t="shared" si="1"/>
        <v>602892.44006304769</v>
      </c>
      <c r="P9" s="19">
        <v>185100</v>
      </c>
    </row>
    <row r="10" spans="1:16" x14ac:dyDescent="0.45">
      <c r="A10" s="15">
        <v>42217</v>
      </c>
      <c r="B10" s="19">
        <v>605900</v>
      </c>
      <c r="C10" s="19">
        <v>171400</v>
      </c>
      <c r="E10" s="26"/>
      <c r="F10" t="s">
        <v>45</v>
      </c>
      <c r="G10" s="74">
        <v>605900</v>
      </c>
      <c r="H10" s="74">
        <v>605900</v>
      </c>
      <c r="I10" s="74">
        <f t="shared" si="1"/>
        <v>602870.5</v>
      </c>
      <c r="J10" s="74">
        <f t="shared" si="1"/>
        <v>599856.14749999996</v>
      </c>
      <c r="K10" s="74">
        <f t="shared" si="1"/>
        <v>596856.86676249991</v>
      </c>
      <c r="L10" s="74">
        <f t="shared" si="1"/>
        <v>593872.58242868737</v>
      </c>
      <c r="M10" s="74">
        <f t="shared" si="1"/>
        <v>590903.2195165439</v>
      </c>
      <c r="N10" s="74">
        <f t="shared" si="1"/>
        <v>587948.70341896114</v>
      </c>
      <c r="P10" s="19">
        <v>178400</v>
      </c>
    </row>
    <row r="11" spans="1:16" x14ac:dyDescent="0.45">
      <c r="A11" s="24">
        <v>42248</v>
      </c>
      <c r="B11" s="25">
        <v>500600</v>
      </c>
      <c r="C11" s="25">
        <v>139100</v>
      </c>
      <c r="D11" s="38" t="s">
        <v>90</v>
      </c>
      <c r="E11" s="26"/>
      <c r="F11" t="s">
        <v>46</v>
      </c>
      <c r="G11" s="75">
        <v>500600</v>
      </c>
      <c r="H11" s="74">
        <f>G11*0.995</f>
        <v>498097</v>
      </c>
      <c r="I11" s="74">
        <f t="shared" si="1"/>
        <v>495606.51500000001</v>
      </c>
      <c r="J11" s="74">
        <f t="shared" si="1"/>
        <v>493128.48242499999</v>
      </c>
      <c r="K11" s="74">
        <f t="shared" si="1"/>
        <v>490662.84001287498</v>
      </c>
      <c r="L11" s="74">
        <f t="shared" si="1"/>
        <v>488209.52581281058</v>
      </c>
      <c r="M11" s="74">
        <f t="shared" si="1"/>
        <v>485768.47818374651</v>
      </c>
      <c r="N11" s="74">
        <f t="shared" si="1"/>
        <v>483339.63579282776</v>
      </c>
      <c r="P11" s="19">
        <v>146600</v>
      </c>
    </row>
    <row r="12" spans="1:16" x14ac:dyDescent="0.45">
      <c r="A12" s="15">
        <v>42278</v>
      </c>
      <c r="B12" s="19">
        <v>460400</v>
      </c>
      <c r="C12" s="19">
        <v>125500</v>
      </c>
      <c r="E12" s="26"/>
      <c r="F12" t="s">
        <v>47</v>
      </c>
      <c r="G12" s="74">
        <v>460400</v>
      </c>
      <c r="H12" s="74">
        <f t="shared" ref="H12:H14" si="2">G12*0.995</f>
        <v>458098</v>
      </c>
      <c r="I12" s="74">
        <f t="shared" si="1"/>
        <v>455807.51</v>
      </c>
      <c r="J12" s="74">
        <f t="shared" si="1"/>
        <v>453528.47245</v>
      </c>
      <c r="K12" s="74">
        <f t="shared" si="1"/>
        <v>451260.83008774999</v>
      </c>
      <c r="L12" s="74">
        <f t="shared" si="1"/>
        <v>449004.52593731123</v>
      </c>
      <c r="M12" s="74">
        <f t="shared" si="1"/>
        <v>446759.50330762466</v>
      </c>
      <c r="N12" s="74">
        <f t="shared" si="1"/>
        <v>444525.70579108654</v>
      </c>
      <c r="P12" s="19">
        <v>133800</v>
      </c>
    </row>
    <row r="13" spans="1:16" x14ac:dyDescent="0.45">
      <c r="A13" s="15">
        <v>42309</v>
      </c>
      <c r="B13" s="19">
        <v>335300</v>
      </c>
      <c r="C13" s="19">
        <v>89900</v>
      </c>
      <c r="E13" s="26"/>
      <c r="F13" t="s">
        <v>48</v>
      </c>
      <c r="G13" s="74">
        <v>335300</v>
      </c>
      <c r="H13" s="74">
        <f t="shared" si="2"/>
        <v>333623.5</v>
      </c>
      <c r="I13" s="74">
        <f t="shared" si="1"/>
        <v>331955.38250000001</v>
      </c>
      <c r="J13" s="74">
        <f t="shared" si="1"/>
        <v>330295.60558750003</v>
      </c>
      <c r="K13" s="74">
        <f t="shared" si="1"/>
        <v>328644.1275595625</v>
      </c>
      <c r="L13" s="74">
        <f t="shared" si="1"/>
        <v>327000.90692176472</v>
      </c>
      <c r="M13" s="74">
        <f t="shared" si="1"/>
        <v>325365.90238715592</v>
      </c>
      <c r="N13" s="74">
        <f t="shared" si="1"/>
        <v>323739.07287522015</v>
      </c>
      <c r="P13" s="19">
        <v>96000</v>
      </c>
    </row>
    <row r="14" spans="1:16" x14ac:dyDescent="0.45">
      <c r="A14" s="15">
        <v>42339</v>
      </c>
      <c r="B14" s="19">
        <v>342700</v>
      </c>
      <c r="C14" s="19">
        <v>89600</v>
      </c>
      <c r="E14" s="26"/>
      <c r="F14" t="s">
        <v>49</v>
      </c>
      <c r="G14" s="74">
        <v>342700</v>
      </c>
      <c r="H14" s="74">
        <f t="shared" si="2"/>
        <v>340986.5</v>
      </c>
      <c r="I14" s="74">
        <f t="shared" si="1"/>
        <v>339281.5675</v>
      </c>
      <c r="J14" s="74">
        <f t="shared" si="1"/>
        <v>337585.15966250002</v>
      </c>
      <c r="K14" s="74">
        <f t="shared" si="1"/>
        <v>335897.2338641875</v>
      </c>
      <c r="L14" s="74">
        <f t="shared" si="1"/>
        <v>334217.74769486656</v>
      </c>
      <c r="M14" s="74">
        <f t="shared" si="1"/>
        <v>332546.6589563922</v>
      </c>
      <c r="N14" s="74">
        <f t="shared" si="1"/>
        <v>330883.92566161026</v>
      </c>
      <c r="P14" s="19">
        <v>98100</v>
      </c>
    </row>
    <row r="15" spans="1:16" x14ac:dyDescent="0.45">
      <c r="A15" s="24">
        <v>42370</v>
      </c>
      <c r="B15" s="25">
        <v>349000</v>
      </c>
      <c r="C15" s="25">
        <v>90100</v>
      </c>
      <c r="E15" s="26"/>
      <c r="F15" s="27"/>
      <c r="G15" s="27"/>
    </row>
    <row r="16" spans="1:16" x14ac:dyDescent="0.45">
      <c r="A16" s="24">
        <v>42401</v>
      </c>
      <c r="B16" s="25">
        <v>379200</v>
      </c>
      <c r="C16" s="25">
        <v>100800</v>
      </c>
      <c r="E16" s="26"/>
      <c r="F16" s="27"/>
      <c r="G16" s="27"/>
      <c r="I16" s="27"/>
      <c r="K16" s="27"/>
    </row>
    <row r="17" spans="1:11" x14ac:dyDescent="0.45">
      <c r="A17" s="24">
        <v>42430</v>
      </c>
      <c r="B17" s="25">
        <v>508200</v>
      </c>
      <c r="C17" s="25">
        <v>139500</v>
      </c>
      <c r="E17" s="26"/>
      <c r="F17" s="27"/>
      <c r="G17" s="27"/>
      <c r="I17" s="27"/>
      <c r="K17" s="27"/>
    </row>
    <row r="18" spans="1:11" x14ac:dyDescent="0.45">
      <c r="A18" s="24">
        <v>42461</v>
      </c>
      <c r="B18" s="25">
        <v>571100</v>
      </c>
      <c r="C18" s="25">
        <v>159800</v>
      </c>
      <c r="E18" s="26"/>
      <c r="F18" s="27"/>
      <c r="G18" s="27"/>
      <c r="I18" s="27"/>
      <c r="K18" s="27"/>
    </row>
    <row r="19" spans="1:11" x14ac:dyDescent="0.45">
      <c r="A19" s="24">
        <v>42491</v>
      </c>
      <c r="B19" s="25">
        <v>581500</v>
      </c>
      <c r="C19" s="25">
        <v>163300</v>
      </c>
      <c r="E19" s="26"/>
      <c r="F19" s="27"/>
      <c r="G19" s="27"/>
      <c r="I19" s="27"/>
      <c r="K19" s="27"/>
    </row>
    <row r="20" spans="1:11" x14ac:dyDescent="0.45">
      <c r="A20" s="24">
        <v>42522</v>
      </c>
      <c r="B20" s="25">
        <v>613000</v>
      </c>
      <c r="C20" s="25">
        <v>173900</v>
      </c>
      <c r="E20" s="26"/>
      <c r="F20" s="27"/>
      <c r="G20" s="27"/>
      <c r="I20" s="27"/>
      <c r="K20" s="27"/>
    </row>
    <row r="21" spans="1:11" x14ac:dyDescent="0.45">
      <c r="A21" s="24">
        <v>42552</v>
      </c>
      <c r="B21" s="25">
        <v>621300</v>
      </c>
      <c r="C21" s="25">
        <v>176800</v>
      </c>
      <c r="E21" s="26"/>
      <c r="F21" s="27"/>
      <c r="G21" s="27"/>
    </row>
    <row r="22" spans="1:11" x14ac:dyDescent="0.45">
      <c r="A22" s="24">
        <v>42583</v>
      </c>
      <c r="B22" s="25">
        <v>605900</v>
      </c>
      <c r="C22" s="25">
        <v>171400</v>
      </c>
      <c r="E22" s="26"/>
      <c r="F22" s="27"/>
      <c r="G22" s="27"/>
      <c r="I22" s="27"/>
      <c r="K22" s="27"/>
    </row>
    <row r="23" spans="1:11" x14ac:dyDescent="0.45">
      <c r="A23" s="24">
        <v>42614</v>
      </c>
      <c r="B23" s="25">
        <f>B11*0.995</f>
        <v>498097</v>
      </c>
      <c r="C23" s="25">
        <v>139100</v>
      </c>
      <c r="E23" s="26"/>
      <c r="F23" s="27"/>
      <c r="G23" s="27"/>
      <c r="I23" s="27"/>
      <c r="K23" s="27"/>
    </row>
    <row r="24" spans="1:11" x14ac:dyDescent="0.45">
      <c r="A24" s="24">
        <v>42644</v>
      </c>
      <c r="B24" s="25">
        <f t="shared" ref="B24:B34" si="3">B12*0.995</f>
        <v>458098</v>
      </c>
      <c r="C24" s="25">
        <v>125500</v>
      </c>
      <c r="E24" s="26"/>
      <c r="F24" s="27"/>
      <c r="G24" s="27"/>
      <c r="I24" s="27"/>
      <c r="K24" s="27"/>
    </row>
    <row r="25" spans="1:11" x14ac:dyDescent="0.45">
      <c r="A25" s="24">
        <v>42675</v>
      </c>
      <c r="B25" s="25">
        <f t="shared" si="3"/>
        <v>333623.5</v>
      </c>
      <c r="C25" s="25">
        <v>89900</v>
      </c>
      <c r="E25" s="26"/>
      <c r="F25" s="27"/>
      <c r="G25" s="27"/>
    </row>
    <row r="26" spans="1:11" x14ac:dyDescent="0.45">
      <c r="A26" s="24">
        <v>42705</v>
      </c>
      <c r="B26" s="25">
        <f t="shared" si="3"/>
        <v>340986.5</v>
      </c>
      <c r="C26" s="25">
        <v>89600</v>
      </c>
      <c r="E26" s="26"/>
      <c r="F26" s="27"/>
      <c r="G26" s="27"/>
      <c r="I26" s="27"/>
      <c r="K26" s="27"/>
    </row>
    <row r="27" spans="1:11" x14ac:dyDescent="0.45">
      <c r="A27" s="15">
        <v>42736</v>
      </c>
      <c r="B27" s="19">
        <f t="shared" si="3"/>
        <v>347255</v>
      </c>
      <c r="C27" s="19">
        <v>90100</v>
      </c>
      <c r="E27" s="26"/>
      <c r="F27" s="27"/>
      <c r="G27" s="27"/>
      <c r="I27" s="27"/>
      <c r="K27" s="27"/>
    </row>
    <row r="28" spans="1:11" x14ac:dyDescent="0.45">
      <c r="A28" s="15">
        <v>42767</v>
      </c>
      <c r="B28" s="19">
        <f t="shared" si="3"/>
        <v>377304</v>
      </c>
      <c r="C28" s="19">
        <v>100800</v>
      </c>
      <c r="E28" s="26"/>
      <c r="F28" s="27"/>
      <c r="G28" s="27"/>
      <c r="I28" s="27"/>
      <c r="K28" s="27"/>
    </row>
    <row r="29" spans="1:11" x14ac:dyDescent="0.45">
      <c r="A29" s="15">
        <v>42795</v>
      </c>
      <c r="B29" s="19">
        <f t="shared" si="3"/>
        <v>505659</v>
      </c>
      <c r="C29" s="19">
        <v>139500</v>
      </c>
      <c r="E29" s="26"/>
      <c r="F29" s="27"/>
      <c r="G29" s="27"/>
      <c r="I29" s="27"/>
      <c r="K29" s="27"/>
    </row>
    <row r="30" spans="1:11" x14ac:dyDescent="0.45">
      <c r="A30" s="15">
        <v>42826</v>
      </c>
      <c r="B30" s="19">
        <f t="shared" si="3"/>
        <v>568244.5</v>
      </c>
      <c r="C30" s="19">
        <v>159800</v>
      </c>
      <c r="E30" s="26"/>
      <c r="F30" s="27"/>
      <c r="G30" s="27"/>
      <c r="I30" s="27"/>
      <c r="K30" s="27"/>
    </row>
    <row r="31" spans="1:11" x14ac:dyDescent="0.45">
      <c r="A31" s="15">
        <v>42856</v>
      </c>
      <c r="B31" s="19">
        <f t="shared" si="3"/>
        <v>578592.5</v>
      </c>
      <c r="C31" s="19">
        <v>163300</v>
      </c>
      <c r="E31" s="26"/>
      <c r="F31" s="27"/>
      <c r="G31" s="27"/>
    </row>
    <row r="32" spans="1:11" x14ac:dyDescent="0.45">
      <c r="A32" s="15">
        <v>42887</v>
      </c>
      <c r="B32" s="19">
        <f t="shared" si="3"/>
        <v>609935</v>
      </c>
      <c r="C32" s="19">
        <v>173900</v>
      </c>
      <c r="E32" s="26"/>
      <c r="F32" s="27"/>
      <c r="G32" s="27"/>
      <c r="I32" s="27"/>
      <c r="K32" s="27"/>
    </row>
    <row r="33" spans="1:11" x14ac:dyDescent="0.45">
      <c r="A33" s="15">
        <v>42917</v>
      </c>
      <c r="B33" s="19">
        <f t="shared" si="3"/>
        <v>618193.5</v>
      </c>
      <c r="C33" s="19">
        <v>176800</v>
      </c>
      <c r="E33" s="26"/>
      <c r="F33" s="27"/>
      <c r="G33" s="27"/>
      <c r="I33" s="27"/>
      <c r="K33" s="27"/>
    </row>
    <row r="34" spans="1:11" x14ac:dyDescent="0.45">
      <c r="A34" s="15">
        <v>42948</v>
      </c>
      <c r="B34" s="19">
        <f t="shared" si="3"/>
        <v>602870.5</v>
      </c>
      <c r="C34" s="19">
        <v>171400</v>
      </c>
      <c r="G34" s="27"/>
    </row>
    <row r="35" spans="1:11" x14ac:dyDescent="0.45">
      <c r="A35" s="15">
        <v>42979</v>
      </c>
      <c r="B35" s="19">
        <f>B11*0.99</f>
        <v>495594</v>
      </c>
      <c r="C35" s="19">
        <v>139100</v>
      </c>
    </row>
    <row r="36" spans="1:11" x14ac:dyDescent="0.45">
      <c r="A36" s="15">
        <v>43009</v>
      </c>
      <c r="B36" s="19">
        <f t="shared" ref="B36:B46" si="4">B12*0.99</f>
        <v>455796</v>
      </c>
      <c r="C36" s="19">
        <v>125500</v>
      </c>
    </row>
    <row r="37" spans="1:11" x14ac:dyDescent="0.45">
      <c r="A37" s="15">
        <v>43040</v>
      </c>
      <c r="B37" s="19">
        <f t="shared" si="4"/>
        <v>331947</v>
      </c>
      <c r="C37" s="19">
        <v>89900</v>
      </c>
    </row>
    <row r="38" spans="1:11" x14ac:dyDescent="0.45">
      <c r="A38" s="15">
        <v>43070</v>
      </c>
      <c r="B38" s="19">
        <f t="shared" si="4"/>
        <v>339273</v>
      </c>
      <c r="C38" s="19">
        <v>89600</v>
      </c>
    </row>
    <row r="39" spans="1:11" x14ac:dyDescent="0.45">
      <c r="A39" s="24">
        <v>43101</v>
      </c>
      <c r="B39" s="25">
        <f t="shared" si="4"/>
        <v>345510</v>
      </c>
      <c r="C39" s="25">
        <v>90100</v>
      </c>
    </row>
    <row r="40" spans="1:11" x14ac:dyDescent="0.45">
      <c r="A40" s="24">
        <v>43132</v>
      </c>
      <c r="B40" s="25">
        <f t="shared" si="4"/>
        <v>375408</v>
      </c>
      <c r="C40" s="25">
        <v>100800</v>
      </c>
    </row>
    <row r="41" spans="1:11" x14ac:dyDescent="0.45">
      <c r="A41" s="24">
        <v>43160</v>
      </c>
      <c r="B41" s="25">
        <f t="shared" si="4"/>
        <v>503118</v>
      </c>
      <c r="C41" s="25">
        <v>139500</v>
      </c>
    </row>
    <row r="42" spans="1:11" x14ac:dyDescent="0.45">
      <c r="A42" s="24">
        <v>43191</v>
      </c>
      <c r="B42" s="25">
        <f t="shared" si="4"/>
        <v>565389</v>
      </c>
      <c r="C42" s="25">
        <v>159800</v>
      </c>
    </row>
    <row r="43" spans="1:11" x14ac:dyDescent="0.45">
      <c r="A43" s="24">
        <v>43221</v>
      </c>
      <c r="B43" s="25">
        <f t="shared" si="4"/>
        <v>575685</v>
      </c>
      <c r="C43" s="25">
        <v>163300</v>
      </c>
    </row>
    <row r="44" spans="1:11" x14ac:dyDescent="0.45">
      <c r="A44" s="24">
        <v>43252</v>
      </c>
      <c r="B44" s="25">
        <f t="shared" si="4"/>
        <v>606870</v>
      </c>
      <c r="C44" s="25">
        <v>173900</v>
      </c>
    </row>
    <row r="45" spans="1:11" x14ac:dyDescent="0.45">
      <c r="A45" s="24">
        <v>43282</v>
      </c>
      <c r="B45" s="25">
        <f t="shared" si="4"/>
        <v>615087</v>
      </c>
      <c r="C45" s="25">
        <v>176800</v>
      </c>
    </row>
    <row r="46" spans="1:11" x14ac:dyDescent="0.45">
      <c r="A46" s="24">
        <v>43313</v>
      </c>
      <c r="B46" s="25">
        <f t="shared" si="4"/>
        <v>599841</v>
      </c>
      <c r="C46" s="25">
        <v>171400</v>
      </c>
    </row>
    <row r="47" spans="1:11" x14ac:dyDescent="0.45">
      <c r="A47" s="24">
        <v>43344</v>
      </c>
      <c r="B47" s="25">
        <f>B11*0.985</f>
        <v>493091</v>
      </c>
      <c r="C47" s="25">
        <v>139100</v>
      </c>
    </row>
    <row r="48" spans="1:11" x14ac:dyDescent="0.45">
      <c r="A48" s="24">
        <v>43374</v>
      </c>
      <c r="B48" s="25">
        <f t="shared" ref="B48:B58" si="5">B12*0.985</f>
        <v>453494</v>
      </c>
      <c r="C48" s="25">
        <v>125500</v>
      </c>
    </row>
    <row r="49" spans="1:3" x14ac:dyDescent="0.45">
      <c r="A49" s="24">
        <v>43405</v>
      </c>
      <c r="B49" s="25">
        <f t="shared" si="5"/>
        <v>330270.5</v>
      </c>
      <c r="C49" s="25">
        <v>89900</v>
      </c>
    </row>
    <row r="50" spans="1:3" x14ac:dyDescent="0.45">
      <c r="A50" s="24">
        <v>43435</v>
      </c>
      <c r="B50" s="25">
        <f t="shared" si="5"/>
        <v>337559.5</v>
      </c>
      <c r="C50" s="25">
        <v>89600</v>
      </c>
    </row>
    <row r="51" spans="1:3" x14ac:dyDescent="0.45">
      <c r="A51" s="15">
        <v>43466</v>
      </c>
      <c r="B51" s="19">
        <f t="shared" si="5"/>
        <v>343765</v>
      </c>
      <c r="C51" s="19">
        <v>90100</v>
      </c>
    </row>
    <row r="52" spans="1:3" x14ac:dyDescent="0.45">
      <c r="A52" s="15">
        <v>43497</v>
      </c>
      <c r="B52" s="19">
        <f t="shared" si="5"/>
        <v>373512</v>
      </c>
      <c r="C52" s="19">
        <v>100800</v>
      </c>
    </row>
    <row r="53" spans="1:3" x14ac:dyDescent="0.45">
      <c r="A53" s="15">
        <v>43525</v>
      </c>
      <c r="B53" s="19">
        <f t="shared" si="5"/>
        <v>500577</v>
      </c>
      <c r="C53" s="19">
        <v>139500</v>
      </c>
    </row>
    <row r="54" spans="1:3" x14ac:dyDescent="0.45">
      <c r="A54" s="15">
        <v>43556</v>
      </c>
      <c r="B54" s="19">
        <f t="shared" si="5"/>
        <v>562533.5</v>
      </c>
      <c r="C54" s="19">
        <v>159800</v>
      </c>
    </row>
    <row r="55" spans="1:3" x14ac:dyDescent="0.45">
      <c r="A55" s="15">
        <v>43586</v>
      </c>
      <c r="B55" s="19">
        <f t="shared" si="5"/>
        <v>572777.5</v>
      </c>
      <c r="C55" s="19">
        <v>163300</v>
      </c>
    </row>
    <row r="56" spans="1:3" x14ac:dyDescent="0.45">
      <c r="A56" s="15">
        <v>43617</v>
      </c>
      <c r="B56" s="19">
        <f t="shared" si="5"/>
        <v>603805</v>
      </c>
      <c r="C56" s="19">
        <v>173900</v>
      </c>
    </row>
    <row r="57" spans="1:3" x14ac:dyDescent="0.45">
      <c r="A57" s="15">
        <v>43647</v>
      </c>
      <c r="B57" s="19">
        <f t="shared" si="5"/>
        <v>611980.5</v>
      </c>
      <c r="C57" s="19">
        <v>176800</v>
      </c>
    </row>
    <row r="58" spans="1:3" x14ac:dyDescent="0.45">
      <c r="A58" s="15">
        <v>43678</v>
      </c>
      <c r="B58" s="19">
        <f t="shared" si="5"/>
        <v>596811.5</v>
      </c>
      <c r="C58" s="19">
        <v>171400</v>
      </c>
    </row>
    <row r="59" spans="1:3" x14ac:dyDescent="0.45">
      <c r="A59" s="15">
        <v>43709</v>
      </c>
      <c r="B59" s="19">
        <f>B11*0.98</f>
        <v>490588</v>
      </c>
      <c r="C59" s="19">
        <v>139100</v>
      </c>
    </row>
    <row r="60" spans="1:3" x14ac:dyDescent="0.45">
      <c r="A60" s="15">
        <v>43739</v>
      </c>
      <c r="B60" s="19">
        <f t="shared" ref="B60:B62" si="6">B12*0.98</f>
        <v>451192</v>
      </c>
      <c r="C60" s="19">
        <v>125500</v>
      </c>
    </row>
    <row r="61" spans="1:3" x14ac:dyDescent="0.45">
      <c r="A61" s="15">
        <v>43770</v>
      </c>
      <c r="B61" s="19">
        <f t="shared" si="6"/>
        <v>328594</v>
      </c>
      <c r="C61" s="19">
        <v>89900</v>
      </c>
    </row>
    <row r="62" spans="1:3" x14ac:dyDescent="0.45">
      <c r="A62" s="15">
        <v>43800</v>
      </c>
      <c r="B62" s="19">
        <f t="shared" si="6"/>
        <v>335846</v>
      </c>
      <c r="C62" s="19">
        <v>89600</v>
      </c>
    </row>
    <row r="63" spans="1:3" x14ac:dyDescent="0.45">
      <c r="A63" s="24">
        <v>43831</v>
      </c>
      <c r="B63" s="25">
        <f>B3*0.98</f>
        <v>342020</v>
      </c>
      <c r="C63" s="25">
        <v>90100</v>
      </c>
    </row>
    <row r="64" spans="1:3" x14ac:dyDescent="0.45">
      <c r="A64" s="24">
        <v>43862</v>
      </c>
      <c r="B64" s="25">
        <f t="shared" ref="B64:B70" si="7">B4*0.98</f>
        <v>371616</v>
      </c>
      <c r="C64" s="25">
        <v>100800</v>
      </c>
    </row>
    <row r="65" spans="1:3" x14ac:dyDescent="0.45">
      <c r="A65" s="24">
        <v>43891</v>
      </c>
      <c r="B65" s="25">
        <f t="shared" si="7"/>
        <v>498036</v>
      </c>
      <c r="C65" s="25">
        <v>139500</v>
      </c>
    </row>
    <row r="66" spans="1:3" x14ac:dyDescent="0.45">
      <c r="A66" s="24">
        <v>43922</v>
      </c>
      <c r="B66" s="25">
        <f t="shared" si="7"/>
        <v>559678</v>
      </c>
      <c r="C66" s="25">
        <v>159800</v>
      </c>
    </row>
    <row r="67" spans="1:3" x14ac:dyDescent="0.45">
      <c r="A67" s="24">
        <v>43952</v>
      </c>
      <c r="B67" s="25">
        <f t="shared" si="7"/>
        <v>569870</v>
      </c>
      <c r="C67" s="25">
        <v>163300</v>
      </c>
    </row>
    <row r="68" spans="1:3" x14ac:dyDescent="0.45">
      <c r="A68" s="24">
        <v>43983</v>
      </c>
      <c r="B68" s="25">
        <f t="shared" si="7"/>
        <v>600740</v>
      </c>
      <c r="C68" s="25">
        <v>173900</v>
      </c>
    </row>
    <row r="69" spans="1:3" x14ac:dyDescent="0.45">
      <c r="A69" s="24">
        <v>44013</v>
      </c>
      <c r="B69" s="25">
        <f t="shared" si="7"/>
        <v>608874</v>
      </c>
      <c r="C69" s="25">
        <v>176800</v>
      </c>
    </row>
    <row r="70" spans="1:3" x14ac:dyDescent="0.45">
      <c r="A70" s="24">
        <v>44044</v>
      </c>
      <c r="B70" s="25">
        <f t="shared" si="7"/>
        <v>593782</v>
      </c>
      <c r="C70" s="25">
        <v>171400</v>
      </c>
    </row>
    <row r="71" spans="1:3" x14ac:dyDescent="0.45">
      <c r="A71" s="24">
        <v>44075</v>
      </c>
      <c r="B71" s="25">
        <f>B11*0.975</f>
        <v>488085</v>
      </c>
      <c r="C71" s="25">
        <v>139100</v>
      </c>
    </row>
    <row r="72" spans="1:3" x14ac:dyDescent="0.45">
      <c r="A72" s="24">
        <v>44105</v>
      </c>
      <c r="B72" s="25">
        <f t="shared" ref="B72:B74" si="8">B12*0.975</f>
        <v>448890</v>
      </c>
      <c r="C72" s="25">
        <v>125500</v>
      </c>
    </row>
    <row r="73" spans="1:3" x14ac:dyDescent="0.45">
      <c r="A73" s="24">
        <v>44136</v>
      </c>
      <c r="B73" s="25">
        <f t="shared" si="8"/>
        <v>326917.5</v>
      </c>
      <c r="C73" s="25">
        <v>89900</v>
      </c>
    </row>
    <row r="74" spans="1:3" x14ac:dyDescent="0.45">
      <c r="A74" s="24">
        <v>44166</v>
      </c>
      <c r="B74" s="25">
        <f t="shared" si="8"/>
        <v>334132.5</v>
      </c>
      <c r="C74" s="25">
        <v>89600</v>
      </c>
    </row>
    <row r="75" spans="1:3" x14ac:dyDescent="0.45">
      <c r="A75" s="15">
        <v>44197</v>
      </c>
      <c r="B75" s="19">
        <f>B3*0.975</f>
        <v>340275</v>
      </c>
      <c r="C75" s="19">
        <v>90100</v>
      </c>
    </row>
    <row r="76" spans="1:3" x14ac:dyDescent="0.45">
      <c r="A76" s="15">
        <v>44228</v>
      </c>
      <c r="B76" s="19">
        <f t="shared" ref="B76:B86" si="9">B4*0.975</f>
        <v>369720</v>
      </c>
      <c r="C76" s="19">
        <v>100800</v>
      </c>
    </row>
    <row r="77" spans="1:3" x14ac:dyDescent="0.45">
      <c r="A77" s="15">
        <v>44256</v>
      </c>
      <c r="B77" s="19">
        <f t="shared" si="9"/>
        <v>495495</v>
      </c>
      <c r="C77" s="19">
        <v>139500</v>
      </c>
    </row>
    <row r="78" spans="1:3" x14ac:dyDescent="0.45">
      <c r="A78" s="15">
        <v>44287</v>
      </c>
      <c r="B78" s="19">
        <f t="shared" si="9"/>
        <v>556822.5</v>
      </c>
      <c r="C78" s="19">
        <v>159800</v>
      </c>
    </row>
    <row r="79" spans="1:3" x14ac:dyDescent="0.45">
      <c r="A79" s="15">
        <v>44317</v>
      </c>
      <c r="B79" s="19">
        <f t="shared" si="9"/>
        <v>566962.5</v>
      </c>
      <c r="C79" s="19">
        <v>163300</v>
      </c>
    </row>
    <row r="80" spans="1:3" x14ac:dyDescent="0.45">
      <c r="A80" s="15">
        <v>44348</v>
      </c>
      <c r="B80" s="19">
        <f t="shared" si="9"/>
        <v>597675</v>
      </c>
      <c r="C80" s="19">
        <v>173900</v>
      </c>
    </row>
    <row r="81" spans="1:3" x14ac:dyDescent="0.45">
      <c r="A81" s="15">
        <v>44378</v>
      </c>
      <c r="B81" s="19">
        <f t="shared" si="9"/>
        <v>605767.5</v>
      </c>
      <c r="C81" s="19">
        <v>176800</v>
      </c>
    </row>
    <row r="82" spans="1:3" x14ac:dyDescent="0.45">
      <c r="A82" s="15">
        <v>44409</v>
      </c>
      <c r="B82" s="19">
        <f t="shared" si="9"/>
        <v>590752.5</v>
      </c>
      <c r="C82" s="19">
        <v>171400</v>
      </c>
    </row>
    <row r="83" spans="1:3" x14ac:dyDescent="0.45">
      <c r="A83" s="15">
        <v>44440</v>
      </c>
      <c r="B83" s="19">
        <f t="shared" si="9"/>
        <v>488085</v>
      </c>
      <c r="C83" s="19">
        <v>139100</v>
      </c>
    </row>
    <row r="84" spans="1:3" x14ac:dyDescent="0.45">
      <c r="A84" s="15">
        <v>44470</v>
      </c>
      <c r="B84" s="19">
        <f t="shared" si="9"/>
        <v>448890</v>
      </c>
      <c r="C84" s="19">
        <v>125500</v>
      </c>
    </row>
    <row r="85" spans="1:3" x14ac:dyDescent="0.45">
      <c r="A85" s="15">
        <v>44501</v>
      </c>
      <c r="B85" s="19">
        <f t="shared" si="9"/>
        <v>326917.5</v>
      </c>
      <c r="C85" s="19">
        <v>89900</v>
      </c>
    </row>
    <row r="86" spans="1:3" x14ac:dyDescent="0.45">
      <c r="A86" s="15">
        <v>44531</v>
      </c>
      <c r="B86" s="19">
        <f t="shared" si="9"/>
        <v>334132.5</v>
      </c>
      <c r="C86" s="19">
        <v>89600</v>
      </c>
    </row>
    <row r="87" spans="1:3" x14ac:dyDescent="0.45">
      <c r="A87" s="24">
        <v>44562</v>
      </c>
      <c r="B87" s="25">
        <v>338660.00576533674</v>
      </c>
      <c r="C87" s="25">
        <v>99200</v>
      </c>
    </row>
    <row r="88" spans="1:3" x14ac:dyDescent="0.45">
      <c r="A88" s="24">
        <v>44593</v>
      </c>
      <c r="B88" s="25">
        <v>367965.25554789585</v>
      </c>
      <c r="C88" s="25">
        <v>108300</v>
      </c>
    </row>
    <row r="89" spans="1:3" x14ac:dyDescent="0.45">
      <c r="A89" s="24">
        <v>44621</v>
      </c>
      <c r="B89" s="25">
        <v>493143.3092548541</v>
      </c>
      <c r="C89" s="25">
        <v>150000</v>
      </c>
    </row>
    <row r="90" spans="1:3" x14ac:dyDescent="0.45">
      <c r="A90" s="24">
        <v>44652</v>
      </c>
      <c r="B90" s="25">
        <v>554179.74009336333</v>
      </c>
      <c r="C90" s="25">
        <v>171200</v>
      </c>
    </row>
    <row r="91" spans="1:3" x14ac:dyDescent="0.45">
      <c r="A91" s="24">
        <v>44682</v>
      </c>
      <c r="B91" s="25">
        <v>564271.61419066845</v>
      </c>
      <c r="C91" s="25">
        <v>174100</v>
      </c>
    </row>
    <row r="92" spans="1:3" x14ac:dyDescent="0.45">
      <c r="A92" s="24">
        <v>44713</v>
      </c>
      <c r="B92" s="25">
        <v>594838.34823539096</v>
      </c>
      <c r="C92" s="25">
        <v>182400</v>
      </c>
    </row>
    <row r="93" spans="1:3" x14ac:dyDescent="0.45">
      <c r="A93" s="24">
        <v>44743</v>
      </c>
      <c r="B93" s="25">
        <v>602892.44006304769</v>
      </c>
      <c r="C93" s="25">
        <v>185100</v>
      </c>
    </row>
    <row r="94" spans="1:3" x14ac:dyDescent="0.45">
      <c r="A94" s="24">
        <v>44774</v>
      </c>
      <c r="B94" s="25">
        <v>587948.70341896114</v>
      </c>
      <c r="C94" s="25">
        <v>178400</v>
      </c>
    </row>
    <row r="95" spans="1:3" x14ac:dyDescent="0.45">
      <c r="A95" s="24">
        <v>44805</v>
      </c>
      <c r="B95" s="25">
        <v>483339.63579282776</v>
      </c>
      <c r="C95" s="25">
        <v>146600</v>
      </c>
    </row>
    <row r="96" spans="1:3" x14ac:dyDescent="0.45">
      <c r="A96" s="24">
        <v>44835</v>
      </c>
      <c r="B96" s="25">
        <v>444525.70579108654</v>
      </c>
      <c r="C96" s="25">
        <v>133800</v>
      </c>
    </row>
    <row r="97" spans="1:3" x14ac:dyDescent="0.45">
      <c r="A97" s="24">
        <v>44866</v>
      </c>
      <c r="B97" s="25">
        <v>323739.07287522015</v>
      </c>
      <c r="C97" s="25">
        <v>96000</v>
      </c>
    </row>
    <row r="98" spans="1:3" x14ac:dyDescent="0.45">
      <c r="A98" s="24">
        <v>44896</v>
      </c>
      <c r="B98" s="25">
        <v>330883.92566161026</v>
      </c>
      <c r="C98" s="25">
        <v>98100</v>
      </c>
    </row>
  </sheetData>
  <mergeCells count="1">
    <mergeCell ref="G1:N1"/>
  </mergeCells>
  <pageMargins left="0.7" right="0.7" top="0.75" bottom="0.75" header="0.3" footer="0.3"/>
  <pageSetup orientation="portrait" verticalDpi="597"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notes xmlns="7f39bfab-6331-41a1-b6d4-5b974a316951" xsi:nil="true"/>
    <SharedWithUsers xmlns="ddcd8467-55ca-498e-a9f8-86795db5db7a">
      <UserInfo>
        <DisplayName>Harper, Amanda</DisplayName>
        <AccountId>62</AccountId>
        <AccountType/>
      </UserInfo>
      <UserInfo>
        <DisplayName>.ROC_TXFidelity Members</DisplayName>
        <AccountId>105</AccountId>
        <AccountType/>
      </UserInfo>
      <UserInfo>
        <DisplayName>.ROC_RIFidelity Members</DisplayName>
        <AccountId>106</AccountId>
        <AccountType/>
      </UserInfo>
      <UserInfo>
        <DisplayName>.ROC_NHFidelity Members</DisplayName>
        <AccountId>107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4FB608-2C95-4CB3-B789-2A06D4831A94}">
  <ds:schemaRefs>
    <ds:schemaRef ds:uri="http://schemas.microsoft.com/office/2006/metadata/properties"/>
    <ds:schemaRef ds:uri="http://schemas.microsoft.com/office/infopath/2007/PartnerControls"/>
    <ds:schemaRef ds:uri="http://schemas.microsoft.com/sharepoint/v3"/>
    <ds:schemaRef ds:uri="7f39bfab-6331-41a1-b6d4-5b974a316951"/>
    <ds:schemaRef ds:uri="ddcd8467-55ca-498e-a9f8-86795db5db7a"/>
  </ds:schemaRefs>
</ds:datastoreItem>
</file>

<file path=customXml/itemProps2.xml><?xml version="1.0" encoding="utf-8"?>
<ds:datastoreItem xmlns:ds="http://schemas.openxmlformats.org/officeDocument/2006/customXml" ds:itemID="{30F9FB7B-6357-4E82-8CC4-B5C044988BDC}"/>
</file>

<file path=customXml/itemProps3.xml><?xml version="1.0" encoding="utf-8"?>
<ds:datastoreItem xmlns:ds="http://schemas.openxmlformats.org/officeDocument/2006/customXml" ds:itemID="{C25757AC-F572-4FD6-8D98-A3A4BF8324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Glossary</vt:lpstr>
      <vt:lpstr>Merrimack</vt:lpstr>
      <vt:lpstr>Smithfield</vt:lpstr>
      <vt:lpstr>Westlake</vt:lpstr>
      <vt:lpstr>Availability</vt:lpstr>
      <vt:lpstr>Plant Health</vt:lpstr>
      <vt:lpstr>Predicted Data</vt:lpstr>
      <vt:lpstr>Ashley Config</vt:lpstr>
      <vt:lpstr>Lang Config</vt:lpstr>
      <vt:lpstr>Stikeleather Config</vt:lpstr>
      <vt:lpstr>Yadkin Config</vt:lpstr>
      <vt:lpstr>Availability!Print_Area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Schwenke, Rainald</dc:creator>
  <cp:keywords/>
  <dc:description/>
  <cp:lastModifiedBy>Jayasri  Garapati [AGS]</cp:lastModifiedBy>
  <cp:revision/>
  <dcterms:created xsi:type="dcterms:W3CDTF">2013-05-02T09:51:31Z</dcterms:created>
  <dcterms:modified xsi:type="dcterms:W3CDTF">2025-11-06T11:45:01Z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2024-10-18T18:16:12Z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15458642-1533-4f1e-90b2-25d736c0929e</vt:lpwstr>
  </property>
  <property fmtid="{D5CDD505-2E9C-101B-9397-08002B2CF9AE}" pid="9" name="MSIP_Label_9d817c99-0b37-4a07-8277-96aa1f96b74b_ContentBits">
    <vt:lpwstr>0</vt:lpwstr>
  </property>
</Properties>
</file>