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571FAEBE-E467-4E68-8CCE-7B702788D03B}" xr6:coauthVersionLast="47" xr6:coauthVersionMax="47" xr10:uidLastSave="{00000000-0000-0000-0000-000000000000}"/>
  <bookViews>
    <workbookView xWindow="2124" yWindow="2124" windowWidth="17280" windowHeight="9960" tabRatio="866" firstSheet="14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I4" i="27"/>
  <c r="H4" i="27"/>
  <c r="B4" i="26" a="1"/>
  <c r="B4" i="26"/>
  <c r="H4" i="21"/>
  <c r="I4" i="21" s="1"/>
  <c r="H4" i="4"/>
  <c r="C4" i="1"/>
  <c r="C2" i="1" s="1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G4" i="29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<sst xmlns="http://schemas.openxmlformats.org/spreadsheetml/2006/main" count="259" uniqueCount="68">
  <si>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</si>
  <si>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</si>
  <si>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</si>
  <si>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</si>
  <si>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</si>
  <si>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</si>
  <si>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</si>
  <si>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</si>
  <si>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</si>
  <si>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</si>
  <si>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</si>
  <si>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</si>
  <si>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</si>
  <si>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</si>
  <si>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</si>
  <si>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</si>
  <si>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</si>
  <si>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</si>
  <si>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</si>
  <si>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</si>
  <si>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</si>
  <si>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</si>
  <si>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</si>
  <si>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</si>
  <si>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</si>
  <si>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</si>
  <si>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</si>
  <si>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</si>
  <si>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</si>
  <si>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</si>
  <si>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</si>
  <si>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</si>
  <si>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</si>
  <si>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</si>
  <si>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</si>
  <si>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</si>
  <si>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</si>
  <si>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</si>
  <si>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</si>
  <si>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Inverters 4-03 and 6-09 are offline on 8/18 on 08/26 technician checked in and found that 3 inverters without production and restored 2. remaining inverter need further troubleshooting.</t>
  </si>
  <si>
    <t>1. SR097964
2. SR106854, SR105456</t>
  </si>
  <si>
    <t>SR106854</t>
  </si>
  <si>
    <t>September Actual v. Expected</t>
  </si>
  <si>
    <t>September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</si>
  <si>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 S/N ending 1195 was offline for whole month.
3. Inverter 1.3 has tripped offline at 13:20 on 09/18 and was back online on 09/24  at 07:00</t>
  </si>
  <si>
    <t>1. SR097964
2. SR106854, SR105456
3. SR108260</t>
  </si>
  <si>
    <t>SR108260</t>
  </si>
  <si>
    <t>October Actual v. Expected</t>
  </si>
  <si>
    <t>October Actual v. Forecasted</t>
  </si>
  <si>
    <t>Status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</si>
  <si>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
2. Inverter S/N ending 1195 was back online at 10/16.
3. Inverters 1–21 and 22, Inverter 2–21 and 22, Inverter 3–15, Inverter 4–6, Inverter 5–3, and Inverter 6–3 have been offline since 10/22.</t>
  </si>
  <si>
    <t>1. SR097964
2. SR106854, SR105456
3. SR109924</t>
  </si>
  <si>
    <t>1. Closed
2. Closed
3. Pending</t>
  </si>
  <si>
    <t>SR109924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</si>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</sst>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49" fontId="37" fillId="38" borderId="0" xfId="45" applyNumberFormat="1" applyFill="1" applyBorder="1" applyAlignment="1">
      <alignment horizontal="left" vertical="top" wrapText="1"/>
    </xf>
    <xf numFmtId="0" fontId="37" fillId="0" borderId="0" xfId="45" applyAlignment="1">
      <alignment vertical="top" wrapText="1"/>
    </xf>
    <xf numFmtId="0" fontId="37" fillId="0" borderId="0" xfId="45"/>
    <xf numFmtId="0" fontId="5" fillId="4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826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992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1218259.5238999999</v>
      </c>
      <c r="D2" s="5">
        <f>SUM(D4:D79)</f>
        <v>2263872.7880000002</v>
      </c>
      <c r="E2" s="5">
        <f>C2-D2</f>
        <v>-1045613.2641000003</v>
      </c>
      <c r="F2" s="6">
        <f>IFERROR(E2/D2, 0)</f>
        <v>-0.46186926652523558</v>
      </c>
      <c r="G2" s="5">
        <f>SUM(G4:G79)</f>
        <v>1238454.5639</v>
      </c>
      <c r="H2" s="7">
        <f>C2-G2</f>
        <v>-20195.040000000037</v>
      </c>
      <c r="I2" s="6">
        <f>IFERROR(H2/G2, 0)</f>
        <v>-1.6306645870320925E-2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1218259.5238999999</v>
      </c>
      <c r="D4" s="12">
        <f>SUM('1st Qtr'!D4, '2nd Qtr'!D4, '3rd Qtr'!D4, '4th Qtr'!D4)</f>
        <v>2263872.7880000002</v>
      </c>
      <c r="E4" s="12">
        <f>IF(AND(ISNUMBER(C4),ISNUMBER(D4)), C4-D4, "")</f>
        <v>-1045613.2641000003</v>
      </c>
      <c r="F4" s="13">
        <f>IFERROR(E4/D4, "")</f>
        <v>-0.46186926652523558</v>
      </c>
      <c r="G4" s="14">
        <f>SUM('1st Qtr'!G4, '2nd Qtr'!G4, '3rd Qtr'!G4, '4th Qtr'!G4)</f>
        <v>1238454.5639</v>
      </c>
      <c r="H4" s="14">
        <f>SUM('1st Qtr'!H4, '2nd Qtr'!H4, '3rd Qtr'!H4, '4th Qtr'!H4)</f>
        <v>-838163.57610000006</v>
      </c>
      <c r="I4" s="15">
        <f>IFERROR(H4/G4, "")</f>
        <v>-0.6767818542010543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12</v>
      </c>
      <c r="E1" s="64"/>
      <c r="F1" s="64"/>
      <c r="G1" s="62" t="s">
        <v>13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14</v>
      </c>
      <c r="E1" s="64"/>
      <c r="F1" s="64"/>
      <c r="G1" s="62" t="s">
        <v>15</v>
      </c>
      <c r="H1" s="62"/>
      <c r="I1" s="62"/>
    </row>
    <row r="2" spans="1:9" ht="19.5" customHeight="1">
      <c r="A2" s="65" t="s">
        <v>2</v>
      </c>
      <c r="B2" s="65"/>
      <c r="C2" s="5">
        <f>SUM(C4:C79)</f>
        <v>986677.52389999991</v>
      </c>
      <c r="D2" s="5">
        <f>SUM(D4:D79)</f>
        <v>1858006.6284</v>
      </c>
      <c r="E2" s="5">
        <f>C2-D2</f>
        <v>-871329.10450000013</v>
      </c>
      <c r="F2" s="6">
        <f>IFERROR(E2/D2, 0)</f>
        <v>-0.46895909367682648</v>
      </c>
      <c r="G2" s="5">
        <f>SUM(G4:G79)</f>
        <v>860568.16389999993</v>
      </c>
      <c r="H2" s="7">
        <f>C2-G2</f>
        <v>126109.35999999999</v>
      </c>
      <c r="I2" s="6">
        <f>IFERROR(H2/G2, 0)</f>
        <v>0.14654197690568321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986677.52389999991</v>
      </c>
      <c r="D4" s="12">
        <f>SUM(Jul!D4, Aug!D4, Sep!D4)</f>
        <v>1858006.6284</v>
      </c>
      <c r="E4" s="12">
        <f>IF(AND(ISNUMBER(C4),ISNUMBER(D4)), C4-D4, "")</f>
        <v>-871329.10450000013</v>
      </c>
      <c r="F4" s="13">
        <f>IFERROR(E4/D4, "")</f>
        <v>-0.46895909367682648</v>
      </c>
      <c r="G4" s="14">
        <f>SUM(Jul!G4,Aug!H4,Sep!G4)</f>
        <v>860568.16389999993</v>
      </c>
      <c r="H4" s="14">
        <f>SUM(Jul!H4, Aug!H4, Sep!H4)</f>
        <v>-691859.17610000004</v>
      </c>
      <c r="I4" s="15">
        <f>IFERROR(H4/G4, "")</f>
        <v>-0.80395627577549533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23" sqref="G2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16</v>
      </c>
      <c r="E1" s="64"/>
      <c r="F1" s="64"/>
      <c r="G1" s="62" t="s">
        <v>17</v>
      </c>
      <c r="H1" s="62"/>
      <c r="I1" s="62"/>
    </row>
    <row r="2" spans="1:9" ht="19.5" customHeight="1">
      <c r="A2" s="65" t="s">
        <v>2</v>
      </c>
      <c r="B2" s="65"/>
      <c r="C2" s="5">
        <f>SUM(C4:C79)</f>
        <v>231582</v>
      </c>
      <c r="D2" s="5">
        <f>SUM(D4:D79)</f>
        <v>405866.15960000001</v>
      </c>
      <c r="E2" s="5">
        <f>C2-D2</f>
        <v>-174284.15960000001</v>
      </c>
      <c r="F2" s="6">
        <f>IFERROR(E2/D2, 0)</f>
        <v>-0.42941288766662677</v>
      </c>
      <c r="G2" s="5">
        <f>SUM(G4:G79)</f>
        <v>377886.4</v>
      </c>
      <c r="H2" s="7">
        <f>C2-G2</f>
        <v>-146304.40000000002</v>
      </c>
      <c r="I2" s="6">
        <f>IFERROR(H2/G2, 0)</f>
        <v>-0.38716503160738258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231582</v>
      </c>
      <c r="D4" s="12">
        <f>SUM(Oct!D4, Nov!D4, Dec!D4)</f>
        <v>405866.15960000001</v>
      </c>
      <c r="E4" s="12">
        <f>IF(AND(ISNUMBER(C4),ISNUMBER(D4)), C4-D4, "")</f>
        <v>-174284.15960000001</v>
      </c>
      <c r="F4" s="13">
        <f>IFERROR(E4/D4, "")</f>
        <v>-0.42941288766662677</v>
      </c>
      <c r="G4" s="14">
        <f>SUM(Oct!G4,Nov!G4,Dec!G4)</f>
        <v>377886.4</v>
      </c>
      <c r="H4" s="14">
        <f>SUM(Oct!H4, Nov!H4, Dec!H4)</f>
        <v>-146304.40000000002</v>
      </c>
      <c r="I4" s="15">
        <f>IFERROR(H4/G4, "")</f>
        <v>-0.38716503160738258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18</v>
      </c>
      <c r="E1" s="64"/>
      <c r="F1" s="64"/>
      <c r="G1" s="62" t="s">
        <v>19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22</v>
      </c>
      <c r="E1" s="64"/>
      <c r="F1" s="64"/>
      <c r="G1" s="62" t="s">
        <v>23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24</v>
      </c>
      <c r="E1" s="64"/>
      <c r="F1" s="64"/>
      <c r="G1" s="62" t="s">
        <v>25</v>
      </c>
      <c r="H1" s="62"/>
      <c r="I1" s="62"/>
      <c r="J1" s="4"/>
      <c r="K1" s="4"/>
    </row>
    <row r="2" spans="1:15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5"/>
      <c r="M3" s="55"/>
      <c r="N3" s="55"/>
      <c r="O3" s="55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4"/>
      <c r="L4" s="53"/>
      <c r="M4" s="53"/>
      <c r="N4" s="53"/>
      <c r="O4" s="55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5"/>
      <c r="M5" s="55"/>
      <c r="N5" s="55"/>
      <c r="O5" s="55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5"/>
      <c r="M6" s="55"/>
      <c r="N6" s="55"/>
      <c r="O6" s="55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5"/>
      <c r="M7" s="55"/>
      <c r="N7" s="55"/>
      <c r="O7" s="55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5"/>
      <c r="M8" s="55"/>
      <c r="N8" s="55"/>
      <c r="O8" s="55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5"/>
      <c r="M9" s="55"/>
      <c r="N9" s="55"/>
      <c r="O9" s="55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5"/>
      <c r="M10" s="55"/>
      <c r="N10" s="55"/>
      <c r="O10" s="55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5"/>
      <c r="M11" s="55"/>
      <c r="N11" s="55"/>
      <c r="O11" s="55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26</v>
      </c>
      <c r="E1" s="64"/>
      <c r="F1" s="64"/>
      <c r="G1" s="62" t="s">
        <v>27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6"/>
      <c r="L4" s="57"/>
      <c r="M4" s="57"/>
      <c r="N4" s="57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28</v>
      </c>
      <c r="E1" s="64"/>
      <c r="F1" s="64"/>
      <c r="G1" s="62" t="s">
        <v>29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7"/>
      <c r="M4" s="57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5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30</v>
      </c>
      <c r="E1" s="64"/>
      <c r="F1" s="64"/>
      <c r="G1" s="62" t="s">
        <v>31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2" t="s">
        <v>35</v>
      </c>
      <c r="L4" s="53" t="s">
        <v>36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tabSelected="1" zoomScale="90" zoomScaleNormal="90" workbookViewId="0">
      <pane xSplit="2" ySplit="3" topLeftCell="J4" activePane="bottomRight" state="frozen"/>
      <selection pane="bottomRight" activeCell="J12" sqref="J12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55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37</v>
      </c>
      <c r="E1" s="64"/>
      <c r="F1" s="64"/>
      <c r="G1" s="62" t="s">
        <v>38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350363.52389999997</v>
      </c>
      <c r="D2" s="5">
        <f>SUM(D4:D79)</f>
        <v>633412.45799999998</v>
      </c>
      <c r="E2" s="5">
        <f>C2-D2</f>
        <v>-283048.93410000001</v>
      </c>
      <c r="F2" s="6">
        <f>IFERROR(E2/D2, 0)</f>
        <v>-0.44686354132302214</v>
      </c>
      <c r="G2" s="5">
        <f>SUM(G5:G79)</f>
        <v>0</v>
      </c>
      <c r="H2" s="7">
        <f>C2-G2</f>
        <v>350363.52389999997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350363.52389999997</v>
      </c>
      <c r="D4" s="12">
        <v>633412.45799999998</v>
      </c>
      <c r="E4" s="12">
        <f>IF(AND(ISNUMBER(C4),ISNUMBER(D4)), C4-D4, "")</f>
        <v>-283048.93410000001</v>
      </c>
      <c r="F4" s="13">
        <f>IFERROR(E4/D4, "")</f>
        <v>-0.44686354132302214</v>
      </c>
      <c r="G4" s="14">
        <v>584166.03</v>
      </c>
      <c r="H4" s="14">
        <f>IF(AND(ISNUMBER(C4),ISNUMBER(G4)), C4-G4, "")</f>
        <v>-233802.50610000006</v>
      </c>
      <c r="I4" s="15">
        <f>IFERROR(H4/G4, "")</f>
        <v>-0.40023297160911608</v>
      </c>
      <c r="J4" s="36" t="s">
        <v>39</v>
      </c>
      <c r="K4" s="52" t="s">
        <v>40</v>
      </c>
      <c r="L4" s="53" t="s">
        <v>41</v>
      </c>
      <c r="M4" s="53" t="s">
        <v>36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097964" xr:uid="{425FD9FB-AC8B-4907-B2B7-1EA2D92D554A}"/>
    <hyperlink ref="L4" r:id="rId2" display="https://us3.assetplanner.com/service_request?ID=106854" xr:uid="{539ABBBD-E2CF-4900-BEAD-75897C879431}"/>
    <hyperlink ref="M4" r:id="rId3" display="https://us3.assetplanner.com/service_request?ID=105456" xr:uid="{D2475A36-2975-4884-A979-DABD0577C20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5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42</v>
      </c>
      <c r="E1" s="64"/>
      <c r="F1" s="64"/>
      <c r="G1" s="62" t="s">
        <v>43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283493</v>
      </c>
      <c r="D2" s="5">
        <f>SUM(D4:D79)</f>
        <v>493236.8088</v>
      </c>
      <c r="E2" s="5">
        <f>C2-D2</f>
        <v>-209743.8088</v>
      </c>
      <c r="F2" s="6">
        <f>IFERROR(E2/D2, 0)</f>
        <v>-0.42523957064414453</v>
      </c>
      <c r="G2" s="5">
        <f>SUM(G4:G79)</f>
        <v>453102.96</v>
      </c>
      <c r="H2" s="7">
        <f>C2-G2</f>
        <v>-169609.96000000002</v>
      </c>
      <c r="I2" s="6">
        <f>IFERROR(H2/G2, 0)</f>
        <v>-0.37432984326564545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283493</v>
      </c>
      <c r="D4" s="12">
        <v>493236.8088</v>
      </c>
      <c r="E4" s="12">
        <f>IF(AND(ISNUMBER(C4),ISNUMBER(D4)), C4-D4, "")</f>
        <v>-209743.8088</v>
      </c>
      <c r="F4" s="13">
        <f>IFERROR(E4/D4, "")</f>
        <v>-0.42523957064414453</v>
      </c>
      <c r="G4" s="14">
        <v>453102.96</v>
      </c>
      <c r="H4" s="14">
        <f>IF(AND(ISNUMBER(C4),ISNUMBER(G4)), C4-G4, "")</f>
        <v>-169609.96000000002</v>
      </c>
      <c r="I4" s="15">
        <f>IFERROR(H4/G4, "")</f>
        <v>-0.37432984326564545</v>
      </c>
      <c r="J4" s="36" t="s">
        <v>44</v>
      </c>
      <c r="K4" s="52" t="s">
        <v>45</v>
      </c>
      <c r="L4" s="53" t="s">
        <v>41</v>
      </c>
      <c r="M4" s="53" t="s">
        <v>36</v>
      </c>
      <c r="N4" s="53" t="s">
        <v>46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7964" xr:uid="{19CE0BCD-4E87-45B9-9E64-6845159A058C}"/>
    <hyperlink ref="L4" r:id="rId2" display="https://us3.assetplanner.com/service_request?ID=106854" xr:uid="{5E35EEE3-C991-4866-9F77-0F370F3C0B7E}"/>
    <hyperlink ref="M4" r:id="rId3" display="https://us3.assetplanner.com/service_request?ID=105456" xr:uid="{646C5602-3930-42C7-91DE-749B90C0F9BA}"/>
    <hyperlink ref="N4" r:id="rId4" display="https://us3.assetplanner.com/service_request?ID=108260" xr:uid="{145BE4F8-B291-4D99-BDF3-CEA2FE15086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21"/>
  <sheetViews>
    <sheetView zoomScale="80" zoomScaleNormal="80" workbookViewId="0">
      <pane xSplit="2" ySplit="3" topLeftCell="C4" activePane="bottomRight" state="frozen"/>
      <selection pane="bottomRight" activeCell="J16" sqref="A12:J16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0.5703125" customWidth="1"/>
    <col min="13" max="13" width="12.140625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47</v>
      </c>
      <c r="E1" s="64"/>
      <c r="F1" s="64"/>
      <c r="G1" s="62" t="s">
        <v>48</v>
      </c>
      <c r="H1" s="62"/>
      <c r="I1" s="62"/>
      <c r="J1" s="4"/>
      <c r="K1" s="4"/>
      <c r="L1" s="4"/>
    </row>
    <row r="2" spans="1:15" ht="19.5" customHeight="1">
      <c r="A2" s="65" t="s">
        <v>2</v>
      </c>
      <c r="B2" s="65"/>
      <c r="C2" s="5">
        <f>SUM(C4:C79)</f>
        <v>231582</v>
      </c>
      <c r="D2" s="5">
        <f>SUM(D4:D79)</f>
        <v>405866.15960000001</v>
      </c>
      <c r="E2" s="5">
        <f>C2-D2</f>
        <v>-174284.15960000001</v>
      </c>
      <c r="F2" s="6">
        <f>IFERROR(E2/D2, 0)</f>
        <v>-0.42941288766662677</v>
      </c>
      <c r="G2" s="5">
        <f>SUM(G4:G79)</f>
        <v>377886.4</v>
      </c>
      <c r="H2" s="7">
        <f>C2-G2</f>
        <v>-146304.40000000002</v>
      </c>
      <c r="I2" s="6">
        <f>IFERROR(H2/G2, 0)</f>
        <v>-0.38716503160738258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61" t="s">
        <v>49</v>
      </c>
    </row>
    <row r="4" spans="1:15" ht="100.9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231582</v>
      </c>
      <c r="D4" s="12">
        <v>405866.15960000001</v>
      </c>
      <c r="E4" s="12">
        <f>IF(AND(ISNUMBER(C4),ISNUMBER(D4)), C4-D4, "")</f>
        <v>-174284.15960000001</v>
      </c>
      <c r="F4" s="13">
        <f>IFERROR(E4/D4, "")</f>
        <v>-0.42941288766662677</v>
      </c>
      <c r="G4" s="14">
        <v>377886.4</v>
      </c>
      <c r="H4" s="14">
        <f>IF(AND(ISNUMBER(C4),ISNUMBER(G4)), C4-G4, "")</f>
        <v>-146304.40000000002</v>
      </c>
      <c r="I4" s="15">
        <f>IFERROR(H4/G4, "")</f>
        <v>-0.38716503160738258</v>
      </c>
      <c r="J4" s="36" t="s">
        <v>50</v>
      </c>
      <c r="K4" s="58" t="s">
        <v>51</v>
      </c>
      <c r="L4" s="36" t="s">
        <v>52</v>
      </c>
      <c r="M4" s="59" t="s">
        <v>41</v>
      </c>
      <c r="N4" s="60" t="s">
        <v>36</v>
      </c>
      <c r="O4" s="60" t="s">
        <v>53</v>
      </c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  <row r="321" spans="3:12" ht="14.45">
      <c r="C321" s="20"/>
      <c r="D321" s="20"/>
      <c r="E321" s="20"/>
      <c r="F321" s="21"/>
      <c r="G321" s="20"/>
      <c r="H321" s="20"/>
      <c r="I321" s="21"/>
      <c r="J321" s="20"/>
      <c r="K321" s="20"/>
      <c r="L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hyperlinks>
    <hyperlink ref="K4" r:id="rId1" display="https://us3.assetplanner.com/service_request?ID=097964" xr:uid="{606C68DF-E038-4791-9CD1-8D351999641A}"/>
    <hyperlink ref="M4" r:id="rId2" display="https://us3.assetplanner.com/service_request?ID=106854" xr:uid="{22015091-349E-4FA3-9DE8-16023C2C4596}"/>
    <hyperlink ref="N4" r:id="rId3" display="https://us3.assetplanner.com/service_request?ID=105456" xr:uid="{40DF71ED-0C4F-48F8-97C5-555481D0CE1F}"/>
    <hyperlink ref="O4" r:id="rId4" display="https://us3.assetplanner.com/service_request?ID=109924" xr:uid="{ABBF3350-D183-47E9-ADE2-B7CC9583393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54</v>
      </c>
      <c r="E1" s="64"/>
      <c r="F1" s="64"/>
      <c r="G1" s="62" t="s">
        <v>55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56</v>
      </c>
      <c r="E1" s="64"/>
      <c r="F1" s="64"/>
      <c r="G1" s="62" t="s">
        <v>57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B4" activePane="bottomLeft" state="frozen"/>
      <selection pane="bottomLeft" activeCell="C15" sqref="C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44" t="s">
        <v>63</v>
      </c>
      <c r="B4" t="s">
        <v>64</v>
      </c>
      <c r="C4" s="42" t="s">
        <v>65</v>
      </c>
      <c r="D4" s="41" t="s">
        <v>66</v>
      </c>
      <c r="E4" t="s">
        <v>67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E2592A17-3DDF-4CC9-AE3B-25FB112FEDC5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2025-11-26T12:37:31Z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