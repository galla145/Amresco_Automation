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1" documentId="13_ncr:1_{164E64B7-500F-40DB-9DE8-FABFC3580283}" xr6:coauthVersionLast="47" xr6:coauthVersionMax="47" xr10:uidLastSave="{042E4A68-EA40-4FF4-A2CE-DA8CAA2EBEF0}"/>
  <bookViews>
    <workbookView xWindow="-108" yWindow="-108" windowWidth="23256" windowHeight="13896" tabRatio="866" firstSheet="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0" l="1"/>
  <c r="D6" i="30"/>
  <c r="D7" i="30"/>
  <c r="D8" i="30"/>
  <c r="D9" i="30"/>
  <c r="D10" i="30"/>
  <c r="D11" i="30"/>
  <c r="D12" i="30"/>
  <c r="D13" i="30"/>
  <c r="D14" i="30"/>
  <c r="D15" i="30"/>
  <c r="D16" i="30"/>
  <c r="D17" i="30"/>
  <c r="D18" i="30"/>
  <c r="D19" i="30"/>
  <c r="D20" i="30"/>
  <c r="D21" i="30"/>
  <c r="D22" i="30"/>
  <c r="D23" i="30"/>
  <c r="D4" i="30"/>
  <c r="C23" i="30"/>
  <c r="E23" i="30"/>
  <c r="F23" i="30"/>
  <c r="G23" i="30"/>
  <c r="H23" i="30"/>
  <c r="I23" i="30"/>
  <c r="J23" i="30"/>
  <c r="K23" i="30"/>
  <c r="E23" i="31"/>
  <c r="J6" i="31"/>
  <c r="J7" i="31"/>
  <c r="J8" i="31"/>
  <c r="K8" i="31" s="1"/>
  <c r="J9" i="31"/>
  <c r="J10" i="31"/>
  <c r="J11" i="31"/>
  <c r="K11" i="31" s="1"/>
  <c r="J12" i="31"/>
  <c r="K12" i="31" s="1"/>
  <c r="J13" i="31"/>
  <c r="K13" i="31" s="1"/>
  <c r="J14" i="31"/>
  <c r="K14" i="31" s="1"/>
  <c r="J15" i="31"/>
  <c r="K15" i="31" s="1"/>
  <c r="J16" i="31"/>
  <c r="K16" i="31" s="1"/>
  <c r="J17" i="31"/>
  <c r="K17" i="31" s="1"/>
  <c r="J18" i="31"/>
  <c r="K18" i="31" s="1"/>
  <c r="J19" i="31"/>
  <c r="K19" i="31" s="1"/>
  <c r="J20" i="31"/>
  <c r="K20" i="31" s="1"/>
  <c r="J21" i="31"/>
  <c r="J22" i="31"/>
  <c r="J23" i="31"/>
  <c r="K23" i="31" s="1"/>
  <c r="J5" i="31"/>
  <c r="K5" i="31" s="1"/>
  <c r="J4" i="31"/>
  <c r="G6" i="31"/>
  <c r="G7" i="31"/>
  <c r="G8" i="31"/>
  <c r="H8" i="31" s="1"/>
  <c r="G9" i="31"/>
  <c r="H9" i="31" s="1"/>
  <c r="G10" i="31"/>
  <c r="H10" i="31" s="1"/>
  <c r="G11" i="31"/>
  <c r="H11" i="31" s="1"/>
  <c r="G12" i="31"/>
  <c r="H12" i="31" s="1"/>
  <c r="G13" i="31"/>
  <c r="H13" i="31" s="1"/>
  <c r="G14" i="31"/>
  <c r="H14" i="31" s="1"/>
  <c r="G15" i="31"/>
  <c r="H15" i="31" s="1"/>
  <c r="G16" i="31"/>
  <c r="H16" i="31" s="1"/>
  <c r="G17" i="31"/>
  <c r="G18" i="31"/>
  <c r="G19" i="31"/>
  <c r="G20" i="31"/>
  <c r="H20" i="31" s="1"/>
  <c r="G21" i="31"/>
  <c r="H21" i="31" s="1"/>
  <c r="G22" i="31"/>
  <c r="G23" i="31"/>
  <c r="H23" i="31" s="1"/>
  <c r="G5" i="31"/>
  <c r="H5" i="31" s="1"/>
  <c r="G4" i="31"/>
  <c r="H4" i="31" s="1"/>
  <c r="E22" i="31"/>
  <c r="E21" i="31"/>
  <c r="E20" i="31"/>
  <c r="E19" i="31"/>
  <c r="E18" i="31"/>
  <c r="E17" i="31"/>
  <c r="E16" i="31"/>
  <c r="E15" i="31"/>
  <c r="E14" i="31"/>
  <c r="E13" i="31"/>
  <c r="E12" i="31"/>
  <c r="E11" i="31"/>
  <c r="E10" i="31"/>
  <c r="E9" i="31"/>
  <c r="E8" i="31"/>
  <c r="E7" i="31"/>
  <c r="E6" i="31"/>
  <c r="E5" i="31"/>
  <c r="E4" i="31"/>
  <c r="D2" i="31"/>
  <c r="L6" i="28"/>
  <c r="L7" i="28"/>
  <c r="L8" i="28"/>
  <c r="L9" i="28"/>
  <c r="L10" i="28"/>
  <c r="L11" i="28"/>
  <c r="L12" i="28"/>
  <c r="L13" i="28"/>
  <c r="L14" i="28"/>
  <c r="L15" i="28"/>
  <c r="L16" i="28"/>
  <c r="L17" i="28"/>
  <c r="L18" i="28"/>
  <c r="L19" i="28"/>
  <c r="L20" i="28"/>
  <c r="L21" i="28"/>
  <c r="L22" i="28"/>
  <c r="L23" i="28"/>
  <c r="L5" i="28"/>
  <c r="L4" i="28"/>
  <c r="K4" i="27"/>
  <c r="K23" i="28"/>
  <c r="H23" i="28"/>
  <c r="E23" i="28"/>
  <c r="I6" i="28"/>
  <c r="I7" i="28"/>
  <c r="I8" i="28"/>
  <c r="I9" i="28"/>
  <c r="I10" i="28"/>
  <c r="I11" i="28"/>
  <c r="I12" i="28"/>
  <c r="I13" i="28"/>
  <c r="I14" i="28"/>
  <c r="I15" i="28"/>
  <c r="I23" i="28"/>
  <c r="I5" i="28"/>
  <c r="I4" i="28"/>
  <c r="F6" i="28"/>
  <c r="F7" i="28"/>
  <c r="F8" i="28"/>
  <c r="F9" i="28"/>
  <c r="F10" i="28"/>
  <c r="F11" i="28"/>
  <c r="F12" i="28"/>
  <c r="F13" i="28"/>
  <c r="F14" i="28"/>
  <c r="F15" i="28"/>
  <c r="F16" i="28"/>
  <c r="F17" i="28"/>
  <c r="F18" i="28"/>
  <c r="F19" i="28"/>
  <c r="F20" i="28"/>
  <c r="F21" i="28"/>
  <c r="F22" i="28"/>
  <c r="F5" i="28"/>
  <c r="F4" i="28"/>
  <c r="F2" i="1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I23" i="34"/>
  <c r="D5" i="29"/>
  <c r="D6" i="29"/>
  <c r="D7" i="29"/>
  <c r="D8" i="29"/>
  <c r="D9" i="29"/>
  <c r="D10" i="29"/>
  <c r="D11" i="29"/>
  <c r="D12" i="29"/>
  <c r="D13" i="29"/>
  <c r="D14" i="29"/>
  <c r="D15" i="29"/>
  <c r="D16" i="29"/>
  <c r="D17" i="29"/>
  <c r="D18" i="29"/>
  <c r="D19" i="29"/>
  <c r="D20" i="29"/>
  <c r="D21" i="29"/>
  <c r="D22" i="29"/>
  <c r="D23"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E23" i="18"/>
  <c r="C6" i="29"/>
  <c r="E6" i="29"/>
  <c r="G6" i="29"/>
  <c r="H6" i="29"/>
  <c r="J6" i="29"/>
  <c r="C7" i="29"/>
  <c r="E7" i="29" s="1"/>
  <c r="C8" i="29"/>
  <c r="G8" i="29"/>
  <c r="H8" i="29" s="1"/>
  <c r="C9" i="29"/>
  <c r="J9" i="29" s="1"/>
  <c r="C10" i="29"/>
  <c r="J10" i="29" s="1"/>
  <c r="C11" i="29"/>
  <c r="G11" i="29"/>
  <c r="H11" i="29"/>
  <c r="C12" i="29"/>
  <c r="G12" i="29"/>
  <c r="H12" i="29" s="1"/>
  <c r="C13" i="29"/>
  <c r="G13" i="29"/>
  <c r="H13" i="29"/>
  <c r="C14" i="29"/>
  <c r="G14" i="29"/>
  <c r="H14" i="29" s="1"/>
  <c r="C15" i="29"/>
  <c r="C16" i="29"/>
  <c r="C17" i="29"/>
  <c r="C18" i="29"/>
  <c r="C19" i="29"/>
  <c r="C20" i="29"/>
  <c r="C21" i="29"/>
  <c r="E21" i="29" s="1"/>
  <c r="G21" i="29"/>
  <c r="H21" i="29"/>
  <c r="J21" i="29"/>
  <c r="K21" i="29"/>
  <c r="C22" i="29"/>
  <c r="J22" i="29" s="1"/>
  <c r="E22" i="29"/>
  <c r="G22" i="29"/>
  <c r="H22" i="29" s="1"/>
  <c r="C23" i="29"/>
  <c r="G23" i="29"/>
  <c r="H23" i="29"/>
  <c r="J23" i="29"/>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C23" i="34"/>
  <c r="F23" i="34"/>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D2" i="32"/>
  <c r="K22" i="32"/>
  <c r="H22" i="32"/>
  <c r="C2" i="31"/>
  <c r="L2" i="31" s="1"/>
  <c r="K22" i="31"/>
  <c r="H22" i="31"/>
  <c r="D2" i="28"/>
  <c r="K22" i="28"/>
  <c r="H22" i="28"/>
  <c r="I22" i="28"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F16" i="30"/>
  <c r="C17" i="30"/>
  <c r="E17" i="30" s="1"/>
  <c r="F17" i="30"/>
  <c r="C18" i="30"/>
  <c r="F18" i="30"/>
  <c r="C19" i="30"/>
  <c r="E19" i="30" s="1"/>
  <c r="F19" i="30"/>
  <c r="C20" i="30"/>
  <c r="F20" i="30"/>
  <c r="C21" i="30"/>
  <c r="E21" i="30" s="1"/>
  <c r="F21" i="30"/>
  <c r="C16" i="18"/>
  <c r="F16" i="18"/>
  <c r="C17" i="18"/>
  <c r="F17" i="18"/>
  <c r="C18" i="18"/>
  <c r="F18" i="18"/>
  <c r="C19" i="18"/>
  <c r="F19" i="18"/>
  <c r="C20" i="18"/>
  <c r="F20" i="18"/>
  <c r="C21" i="18"/>
  <c r="E21" i="18" s="1"/>
  <c r="F21" i="18"/>
  <c r="C16" i="1"/>
  <c r="C17" i="1"/>
  <c r="C18" i="1"/>
  <c r="C19" i="1"/>
  <c r="C20" i="1"/>
  <c r="C21" i="1"/>
  <c r="H16" i="33"/>
  <c r="I16" i="30"/>
  <c r="H17" i="33"/>
  <c r="I17" i="30"/>
  <c r="H18" i="33"/>
  <c r="K18" i="33"/>
  <c r="H19" i="33"/>
  <c r="I19" i="30"/>
  <c r="H20" i="33"/>
  <c r="I20" i="30"/>
  <c r="G21" i="30"/>
  <c r="K21" i="33"/>
  <c r="H16" i="32"/>
  <c r="K16" i="32"/>
  <c r="H17" i="32"/>
  <c r="K17" i="32"/>
  <c r="H18" i="32"/>
  <c r="K18" i="32"/>
  <c r="H19" i="32"/>
  <c r="K19" i="32"/>
  <c r="H20" i="32"/>
  <c r="K20" i="32"/>
  <c r="H21" i="32"/>
  <c r="K21" i="32"/>
  <c r="H17" i="31"/>
  <c r="H18" i="31"/>
  <c r="H19" i="31"/>
  <c r="K21" i="31"/>
  <c r="H16" i="28"/>
  <c r="I16" i="28" s="1"/>
  <c r="K16" i="28"/>
  <c r="H17" i="28"/>
  <c r="I17" i="28" s="1"/>
  <c r="K17" i="28"/>
  <c r="H18" i="28"/>
  <c r="I18" i="28" s="1"/>
  <c r="K18" i="28"/>
  <c r="H19" i="28"/>
  <c r="I19" i="28" s="1"/>
  <c r="K19" i="28"/>
  <c r="H20" i="28"/>
  <c r="I20" i="28" s="1"/>
  <c r="K20" i="28"/>
  <c r="H21" i="28"/>
  <c r="I21" i="28" s="1"/>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F15" i="30"/>
  <c r="C15" i="30"/>
  <c r="E15" i="30" s="1"/>
  <c r="F14" i="30"/>
  <c r="C14" i="30"/>
  <c r="F13" i="30"/>
  <c r="C13" i="30"/>
  <c r="E13" i="30" s="1"/>
  <c r="F12" i="30"/>
  <c r="C12" i="30"/>
  <c r="F11" i="30"/>
  <c r="C11" i="30"/>
  <c r="E11" i="30" s="1"/>
  <c r="F10" i="30"/>
  <c r="C10" i="30"/>
  <c r="F9" i="30"/>
  <c r="C9" i="30"/>
  <c r="E9" i="30" s="1"/>
  <c r="F8" i="30"/>
  <c r="C8" i="30"/>
  <c r="F7" i="30"/>
  <c r="C7" i="30"/>
  <c r="E7" i="30" s="1"/>
  <c r="F6" i="30"/>
  <c r="C6" i="30"/>
  <c r="F5" i="30"/>
  <c r="C5" i="30"/>
  <c r="E5" i="30" s="1"/>
  <c r="F4"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0" i="31"/>
  <c r="K9" i="31"/>
  <c r="K7" i="31"/>
  <c r="H7" i="31"/>
  <c r="K6" i="31"/>
  <c r="H6" i="31"/>
  <c r="K4" i="31"/>
  <c r="I2" i="31"/>
  <c r="F2" i="31"/>
  <c r="A1" i="31" a="1"/>
  <c r="A1" i="31" s="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M2" i="28"/>
  <c r="H2" i="28"/>
  <c r="I2" i="28" s="1"/>
  <c r="J2" i="27"/>
  <c r="K2" i="27" s="1"/>
  <c r="J2" i="26"/>
  <c r="K2" i="26"/>
  <c r="L2" i="26"/>
  <c r="M2" i="19"/>
  <c r="K20" i="72"/>
  <c r="K18" i="72"/>
  <c r="K19" i="72"/>
  <c r="K17" i="72"/>
  <c r="K9" i="26"/>
  <c r="K12" i="26"/>
  <c r="K7" i="26"/>
  <c r="J7" i="18"/>
  <c r="J10" i="1"/>
  <c r="K10" i="1" s="1"/>
  <c r="J6" i="1"/>
  <c r="G2" i="26"/>
  <c r="H2" i="26" s="1"/>
  <c r="J2" i="72"/>
  <c r="K2" i="72" s="1"/>
  <c r="G2" i="72"/>
  <c r="H2" i="72"/>
  <c r="E8" i="30" l="1"/>
  <c r="J2" i="31"/>
  <c r="K2" i="31" s="1"/>
  <c r="E16" i="30"/>
  <c r="E12" i="30"/>
  <c r="E10" i="30"/>
  <c r="E2" i="31"/>
  <c r="G2" i="31"/>
  <c r="H2" i="31" s="1"/>
  <c r="E22" i="30"/>
  <c r="E20" i="30"/>
  <c r="E4" i="30"/>
  <c r="E18" i="30"/>
  <c r="E6" i="30"/>
  <c r="E14" i="30"/>
  <c r="B4" i="31"/>
  <c r="I2" i="29"/>
  <c r="F2" i="29"/>
  <c r="K22" i="29"/>
  <c r="E20" i="29"/>
  <c r="J20" i="29"/>
  <c r="G20" i="29"/>
  <c r="H20" i="29" s="1"/>
  <c r="J18" i="29"/>
  <c r="G18" i="29"/>
  <c r="H18" i="29" s="1"/>
  <c r="J17" i="29"/>
  <c r="G17" i="29"/>
  <c r="H17" i="29" s="1"/>
  <c r="E15" i="29"/>
  <c r="G15" i="29"/>
  <c r="H15" i="29" s="1"/>
  <c r="E13" i="29"/>
  <c r="E11" i="29"/>
  <c r="K10" i="29"/>
  <c r="G10" i="29"/>
  <c r="H10" i="29" s="1"/>
  <c r="K9" i="29"/>
  <c r="G9" i="29"/>
  <c r="H9" i="29" s="1"/>
  <c r="E8" i="29"/>
  <c r="K6" i="29"/>
  <c r="K2" i="28"/>
  <c r="L2" i="28" s="1"/>
  <c r="E2" i="28"/>
  <c r="K23" i="29"/>
  <c r="J23" i="34"/>
  <c r="K23" i="34"/>
  <c r="G19" i="29"/>
  <c r="H19" i="29" s="1"/>
  <c r="J8" i="29"/>
  <c r="K16" i="1"/>
  <c r="G22" i="1"/>
  <c r="K17" i="1"/>
  <c r="K16" i="18"/>
  <c r="K18" i="18"/>
  <c r="J19" i="29"/>
  <c r="E14" i="29"/>
  <c r="E10" i="29"/>
  <c r="J7" i="29"/>
  <c r="J14" i="29"/>
  <c r="J16" i="29"/>
  <c r="D16" i="34"/>
  <c r="J13" i="29"/>
  <c r="G7" i="29"/>
  <c r="H7" i="29" s="1"/>
  <c r="J15" i="29"/>
  <c r="E18" i="29"/>
  <c r="E9" i="29"/>
  <c r="J12" i="29"/>
  <c r="E19" i="29"/>
  <c r="G16" i="29"/>
  <c r="H16" i="29" s="1"/>
  <c r="E17" i="29"/>
  <c r="E12" i="29"/>
  <c r="J11" i="29"/>
  <c r="E16" i="29"/>
  <c r="D23" i="34"/>
  <c r="E23" i="34" s="1"/>
  <c r="D15" i="34"/>
  <c r="D17" i="34"/>
  <c r="L2" i="27"/>
  <c r="E2" i="27"/>
  <c r="B4" i="27"/>
  <c r="J4" i="29"/>
  <c r="G4" i="29"/>
  <c r="H4" i="29" s="1"/>
  <c r="E5" i="29"/>
  <c r="J5" i="29"/>
  <c r="G2" i="27"/>
  <c r="H2" i="27" s="1"/>
  <c r="G23" i="34"/>
  <c r="H23" i="34" s="1"/>
  <c r="E23" i="29"/>
  <c r="B4" i="26"/>
  <c r="G5" i="29"/>
  <c r="H5" i="29" s="1"/>
  <c r="E4" i="29"/>
  <c r="D2"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D2" i="30"/>
  <c r="C2" i="29"/>
  <c r="J2" i="29" s="1"/>
  <c r="D2" i="18"/>
  <c r="G6" i="18"/>
  <c r="H6" i="18" s="1"/>
  <c r="E17" i="18"/>
  <c r="E18" i="18"/>
  <c r="G7" i="18"/>
  <c r="H7" i="18" s="1"/>
  <c r="E19" i="18"/>
  <c r="E20" i="1"/>
  <c r="E11" i="1"/>
  <c r="E19" i="1"/>
  <c r="E12" i="1"/>
  <c r="E13" i="1"/>
  <c r="E21" i="1"/>
  <c r="D2" i="1"/>
  <c r="G19" i="1"/>
  <c r="H19" i="1" s="1"/>
  <c r="C9" i="34"/>
  <c r="C13" i="34"/>
  <c r="C20" i="34"/>
  <c r="G10" i="1"/>
  <c r="H10" i="1" s="1"/>
  <c r="E22" i="1"/>
  <c r="C22" i="34"/>
  <c r="F2" i="1"/>
  <c r="G4" i="18"/>
  <c r="H4" i="18" s="1"/>
  <c r="I17" i="34"/>
  <c r="K8" i="18"/>
  <c r="F17" i="34"/>
  <c r="F22" i="34"/>
  <c r="F20" i="34"/>
  <c r="J8" i="1"/>
  <c r="K8" i="1" s="1"/>
  <c r="K15" i="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G22" i="30"/>
  <c r="H22" i="30" s="1"/>
  <c r="F10" i="34"/>
  <c r="F14" i="34"/>
  <c r="I20" i="34"/>
  <c r="J22" i="30"/>
  <c r="J22" i="34" s="1"/>
  <c r="C7" i="34"/>
  <c r="C11" i="34"/>
  <c r="I16" i="34"/>
  <c r="C19" i="34"/>
  <c r="F16" i="34"/>
  <c r="E2" i="32"/>
  <c r="M2" i="4"/>
  <c r="I13" i="34"/>
  <c r="C4" i="34"/>
  <c r="F7" i="34"/>
  <c r="F11" i="34"/>
  <c r="F15" i="34"/>
  <c r="G20" i="30"/>
  <c r="H20" i="30" s="1"/>
  <c r="F21" i="34"/>
  <c r="C16" i="34"/>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0" i="34" s="1"/>
  <c r="J14" i="30"/>
  <c r="K14" i="30" s="1"/>
  <c r="G8" i="30"/>
  <c r="H8" i="30" s="1"/>
  <c r="K16" i="33"/>
  <c r="J7" i="30"/>
  <c r="C8" i="34"/>
  <c r="G6" i="30"/>
  <c r="H6" i="30" s="1"/>
  <c r="I7" i="30"/>
  <c r="I7" i="34" s="1"/>
  <c r="I9" i="30"/>
  <c r="I9" i="34" s="1"/>
  <c r="H21" i="30"/>
  <c r="I4" i="30"/>
  <c r="I4" i="34" s="1"/>
  <c r="I21" i="30"/>
  <c r="I21" i="34" s="1"/>
  <c r="K14" i="33"/>
  <c r="J2" i="33"/>
  <c r="K2" i="33" s="1"/>
  <c r="G15" i="30"/>
  <c r="H15" i="30" s="1"/>
  <c r="K19" i="33"/>
  <c r="G18" i="30"/>
  <c r="H18" i="30" s="1"/>
  <c r="I5" i="30"/>
  <c r="I12" i="30"/>
  <c r="J6" i="30"/>
  <c r="J6" i="34" s="1"/>
  <c r="G9" i="30"/>
  <c r="H9" i="30" s="1"/>
  <c r="G14" i="30"/>
  <c r="H14" i="30" s="1"/>
  <c r="I11" i="30"/>
  <c r="J15" i="30"/>
  <c r="K15" i="30" s="1"/>
  <c r="I10" i="30"/>
  <c r="I10" i="34" s="1"/>
  <c r="J21" i="30"/>
  <c r="J21" i="34" s="1"/>
  <c r="J4" i="30"/>
  <c r="G16" i="30"/>
  <c r="H16" i="30" s="1"/>
  <c r="C18" i="34"/>
  <c r="B4" i="33"/>
  <c r="I6" i="30"/>
  <c r="I6" i="34" s="1"/>
  <c r="J9" i="30"/>
  <c r="J9" i="34" s="1"/>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K6" i="34" l="1"/>
  <c r="E16" i="34"/>
  <c r="J5" i="34"/>
  <c r="K20" i="29"/>
  <c r="J20" i="34"/>
  <c r="K20" i="34" s="1"/>
  <c r="K19" i="29"/>
  <c r="J19" i="34"/>
  <c r="K19" i="34" s="1"/>
  <c r="K18" i="29"/>
  <c r="J18" i="34"/>
  <c r="K18" i="34" s="1"/>
  <c r="K17" i="29"/>
  <c r="J17" i="34"/>
  <c r="K17" i="34" s="1"/>
  <c r="K16" i="29"/>
  <c r="J16" i="34"/>
  <c r="K16" i="34" s="1"/>
  <c r="K15" i="29"/>
  <c r="J15" i="34"/>
  <c r="K15" i="34" s="1"/>
  <c r="K14" i="29"/>
  <c r="J14" i="34"/>
  <c r="K13" i="29"/>
  <c r="J13" i="34"/>
  <c r="K12" i="29"/>
  <c r="J12" i="34"/>
  <c r="K11" i="29"/>
  <c r="J11" i="34"/>
  <c r="K8" i="29"/>
  <c r="J8" i="34"/>
  <c r="K8" i="34" s="1"/>
  <c r="K7" i="29"/>
  <c r="J7" i="34"/>
  <c r="K7" i="34" s="1"/>
  <c r="G2" i="29"/>
  <c r="H2" i="29" s="1"/>
  <c r="E11" i="34"/>
  <c r="K10" i="34"/>
  <c r="E19" i="34"/>
  <c r="K9" i="34"/>
  <c r="E17" i="34"/>
  <c r="K22" i="34"/>
  <c r="E15" i="34"/>
  <c r="E5" i="34"/>
  <c r="E7" i="34"/>
  <c r="E9" i="34"/>
  <c r="E14" i="34"/>
  <c r="E13" i="34"/>
  <c r="E8" i="34"/>
  <c r="E21" i="34"/>
  <c r="E2" i="29"/>
  <c r="E4" i="34"/>
  <c r="E22" i="34"/>
  <c r="D2" i="34"/>
  <c r="E18" i="34"/>
  <c r="E10" i="34"/>
  <c r="E6" i="34"/>
  <c r="G9" i="34"/>
  <c r="H9" i="34" s="1"/>
  <c r="E12" i="34"/>
  <c r="K14" i="34"/>
  <c r="K21" i="34"/>
  <c r="G13" i="34"/>
  <c r="H13" i="34" s="1"/>
  <c r="G6" i="34"/>
  <c r="H6" i="34" s="1"/>
  <c r="G20" i="34"/>
  <c r="H20" i="34" s="1"/>
  <c r="E20" i="34"/>
  <c r="E2" i="30"/>
  <c r="G7" i="34"/>
  <c r="H7" i="34" s="1"/>
  <c r="E2" i="18"/>
  <c r="G17" i="34"/>
  <c r="H17" i="34" s="1"/>
  <c r="G11" i="34"/>
  <c r="H11" i="34" s="1"/>
  <c r="G22" i="34"/>
  <c r="H22" i="34" s="1"/>
  <c r="G16" i="34"/>
  <c r="H16" i="34" s="1"/>
  <c r="G19" i="34"/>
  <c r="H19" i="34" s="1"/>
  <c r="J2" i="18"/>
  <c r="K2" i="18" s="1"/>
  <c r="E2" i="1"/>
  <c r="G21" i="34"/>
  <c r="H21" i="34" s="1"/>
  <c r="G18" i="34"/>
  <c r="H18" i="34" s="1"/>
  <c r="G5" i="34"/>
  <c r="H5" i="34" s="1"/>
  <c r="G8" i="34"/>
  <c r="H8" i="34" s="1"/>
  <c r="K2" i="29"/>
  <c r="G10" i="34"/>
  <c r="H10" i="34" s="1"/>
  <c r="K13" i="34"/>
  <c r="I11" i="34"/>
  <c r="G14" i="34"/>
  <c r="H14" i="34" s="1"/>
  <c r="J2" i="1"/>
  <c r="K2" i="1" s="1"/>
  <c r="G2" i="1"/>
  <c r="H2" i="1" s="1"/>
  <c r="G15" i="34"/>
  <c r="H15" i="34" s="1"/>
  <c r="G12" i="34"/>
  <c r="H12" i="34" s="1"/>
  <c r="I12" i="34"/>
  <c r="G2" i="18"/>
  <c r="H2" i="18" s="1"/>
  <c r="K18" i="30"/>
  <c r="K10" i="30"/>
  <c r="K8" i="30"/>
  <c r="K22" i="30"/>
  <c r="K21" i="30"/>
  <c r="K11" i="30"/>
  <c r="K9" i="30"/>
  <c r="K7" i="30"/>
  <c r="K4" i="30"/>
  <c r="C2" i="34"/>
  <c r="K5" i="30"/>
  <c r="I5" i="34"/>
  <c r="I2" i="30"/>
  <c r="J2" i="30" s="1"/>
  <c r="K2" i="30" s="1"/>
  <c r="K12" i="30"/>
  <c r="K6" i="30"/>
  <c r="G2" i="30"/>
  <c r="H2" i="30" s="1"/>
  <c r="G4" i="34"/>
  <c r="H4" i="34" s="1"/>
  <c r="F2" i="34"/>
  <c r="K12" i="34" l="1"/>
  <c r="K11" i="34"/>
  <c r="E2" i="34"/>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<sst xmlns="http://schemas.openxmlformats.org/spreadsheetml/2006/main" count="676" uniqueCount="375">
  <si>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</si>
  <si>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</si>
  <si>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</si>
  <si>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</si>
  <si>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</si>
  <si>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</si>
  <si>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</si>
  <si>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</si>
  <si>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</si>
  <si>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</si>
  <si>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</si>
  <si>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</si>
  <si>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</si>
  <si>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</si>
  <si>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</si>
  <si>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</si>
  <si>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</si>
  <si>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</si>
  <si>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</si>
  <si>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</si>
  <si>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</si>
  <si>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</si>
  <si>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</si>
  <si>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</si>
  <si>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</si>
  <si>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</si>
  <si>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</si>
  <si>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</si>
  <si>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</si>
  <si>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</si>
  <si>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</si>
  <si>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</si>
  <si>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</si>
  <si>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</si>
  <si>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</si>
  <si>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</si>
  <si>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</si>
  <si>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</si>
  <si>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</si>
  <si>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</si>
  <si>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</si>
  <si>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</si>
  <si>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</si>
  <si>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</si>
  <si>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</si>
  <si>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</si>
  <si>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</si>
  <si>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</si>
  <si>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</si>
  <si>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</si>
  <si>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</si>
  <si>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</si>
  <si>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</si>
  <si>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</si>
  <si>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</si>
  <si>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</si>
  <si>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</si>
  <si>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</si>
  <si>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</si>
  <si>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</si>
  <si>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</si>
  <si>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</si>
  <si>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</si>
  <si>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</si>
  <si>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</si>
  <si>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</si>
  <si>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</si>
  <si>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</si>
  <si>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</si>
  <si>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</si>
  <si>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</si>
  <si>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</si>
  <si>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</si>
  <si>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</si>
  <si>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</si>
  <si>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</si>
  <si>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</si>
  <si>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</si>
  <si>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</si>
  <si>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</si>
  <si>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</si>
  <si>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</si>
  <si>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</si>
  <si>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</si>
  <si>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</si>
  <si>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</si>
  <si>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</si>
  <si>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</si>
  <si>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</si>
  <si>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</si>
  <si>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</si>
  <si>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</si>
  <si>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</si>
  <si>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</si>
  <si>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</si>
  <si>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</si>
  <si>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</si>
  <si>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</si>
  <si>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</si>
  <si>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</si>
  <si>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</si>
  <si>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</si>
  <si>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</si>
  <si>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</si>
  <si>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</si>
  <si>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</si>
  <si>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</si>
  <si>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</si>
  <si>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</si>
  <si>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</si>
  <si>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</si>
  <si>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</si>
  <si>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</si>
  <si>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</si>
  <si>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</si>
  <si>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</si>
  <si>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</si>
  <si>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</si>
  <si>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</si>
  <si>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</si>
  <si>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</si>
  <si>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</si>
  <si>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</si>
  <si>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</si>
  <si>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</si>
  <si>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</si>
  <si>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</si>
  <si>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</si>
  <si>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</si>
  <si>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</si>
  <si>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</si>
  <si>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</si>
  <si>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</si>
  <si>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</si>
  <si>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</si>
  <si>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</si>
  <si>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</si>
  <si>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</si>
  <si>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</si>
  <si>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</si>
  <si>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</si>
  <si>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</si>
  <si>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</si>
  <si>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</si>
  <si>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</si>
  <si>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</si>
  <si>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</si>
  <si>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</si>
  <si>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</si>
  <si>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</si>
  <si>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</si>
  <si>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</si>
  <si>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</si>
  <si>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</si>
  <si>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</si>
  <si>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</si>
  <si>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</si>
  <si>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</si>
  <si>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</si>
  <si>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</si>
  <si>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</si>
  <si>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</si>
  <si>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</si>
  <si>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</si>
  <si>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</si>
  <si>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</si>
  <si>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</si>
  <si>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</si>
  <si>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</si>
  <si>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</si>
  <si>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</si>
  <si>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</si>
  <si>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</si>
  <si>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</si>
  <si>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</si>
  <si>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</si>
  <si>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</si>
  <si>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</si>
  <si>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</si>
  <si>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</si>
  <si>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</si>
  <si>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</si>
  <si>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</si>
  <si>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</si>
  <si>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</si>
  <si>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</si>
  <si>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</si>
  <si>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</si>
  <si>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</si>
  <si>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</si>
  <si>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</si>
  <si>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</si>
  <si>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</si>
  <si>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</si>
  <si>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</si>
  <si>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</si>
  <si>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</si>
  <si>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</si>
  <si>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</si>
  <si>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</si>
  <si>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</si>
  <si>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</si>
  <si>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</si>
  <si>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</si>
  <si>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</si>
  <si>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</si>
  <si>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</si>
  <si>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</si>
  <si>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</si>
  <si>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</si>
  <si>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</si>
  <si>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</si>
  <si>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</si>
  <si>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</si>
  <si>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</si>
  <si>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</si>
  <si>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</si>
  <si>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</si>
  <si>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</si>
  <si>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</si>
  <si>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</si>
  <si>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</si>
  <si>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</si>
  <si>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</si>
  <si>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</si>
  <si>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</si>
  <si>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</si>
  <si>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</si>
  <si>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</si>
  <si>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</si>
  <si>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</si>
  <si>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</si>
  <si>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</si>
  <si>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</si>
  <si>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</si>
  <si>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</si>
  <si>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</si>
  <si>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</si>
  <si>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</si>
  <si>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</si>
  <si>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</si>
  <si>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</si>
  <si>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</si>
  <si>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</si>
  <si>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</si>
  <si>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</si>
  <si>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</si>
  <si>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</si>
  <si>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</si>
  <si>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</si>
  <si>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</si>
  <si>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</si>
  <si>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</si>
  <si>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</si>
  <si>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</si>
  <si>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</si>
  <si>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</si>
  <si>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</si>
  <si>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</si>
  <si>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</si>
  <si>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</si>
  <si>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</si>
  <si>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</si>
  <si>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</si>
  <si>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</si>
  <si>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</si>
  <si>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</si>
  <si>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</si>
  <si>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</si>
  <si>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</si>
  <si>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</si>
  <si>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1. Inverter 1 was offline from 21:45 on 08/26 and came back online at 12:05 on 09/11.</t>
  </si>
  <si>
    <t>1. SR107034</t>
  </si>
  <si>
    <t>1.Weather station fluctuating alternate days on 09/03, 09/10 ,09/ 11 , 09/18 to 09/20 , 09/25,09/26 , 09/30 due to incosistent weather</t>
  </si>
  <si>
    <t xml:space="preserve">1. All inverters experiencing shading issue during evening hours.
2. Inverter 4 tripped offline at 10:00 on 09/07 and came back online at 06:30 on 09/08. It tripped offline again at 08:15 on 09/09 and came back online at 07:00 on 09/10. The inverter went offline again on 09/19 and came back online at 07:00 on 09/20, then went offline again on 09/25 and came back online at 07:00 on 09/26. It went offline once more on 09/30.
3. Inverter 5 was offline from 06:30 to 15:30 on 09/07, inverter tripped offline at 14:45 on 09/09 and came back online at 08:00 on 09/10, inverter again tripped offline at 12:15 on 09/10 and came back online at 17:30 on 09/10, inverter went offline on 09/19 and came back online at 10:15 on 09/20, inverter started for production late at 13:45 on 09/26. </t>
  </si>
  <si>
    <t>1. SR105795
2. SR106807, SR108584
3. SR108619, SR106807</t>
  </si>
  <si>
    <t>SR108584</t>
  </si>
  <si>
    <t>SR108619</t>
  </si>
  <si>
    <t>1. Inverters 5 is underperforming by 3 kW. On 07/24 . The powerhead on Inverter 5 needs to be RMA'd.
2. Inverter 17 tripped offline at 12:10 on 09/09 and came back online at 10:00 on 09/10. Since 09/18, it has been intermittently tripping on and offline daily and remained offline for several hours on 09/23.</t>
  </si>
  <si>
    <t>1. SR099433, SR104106, SR105254
2. SR107710</t>
  </si>
  <si>
    <t>SR107710</t>
  </si>
  <si>
    <t>1.Weather sttaion lost communication on 09/05 at 12:05 and came back online on 09/15 at 12:05</t>
  </si>
  <si>
    <t>1. Inverter 5-1 was down a string from 12:00 on 08/14 and resumed operating along with its peers from 18:10 on 09/24.</t>
  </si>
  <si>
    <t>1. SR107053</t>
  </si>
  <si>
    <t>1. Inverter 5.4 didn't start for production and reporting " ARC Protection" since 02/22/25 and it's under RMA'd.
2. Inverter 1.3 is underperforming by about 10 kW compared to its peers since 03/25/25.
3. Inverter 4.2 tripped offline at 12:15 on 09/16 and came back online at 15:00 on 09/24.</t>
  </si>
  <si>
    <t>1. SR097653
2. SR098986
3. SR108046</t>
  </si>
  <si>
    <t>SR108046</t>
  </si>
  <si>
    <t>1. All inverters experiencing morning shading issue.</t>
  </si>
  <si>
    <t>1. Inverter 12 experiencing morning to afternoon shading and inverter 14 had evening shading.</t>
  </si>
  <si>
    <t>1. Inverters 3 and 4 had morning shading.</t>
  </si>
  <si>
    <t>1. Inverter 3 was offline from 07:00 on 09/13 to 10:00 on 09/14.
2. Inverters 35 through 47 were offline for whole month and the breaker is LOTO's.
3. Meter 2 Phase A current is approximately 65 amps lower than the Phase B and C currents, resulting in an 18% variance between total inverter power and meter power. Waiting for parts.</t>
  </si>
  <si>
    <t>1. SR107928
2. SR107287
3. SR100428, SR104327</t>
  </si>
  <si>
    <t>SR107287</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</si>
  <si>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</si>
  <si>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4.1 was offline from 12:45 on 09/23 to end of the month.
2. Inverter 5.3 was derating intermittently.</t>
  </si>
  <si>
    <t>1. SR108432
2. SR106356</t>
  </si>
  <si>
    <t>Production VS Actual</t>
  </si>
  <si>
    <t>October Actual v. Expected</t>
  </si>
  <si>
    <t>October Actual v. Forecasted</t>
  </si>
  <si>
    <t>Status</t>
  </si>
  <si>
    <t>1. Inverter 2 was offline from 13:00 to 19:00 on 10/08.</t>
  </si>
  <si>
    <t>1. SR109230</t>
  </si>
  <si>
    <t>1. Closed</t>
  </si>
  <si>
    <t>1. Production meter reporting energy spikes due to which actual energy value is affected possibly the issue is due to migration of these site from Locus to AE. Reached out to AlsoEnergy (Case # 623267)</t>
  </si>
  <si>
    <t>1. Inverter 1.4 was underperformed by 5 kW for whole month.</t>
  </si>
  <si>
    <t>1. SR108382</t>
  </si>
  <si>
    <t>1. Pending</t>
  </si>
  <si>
    <t>1. Inverter 7 was offline from 08:35 on 10/20 to 13:15 on 10/27.</t>
  </si>
  <si>
    <t>1. SR109754</t>
  </si>
  <si>
    <t>1. Inverter 4 was being RMA.
2. Inverter 5 was underproduced by 5kW for whole month.</t>
  </si>
  <si>
    <t>1. SR108584
2. SR108619</t>
  </si>
  <si>
    <t>1. Pending
2. Pending</t>
  </si>
  <si>
    <t>1. Inverter 10 and 11 has heavy shading at evening.
2. Inverter 6 being RMA'd.
3. Inverter 17 being RMA'd.
4. Inverter 14 being RMA'd.
5. Meter was not reporting full production of inverters for whole month.</t>
  </si>
  <si>
    <t>2. SR108914
3. SR107710
4. SR105254
5. SR106156</t>
  </si>
  <si>
    <t>2. Pending
3. Pending
4. Pending
5. Pending</t>
  </si>
  <si>
    <t>SR106156</t>
  </si>
  <si>
    <t>1. Inverter 5.4 was offline from 10/01 to 13:30 on 10/08.
2. Production meter reporting energy spikes due to which actual energy value is affected possibly the issue is due to migration of these site from Locus to AE. Reached out to AlsoEnergy (Case # 623267)</t>
  </si>
  <si>
    <t>1. Inverters 3 and 4 had morning shading.
2. Production meter reporting energy spikes due to which actual energy value is affected possibly the issue is due to migration of these site from Locus to AE. Reached out to AlsoEnergy (Case # 623267)</t>
  </si>
  <si>
    <t>1. Inverters 35 to 47 were offline for whole month and was LOTO'd.
2. Inverter 3 was tripping on and off from 010/07 to 10/16.
3. Production meter reporting energy spikes due to which actual energy value is affected possibly the issue is due to migration of these site from Locus to AE. Reached out to AlsoEnergy (Case # 623267)</t>
  </si>
  <si>
    <t>1. SR107287
2. SR109154</t>
  </si>
  <si>
    <t>1. Pending
2. Closed</t>
  </si>
  <si>
    <t>SR109154</t>
  </si>
  <si>
    <t>1. Inverter 5.3 was derating intermittently for whole month.
2. Inverter 4.1 was offline for whole month and being RMA'd.
3. Production meter reporting energy spikes due to which actual energy value is affected possibly the issue is due to migration of these site from Locus to AE. Reached out to AlsoEnergy (Case # 623267)</t>
  </si>
  <si>
    <t>1. SR106356
2. SR108432</t>
  </si>
  <si>
    <t>SR108432</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</si>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</sst>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3">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4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0" fillId="0" borderId="0" xfId="0" applyAlignment="1">
      <alignment horizontal="left" vertical="top" wrapText="1"/>
    </xf>
    <xf numFmtId="0" fontId="5" fillId="45" borderId="0" xfId="0" applyFont="1" applyFill="1" applyAlignment="1">
      <alignment horizontal="center" vertical="center"/>
    </xf>
    <xf numFmtId="0" fontId="39" fillId="0" borderId="0" xfId="45"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097653"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5795" TargetMode="External"/><Relationship Id="rId21" Type="http://schemas.openxmlformats.org/officeDocument/2006/relationships/hyperlink" Target="https://us3.assetplanner.com/service_request?ID=106356"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7053" TargetMode="External"/><Relationship Id="rId17"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099434" TargetMode="External"/><Relationship Id="rId16" Type="http://schemas.openxmlformats.org/officeDocument/2006/relationships/hyperlink" Target="https://us3.assetplanner.com/service_request?ID=107928" TargetMode="External"/><Relationship Id="rId20" Type="http://schemas.openxmlformats.org/officeDocument/2006/relationships/hyperlink" Target="https://us3.assetplanner.com/service_request?ID=108432" TargetMode="External"/><Relationship Id="rId1" Type="http://schemas.openxmlformats.org/officeDocument/2006/relationships/hyperlink" Target="https://us3.assetplanner.com/service_request?ID=1070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7710"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8046"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4327" TargetMode="External"/><Relationship Id="rId4" Type="http://schemas.openxmlformats.org/officeDocument/2006/relationships/hyperlink" Target="https://us3.assetplanner.com/service_request?ID=106807"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8986"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254" TargetMode="External"/><Relationship Id="rId13" Type="http://schemas.openxmlformats.org/officeDocument/2006/relationships/hyperlink" Target="https://us3.assetplanner.com/service_request?ID=106356" TargetMode="External"/><Relationship Id="rId3" Type="http://schemas.openxmlformats.org/officeDocument/2006/relationships/hyperlink" Target="https://us3.assetplanner.com/service_request?ID=109754" TargetMode="External"/><Relationship Id="rId7" Type="http://schemas.openxmlformats.org/officeDocument/2006/relationships/hyperlink" Target="https://us3.assetplanner.com/service_request?ID=107710" TargetMode="External"/><Relationship Id="rId12" Type="http://schemas.openxmlformats.org/officeDocument/2006/relationships/hyperlink" Target="https://us3.assetplanner.com/service_request?ID=109154" TargetMode="External"/><Relationship Id="rId2" Type="http://schemas.openxmlformats.org/officeDocument/2006/relationships/hyperlink" Target="https://us3.assetplanner.com/service_request?ID=108382" TargetMode="External"/><Relationship Id="rId1" Type="http://schemas.openxmlformats.org/officeDocument/2006/relationships/hyperlink" Target="https://us3.assetplanner.com/service_request?ID=109230" TargetMode="External"/><Relationship Id="rId6" Type="http://schemas.openxmlformats.org/officeDocument/2006/relationships/hyperlink" Target="https://us3.assetplanner.com/service_request?ID=108914" TargetMode="External"/><Relationship Id="rId11" Type="http://schemas.openxmlformats.org/officeDocument/2006/relationships/hyperlink" Target="https://us3.assetplanner.com/service_request?ID=107287" TargetMode="External"/><Relationship Id="rId5" Type="http://schemas.openxmlformats.org/officeDocument/2006/relationships/hyperlink" Target="https://us3.assetplanner.com/service_request?ID=108619" TargetMode="External"/><Relationship Id="rId10" Type="http://schemas.openxmlformats.org/officeDocument/2006/relationships/hyperlink" Target="https://us3.assetplanner.com/service_request?ID=097653" TargetMode="External"/><Relationship Id="rId4" Type="http://schemas.openxmlformats.org/officeDocument/2006/relationships/hyperlink" Target="https://us3.assetplanner.com/service_request?ID=108584" TargetMode="External"/><Relationship Id="rId9" Type="http://schemas.openxmlformats.org/officeDocument/2006/relationships/hyperlink" Target="https://us3.assetplanner.com/service_request?ID=106156" TargetMode="External"/><Relationship Id="rId14" Type="http://schemas.openxmlformats.org/officeDocument/2006/relationships/hyperlink" Target="https://us3.assetplanner.com/service_request?ID=10843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K13" sqref="K13"/>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5" t="str" cm="1">
        <f t="array" ref="A1">portfolio</f>
        <v>CITI</v>
      </c>
      <c r="B1" s="135"/>
      <c r="C1" s="135"/>
      <c r="D1" s="76" t="s">
        <v>0</v>
      </c>
      <c r="E1" s="76" t="s">
        <v>1</v>
      </c>
      <c r="F1" s="136" t="s">
        <v>2</v>
      </c>
      <c r="G1" s="136"/>
      <c r="H1" s="136"/>
      <c r="I1" s="134" t="s">
        <v>3</v>
      </c>
      <c r="J1" s="134"/>
      <c r="K1" s="134"/>
    </row>
    <row r="2" spans="1:11" ht="19.5" customHeight="1">
      <c r="A2" s="137" t="s">
        <v>4</v>
      </c>
      <c r="B2" s="137"/>
      <c r="C2" s="6">
        <f>SUM(C4:C100)</f>
        <v>21102732.68</v>
      </c>
      <c r="D2" s="6">
        <f>SUM(D4:D22)</f>
        <v>21577439.690000001</v>
      </c>
      <c r="E2" s="7">
        <f>C2/D2</f>
        <v>0.97799984535607332</v>
      </c>
      <c r="F2" s="6">
        <f>SUM(F4:F100)</f>
        <v>21357069.923000004</v>
      </c>
      <c r="G2" s="6">
        <f>C2-F2</f>
        <v>-254337.24300000444</v>
      </c>
      <c r="H2" s="7">
        <f>IFERROR(G2/F2, 0)</f>
        <v>-1.1908807899069611E-2</v>
      </c>
      <c r="I2" s="6">
        <f>SUM(I4:I100)</f>
        <v>24272019.215</v>
      </c>
      <c r="J2" s="8">
        <f>C2-I2</f>
        <v>-3169286.5350000001</v>
      </c>
      <c r="K2" s="7">
        <f>IFERROR(J2/I2, 0)</f>
        <v>-0.1305736662008489</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607047.75</v>
      </c>
      <c r="D4" s="111">
        <f>SUM('1st Qtr'!D4,'2nd Qtr'!D4,'3rd Qtr'!D4,'4th Qtr'!D4)</f>
        <v>595934.74</v>
      </c>
      <c r="E4" s="79">
        <f>C4/D4</f>
        <v>1.0186480318297939</v>
      </c>
      <c r="F4" s="14">
        <f>SUM('1st Qtr'!F4, '2nd Qtr'!F4, '3rd Qtr'!F4, '4th Qtr'!F4)</f>
        <v>599937.29300000006</v>
      </c>
      <c r="G4" s="14">
        <f>IF(AND(ISNUMBER(C4),ISNUMBER(F4)), C4-F4, "")</f>
        <v>7110.4569999999367</v>
      </c>
      <c r="H4" s="15">
        <f>IFERROR(G4/F4, "")</f>
        <v>1.185200033897532E-2</v>
      </c>
      <c r="I4" s="16">
        <f>SUM('1st Qtr'!I4,'2nd Qtr'!I4,'3rd Qtr'!I4,'4th Qtr'!I4)</f>
        <v>609568.53200000001</v>
      </c>
      <c r="J4" s="16">
        <f>SUM('1st Qtr'!J4, '2nd Qtr'!J4, '3rd Qtr'!J4, '4th Qtr'!J4)</f>
        <v>-2520.7819999999992</v>
      </c>
      <c r="K4" s="17">
        <f>IFERROR(J4/I4, "")</f>
        <v>-4.1353545461562625E-3</v>
      </c>
    </row>
    <row r="5" spans="1:11" ht="15.6">
      <c r="A5" s="19" t="str">
        <v>CA: Antioch MC CUP - Citi</v>
      </c>
      <c r="B5" s="11" t="str">
        <v>CA</v>
      </c>
      <c r="C5" s="20">
        <f>SUM('1st Qtr'!C5, '2nd Qtr'!C5, '3rd Qtr'!C5, '4th Qtr'!C5)</f>
        <v>2031041</v>
      </c>
      <c r="D5" s="112">
        <f>SUM('1st Qtr'!D5,'2nd Qtr'!D5,'3rd Qtr'!D5,'4th Qtr'!D5)</f>
        <v>2014158.18</v>
      </c>
      <c r="E5" s="80">
        <f t="shared" ref="E5:E23" si="0">C5/D5</f>
        <v>1.0083820725540038</v>
      </c>
      <c r="F5" s="20">
        <f>SUM('1st Qtr'!F5, '2nd Qtr'!F5, '3rd Qtr'!F5, '4th Qtr'!F5)</f>
        <v>2028906.7250000001</v>
      </c>
      <c r="G5" s="20">
        <f t="shared" ref="G5:G15" si="1">IF(AND(ISNUMBER(C5),ISNUMBER(F5)), C5-F5, "")</f>
        <v>2134.2749999999069</v>
      </c>
      <c r="H5" s="21">
        <f>IFERROR(G5/F5, "")</f>
        <v>1.0519335234594912E-3</v>
      </c>
      <c r="I5" s="22">
        <f>SUM('1st Qtr'!I5,'2nd Qtr'!I5,'3rd Qtr'!I5,'4th Qtr'!I5)</f>
        <v>2082625.9939999999</v>
      </c>
      <c r="J5" s="22">
        <f>SUM('1st Qtr'!J5, '2nd Qtr'!J5, '3rd Qtr'!J5, '4th Qtr'!J5)</f>
        <v>-51584.993999999962</v>
      </c>
      <c r="K5" s="21">
        <f>IFERROR(J5/I5, "")</f>
        <v>-2.4769206832439047E-2</v>
      </c>
    </row>
    <row r="6" spans="1:11" ht="15.6">
      <c r="A6" s="13" t="str">
        <v>CA: Clovis - Citi</v>
      </c>
      <c r="B6" s="10" t="str">
        <v>CA</v>
      </c>
      <c r="C6" s="26">
        <f>SUM('1st Qtr'!C6, '2nd Qtr'!C6, '3rd Qtr'!C6, '4th Qtr'!C6)</f>
        <v>842368.07000000007</v>
      </c>
      <c r="D6" s="111">
        <f>SUM('1st Qtr'!D6,'2nd Qtr'!D6,'3rd Qtr'!D6,'4th Qtr'!D6)</f>
        <v>843752</v>
      </c>
      <c r="E6" s="79">
        <f t="shared" si="0"/>
        <v>0.99835979055457058</v>
      </c>
      <c r="F6" s="14">
        <f>SUM('1st Qtr'!F6, '2nd Qtr'!F6, '3rd Qtr'!F6, '4th Qtr'!F6)</f>
        <v>529678.26300000004</v>
      </c>
      <c r="G6" s="14">
        <f t="shared" si="1"/>
        <v>312689.80700000003</v>
      </c>
      <c r="H6" s="15">
        <f t="shared" ref="H6:H15" si="2">IFERROR(G6/F6, "")</f>
        <v>0.59033913385265724</v>
      </c>
      <c r="I6" s="16">
        <f>SUM('1st Qtr'!I6,'2nd Qtr'!I6,'3rd Qtr'!I6,'4th Qtr'!I6)</f>
        <v>645790.36499999999</v>
      </c>
      <c r="J6" s="16">
        <f>SUM('1st Qtr'!J6, '2nd Qtr'!J6, '3rd Qtr'!J6, '4th Qtr'!J6)</f>
        <v>196577.70500000002</v>
      </c>
      <c r="K6" s="17">
        <f t="shared" ref="K6:K15" si="3">IFERROR(J6/I6, "")</f>
        <v>0.30439863406757395</v>
      </c>
    </row>
    <row r="7" spans="1:11" ht="15.6">
      <c r="A7" s="19" t="str">
        <v>CA: Elk Grove MOB - Citi</v>
      </c>
      <c r="B7" s="11" t="str">
        <v>CA</v>
      </c>
      <c r="C7" s="20">
        <f>SUM('1st Qtr'!C7, '2nd Qtr'!C7, '3rd Qtr'!C7, '4th Qtr'!C7)</f>
        <v>1304493.5</v>
      </c>
      <c r="D7" s="112">
        <f>SUM('1st Qtr'!D7,'2nd Qtr'!D7,'3rd Qtr'!D7,'4th Qtr'!D7)</f>
        <v>1368843</v>
      </c>
      <c r="E7" s="80">
        <f t="shared" si="0"/>
        <v>0.95298986078023562</v>
      </c>
      <c r="F7" s="20">
        <f>SUM('1st Qtr'!F7, '2nd Qtr'!F7, '3rd Qtr'!F7, '4th Qtr'!F7)</f>
        <v>1363712.875</v>
      </c>
      <c r="G7" s="20">
        <f t="shared" si="1"/>
        <v>-59219.375</v>
      </c>
      <c r="H7" s="21">
        <f t="shared" si="2"/>
        <v>-4.3425105156391516E-2</v>
      </c>
      <c r="I7" s="22">
        <f>SUM('1st Qtr'!I7,'2nd Qtr'!I7,'3rd Qtr'!I7,'4th Qtr'!I7)</f>
        <v>1402691.003</v>
      </c>
      <c r="J7" s="22">
        <f>SUM('1st Qtr'!J7, '2nd Qtr'!J7, '3rd Qtr'!J7, '4th Qtr'!J7)</f>
        <v>-98197.503000000012</v>
      </c>
      <c r="K7" s="21">
        <f t="shared" si="3"/>
        <v>-7.0006510906522157E-2</v>
      </c>
    </row>
    <row r="8" spans="1:11" ht="15.6">
      <c r="A8" s="13" t="str">
        <v>CA: Elk Grove Promenade - Citi</v>
      </c>
      <c r="B8" s="10" t="str">
        <v>CA</v>
      </c>
      <c r="C8" s="26">
        <f>SUM('1st Qtr'!C8, '2nd Qtr'!C8, '3rd Qtr'!C8, '4th Qtr'!C8)</f>
        <v>696714</v>
      </c>
      <c r="D8" s="111">
        <f>SUM('1st Qtr'!D8,'2nd Qtr'!D8,'3rd Qtr'!D8,'4th Qtr'!D8)</f>
        <v>730618.5</v>
      </c>
      <c r="E8" s="79">
        <f t="shared" si="0"/>
        <v>0.95359479673728487</v>
      </c>
      <c r="F8" s="14">
        <f>SUM('1st Qtr'!F8, '2nd Qtr'!F8, '3rd Qtr'!F8, '4th Qtr'!F8)</f>
        <v>711615.17099999997</v>
      </c>
      <c r="G8" s="14">
        <f t="shared" si="1"/>
        <v>-14901.170999999973</v>
      </c>
      <c r="H8" s="15">
        <f t="shared" si="2"/>
        <v>-2.0939928780692021E-2</v>
      </c>
      <c r="I8" s="16">
        <f>SUM('1st Qtr'!I8,'2nd Qtr'!I8,'3rd Qtr'!I8,'4th Qtr'!I8)</f>
        <v>751600.73900000006</v>
      </c>
      <c r="J8" s="16">
        <f>SUM('1st Qtr'!J8, '2nd Qtr'!J8, '3rd Qtr'!J8, '4th Qtr'!J8)</f>
        <v>-54886.739000000009</v>
      </c>
      <c r="K8" s="17">
        <f t="shared" si="3"/>
        <v>-7.3026456936466644E-2</v>
      </c>
    </row>
    <row r="9" spans="1:11" ht="15.6">
      <c r="A9" s="19" t="str">
        <v>CA: Fresno Sequioa - Citi</v>
      </c>
      <c r="B9" s="11" t="str">
        <v>CA</v>
      </c>
      <c r="C9" s="20">
        <f>SUM('1st Qtr'!C9, '2nd Qtr'!C9, '3rd Qtr'!C9, '4th Qtr'!C9)</f>
        <v>1361766.5</v>
      </c>
      <c r="D9" s="112">
        <f>SUM('1st Qtr'!D9,'2nd Qtr'!D9,'3rd Qtr'!D9,'4th Qtr'!D9)</f>
        <v>1428247.56</v>
      </c>
      <c r="E9" s="80">
        <f t="shared" si="0"/>
        <v>0.95345270535592574</v>
      </c>
      <c r="F9" s="20">
        <f>SUM('1st Qtr'!F9, '2nd Qtr'!F9, '3rd Qtr'!F9, '4th Qtr'!F9)</f>
        <v>1420484.409</v>
      </c>
      <c r="G9" s="20">
        <f t="shared" si="1"/>
        <v>-58717.908999999985</v>
      </c>
      <c r="H9" s="21">
        <f t="shared" si="2"/>
        <v>-4.1336538879252128E-2</v>
      </c>
      <c r="I9" s="22">
        <f>SUM('1st Qtr'!I9,'2nd Qtr'!I9,'3rd Qtr'!I9,'4th Qtr'!I9)</f>
        <v>1464816.1089999999</v>
      </c>
      <c r="J9" s="22">
        <f>SUM('1st Qtr'!J9, '2nd Qtr'!J9, '3rd Qtr'!J9, '4th Qtr'!J9)</f>
        <v>-103049.60899999998</v>
      </c>
      <c r="K9" s="21">
        <f t="shared" si="3"/>
        <v>-7.034986055031156E-2</v>
      </c>
    </row>
    <row r="10" spans="1:11" ht="15.6">
      <c r="A10" s="13" t="str">
        <v>CA: Fresno MOB - Citi</v>
      </c>
      <c r="B10" s="10" t="str">
        <v>CA</v>
      </c>
      <c r="C10" s="26">
        <f>SUM('1st Qtr'!C10, '2nd Qtr'!C10, '3rd Qtr'!C10, '4th Qtr'!C10)</f>
        <v>515830.63</v>
      </c>
      <c r="D10" s="111">
        <f>SUM('1st Qtr'!D10,'2nd Qtr'!D10,'3rd Qtr'!D10,'4th Qtr'!D10)</f>
        <v>576213.88</v>
      </c>
      <c r="E10" s="79">
        <f t="shared" si="0"/>
        <v>0.8952068804729244</v>
      </c>
      <c r="F10" s="14">
        <f>SUM('1st Qtr'!F10, '2nd Qtr'!F10, '3rd Qtr'!F10, '4th Qtr'!F10)</f>
        <v>551530.86699999997</v>
      </c>
      <c r="G10" s="14">
        <f t="shared" si="1"/>
        <v>-35700.236999999965</v>
      </c>
      <c r="H10" s="15">
        <f t="shared" si="2"/>
        <v>-6.4729354485974708E-2</v>
      </c>
      <c r="I10" s="16">
        <f>SUM('1st Qtr'!I10,'2nd Qtr'!I10,'3rd Qtr'!I10,'4th Qtr'!I10)</f>
        <v>562657.72400000005</v>
      </c>
      <c r="J10" s="16">
        <f>SUM('1st Qtr'!J10, '2nd Qtr'!J10, '3rd Qtr'!J10, '4th Qtr'!J10)</f>
        <v>-46827.093999999997</v>
      </c>
      <c r="K10" s="17">
        <f t="shared" si="3"/>
        <v>-8.3224831016449341E-2</v>
      </c>
    </row>
    <row r="11" spans="1:11" ht="15.6">
      <c r="A11" s="19" t="str">
        <v>CA: Modesto Bangs - Citi</v>
      </c>
      <c r="B11" s="11" t="str">
        <v>CA</v>
      </c>
      <c r="C11" s="20">
        <f>SUM('1st Qtr'!C11, '2nd Qtr'!C11, '3rd Qtr'!C11, '4th Qtr'!C11)</f>
        <v>330909.38</v>
      </c>
      <c r="D11" s="112">
        <f>SUM('1st Qtr'!D11,'2nd Qtr'!D11,'3rd Qtr'!D11,'4th Qtr'!D11)</f>
        <v>388853.72</v>
      </c>
      <c r="E11" s="80">
        <f t="shared" si="0"/>
        <v>0.85098679266846167</v>
      </c>
      <c r="F11" s="20">
        <f>SUM('1st Qtr'!F11, '2nd Qtr'!F11, '3rd Qtr'!F11, '4th Qtr'!F11)</f>
        <v>257573.89300000001</v>
      </c>
      <c r="G11" s="20">
        <f t="shared" si="1"/>
        <v>73335.486999999994</v>
      </c>
      <c r="H11" s="21">
        <f t="shared" si="2"/>
        <v>0.28471630469164044</v>
      </c>
      <c r="I11" s="22">
        <f>SUM('1st Qtr'!I11,'2nd Qtr'!I11,'3rd Qtr'!I11,'4th Qtr'!I11)</f>
        <v>303554.41500000004</v>
      </c>
      <c r="J11" s="22">
        <f>SUM('1st Qtr'!J11, '2nd Qtr'!J11, '3rd Qtr'!J11, '4th Qtr'!J11)</f>
        <v>27354.964999999997</v>
      </c>
      <c r="K11" s="21">
        <f t="shared" si="3"/>
        <v>9.0115523439183026E-2</v>
      </c>
    </row>
    <row r="12" spans="1:11" ht="15.6">
      <c r="A12" s="13" t="str">
        <v>CA: Napa Data Center - Citi</v>
      </c>
      <c r="B12" s="10" t="str">
        <v>CA</v>
      </c>
      <c r="C12" s="26">
        <f>SUM('1st Qtr'!C12, '2nd Qtr'!C12, '3rd Qtr'!C12, '4th Qtr'!C12)</f>
        <v>353572.5</v>
      </c>
      <c r="D12" s="111">
        <f>SUM('1st Qtr'!D12,'2nd Qtr'!D12,'3rd Qtr'!D12,'4th Qtr'!D12)</f>
        <v>412452.29000000004</v>
      </c>
      <c r="E12" s="79">
        <f t="shared" si="0"/>
        <v>0.85724460397589253</v>
      </c>
      <c r="F12" s="14">
        <f>SUM('1st Qtr'!F12, '2nd Qtr'!F12, '3rd Qtr'!F12, '4th Qtr'!F12)</f>
        <v>459177.48600000003</v>
      </c>
      <c r="G12" s="14">
        <f t="shared" si="1"/>
        <v>-105604.98600000003</v>
      </c>
      <c r="H12" s="15">
        <f t="shared" si="2"/>
        <v>-0.22998729079674438</v>
      </c>
      <c r="I12" s="16">
        <f>SUM('1st Qtr'!I12,'2nd Qtr'!I12,'3rd Qtr'!I12,'4th Qtr'!I12)</f>
        <v>410899.18099999998</v>
      </c>
      <c r="J12" s="16">
        <f>SUM('1st Qtr'!J12, '2nd Qtr'!J12, '3rd Qtr'!J12, '4th Qtr'!J12)</f>
        <v>-57326.680999999997</v>
      </c>
      <c r="K12" s="17">
        <f t="shared" si="3"/>
        <v>-0.1395151989850279</v>
      </c>
    </row>
    <row r="13" spans="1:11" ht="15.6">
      <c r="A13" s="19" t="str">
        <v>CA: Petaluma MOB - Citi</v>
      </c>
      <c r="B13" s="11" t="str">
        <v>CA</v>
      </c>
      <c r="C13" s="20">
        <f>SUM('1st Qtr'!C13, '2nd Qtr'!C13, '3rd Qtr'!C13, '4th Qtr'!C13)</f>
        <v>764448</v>
      </c>
      <c r="D13" s="112">
        <f>SUM('1st Qtr'!D13,'2nd Qtr'!D13,'3rd Qtr'!D13,'4th Qtr'!D13)</f>
        <v>955072.5</v>
      </c>
      <c r="E13" s="80">
        <f t="shared" si="0"/>
        <v>0.8004083459632646</v>
      </c>
      <c r="F13" s="20">
        <f>SUM('1st Qtr'!F13, '2nd Qtr'!F13, '3rd Qtr'!F13, '4th Qtr'!F13)</f>
        <v>723168.76199999999</v>
      </c>
      <c r="G13" s="20">
        <f t="shared" si="1"/>
        <v>41279.238000000012</v>
      </c>
      <c r="H13" s="21">
        <f t="shared" si="2"/>
        <v>5.7081057934302772E-2</v>
      </c>
      <c r="I13" s="22">
        <f>SUM('1st Qtr'!I13,'2nd Qtr'!I13,'3rd Qtr'!I13,'4th Qtr'!I13)</f>
        <v>747982.41599999997</v>
      </c>
      <c r="J13" s="22">
        <f>SUM('1st Qtr'!J13, '2nd Qtr'!J13, '3rd Qtr'!J13, '4th Qtr'!J13)</f>
        <v>16465.583999999988</v>
      </c>
      <c r="K13" s="21">
        <f t="shared" si="3"/>
        <v>2.2013330324064714E-2</v>
      </c>
    </row>
    <row r="14" spans="1:11" ht="15.6">
      <c r="A14" s="13" t="str">
        <v>CA: Pleasanton Tec Ctr - Citi</v>
      </c>
      <c r="B14" s="10" t="str">
        <v>CA</v>
      </c>
      <c r="C14" s="26">
        <f>SUM('1st Qtr'!C14, '2nd Qtr'!C14, '3rd Qtr'!C14, '4th Qtr'!C14)</f>
        <v>1149752</v>
      </c>
      <c r="D14" s="111">
        <f>SUM('1st Qtr'!D14,'2nd Qtr'!D14,'3rd Qtr'!D14,'4th Qtr'!D14)</f>
        <v>1331789.3599999999</v>
      </c>
      <c r="E14" s="79">
        <f t="shared" si="0"/>
        <v>0.86331369999832419</v>
      </c>
      <c r="F14" s="14">
        <f>SUM('1st Qtr'!F14, '2nd Qtr'!F14, '3rd Qtr'!F14, '4th Qtr'!F14)</f>
        <v>1276124.625</v>
      </c>
      <c r="G14" s="14">
        <f t="shared" si="1"/>
        <v>-126372.625</v>
      </c>
      <c r="H14" s="15">
        <f t="shared" si="2"/>
        <v>-9.9028435408493112E-2</v>
      </c>
      <c r="I14" s="16">
        <f>SUM('1st Qtr'!I14,'2nd Qtr'!I14,'3rd Qtr'!I14,'4th Qtr'!I14)</f>
        <v>1343245.4840000002</v>
      </c>
      <c r="J14" s="16">
        <f>SUM('1st Qtr'!J14, '2nd Qtr'!J14, '3rd Qtr'!J14, '4th Qtr'!J14)</f>
        <v>-193493.484</v>
      </c>
      <c r="K14" s="17">
        <f t="shared" si="3"/>
        <v>-0.14404923471159048</v>
      </c>
    </row>
    <row r="15" spans="1:11" ht="15.6">
      <c r="A15" s="19" t="str">
        <v>CA: Rancho Cordova - Citi</v>
      </c>
      <c r="B15" s="11" t="str">
        <v>CA</v>
      </c>
      <c r="C15" s="20">
        <f>SUM('1st Qtr'!C15, '2nd Qtr'!C15, '3rd Qtr'!C15, '4th Qtr'!C15)</f>
        <v>1882427.3599999999</v>
      </c>
      <c r="D15" s="112">
        <f>SUM('1st Qtr'!D15,'2nd Qtr'!D15,'3rd Qtr'!D15,'4th Qtr'!D15)</f>
        <v>1925493.78</v>
      </c>
      <c r="E15" s="80">
        <f t="shared" si="0"/>
        <v>0.97763357095861392</v>
      </c>
      <c r="F15" s="20">
        <f>SUM('1st Qtr'!F15, '2nd Qtr'!F15, '3rd Qtr'!F15, '4th Qtr'!F15)</f>
        <v>1880389.8670000001</v>
      </c>
      <c r="G15" s="20">
        <f t="shared" si="1"/>
        <v>2037.4929999997839</v>
      </c>
      <c r="H15" s="21">
        <f t="shared" si="2"/>
        <v>1.083548170385766E-3</v>
      </c>
      <c r="I15" s="22">
        <f>SUM('1st Qtr'!I15,'2nd Qtr'!I15,'3rd Qtr'!I15,'4th Qtr'!I15)</f>
        <v>2022188.169</v>
      </c>
      <c r="J15" s="22">
        <f>SUM('1st Qtr'!J15, '2nd Qtr'!J15, '3rd Qtr'!J15, '4th Qtr'!J15)</f>
        <v>-139760.80900000001</v>
      </c>
      <c r="K15" s="21">
        <f t="shared" si="3"/>
        <v>-6.9113651806752316E-2</v>
      </c>
    </row>
    <row r="16" spans="1:11" ht="15.6">
      <c r="A16" s="13" t="str">
        <v>CA: S Sacramento Wyndham - Citi</v>
      </c>
      <c r="B16" s="10" t="str">
        <v>CA</v>
      </c>
      <c r="C16" s="26">
        <f>SUM('1st Qtr'!C16, '2nd Qtr'!C16, '3rd Qtr'!C16, '4th Qtr'!C16)</f>
        <v>1034209.78</v>
      </c>
      <c r="D16" s="111">
        <f>SUM('1st Qtr'!D16,'2nd Qtr'!D16,'3rd Qtr'!D16,'4th Qtr'!D16)</f>
        <v>1183651.69</v>
      </c>
      <c r="E16" s="79">
        <f t="shared" si="0"/>
        <v>0.87374502882685035</v>
      </c>
      <c r="F16" s="14">
        <f>SUM('1st Qtr'!F16, '2nd Qtr'!F16, '3rd Qtr'!F16, '4th Qtr'!F16)</f>
        <v>1100793.4139999999</v>
      </c>
      <c r="G16" s="14">
        <f t="shared" ref="G16:G22" si="4">IF(AND(ISNUMBER(C16),ISNUMBER(F16)), C16-F16, "")</f>
        <v>-66583.633999999845</v>
      </c>
      <c r="H16" s="38">
        <f t="shared" ref="H16:H22" si="5">IFERROR(G16/F16, "")</f>
        <v>-6.0486948007848325E-2</v>
      </c>
      <c r="I16" s="39">
        <f>SUM('1st Qtr'!I16,'2nd Qtr'!I16,'3rd Qtr'!I16,'4th Qtr'!I16)</f>
        <v>1204181.9509999999</v>
      </c>
      <c r="J16" s="16">
        <f>SUM('1st Qtr'!J16, '2nd Qtr'!J16, '3rd Qtr'!J16, '4th Qtr'!J16)</f>
        <v>-169972.17099999997</v>
      </c>
      <c r="K16" s="40">
        <f t="shared" ref="K16:K22" si="6">IFERROR(J16/I16, "")</f>
        <v>-0.14115156838121384</v>
      </c>
    </row>
    <row r="17" spans="1:11" ht="15.6">
      <c r="A17" s="19" t="str">
        <v>CA: Sacramento Point West - Citi</v>
      </c>
      <c r="B17" s="11" t="str">
        <v>CA</v>
      </c>
      <c r="C17" s="20">
        <f>SUM('1st Qtr'!C17, '2nd Qtr'!C17, '3rd Qtr'!C17, '4th Qtr'!C17)</f>
        <v>2079806.98</v>
      </c>
      <c r="D17" s="112">
        <f>SUM('1st Qtr'!D17,'2nd Qtr'!D17,'3rd Qtr'!D17,'4th Qtr'!D17)</f>
        <v>2265283.9</v>
      </c>
      <c r="E17" s="80">
        <f t="shared" si="0"/>
        <v>0.91812199786525661</v>
      </c>
      <c r="F17" s="20">
        <f>SUM('1st Qtr'!F17, '2nd Qtr'!F17, '3rd Qtr'!F17, '4th Qtr'!F17)</f>
        <v>2185642.034</v>
      </c>
      <c r="G17" s="20">
        <f t="shared" si="4"/>
        <v>-105835.054</v>
      </c>
      <c r="H17" s="43">
        <f t="shared" si="5"/>
        <v>-4.8422867218703938E-2</v>
      </c>
      <c r="I17" s="44">
        <f>SUM('1st Qtr'!I17,'2nd Qtr'!I17,'3rd Qtr'!I17,'4th Qtr'!I17)</f>
        <v>2375340.6069999998</v>
      </c>
      <c r="J17" s="22">
        <f>SUM('1st Qtr'!J17, '2nd Qtr'!J17, '3rd Qtr'!J17, '4th Qtr'!J17)</f>
        <v>-295533.62699999998</v>
      </c>
      <c r="K17" s="43">
        <f t="shared" si="6"/>
        <v>-0.1244173682414549</v>
      </c>
    </row>
    <row r="18" spans="1:11" ht="12.75" customHeight="1">
      <c r="A18" s="13" t="str">
        <v>CA: San Jose FHC - Citi</v>
      </c>
      <c r="B18" s="10" t="str">
        <v>CA</v>
      </c>
      <c r="C18" s="26">
        <f>SUM('1st Qtr'!C18, '2nd Qtr'!C18, '3rd Qtr'!C18, '4th Qtr'!C18)</f>
        <v>398940.75</v>
      </c>
      <c r="D18" s="111">
        <f>SUM('1st Qtr'!D18,'2nd Qtr'!D18,'3rd Qtr'!D18,'4th Qtr'!D18)</f>
        <v>462636.35</v>
      </c>
      <c r="E18" s="79">
        <f t="shared" si="0"/>
        <v>0.86232037322618516</v>
      </c>
      <c r="F18" s="14">
        <f>SUM('1st Qtr'!F18, '2nd Qtr'!F18, '3rd Qtr'!F18, '4th Qtr'!F18)</f>
        <v>452367.16399999999</v>
      </c>
      <c r="G18" s="14">
        <f t="shared" si="4"/>
        <v>-53426.41399999999</v>
      </c>
      <c r="H18" s="38">
        <f t="shared" si="5"/>
        <v>-0.1181040938683162</v>
      </c>
      <c r="I18" s="39">
        <f>SUM('1st Qtr'!I18,'2nd Qtr'!I18,'3rd Qtr'!I18,'4th Qtr'!I18)</f>
        <v>472622.87199999997</v>
      </c>
      <c r="J18" s="16">
        <f>SUM('1st Qtr'!J18, '2nd Qtr'!J18, '3rd Qtr'!J18, '4th Qtr'!J18)</f>
        <v>-73682.122000000003</v>
      </c>
      <c r="K18" s="40">
        <f t="shared" si="6"/>
        <v>-0.15590045756397505</v>
      </c>
    </row>
    <row r="19" spans="1:11" ht="15.6">
      <c r="A19" s="19" t="str">
        <v>CA: San Jose MOB - Citi</v>
      </c>
      <c r="B19" s="11" t="str">
        <v>CA</v>
      </c>
      <c r="C19" s="20">
        <f>SUM('1st Qtr'!C19, '2nd Qtr'!C19, '3rd Qtr'!C19, '4th Qtr'!C19)</f>
        <v>676202.07000000007</v>
      </c>
      <c r="D19" s="112">
        <f>SUM('1st Qtr'!D19,'2nd Qtr'!D19,'3rd Qtr'!D19,'4th Qtr'!D19)</f>
        <v>740235.84000000008</v>
      </c>
      <c r="E19" s="80">
        <f t="shared" si="0"/>
        <v>0.91349544761302015</v>
      </c>
      <c r="F19" s="20">
        <f>SUM('1st Qtr'!F19, '2nd Qtr'!F19, '3rd Qtr'!F19, '4th Qtr'!F19)</f>
        <v>699238.90100000007</v>
      </c>
      <c r="G19" s="20">
        <f t="shared" si="4"/>
        <v>-23036.831000000006</v>
      </c>
      <c r="H19" s="43">
        <f t="shared" si="5"/>
        <v>-3.2945579782609952E-2</v>
      </c>
      <c r="I19" s="44">
        <f>SUM('1st Qtr'!I19,'2nd Qtr'!I19,'3rd Qtr'!I19,'4th Qtr'!I19)</f>
        <v>752902.57900000003</v>
      </c>
      <c r="J19" s="22">
        <f>SUM('1st Qtr'!J19, '2nd Qtr'!J19, '3rd Qtr'!J19, '4th Qtr'!J19)</f>
        <v>-76700.508999999991</v>
      </c>
      <c r="K19" s="43">
        <f t="shared" si="6"/>
        <v>-0.10187308576080729</v>
      </c>
    </row>
    <row r="20" spans="1:11" ht="15.6">
      <c r="A20" s="13" t="str">
        <v>CA: Selma - Citi</v>
      </c>
      <c r="B20" s="10" t="str">
        <v>CA</v>
      </c>
      <c r="C20" s="26">
        <f>SUM('1st Qtr'!C20, '2nd Qtr'!C20, '3rd Qtr'!C20, '4th Qtr'!C20)</f>
        <v>372294.06</v>
      </c>
      <c r="D20" s="111">
        <f>SUM('1st Qtr'!D20,'2nd Qtr'!D20,'3rd Qtr'!D20,'4th Qtr'!D20)</f>
        <v>427972.96</v>
      </c>
      <c r="E20" s="79">
        <f t="shared" si="0"/>
        <v>0.86990089280406868</v>
      </c>
      <c r="F20" s="14">
        <f>SUM('1st Qtr'!F20, '2nd Qtr'!F20, '3rd Qtr'!F20, '4th Qtr'!F20)</f>
        <v>420539.16899999999</v>
      </c>
      <c r="G20" s="14">
        <f t="shared" si="4"/>
        <v>-48245.108999999997</v>
      </c>
      <c r="H20" s="38">
        <f t="shared" si="5"/>
        <v>-0.1147220343701207</v>
      </c>
      <c r="I20" s="39">
        <f>SUM('1st Qtr'!I20,'2nd Qtr'!I20,'3rd Qtr'!I20,'4th Qtr'!I20)</f>
        <v>451752.14899999998</v>
      </c>
      <c r="J20" s="16">
        <f>SUM('1st Qtr'!J20, '2nd Qtr'!J20, '3rd Qtr'!J20, '4th Qtr'!J20)</f>
        <v>-79458.089000000007</v>
      </c>
      <c r="K20" s="40">
        <f t="shared" si="6"/>
        <v>-0.17588867961312124</v>
      </c>
    </row>
    <row r="21" spans="1:11" ht="15.6">
      <c r="A21" s="19" t="str">
        <v>CA: Vacaville Hospital</v>
      </c>
      <c r="B21" s="11" t="str">
        <v>CA</v>
      </c>
      <c r="C21" s="20">
        <f>SUM('1st Qtr'!C21, '2nd Qtr'!C21, '3rd Qtr'!C21, '4th Qtr'!C21)</f>
        <v>2005139.67</v>
      </c>
      <c r="D21" s="112">
        <f>SUM('1st Qtr'!D21,'2nd Qtr'!D21,'3rd Qtr'!D21,'4th Qtr'!D21)</f>
        <v>2982440.4400000004</v>
      </c>
      <c r="E21" s="80">
        <f t="shared" si="0"/>
        <v>0.67231507563651449</v>
      </c>
      <c r="F21" s="20">
        <f>SUM('1st Qtr'!F21, '2nd Qtr'!F21, '3rd Qtr'!F21, '4th Qtr'!F21)</f>
        <v>3024242.1610000003</v>
      </c>
      <c r="G21" s="20">
        <f t="shared" si="4"/>
        <v>-1019102.4910000004</v>
      </c>
      <c r="H21" s="43">
        <f t="shared" si="5"/>
        <v>-0.33697780691709639</v>
      </c>
      <c r="I21" s="44">
        <f>SUM('1st Qtr'!I21,'2nd Qtr'!I21,'3rd Qtr'!I21,'4th Qtr'!I21)</f>
        <v>3170921.8970000003</v>
      </c>
      <c r="J21" s="22">
        <f>SUM('1st Qtr'!J21, '2nd Qtr'!J21, '3rd Qtr'!J21, '4th Qtr'!J21)</f>
        <v>-1165782.227</v>
      </c>
      <c r="K21" s="43">
        <f t="shared" si="6"/>
        <v>-0.367647726707789</v>
      </c>
    </row>
    <row r="22" spans="1:11" ht="15.6">
      <c r="A22" s="13" t="str">
        <v>CA: Manteca - KP Manteca Hospital</v>
      </c>
      <c r="B22" s="10" t="str">
        <v>CA</v>
      </c>
      <c r="C22" s="26">
        <f>SUM('1st Qtr'!C22, '2nd Qtr'!C22, '3rd Qtr'!C22, '4th Qtr'!C22)</f>
        <v>782652.63</v>
      </c>
      <c r="D22" s="111">
        <f>SUM('1st Qtr'!D22,'2nd Qtr'!D22,'3rd Qtr'!D22,'4th Qtr'!D22)</f>
        <v>943789</v>
      </c>
      <c r="E22" s="79">
        <f t="shared" si="0"/>
        <v>0.82926653097249492</v>
      </c>
      <c r="F22" s="14">
        <f>SUM('1st Qtr'!F22, '2nd Qtr'!F22, '3rd Qtr'!F22, '4th Qtr'!F22)</f>
        <v>817017.826</v>
      </c>
      <c r="G22" s="14">
        <f t="shared" si="4"/>
        <v>-34365.195999999996</v>
      </c>
      <c r="H22" s="38">
        <f t="shared" si="5"/>
        <v>-4.2061745663796564E-2</v>
      </c>
      <c r="I22" s="39">
        <f>SUM('1st Qtr'!I22,'2nd Qtr'!I22,'3rd Qtr'!I22,'4th Qtr'!I22)</f>
        <v>927381.77599999995</v>
      </c>
      <c r="J22" s="16">
        <f>SUM('1st Qtr'!J22, '2nd Qtr'!J22, '3rd Qtr'!J22, '4th Qtr'!J22)</f>
        <v>-144729.14600000001</v>
      </c>
      <c r="K22" s="40">
        <f t="shared" si="6"/>
        <v>-0.15606209842104987</v>
      </c>
    </row>
    <row r="23" spans="1:11" ht="15.6">
      <c r="A23" s="19" t="str">
        <v>Sacramento - KP South Sacramento HSP</v>
      </c>
      <c r="B23" s="11" t="str">
        <v>CA</v>
      </c>
      <c r="C23" s="20">
        <f>SUM('1st Qtr'!C23, '2nd Qtr'!C23, '3rd Qtr'!C23, '4th Qtr'!C23)</f>
        <v>1913116.0499999998</v>
      </c>
      <c r="D23" s="112">
        <f>SUM('1st Qtr'!D23,'2nd Qtr'!D23,'3rd Qtr'!D23,'4th Qtr'!D23)</f>
        <v>0</v>
      </c>
      <c r="E23" s="80" t="e">
        <f t="shared" si="0"/>
        <v>#DIV/0!</v>
      </c>
      <c r="F23" s="20">
        <f>SUM('1st Qtr'!F23, '2nd Qtr'!F23, '3rd Qtr'!F23, '4th Qtr'!F23)</f>
        <v>854929.01799999992</v>
      </c>
      <c r="G23" s="20">
        <f t="shared" ref="G23" si="7">IF(AND(ISNUMBER(C23),ISNUMBER(F23)), C23-F23, "")</f>
        <v>1058187.0319999999</v>
      </c>
      <c r="H23" s="43">
        <f t="shared" ref="H23" si="8">IFERROR(G23/F23, "")</f>
        <v>1.2377484091901534</v>
      </c>
      <c r="I23" s="44">
        <f>SUM('1st Qtr'!I23,'2nd Qtr'!I23,'3rd Qtr'!I23,'4th Qtr'!I23)</f>
        <v>2569295.253</v>
      </c>
      <c r="J23" s="22">
        <f>SUM('1st Qtr'!J23, '2nd Qtr'!J23, '3rd Qtr'!J23, '4th Qtr'!J23)</f>
        <v>-656179.20299999998</v>
      </c>
      <c r="K23" s="43">
        <f t="shared" ref="K23" si="9">IFERROR(J23/I23, "")</f>
        <v>-0.25539268102170115</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K23" sqref="K23"/>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5" t="str" cm="1">
        <f t="array" ref="A1">portfolio</f>
        <v>CITI</v>
      </c>
      <c r="B1" s="135"/>
      <c r="C1" s="135"/>
      <c r="D1" s="76" t="s">
        <v>0</v>
      </c>
      <c r="E1" s="76" t="s">
        <v>1</v>
      </c>
      <c r="F1" s="136" t="s">
        <v>12</v>
      </c>
      <c r="G1" s="136"/>
      <c r="H1" s="136"/>
      <c r="I1" s="134" t="s">
        <v>13</v>
      </c>
      <c r="J1" s="134"/>
      <c r="K1" s="134"/>
    </row>
    <row r="2" spans="1:11" ht="19.5" customHeight="1">
      <c r="A2" s="137" t="s">
        <v>4</v>
      </c>
      <c r="B2" s="137"/>
      <c r="C2" s="6">
        <f>SUM(C4:C100)</f>
        <v>4011350.76</v>
      </c>
      <c r="D2" s="6">
        <f>SUM(D4:D22)</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22 K24:K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N9" sqref="N9"/>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35" t="str" cm="1">
        <f t="array" ref="A1">portfolio</f>
        <v>CITI</v>
      </c>
      <c r="B1" s="135"/>
      <c r="C1" s="135"/>
      <c r="D1" s="76" t="s">
        <v>0</v>
      </c>
      <c r="E1" s="76" t="s">
        <v>1</v>
      </c>
      <c r="F1" s="136" t="s">
        <v>14</v>
      </c>
      <c r="G1" s="136"/>
      <c r="H1" s="136"/>
      <c r="I1" s="134" t="s">
        <v>15</v>
      </c>
      <c r="J1" s="134"/>
      <c r="K1" s="134"/>
    </row>
    <row r="2" spans="1:14" ht="19.5" customHeight="1">
      <c r="A2" s="137" t="s">
        <v>4</v>
      </c>
      <c r="B2" s="137"/>
      <c r="C2" s="6">
        <f>SUM(C4:C99)</f>
        <v>8281607.71</v>
      </c>
      <c r="D2" s="6">
        <f>SUM(D4:D22)</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K8" sqref="K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35" t="str" cm="1">
        <f t="array" ref="A1">portfolio</f>
        <v>CITI</v>
      </c>
      <c r="B1" s="135"/>
      <c r="C1" s="135"/>
      <c r="D1" s="74" t="s">
        <v>0</v>
      </c>
      <c r="E1" s="75" t="s">
        <v>1</v>
      </c>
      <c r="F1" s="136" t="s">
        <v>16</v>
      </c>
      <c r="G1" s="136"/>
      <c r="H1" s="136"/>
      <c r="I1" s="134" t="s">
        <v>17</v>
      </c>
      <c r="J1" s="134"/>
      <c r="K1" s="134"/>
    </row>
    <row r="2" spans="1:13" ht="19.5" customHeight="1">
      <c r="A2" s="137" t="s">
        <v>4</v>
      </c>
      <c r="B2" s="137"/>
      <c r="C2" s="6">
        <f>SUM(C4:C95)</f>
        <v>7165779.2599999998</v>
      </c>
      <c r="D2" s="6">
        <f>SUM(D3:D22)</f>
        <v>7850811</v>
      </c>
      <c r="E2" s="68">
        <f>C2/D2</f>
        <v>0.91274382480994631</v>
      </c>
      <c r="F2" s="6">
        <f>SUM(F4:F95)</f>
        <v>7934631.5699999994</v>
      </c>
      <c r="G2" s="6">
        <f>C2-F2</f>
        <v>-768852.30999999959</v>
      </c>
      <c r="H2" s="7">
        <f>IFERROR(G2/F2, 0)</f>
        <v>-9.6898299967316526E-2</v>
      </c>
      <c r="I2" s="6">
        <f>SUM(I4:I95)</f>
        <v>8905756.125</v>
      </c>
      <c r="J2" s="8">
        <f>C2-I2</f>
        <v>-1739976.8650000002</v>
      </c>
      <c r="K2" s="7">
        <f>IFERROR(J2/I2, 0)</f>
        <v>-0.19537665758840889</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213439.75</v>
      </c>
      <c r="D4" s="128">
        <f>SUM(Jul!D4,Aug!D4,Sep!D4)</f>
        <v>215398</v>
      </c>
      <c r="E4" s="82">
        <f>C4/D4</f>
        <v>0.99090868995998105</v>
      </c>
      <c r="F4" s="14">
        <f>SUM(Jul!F4, Aug!F4, Sep!G4)</f>
        <v>215815.47100000002</v>
      </c>
      <c r="G4" s="14">
        <f>IF(AND(ISNUMBER(C4),ISNUMBER(F4)), C4-F4, "")</f>
        <v>-2375.7210000000196</v>
      </c>
      <c r="H4" s="15">
        <f>IFERROR(G4/F4, "")</f>
        <v>-1.1008112574098172E-2</v>
      </c>
      <c r="I4" s="16">
        <f>SUM(Jul!I4, Aug!I4, Sep!J4)</f>
        <v>213742</v>
      </c>
      <c r="J4" s="16">
        <f>IF(AND(ISNUMBER(C4),ISNUMBER(I4)), C4-I4, "")</f>
        <v>-302.25</v>
      </c>
      <c r="K4" s="17">
        <f>IFERROR(J4/I4, "")</f>
        <v>-1.4140880126507658E-3</v>
      </c>
    </row>
    <row r="5" spans="1:13" ht="15.6">
      <c r="A5" s="19" t="str">
        <v>CA: Antioch MC CUP - Citi</v>
      </c>
      <c r="B5" s="11" t="str">
        <v>CA</v>
      </c>
      <c r="C5" s="12">
        <f>SUM(Jul!C5, Aug!C5, Sep!C5)</f>
        <v>704779</v>
      </c>
      <c r="D5" s="12">
        <f>SUM(Jul!D5,Aug!D5,Sep!D5)</f>
        <v>732026</v>
      </c>
      <c r="E5" s="80">
        <f t="shared" ref="E5:E6" si="0">C5/D5</f>
        <v>0.96277864447437655</v>
      </c>
      <c r="F5" s="20">
        <f>SUM(Jul!F5, Aug!F5, Sep!G5)</f>
        <v>734468.74600000004</v>
      </c>
      <c r="G5" s="20">
        <f t="shared" ref="G5:G6" si="1">IF(AND(ISNUMBER(C5),ISNUMBER(F5)), C5-F5, "")</f>
        <v>-29689.746000000043</v>
      </c>
      <c r="H5" s="21">
        <f>IFERROR(G5/F5, "")</f>
        <v>-4.0423430080168507E-2</v>
      </c>
      <c r="I5" s="20">
        <f>SUM(Jul!I5, Aug!I5, Sep!J5)</f>
        <v>724714</v>
      </c>
      <c r="J5" s="20">
        <f>IF(AND(ISNUMBER(C5),ISNUMBER(I5)), C5-I5, "")</f>
        <v>-19935</v>
      </c>
      <c r="K5" s="21">
        <f>IFERROR(J5/I5, "")</f>
        <v>-2.7507402920324431E-2</v>
      </c>
    </row>
    <row r="6" spans="1:13" ht="15.6">
      <c r="A6" s="13" t="str">
        <v>CA: Clovis - Citi</v>
      </c>
      <c r="B6" s="10" t="str">
        <v>CA</v>
      </c>
      <c r="C6" s="26">
        <f>SUM(Jul!C6, Aug!C6, Sep!C6)</f>
        <v>284783</v>
      </c>
      <c r="D6" s="128">
        <f>SUM(Jul!D6,Aug!D6,Sep!D6)</f>
        <v>303873</v>
      </c>
      <c r="E6" s="82">
        <f t="shared" si="0"/>
        <v>0.93717770252704258</v>
      </c>
      <c r="F6" s="14">
        <f>SUM(Jul!F6, Aug!F6, Sep!G6)</f>
        <v>113620.53899999999</v>
      </c>
      <c r="G6" s="14">
        <f t="shared" si="1"/>
        <v>171162.46100000001</v>
      </c>
      <c r="H6" s="15">
        <f t="shared" ref="H6:H23" si="2">IFERROR(G6/F6, "")</f>
        <v>1.5064394387356324</v>
      </c>
      <c r="I6" s="16">
        <f>SUM(Jul!I6, Aug!I6, Sep!J6)</f>
        <v>293381</v>
      </c>
      <c r="J6" s="16">
        <f t="shared" ref="J6:J23" si="3">IF(AND(ISNUMBER(C6),ISNUMBER(I6)), C6-I6, "")</f>
        <v>-8598</v>
      </c>
      <c r="K6" s="17">
        <f t="shared" ref="K6:K23" si="4">IFERROR(J6/I6, "")</f>
        <v>-2.930660131365017E-2</v>
      </c>
    </row>
    <row r="7" spans="1:13" ht="15.6">
      <c r="A7" s="19" t="str">
        <v>CA: Elk Grove MOB - Citi</v>
      </c>
      <c r="B7" s="11" t="str">
        <v>CA</v>
      </c>
      <c r="C7" s="12">
        <f>SUM(Jul!C7, Aug!C7, Sep!C7)</f>
        <v>461498</v>
      </c>
      <c r="D7" s="12">
        <f>SUM(Jul!D7,Aug!D7,Sep!D7)</f>
        <v>506237</v>
      </c>
      <c r="E7" s="80">
        <f t="shared" ref="E7:E22" si="5">C7/D7</f>
        <v>0.91162439726847311</v>
      </c>
      <c r="F7" s="20">
        <f>SUM(Jul!F7, Aug!F7, Sep!G7)</f>
        <v>505327.22</v>
      </c>
      <c r="G7" s="20">
        <f t="shared" ref="G7:G23" si="6">IF(AND(ISNUMBER(C7),ISNUMBER(F7)), C7-F7, "")</f>
        <v>-43829.219999999972</v>
      </c>
      <c r="H7" s="21">
        <f t="shared" si="2"/>
        <v>-8.6734334239900984E-2</v>
      </c>
      <c r="I7" s="20">
        <f>SUM(Jul!I7, Aug!I7, Sep!J7)</f>
        <v>502741</v>
      </c>
      <c r="J7" s="20">
        <f t="shared" si="3"/>
        <v>-41243</v>
      </c>
      <c r="K7" s="21">
        <f t="shared" si="4"/>
        <v>-8.2036277128780033E-2</v>
      </c>
    </row>
    <row r="8" spans="1:13" ht="15.6">
      <c r="A8" s="13" t="str">
        <v>CA: Elk Grove Promenade - Citi</v>
      </c>
      <c r="B8" s="10" t="str">
        <v>CA</v>
      </c>
      <c r="C8" s="26">
        <f>SUM(Jul!C8, Aug!C8, Sep!C8)</f>
        <v>238397.75</v>
      </c>
      <c r="D8" s="128">
        <f>SUM(Jul!D8,Aug!D8,Sep!D8)</f>
        <v>269083</v>
      </c>
      <c r="E8" s="82">
        <f t="shared" si="5"/>
        <v>0.88596362460653399</v>
      </c>
      <c r="F8" s="14">
        <f>SUM(Jul!F8, Aug!F8, Sep!G8)</f>
        <v>254437.55800000002</v>
      </c>
      <c r="G8" s="14">
        <f t="shared" si="6"/>
        <v>-16039.808000000019</v>
      </c>
      <c r="H8" s="15">
        <f t="shared" si="2"/>
        <v>-6.3040252885936038E-2</v>
      </c>
      <c r="I8" s="16">
        <f>SUM(Jul!I8, Aug!I8, Sep!J8)</f>
        <v>267218.08600000001</v>
      </c>
      <c r="J8" s="16">
        <f t="shared" si="3"/>
        <v>-28820.33600000001</v>
      </c>
      <c r="K8" s="17">
        <f t="shared" si="4"/>
        <v>-0.10785323864642908</v>
      </c>
    </row>
    <row r="9" spans="1:13" ht="15.6">
      <c r="A9" s="19" t="str">
        <v>CA: Fresno Sequioa - Citi</v>
      </c>
      <c r="B9" s="11" t="str">
        <v>CA</v>
      </c>
      <c r="C9" s="12">
        <f>SUM(Jul!C9, Aug!C9, Sep!C9)</f>
        <v>467821.5</v>
      </c>
      <c r="D9" s="12">
        <f>SUM(Jul!D9,Aug!D9,Sep!D9)</f>
        <v>509820</v>
      </c>
      <c r="E9" s="80">
        <f t="shared" si="5"/>
        <v>0.91762092503236437</v>
      </c>
      <c r="F9" s="20">
        <f>SUM(Jul!F9, Aug!F9, Sep!G9)</f>
        <v>509125.44200000004</v>
      </c>
      <c r="G9" s="20">
        <f t="shared" si="6"/>
        <v>-41303.942000000039</v>
      </c>
      <c r="H9" s="21">
        <f t="shared" si="2"/>
        <v>-8.1127240150768262E-2</v>
      </c>
      <c r="I9" s="20">
        <f>SUM(Jul!I9, Aug!I9, Sep!J9)</f>
        <v>504875</v>
      </c>
      <c r="J9" s="20">
        <f t="shared" si="3"/>
        <v>-37053.5</v>
      </c>
      <c r="K9" s="21">
        <f t="shared" si="4"/>
        <v>-7.3391433523149294E-2</v>
      </c>
    </row>
    <row r="10" spans="1:13" ht="15.6">
      <c r="A10" s="13" t="str">
        <v>CA: Fresno MOB - Citi</v>
      </c>
      <c r="B10" s="10" t="str">
        <v>CA</v>
      </c>
      <c r="C10" s="26">
        <f>SUM(Jul!C10, Aug!C10, Sep!C10)</f>
        <v>183237.88</v>
      </c>
      <c r="D10" s="128">
        <f>SUM(Jul!D10,Aug!D10,Sep!D10)</f>
        <v>204972</v>
      </c>
      <c r="E10" s="82">
        <f t="shared" si="5"/>
        <v>0.89396541966707654</v>
      </c>
      <c r="F10" s="14">
        <f>SUM(Jul!F10, Aug!F10, Sep!G10)</f>
        <v>185174.05300000001</v>
      </c>
      <c r="G10" s="14">
        <f t="shared" si="6"/>
        <v>-1936.1730000000098</v>
      </c>
      <c r="H10" s="15">
        <f t="shared" si="2"/>
        <v>-1.0455962747653471E-2</v>
      </c>
      <c r="I10" s="16">
        <f>SUM(Jul!I10, Aug!I10, Sep!J10)</f>
        <v>205219</v>
      </c>
      <c r="J10" s="16">
        <f t="shared" si="3"/>
        <v>-21981.119999999995</v>
      </c>
      <c r="K10" s="17">
        <f t="shared" si="4"/>
        <v>-0.10711055019272092</v>
      </c>
    </row>
    <row r="11" spans="1:13" ht="15.6">
      <c r="A11" s="19" t="str">
        <v>CA: Modesto Bangs - Citi</v>
      </c>
      <c r="B11" s="11" t="str">
        <v>CA</v>
      </c>
      <c r="C11" s="12">
        <f>SUM(Jul!C11, Aug!C11, Sep!C11)</f>
        <v>107974.25</v>
      </c>
      <c r="D11" s="12">
        <f>SUM(Jul!D11,Aug!D11,Sep!D11)</f>
        <v>140504</v>
      </c>
      <c r="E11" s="80">
        <f t="shared" si="5"/>
        <v>0.76847812161931328</v>
      </c>
      <c r="F11" s="20">
        <f>SUM(Jul!F11, Aug!F11, Sep!G11)</f>
        <v>69396.679000000004</v>
      </c>
      <c r="G11" s="20">
        <f t="shared" si="6"/>
        <v>38577.570999999996</v>
      </c>
      <c r="H11" s="21">
        <f t="shared" si="2"/>
        <v>0.55589938244739345</v>
      </c>
      <c r="I11" s="20">
        <f>SUM(Jul!I11, Aug!I11, Sep!J11)</f>
        <v>139818</v>
      </c>
      <c r="J11" s="20">
        <f t="shared" si="3"/>
        <v>-31843.75</v>
      </c>
      <c r="K11" s="21">
        <f t="shared" si="4"/>
        <v>-0.22775143400706632</v>
      </c>
      <c r="M11" s="20"/>
    </row>
    <row r="12" spans="1:13" ht="15.6">
      <c r="A12" s="13" t="str">
        <v>CA: Napa Data Center - Citi</v>
      </c>
      <c r="B12" s="10" t="str">
        <v>CA</v>
      </c>
      <c r="C12" s="26">
        <f>SUM(Jul!C12, Aug!C12, Sep!C12)</f>
        <v>123767.75</v>
      </c>
      <c r="D12" s="128">
        <f>SUM(Jul!D12,Aug!D12,Sep!D12)</f>
        <v>147673</v>
      </c>
      <c r="E12" s="82">
        <f t="shared" si="5"/>
        <v>0.83812037406973516</v>
      </c>
      <c r="F12" s="14">
        <f>SUM(Jul!F12, Aug!F12, Sep!G12)</f>
        <v>186048.54199999999</v>
      </c>
      <c r="G12" s="14">
        <f t="shared" si="6"/>
        <v>-62280.791999999987</v>
      </c>
      <c r="H12" s="15">
        <f t="shared" si="2"/>
        <v>-0.33475560372840757</v>
      </c>
      <c r="I12" s="16">
        <f>SUM(Jul!I12, Aug!I12, Sep!J12)</f>
        <v>142169</v>
      </c>
      <c r="J12" s="16">
        <f t="shared" si="3"/>
        <v>-18401.25</v>
      </c>
      <c r="K12" s="17">
        <f t="shared" si="4"/>
        <v>-0.12943222502795967</v>
      </c>
    </row>
    <row r="13" spans="1:13" ht="15.6">
      <c r="A13" s="19" t="str">
        <v>CA: Petaluma MOB - Citi</v>
      </c>
      <c r="B13" s="11" t="str">
        <v>CA</v>
      </c>
      <c r="C13" s="12">
        <f>SUM(Jul!C13, Aug!C13, Sep!C13)</f>
        <v>253999</v>
      </c>
      <c r="D13" s="12">
        <f>SUM(Jul!D13,Aug!D13,Sep!D13)</f>
        <v>345890</v>
      </c>
      <c r="E13" s="80">
        <f t="shared" si="5"/>
        <v>0.73433461505102782</v>
      </c>
      <c r="F13" s="20">
        <f>SUM(Jul!F13, Aug!F13, Sep!G13)</f>
        <v>257129.76199999999</v>
      </c>
      <c r="G13" s="20">
        <f t="shared" si="6"/>
        <v>-3130.7619999999879</v>
      </c>
      <c r="H13" s="21">
        <f t="shared" si="2"/>
        <v>-1.2175805615220801E-2</v>
      </c>
      <c r="I13" s="20">
        <f>SUM(Jul!I13, Aug!I13, Sep!J13)</f>
        <v>332853</v>
      </c>
      <c r="J13" s="20">
        <f t="shared" si="3"/>
        <v>-78854</v>
      </c>
      <c r="K13" s="21">
        <f t="shared" si="4"/>
        <v>-0.23690337776736278</v>
      </c>
    </row>
    <row r="14" spans="1:13" ht="15.6">
      <c r="A14" s="13" t="str">
        <v>CA: Pleasanton Tec Ctr - Citi</v>
      </c>
      <c r="B14" s="10" t="str">
        <v>CA</v>
      </c>
      <c r="C14" s="26">
        <f>SUM(Jul!C14, Aug!C14, Sep!C14)</f>
        <v>407958.5</v>
      </c>
      <c r="D14" s="128">
        <f>SUM(Jul!D14,Aug!D14,Sep!D14)</f>
        <v>485068</v>
      </c>
      <c r="E14" s="82">
        <f t="shared" si="5"/>
        <v>0.84103362827479855</v>
      </c>
      <c r="F14" s="14">
        <f>SUM(Jul!F14, Aug!F14, Sep!G14)</f>
        <v>431869.79700000002</v>
      </c>
      <c r="G14" s="14">
        <f t="shared" si="6"/>
        <v>-23911.29700000002</v>
      </c>
      <c r="H14" s="15">
        <f t="shared" si="2"/>
        <v>-5.5366911893586342E-2</v>
      </c>
      <c r="I14" s="16">
        <f>SUM(Jul!I14, Aug!I14, Sep!J14)</f>
        <v>480567</v>
      </c>
      <c r="J14" s="16">
        <f t="shared" si="3"/>
        <v>-72608.5</v>
      </c>
      <c r="K14" s="17">
        <f t="shared" si="4"/>
        <v>-0.15108923417546358</v>
      </c>
    </row>
    <row r="15" spans="1:13" ht="15.6">
      <c r="A15" s="19" t="str">
        <v>CA: Rancho Cordova - Citi</v>
      </c>
      <c r="B15" s="11" t="str">
        <v>CA</v>
      </c>
      <c r="C15" s="12">
        <f>SUM(Jul!C15, Aug!C15, Sep!C15)</f>
        <v>611986</v>
      </c>
      <c r="D15" s="12">
        <f>SUM(Jul!D15,Aug!D15,Sep!D15)</f>
        <v>697236</v>
      </c>
      <c r="E15" s="80">
        <f t="shared" si="5"/>
        <v>0.87773149980781251</v>
      </c>
      <c r="F15" s="20">
        <f>SUM(Jul!F15, Aug!F15, Sep!G15)</f>
        <v>689583.26399999997</v>
      </c>
      <c r="G15" s="20">
        <f t="shared" si="6"/>
        <v>-77597.263999999966</v>
      </c>
      <c r="H15" s="21">
        <f t="shared" si="2"/>
        <v>-0.11252776575505749</v>
      </c>
      <c r="I15" s="20">
        <f>SUM(Jul!I15, Aug!I15, Sep!J15)</f>
        <v>693063</v>
      </c>
      <c r="J15" s="20">
        <f t="shared" si="3"/>
        <v>-81077</v>
      </c>
      <c r="K15" s="21">
        <f t="shared" si="4"/>
        <v>-0.11698359312212599</v>
      </c>
    </row>
    <row r="16" spans="1:13" ht="15.6">
      <c r="A16" s="13" t="str">
        <v>CA: S Sacramento Wyndham - Citi</v>
      </c>
      <c r="B16" s="10" t="str">
        <v>CA</v>
      </c>
      <c r="C16" s="26">
        <f>SUM(Jul!C16, Aug!C16, Sep!C16)</f>
        <v>353104</v>
      </c>
      <c r="D16" s="128">
        <f>SUM(Jul!D16,Aug!D16,Sep!D16)</f>
        <v>438015</v>
      </c>
      <c r="E16" s="82">
        <f t="shared" si="5"/>
        <v>0.80614590824515142</v>
      </c>
      <c r="F16" s="14">
        <f>SUM(Jul!F16, Aug!F16, Sep!G16)</f>
        <v>384673.09299999999</v>
      </c>
      <c r="G16" s="14">
        <f t="shared" si="6"/>
        <v>-31569.092999999993</v>
      </c>
      <c r="H16" s="15">
        <f t="shared" si="2"/>
        <v>-8.2067328270345116E-2</v>
      </c>
      <c r="I16" s="16">
        <f>SUM(Jul!I16, Aug!I16, Sep!J16)</f>
        <v>434991</v>
      </c>
      <c r="J16" s="16">
        <f t="shared" si="3"/>
        <v>-81887</v>
      </c>
      <c r="K16" s="17">
        <f t="shared" si="4"/>
        <v>-0.1882498718364288</v>
      </c>
    </row>
    <row r="17" spans="1:11" ht="15.6">
      <c r="A17" s="19" t="str">
        <v>CA: Sacramento Point West - Citi</v>
      </c>
      <c r="B17" s="11" t="str">
        <v>CA</v>
      </c>
      <c r="C17" s="12">
        <f>SUM(Jul!C17, Aug!C17, Sep!C17)</f>
        <v>693080</v>
      </c>
      <c r="D17" s="12">
        <f>SUM(Jul!D17,Aug!D17,Sep!D17)</f>
        <v>839782</v>
      </c>
      <c r="E17" s="80">
        <f t="shared" si="5"/>
        <v>0.82530942554139053</v>
      </c>
      <c r="F17" s="20">
        <f>SUM(Jul!F17, Aug!F17, Sep!G17)</f>
        <v>789406.45500000007</v>
      </c>
      <c r="G17" s="20">
        <f t="shared" si="6"/>
        <v>-96326.455000000075</v>
      </c>
      <c r="H17" s="21">
        <f t="shared" si="2"/>
        <v>-0.12202390085599195</v>
      </c>
      <c r="I17" s="20">
        <f>SUM(Jul!I17, Aug!I17, Sep!J17)</f>
        <v>832599</v>
      </c>
      <c r="J17" s="20">
        <f t="shared" si="3"/>
        <v>-139519</v>
      </c>
      <c r="K17" s="21">
        <f t="shared" si="4"/>
        <v>-0.16757046309207674</v>
      </c>
    </row>
    <row r="18" spans="1:11" ht="12.75" customHeight="1">
      <c r="A18" s="13" t="str">
        <v>CA: San Jose FHC - Citi</v>
      </c>
      <c r="B18" s="10" t="str">
        <v>CA</v>
      </c>
      <c r="C18" s="26">
        <f>SUM(Jul!C18, Aug!C18, Sep!C18)</f>
        <v>137568.25</v>
      </c>
      <c r="D18" s="128">
        <f>SUM(Jul!D18,Aug!D18,Sep!D18)</f>
        <v>167296</v>
      </c>
      <c r="E18" s="82">
        <f t="shared" si="5"/>
        <v>0.82230447828997699</v>
      </c>
      <c r="F18" s="14">
        <f>SUM(Jul!F18, Aug!F18, Sep!G18)</f>
        <v>154293.859</v>
      </c>
      <c r="G18" s="14">
        <f t="shared" si="6"/>
        <v>-16725.608999999997</v>
      </c>
      <c r="H18" s="15">
        <f t="shared" si="2"/>
        <v>-0.10840100253115062</v>
      </c>
      <c r="I18" s="16">
        <f>SUM(Jul!I18, Aug!I18, Sep!J18)</f>
        <v>171468</v>
      </c>
      <c r="J18" s="16">
        <f t="shared" si="3"/>
        <v>-33899.75</v>
      </c>
      <c r="K18" s="17">
        <f t="shared" si="4"/>
        <v>-0.19770306996057574</v>
      </c>
    </row>
    <row r="19" spans="1:11" ht="15.6">
      <c r="A19" s="19" t="str">
        <v>CA: San Jose MOB - Citi</v>
      </c>
      <c r="B19" s="11" t="str">
        <v>CA</v>
      </c>
      <c r="C19" s="12">
        <f>SUM(Jul!C19, Aug!C19, Sep!C19)</f>
        <v>215929.75</v>
      </c>
      <c r="D19" s="12">
        <f>SUM(Jul!D19,Aug!D19,Sep!D19)</f>
        <v>266797</v>
      </c>
      <c r="E19" s="80">
        <f t="shared" si="5"/>
        <v>0.80934099708767337</v>
      </c>
      <c r="F19" s="20">
        <f>SUM(Jul!F19, Aug!F19, Sep!G19)</f>
        <v>242061.34600000002</v>
      </c>
      <c r="G19" s="20">
        <f t="shared" si="6"/>
        <v>-26131.59600000002</v>
      </c>
      <c r="H19" s="21">
        <f t="shared" si="2"/>
        <v>-0.10795443564954818</v>
      </c>
      <c r="I19" s="20">
        <f>SUM(Jul!I19, Aug!I19, Sep!J19)</f>
        <v>269073</v>
      </c>
      <c r="J19" s="20">
        <f t="shared" si="3"/>
        <v>-53143.25</v>
      </c>
      <c r="K19" s="21">
        <f t="shared" si="4"/>
        <v>-0.19750495218769629</v>
      </c>
    </row>
    <row r="20" spans="1:11" ht="15.6">
      <c r="A20" s="13" t="str">
        <v>CA: Selma - Citi</v>
      </c>
      <c r="B20" s="10" t="str">
        <v>CA</v>
      </c>
      <c r="C20" s="26">
        <f>SUM(Jul!C20, Aug!C20, Sep!C20)</f>
        <v>127535.87</v>
      </c>
      <c r="D20" s="128">
        <f>SUM(Jul!D20,Aug!D20,Sep!D20)</f>
        <v>153772</v>
      </c>
      <c r="E20" s="82">
        <f t="shared" si="5"/>
        <v>0.82938291756626692</v>
      </c>
      <c r="F20" s="14">
        <f>SUM(Jul!F20, Aug!F20, Sep!G20)</f>
        <v>152910.02000000002</v>
      </c>
      <c r="G20" s="14">
        <f t="shared" si="6"/>
        <v>-25374.150000000023</v>
      </c>
      <c r="H20" s="15">
        <f t="shared" si="2"/>
        <v>-0.16594170872517067</v>
      </c>
      <c r="I20" s="16">
        <f>SUM(Jul!I20, Aug!I20, Sep!J20)</f>
        <v>152724</v>
      </c>
      <c r="J20" s="16">
        <f t="shared" si="3"/>
        <v>-25188.130000000005</v>
      </c>
      <c r="K20" s="17">
        <f t="shared" si="4"/>
        <v>-0.16492581388648808</v>
      </c>
    </row>
    <row r="21" spans="1:11" ht="15.6">
      <c r="A21" s="19" t="str">
        <v>CA: Vacaville Hospital</v>
      </c>
      <c r="B21" s="11" t="str">
        <v>CA</v>
      </c>
      <c r="C21" s="12">
        <f>SUM(Jul!C21, Aug!C21, Sep!C21)</f>
        <v>518760.25</v>
      </c>
      <c r="D21" s="12">
        <f>SUM(Jul!D21,Aug!D21,Sep!D21)</f>
        <v>1082113</v>
      </c>
      <c r="E21" s="80">
        <f t="shared" si="5"/>
        <v>0.47939563613042263</v>
      </c>
      <c r="F21" s="20">
        <f>SUM(Jul!F21, Aug!F21, Sep!G21)</f>
        <v>1093980.9920000001</v>
      </c>
      <c r="G21" s="20">
        <f t="shared" si="6"/>
        <v>-575220.74200000009</v>
      </c>
      <c r="H21" s="21">
        <f t="shared" si="2"/>
        <v>-0.52580506078847855</v>
      </c>
      <c r="I21" s="20">
        <f>SUM(Jul!I21, Aug!I21, Sep!J21)</f>
        <v>1068170</v>
      </c>
      <c r="J21" s="20">
        <f t="shared" si="3"/>
        <v>-549409.75</v>
      </c>
      <c r="K21" s="21">
        <f t="shared" si="4"/>
        <v>-0.51434673319789925</v>
      </c>
    </row>
    <row r="22" spans="1:11" ht="15.6">
      <c r="A22" s="13" t="str">
        <v>CA: Manteca - KP Manteca Hospital</v>
      </c>
      <c r="B22" s="10" t="str">
        <v>CA</v>
      </c>
      <c r="C22" s="26">
        <f>SUM(Jul!C22, Aug!C22, Sep!C22)</f>
        <v>302855.5</v>
      </c>
      <c r="D22" s="128">
        <f>SUM(Jul!D22,Aug!D22,Sep!D22)</f>
        <v>345256</v>
      </c>
      <c r="E22" s="82">
        <f t="shared" si="5"/>
        <v>0.87719112774289221</v>
      </c>
      <c r="F22" s="14">
        <f>SUM(Jul!F22, Aug!F22, Sep!G22)</f>
        <v>301886.33600000001</v>
      </c>
      <c r="G22" s="14">
        <f t="shared" si="6"/>
        <v>969.16399999998976</v>
      </c>
      <c r="H22" s="15">
        <f t="shared" si="2"/>
        <v>3.2103606040651991E-3</v>
      </c>
      <c r="I22" s="16">
        <f>SUM(Jul!I22, Aug!I22, Sep!J22)</f>
        <v>338437.03899999999</v>
      </c>
      <c r="J22" s="16">
        <f t="shared" si="3"/>
        <v>-35581.53899999999</v>
      </c>
      <c r="K22" s="17">
        <f t="shared" si="4"/>
        <v>-0.1051348844829008</v>
      </c>
    </row>
    <row r="23" spans="1:11" ht="15.6">
      <c r="A23" s="19" t="str">
        <v>Sacramento - KP South Sacramento HSP</v>
      </c>
      <c r="B23" s="11" t="str">
        <v>CA</v>
      </c>
      <c r="C23" s="12">
        <f>SUM(Jul!C23, Aug!C23, Sep!C23)</f>
        <v>757303.26</v>
      </c>
      <c r="D23" s="12">
        <f>SUM(Jul!D23,Aug!D23,Sep!D23)</f>
        <v>0</v>
      </c>
      <c r="E23" s="80" t="str">
        <f>IFERROR(C23/D23, "")</f>
        <v/>
      </c>
      <c r="F23" s="20">
        <f>SUM(Jul!F23, Aug!F23, Sep!G23)</f>
        <v>663422.39599999995</v>
      </c>
      <c r="G23" s="20">
        <f t="shared" si="6"/>
        <v>93880.86400000006</v>
      </c>
      <c r="H23" s="21">
        <f t="shared" si="2"/>
        <v>0.14150994082509097</v>
      </c>
      <c r="I23" s="20">
        <f>SUM(Jul!I23, Aug!I23, Sep!J23)</f>
        <v>1137934</v>
      </c>
      <c r="J23" s="20">
        <f t="shared" si="3"/>
        <v>-380630.74</v>
      </c>
      <c r="K23" s="21">
        <f t="shared" si="4"/>
        <v>-0.3344928088975283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tabSelected="1" workbookViewId="0">
      <pane ySplit="2" topLeftCell="A3" activePane="bottomLeft" state="frozen"/>
      <selection pane="bottomLeft" activeCell="K13" sqref="K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24.75" customHeight="1" thickBot="1">
      <c r="A1" s="135" t="str" cm="1">
        <f t="array" ref="A1">portfolio</f>
        <v>CITI</v>
      </c>
      <c r="B1" s="135"/>
      <c r="C1" s="135"/>
      <c r="D1" s="74" t="s">
        <v>0</v>
      </c>
      <c r="E1" s="75" t="s">
        <v>1</v>
      </c>
      <c r="F1" s="136" t="s">
        <v>18</v>
      </c>
      <c r="G1" s="136"/>
      <c r="H1" s="136"/>
      <c r="I1" s="134" t="s">
        <v>19</v>
      </c>
      <c r="J1" s="134"/>
      <c r="K1" s="134"/>
    </row>
    <row r="2" spans="1:11" ht="19.5" customHeight="1">
      <c r="A2" s="137" t="s">
        <v>4</v>
      </c>
      <c r="B2" s="137"/>
      <c r="C2" s="6">
        <f>SUM(C4:C100)</f>
        <v>1643994.95</v>
      </c>
      <c r="D2" s="6">
        <f>SUM(D3:D22)</f>
        <v>1739868</v>
      </c>
      <c r="E2" s="68">
        <f>C2/D2</f>
        <v>0.94489636570130608</v>
      </c>
      <c r="F2" s="6">
        <f>SUM(D4:D100)</f>
        <v>1739868</v>
      </c>
      <c r="G2" s="6">
        <f>C2-F2</f>
        <v>-95873.050000000047</v>
      </c>
      <c r="H2" s="7">
        <f>IFERROR(G2/F2, 0)</f>
        <v>-5.510363429869395E-2</v>
      </c>
      <c r="I2" s="6">
        <f>SUM(G4:G100)</f>
        <v>-125097.03399999996</v>
      </c>
      <c r="J2" s="8">
        <f>C2-I2</f>
        <v>1769091.9839999999</v>
      </c>
      <c r="K2" s="7">
        <f>IFERROR(J2/I2, 0)</f>
        <v>-14.141758021217358</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48139.5</v>
      </c>
      <c r="D4" s="71">
        <f>SUM(Oct!D4,Nov!D4,Dec!D4)</f>
        <v>48791</v>
      </c>
      <c r="E4" s="82">
        <f t="shared" ref="E4:E21" si="0">IFERROR(C4/D4, "")</f>
        <v>0.98664712754401429</v>
      </c>
      <c r="F4" s="14">
        <f>SUM(Oct!F4, Nov!F4, Dec!F4)</f>
        <v>49733.822</v>
      </c>
      <c r="G4" s="14">
        <f t="shared" ref="G4:G19" si="1">IF(AND(ISNUMBER(C4),ISNUMBER(F4)), C4-F4, "")</f>
        <v>-1594.3220000000001</v>
      </c>
      <c r="H4" s="15">
        <f>IFERROR(G4/F4, "")</f>
        <v>-3.2057097884011412E-2</v>
      </c>
      <c r="I4" s="16">
        <f>SUM(Oct!I4,Nov!I4,Dec!J4)</f>
        <v>48555</v>
      </c>
      <c r="J4" s="16">
        <f>SUM(Oct!J4, Nov!J4, Dec!J4)</f>
        <v>-415.5</v>
      </c>
      <c r="K4" s="17">
        <f>IFERROR(J4/I4, "")</f>
        <v>-8.5573061476675941E-3</v>
      </c>
    </row>
    <row r="5" spans="1:11" ht="15.6">
      <c r="A5" s="19" t="str">
        <v>CA: Antioch MC CUP - Citi</v>
      </c>
      <c r="B5" s="11" t="str">
        <v>CA</v>
      </c>
      <c r="C5" s="12">
        <f>SUM(Oct!C5, Nov!C5, Dec!C5)</f>
        <v>159015</v>
      </c>
      <c r="D5" s="71">
        <f>SUM(Oct!D5,Nov!D5,Dec!D5)</f>
        <v>161457</v>
      </c>
      <c r="E5" s="23">
        <f t="shared" si="0"/>
        <v>0.98487522993738275</v>
      </c>
      <c r="F5" s="20">
        <f>SUM(Oct!F5, Nov!F5, Dec!F5)</f>
        <v>162307.97899999999</v>
      </c>
      <c r="G5" s="20">
        <f t="shared" si="1"/>
        <v>-3292.9789999999921</v>
      </c>
      <c r="H5" s="21">
        <f>IFERROR(G5/F5, "")</f>
        <v>-2.0288460371994357E-2</v>
      </c>
      <c r="I5" s="44">
        <f>SUM(Oct!I5,Nov!I5,Dec!J5)</f>
        <v>159844</v>
      </c>
      <c r="J5" s="22">
        <f>SUM(Oct!J5, Nov!J5, Dec!J5)</f>
        <v>-829</v>
      </c>
      <c r="K5" s="21">
        <f>IFERROR(J5/I5, "")</f>
        <v>-5.1863066489827581E-3</v>
      </c>
    </row>
    <row r="6" spans="1:11" ht="15.6">
      <c r="A6" s="13" t="str">
        <v>CA: Clovis - Citi</v>
      </c>
      <c r="B6" s="10" t="str">
        <v>CA</v>
      </c>
      <c r="C6" s="26">
        <f>SUM(Oct!C6, Nov!C6, Dec!C6)</f>
        <v>73523.570000000007</v>
      </c>
      <c r="D6" s="71">
        <f>SUM(Oct!D6,Nov!D6,Dec!D6)</f>
        <v>67768</v>
      </c>
      <c r="E6" s="82">
        <f t="shared" si="0"/>
        <v>1.0849304981702279</v>
      </c>
      <c r="F6" s="14">
        <f>SUM(Oct!F6, Nov!F6, Dec!F6)</f>
        <v>67135.724000000002</v>
      </c>
      <c r="G6" s="14">
        <f t="shared" si="1"/>
        <v>6387.846000000005</v>
      </c>
      <c r="H6" s="15">
        <f t="shared" ref="H6:H15" si="2">IFERROR(G6/F6, "")</f>
        <v>9.5148240301988915E-2</v>
      </c>
      <c r="I6" s="16">
        <f>SUM(Oct!I6,Nov!I6,Dec!J6)</f>
        <v>85899.694000000003</v>
      </c>
      <c r="J6" s="16">
        <f>SUM(Oct!J6, Nov!J6, Dec!J6)</f>
        <v>-12376.123999999996</v>
      </c>
      <c r="K6" s="17">
        <f t="shared" ref="K6:K15" si="3">IFERROR(J6/I6, "")</f>
        <v>-0.14407646201859572</v>
      </c>
    </row>
    <row r="7" spans="1:11" ht="15.6">
      <c r="A7" s="19" t="str">
        <v>CA: Elk Grove MOB - Citi</v>
      </c>
      <c r="B7" s="11" t="str">
        <v>CA</v>
      </c>
      <c r="C7" s="12">
        <f>SUM(Oct!C7, Nov!C7, Dec!C7)</f>
        <v>100507</v>
      </c>
      <c r="D7" s="71">
        <f>SUM(Oct!D7,Nov!D7,Dec!D7)</f>
        <v>107702</v>
      </c>
      <c r="E7" s="23">
        <f t="shared" si="0"/>
        <v>0.93319529813745339</v>
      </c>
      <c r="F7" s="20">
        <f>SUM(Oct!F7, Nov!F7, Dec!F7)</f>
        <v>102964.655</v>
      </c>
      <c r="G7" s="20">
        <f t="shared" si="1"/>
        <v>-2457.6549999999988</v>
      </c>
      <c r="H7" s="21">
        <f t="shared" si="2"/>
        <v>-2.3868918902316516E-2</v>
      </c>
      <c r="I7" s="22">
        <f>SUM(Oct!I7,Nov!I7,Dec!J7)</f>
        <v>107180</v>
      </c>
      <c r="J7" s="22">
        <f>SUM(Oct!J7, Nov!J7, Dec!J7)</f>
        <v>-6673</v>
      </c>
      <c r="K7" s="21">
        <f t="shared" si="3"/>
        <v>-6.2259749953349507E-2</v>
      </c>
    </row>
    <row r="8" spans="1:11" ht="15.6">
      <c r="A8" s="13" t="str">
        <v>CA: Elk Grove Promenade - Citi</v>
      </c>
      <c r="B8" s="10" t="str">
        <v>CA</v>
      </c>
      <c r="C8" s="26">
        <f>SUM(Oct!C8, Nov!C8, Dec!C8)</f>
        <v>55013.25</v>
      </c>
      <c r="D8" s="71">
        <f>SUM(Oct!D8,Nov!D8,Dec!D8)</f>
        <v>59094</v>
      </c>
      <c r="E8" s="82">
        <f t="shared" si="0"/>
        <v>0.93094476596608788</v>
      </c>
      <c r="F8" s="14">
        <f>SUM(Oct!F8, Nov!F8, Dec!F8)</f>
        <v>57268.624000000003</v>
      </c>
      <c r="G8" s="14">
        <f t="shared" si="1"/>
        <v>-2255.3740000000034</v>
      </c>
      <c r="H8" s="15">
        <f t="shared" si="2"/>
        <v>-3.9382367559590806E-2</v>
      </c>
      <c r="I8" s="16">
        <f>SUM(Oct!I8,Nov!I8,Dec!J8)</f>
        <v>58807.5</v>
      </c>
      <c r="J8" s="16">
        <f>SUM(Oct!J8, Nov!J8, Dec!J8)</f>
        <v>-3794.25</v>
      </c>
      <c r="K8" s="17">
        <f t="shared" si="3"/>
        <v>-6.4519831654125753E-2</v>
      </c>
    </row>
    <row r="9" spans="1:11" ht="15.6">
      <c r="A9" s="19" t="str">
        <v>CA: Fresno Sequioa - Citi</v>
      </c>
      <c r="B9" s="11" t="str">
        <v>CA</v>
      </c>
      <c r="C9" s="12">
        <f>SUM(Oct!C9, Nov!C9, Dec!C9)</f>
        <v>109714</v>
      </c>
      <c r="D9" s="71">
        <f>SUM(Oct!D9,Nov!D9,Dec!D9)</f>
        <v>121284</v>
      </c>
      <c r="E9" s="23">
        <f t="shared" si="0"/>
        <v>0.90460406978661656</v>
      </c>
      <c r="F9" s="20">
        <f>SUM(Oct!F9, Nov!F9, Dec!F9)</f>
        <v>114487.967</v>
      </c>
      <c r="G9" s="20">
        <f t="shared" si="1"/>
        <v>-4773.9670000000042</v>
      </c>
      <c r="H9" s="21">
        <f t="shared" si="2"/>
        <v>-4.169841709216484E-2</v>
      </c>
      <c r="I9" s="22">
        <f>SUM(Oct!I9,Nov!I9,Dec!J9)</f>
        <v>120362</v>
      </c>
      <c r="J9" s="22">
        <f>SUM(Oct!J9, Nov!J9, Dec!J9)</f>
        <v>-10648</v>
      </c>
      <c r="K9" s="21">
        <f t="shared" si="3"/>
        <v>-8.8466459513800041E-2</v>
      </c>
    </row>
    <row r="10" spans="1:11" ht="15.6">
      <c r="A10" s="13" t="str">
        <v>CA: Fresno MOB - Citi</v>
      </c>
      <c r="B10" s="10" t="str">
        <v>CA</v>
      </c>
      <c r="C10" s="26">
        <f>SUM(Oct!C10, Nov!C10, Dec!C10)</f>
        <v>42095.25</v>
      </c>
      <c r="D10" s="71">
        <f>SUM(Oct!D10,Nov!D10,Dec!D10)</f>
        <v>48559</v>
      </c>
      <c r="E10" s="82">
        <f t="shared" si="0"/>
        <v>0.86688873329351923</v>
      </c>
      <c r="F10" s="14">
        <f>SUM(Oct!F10, Nov!F10, Dec!F10)</f>
        <v>44657.813999999998</v>
      </c>
      <c r="G10" s="14">
        <f t="shared" si="1"/>
        <v>-2562.5639999999985</v>
      </c>
      <c r="H10" s="15">
        <f t="shared" si="2"/>
        <v>-5.7382208632066015E-2</v>
      </c>
      <c r="I10" s="16">
        <f>SUM(Oct!I10,Nov!I10,Dec!J10)</f>
        <v>48457</v>
      </c>
      <c r="J10" s="16">
        <f>SUM(Oct!J10, Nov!J10, Dec!J10)</f>
        <v>-6361.75</v>
      </c>
      <c r="K10" s="17">
        <f t="shared" si="3"/>
        <v>-0.13128650143426129</v>
      </c>
    </row>
    <row r="11" spans="1:11" ht="15.6">
      <c r="A11" s="19" t="str">
        <v>CA: Modesto Bangs - Citi</v>
      </c>
      <c r="B11" s="11" t="str">
        <v>CA</v>
      </c>
      <c r="C11" s="12">
        <f>SUM(Oct!C11, Nov!C11, Dec!C11)</f>
        <v>23125.5</v>
      </c>
      <c r="D11" s="71">
        <f>SUM(Oct!D11,Nov!D11,Dec!D11)</f>
        <v>31253</v>
      </c>
      <c r="E11" s="23">
        <f t="shared" si="0"/>
        <v>0.73994496528333276</v>
      </c>
      <c r="F11" s="20">
        <f>SUM(Oct!F11, Nov!F11, Dec!F11)</f>
        <v>26513.214</v>
      </c>
      <c r="G11" s="20">
        <f t="shared" si="1"/>
        <v>-3387.7139999999999</v>
      </c>
      <c r="H11" s="21">
        <f t="shared" si="2"/>
        <v>-0.12777455045623665</v>
      </c>
      <c r="I11" s="22">
        <f>SUM(Oct!I11,Nov!I11,Dec!J11)</f>
        <v>31100</v>
      </c>
      <c r="J11" s="22">
        <f>SUM(Oct!J11, Nov!J11, Dec!J11)</f>
        <v>-7974.5</v>
      </c>
      <c r="K11" s="21">
        <f t="shared" si="3"/>
        <v>-0.25641479099678455</v>
      </c>
    </row>
    <row r="12" spans="1:11" ht="15.6">
      <c r="A12" s="13" t="str">
        <v>CA: Napa Data Center - Citi</v>
      </c>
      <c r="B12" s="10" t="str">
        <v>CA</v>
      </c>
      <c r="C12" s="26">
        <f>SUM(Oct!C12, Nov!C12, Dec!C12)</f>
        <v>25421.5</v>
      </c>
      <c r="D12" s="71">
        <f>SUM(Oct!D12,Nov!D12,Dec!D12)</f>
        <v>32658</v>
      </c>
      <c r="E12" s="82">
        <f t="shared" si="0"/>
        <v>0.77841570212505362</v>
      </c>
      <c r="F12" s="14">
        <f>SUM(Oct!F12, Nov!F12, Dec!F12)</f>
        <v>45546.944000000003</v>
      </c>
      <c r="G12" s="14">
        <f t="shared" si="1"/>
        <v>-20125.444000000003</v>
      </c>
      <c r="H12" s="15">
        <f t="shared" si="2"/>
        <v>-0.44186156594831044</v>
      </c>
      <c r="I12" s="16">
        <f>SUM(Oct!I12,Nov!I12,Dec!J12)</f>
        <v>31608</v>
      </c>
      <c r="J12" s="16">
        <f>SUM(Oct!J12, Nov!J12, Dec!J12)</f>
        <v>-6186.5</v>
      </c>
      <c r="K12" s="17">
        <f t="shared" si="3"/>
        <v>-0.19572576562895469</v>
      </c>
    </row>
    <row r="13" spans="1:11" ht="15.6">
      <c r="A13" s="19" t="str">
        <v>CA: Petaluma MOB - Citi</v>
      </c>
      <c r="B13" s="11" t="str">
        <v>CA</v>
      </c>
      <c r="C13" s="12">
        <f>SUM(Oct!C13, Nov!C13, Dec!C13)</f>
        <v>42328</v>
      </c>
      <c r="D13" s="71">
        <f>SUM(Oct!D13,Nov!D13,Dec!D13)</f>
        <v>75096</v>
      </c>
      <c r="E13" s="23">
        <f t="shared" si="0"/>
        <v>0.56365185895387238</v>
      </c>
      <c r="F13" s="20">
        <f>SUM(Oct!F13, Nov!F13, Dec!F13)</f>
        <v>60242</v>
      </c>
      <c r="G13" s="20">
        <f t="shared" si="1"/>
        <v>-17914</v>
      </c>
      <c r="H13" s="21">
        <f t="shared" si="2"/>
        <v>-0.29736728528269313</v>
      </c>
      <c r="I13" s="22">
        <f>SUM(Oct!I13,Nov!I13,Dec!J13)</f>
        <v>66005</v>
      </c>
      <c r="J13" s="22">
        <f>SUM(Oct!J13, Nov!J13, Dec!J13)</f>
        <v>-23677</v>
      </c>
      <c r="K13" s="21">
        <f t="shared" si="3"/>
        <v>-0.35871524884478451</v>
      </c>
    </row>
    <row r="14" spans="1:11" ht="15.6">
      <c r="A14" s="13" t="str">
        <v>CA: Pleasanton Tec Ctr - Citi</v>
      </c>
      <c r="B14" s="10" t="str">
        <v>CA</v>
      </c>
      <c r="C14" s="26">
        <f>SUM(Oct!C14, Nov!C14, Dec!C14)</f>
        <v>97157.5</v>
      </c>
      <c r="D14" s="71">
        <f>SUM(Oct!D14,Nov!D14,Dec!D14)</f>
        <v>104866</v>
      </c>
      <c r="E14" s="82">
        <f t="shared" si="0"/>
        <v>0.92649190395361702</v>
      </c>
      <c r="F14" s="14">
        <f>SUM(Oct!F14, Nov!F14, Dec!F14)</f>
        <v>101301.82799999999</v>
      </c>
      <c r="G14" s="14">
        <f t="shared" si="1"/>
        <v>-4144.3279999999941</v>
      </c>
      <c r="H14" s="15">
        <f t="shared" si="2"/>
        <v>-4.0910693141687375E-2</v>
      </c>
      <c r="I14" s="16">
        <f>SUM(Oct!I14,Nov!I14,Dec!J14)</f>
        <v>104092</v>
      </c>
      <c r="J14" s="16">
        <f>SUM(Oct!J14, Nov!J14, Dec!J14)</f>
        <v>-6934.5</v>
      </c>
      <c r="K14" s="17">
        <f t="shared" si="3"/>
        <v>-6.6618952465127002E-2</v>
      </c>
    </row>
    <row r="15" spans="1:11" ht="15.6">
      <c r="A15" s="19" t="str">
        <v>CA: Rancho Cordova - Citi</v>
      </c>
      <c r="B15" s="11" t="str">
        <v>CA</v>
      </c>
      <c r="C15" s="12">
        <f>SUM(Oct!C15, Nov!C15, Dec!C15)</f>
        <v>149343.35999999999</v>
      </c>
      <c r="D15" s="71">
        <f>SUM(Oct!D15,Nov!D15,Dec!D15)</f>
        <v>171967</v>
      </c>
      <c r="E15" s="23">
        <f t="shared" si="0"/>
        <v>0.86844196851721545</v>
      </c>
      <c r="F15" s="20">
        <f>SUM(Oct!F15, Nov!F15, Dec!F15)</f>
        <v>125328.603</v>
      </c>
      <c r="G15" s="20">
        <f t="shared" si="1"/>
        <v>24014.756999999983</v>
      </c>
      <c r="H15" s="21">
        <f t="shared" si="2"/>
        <v>0.19161433563573657</v>
      </c>
      <c r="I15" s="22">
        <f>SUM(Oct!I15,Nov!I15,Dec!J15)</f>
        <v>170703.48199999999</v>
      </c>
      <c r="J15" s="22">
        <f>SUM(Oct!J15, Nov!J15, Dec!J15)</f>
        <v>-21360.122000000003</v>
      </c>
      <c r="K15" s="21">
        <f t="shared" si="3"/>
        <v>-0.12512997245129426</v>
      </c>
    </row>
    <row r="16" spans="1:11" ht="15.6">
      <c r="A16" s="13" t="str">
        <v>CA: S Sacramento Wyndham - Citi</v>
      </c>
      <c r="B16" s="10" t="str">
        <v>CA</v>
      </c>
      <c r="C16" s="37">
        <f>SUM(Oct!C16, Nov!C16, Dec!C16)</f>
        <v>74591.28</v>
      </c>
      <c r="D16" s="71">
        <f>SUM(Oct!D16,Nov!D16,Dec!D16)</f>
        <v>92577</v>
      </c>
      <c r="E16" s="82">
        <f t="shared" si="0"/>
        <v>0.80572150750186333</v>
      </c>
      <c r="F16" s="14">
        <f>SUM(Oct!F16, Nov!F16, Dec!F16)</f>
        <v>77696.320999999996</v>
      </c>
      <c r="G16" s="14">
        <f t="shared" si="1"/>
        <v>-3105.0409999999974</v>
      </c>
      <c r="H16" s="38">
        <f t="shared" ref="H16:H21" si="4">IFERROR(G16/F16, "")</f>
        <v>-3.9963809869453117E-2</v>
      </c>
      <c r="I16" s="39">
        <f>SUM(Oct!I16,Nov!I16,Dec!J16)</f>
        <v>123109.194</v>
      </c>
      <c r="J16" s="39">
        <f>SUM(Oct!J16, Nov!J16, Dec!J16)</f>
        <v>-48517.914000000004</v>
      </c>
      <c r="K16" s="40">
        <f t="shared" ref="K16:K21" si="5">IFERROR(J16/I16, "")</f>
        <v>-0.39410471650070267</v>
      </c>
    </row>
    <row r="17" spans="1:11" ht="15.6">
      <c r="A17" s="19" t="str">
        <v>CA: Sacramento Point West - Citi</v>
      </c>
      <c r="B17" s="11" t="str">
        <v>CA</v>
      </c>
      <c r="C17" s="42">
        <f>SUM(Oct!C17, Nov!C17, Dec!C17)</f>
        <v>178762.98</v>
      </c>
      <c r="D17" s="71">
        <f>SUM(Oct!D17,Nov!D17,Dec!D17)</f>
        <v>178364</v>
      </c>
      <c r="E17" s="23">
        <f t="shared" si="0"/>
        <v>1.0022368863672042</v>
      </c>
      <c r="F17" s="20">
        <f>SUM(Oct!F17, Nov!F17, Dec!F17)</f>
        <v>148586.579</v>
      </c>
      <c r="G17" s="20">
        <f t="shared" si="1"/>
        <v>30176.401000000013</v>
      </c>
      <c r="H17" s="43">
        <f t="shared" si="4"/>
        <v>0.20308968147116446</v>
      </c>
      <c r="I17" s="44">
        <f>SUM(Oct!I17,Nov!I17,Dec!J17)</f>
        <v>220360.046</v>
      </c>
      <c r="J17" s="44">
        <f>SUM(Oct!J17, Nov!J17, Dec!J17)</f>
        <v>-41597.065999999992</v>
      </c>
      <c r="K17" s="43">
        <f t="shared" si="5"/>
        <v>-0.18876863912072334</v>
      </c>
    </row>
    <row r="18" spans="1:11" ht="12.75" customHeight="1">
      <c r="A18" s="13" t="str">
        <v>CA: San Jose FHC - Citi</v>
      </c>
      <c r="B18" s="10" t="str">
        <v>CA</v>
      </c>
      <c r="C18" s="37">
        <f>SUM(Oct!C18, Nov!C18, Dec!C18)</f>
        <v>30703.5</v>
      </c>
      <c r="D18" s="71">
        <f>SUM(Oct!D18,Nov!D18,Dec!D18)</f>
        <v>37332</v>
      </c>
      <c r="E18" s="82">
        <f t="shared" si="0"/>
        <v>0.82244455159112828</v>
      </c>
      <c r="F18" s="14">
        <f>SUM(Oct!F18, Nov!F18, Dec!F18)</f>
        <v>35592.305</v>
      </c>
      <c r="G18" s="14">
        <f t="shared" si="1"/>
        <v>-4888.8050000000003</v>
      </c>
      <c r="H18" s="38">
        <f t="shared" si="4"/>
        <v>-0.13735567280624281</v>
      </c>
      <c r="I18" s="39">
        <f>SUM(Oct!I18,Nov!I18,Dec!J18)</f>
        <v>38263</v>
      </c>
      <c r="J18" s="39">
        <f>SUM(Oct!J18, Nov!J18, Dec!J18)</f>
        <v>-7559.5</v>
      </c>
      <c r="K18" s="40">
        <f t="shared" si="5"/>
        <v>-0.19756684002822569</v>
      </c>
    </row>
    <row r="19" spans="1:11" ht="15.6">
      <c r="A19" s="19" t="str">
        <v>CA: San Jose MOB - Citi</v>
      </c>
      <c r="B19" s="11" t="str">
        <v>CA</v>
      </c>
      <c r="C19" s="42">
        <f>SUM(Oct!C19, Nov!C19, Dec!C19)</f>
        <v>109510.07</v>
      </c>
      <c r="D19" s="71">
        <f>SUM(Oct!D19,Nov!D19,Dec!D19)</f>
        <v>61008</v>
      </c>
      <c r="E19" s="23">
        <f t="shared" si="0"/>
        <v>1.7950116378179912</v>
      </c>
      <c r="F19" s="20">
        <f>SUM(Oct!F19, Nov!F19, Dec!F19)</f>
        <v>38122.555</v>
      </c>
      <c r="G19" s="20">
        <f t="shared" si="1"/>
        <v>71387.515000000014</v>
      </c>
      <c r="H19" s="43">
        <f t="shared" si="4"/>
        <v>1.8725795005082952</v>
      </c>
      <c r="I19" s="44">
        <f>SUM(Oct!I19,Nov!I19,Dec!J19)</f>
        <v>58383.724999999999</v>
      </c>
      <c r="J19" s="44">
        <f>SUM(Oct!J19, Nov!J19, Dec!J19)</f>
        <v>51126.345000000008</v>
      </c>
      <c r="K19" s="43">
        <f t="shared" si="5"/>
        <v>0.87569515305849377</v>
      </c>
    </row>
    <row r="20" spans="1:11" ht="15.6">
      <c r="A20" s="13" t="str">
        <v>CA: Selma - Citi</v>
      </c>
      <c r="B20" s="10" t="str">
        <v>CA</v>
      </c>
      <c r="C20" s="37">
        <f>SUM(Oct!C20, Nov!C20, Dec!C20)</f>
        <v>14368.19</v>
      </c>
      <c r="D20" s="71">
        <f>SUM(Oct!D20,Nov!D20,Dec!D20)</f>
        <v>34259</v>
      </c>
      <c r="E20" s="82">
        <f t="shared" si="0"/>
        <v>0.41939899004641118</v>
      </c>
      <c r="F20" s="14">
        <f>SUM(Oct!F20, Nov!F20, Dec!F20)</f>
        <v>27872.149000000001</v>
      </c>
      <c r="G20" s="14">
        <f>SUM(Oct!G20, Nov!G20, Dec!G20)</f>
        <v>-13503.959000000001</v>
      </c>
      <c r="H20" s="38">
        <f t="shared" si="4"/>
        <v>-0.48449651298864682</v>
      </c>
      <c r="I20" s="39">
        <f>SUM(Oct!I20,Nov!I20,Dec!J20)</f>
        <v>41389.79</v>
      </c>
      <c r="J20" s="39">
        <f>SUM(Oct!J20, Nov!J20, Dec!J20)</f>
        <v>-27021.599999999999</v>
      </c>
      <c r="K20" s="40">
        <f t="shared" si="5"/>
        <v>-0.65285665861073461</v>
      </c>
    </row>
    <row r="21" spans="1:11" ht="15.6">
      <c r="A21" s="19" t="str">
        <v>CA: Vacaville Hospital</v>
      </c>
      <c r="B21" s="11" t="str">
        <v>CA</v>
      </c>
      <c r="C21" s="42">
        <f>SUM(Oct!C21, Nov!C21, Dec!C21)</f>
        <v>40628.92</v>
      </c>
      <c r="D21" s="71">
        <f>SUM(Oct!D21,Nov!D21,Dec!D21)</f>
        <v>237441</v>
      </c>
      <c r="E21" s="23">
        <f t="shared" si="0"/>
        <v>0.17111164457696859</v>
      </c>
      <c r="F21" s="20">
        <f>SUM(Oct!F21, Nov!F21, Dec!F21)</f>
        <v>225674.16899999999</v>
      </c>
      <c r="G21" s="20">
        <f>SUM(Oct!G21, Nov!G21, Dec!G21)</f>
        <v>-185045.24900000001</v>
      </c>
      <c r="H21" s="43">
        <f t="shared" si="4"/>
        <v>-0.81996645792456657</v>
      </c>
      <c r="I21" s="44">
        <f>SUM(Oct!I21,Nov!I21,Dec!J21)</f>
        <v>346755.37900000002</v>
      </c>
      <c r="J21" s="44">
        <f>SUM(Oct!J21, Nov!J21, Dec!J21)</f>
        <v>-306126.45900000003</v>
      </c>
      <c r="K21" s="43">
        <f t="shared" si="5"/>
        <v>-0.8828311759224361</v>
      </c>
    </row>
    <row r="22" spans="1:11" ht="15.6">
      <c r="A22" s="13" t="str">
        <v>CA: Manteca - KP Manteca Hospital</v>
      </c>
      <c r="B22" s="10" t="str">
        <v>CA</v>
      </c>
      <c r="C22" s="37">
        <f>SUM(Oct!C22, Nov!C22, Dec!C22)</f>
        <v>68365.38</v>
      </c>
      <c r="D22" s="71">
        <f>SUM(Oct!D22,Nov!D22,Dec!D22)</f>
        <v>68392</v>
      </c>
      <c r="E22" s="82">
        <f>IFERROR(C22/D22, "")</f>
        <v>0.99961077318984681</v>
      </c>
      <c r="F22" s="14">
        <f>SUM(Oct!F22, Nov!F22, Dec!F22)</f>
        <v>66552.11</v>
      </c>
      <c r="G22" s="14">
        <f>SUM(Oct!G22, Nov!G22, Dec!G22)</f>
        <v>1813.2700000000041</v>
      </c>
      <c r="H22" s="38">
        <f>IFERROR(G22/F22, "")</f>
        <v>2.7245867937169897E-2</v>
      </c>
      <c r="I22" s="39">
        <f>SUM(Oct!I22,Nov!I22,Dec!J22)</f>
        <v>95941.22</v>
      </c>
      <c r="J22" s="39">
        <f>SUM(Oct!J22, Nov!J22, Dec!J22)</f>
        <v>-27575.839999999997</v>
      </c>
      <c r="K22" s="40">
        <f>IFERROR(J22/I22, "")</f>
        <v>-0.28742432084978692</v>
      </c>
    </row>
    <row r="23" spans="1:11" ht="15">
      <c r="A23" s="23" t="str">
        <v>Sacramento - KP South Sacramento HSP</v>
      </c>
      <c r="B23" s="23" t="str">
        <v>CA</v>
      </c>
      <c r="C23" s="37">
        <f>SUM(Oct!C23, Nov!C23, Dec!C23)</f>
        <v>201681.2</v>
      </c>
      <c r="D23" s="71">
        <f>SUM(Oct!D23,Nov!D23,Dec!D23)</f>
        <v>0</v>
      </c>
      <c r="E23" s="82" t="str">
        <f>IFERROR(C23/D23, "")</f>
        <v/>
      </c>
      <c r="F23" s="14">
        <f>SUM(Oct!F23, Nov!F23, Dec!F23)</f>
        <v>191506.622</v>
      </c>
      <c r="G23" s="14">
        <f>SUM(Oct!G23, Nov!G23, Dec!G23)</f>
        <v>10174.578000000009</v>
      </c>
      <c r="H23" s="38">
        <f>IFERROR(G23/F23, "")</f>
        <v>5.3129118428082392E-2</v>
      </c>
      <c r="I23" s="39">
        <f>SUM(Oct!I23,Nov!I23,Dec!J23)</f>
        <v>292516.25300000003</v>
      </c>
      <c r="J23" s="39">
        <f>SUM(Oct!J23, Nov!J23, Dec!J23)</f>
        <v>-90835.053000000014</v>
      </c>
      <c r="K23" s="40">
        <f>IFERROR(J23/I23, "")</f>
        <v>-0.31052993489561759</v>
      </c>
    </row>
    <row r="24" spans="1:11" ht="12.75">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F24:F100 I24:I100 H4:H23 K4:K23">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H4" sqref="H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35" t="str" cm="1">
        <f t="array" ref="A1">portfolio</f>
        <v>CITI</v>
      </c>
      <c r="B1" s="135"/>
      <c r="C1" s="135"/>
      <c r="D1" s="76" t="s">
        <v>0</v>
      </c>
      <c r="E1" s="76" t="s">
        <v>1</v>
      </c>
      <c r="F1" s="136" t="s">
        <v>20</v>
      </c>
      <c r="G1" s="136"/>
      <c r="H1" s="136"/>
      <c r="I1" s="134" t="s">
        <v>21</v>
      </c>
      <c r="J1" s="134"/>
      <c r="K1" s="134"/>
      <c r="L1" s="5"/>
      <c r="M1" s="5"/>
    </row>
    <row r="2" spans="1:14" ht="19.5" customHeight="1">
      <c r="A2" s="137" t="s">
        <v>4</v>
      </c>
      <c r="B2" s="137"/>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35" t="str" cm="1">
        <f t="array" ref="A1">portfolio</f>
        <v>CITI</v>
      </c>
      <c r="B1" s="135"/>
      <c r="C1" s="135"/>
      <c r="D1" s="76" t="s">
        <v>0</v>
      </c>
      <c r="E1" s="76" t="s">
        <v>1</v>
      </c>
      <c r="F1" s="136" t="s">
        <v>44</v>
      </c>
      <c r="G1" s="136"/>
      <c r="H1" s="136"/>
      <c r="I1" s="134" t="s">
        <v>45</v>
      </c>
      <c r="J1" s="134"/>
      <c r="K1" s="134"/>
      <c r="L1" s="5"/>
      <c r="M1" s="5"/>
    </row>
    <row r="2" spans="1:17" ht="19.5" customHeight="1">
      <c r="A2" s="137" t="s">
        <v>4</v>
      </c>
      <c r="B2" s="137"/>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35" t="str" cm="1">
        <f t="array" ref="A1">portfolio</f>
        <v>CITI</v>
      </c>
      <c r="B1" s="135"/>
      <c r="C1" s="135"/>
      <c r="D1" s="76" t="s">
        <v>0</v>
      </c>
      <c r="E1" s="76" t="s">
        <v>1</v>
      </c>
      <c r="F1" s="76" t="s">
        <v>69</v>
      </c>
      <c r="G1" s="136" t="s">
        <v>70</v>
      </c>
      <c r="H1" s="136"/>
      <c r="I1" s="136"/>
      <c r="J1" s="134" t="s">
        <v>71</v>
      </c>
      <c r="K1" s="134"/>
      <c r="L1" s="134"/>
      <c r="M1" s="5"/>
      <c r="N1" s="5"/>
    </row>
    <row r="2" spans="1:17" ht="19.5" customHeight="1">
      <c r="A2" s="137" t="s">
        <v>4</v>
      </c>
      <c r="B2" s="137"/>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E4" sqref="E4"/>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35" t="str" cm="1">
        <f t="array" ref="A1">portfolio</f>
        <v>CITI</v>
      </c>
      <c r="B1" s="135"/>
      <c r="C1" s="135"/>
      <c r="D1" s="76" t="s">
        <v>0</v>
      </c>
      <c r="E1" s="76" t="s">
        <v>1</v>
      </c>
      <c r="F1" s="136" t="s">
        <v>103</v>
      </c>
      <c r="G1" s="136"/>
      <c r="H1" s="136"/>
      <c r="I1" s="134" t="s">
        <v>104</v>
      </c>
      <c r="J1" s="134"/>
      <c r="K1" s="134"/>
      <c r="L1" s="5"/>
      <c r="M1" s="5"/>
    </row>
    <row r="2" spans="1:13" ht="19.5" customHeight="1">
      <c r="A2" s="137" t="s">
        <v>4</v>
      </c>
      <c r="B2" s="137"/>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35" t="str" cm="1">
        <f t="array" ref="A1">portfolio</f>
        <v>CITI</v>
      </c>
      <c r="B1" s="135"/>
      <c r="C1" s="135"/>
      <c r="D1" s="76" t="s">
        <v>0</v>
      </c>
      <c r="E1" s="76" t="s">
        <v>1</v>
      </c>
      <c r="F1" s="136" t="s">
        <v>135</v>
      </c>
      <c r="G1" s="136"/>
      <c r="H1" s="136"/>
      <c r="I1" s="134" t="s">
        <v>136</v>
      </c>
      <c r="J1" s="134"/>
      <c r="K1" s="134"/>
      <c r="L1" s="5"/>
      <c r="M1" s="64"/>
    </row>
    <row r="2" spans="1:15" ht="19.5" customHeight="1">
      <c r="A2" s="137" t="s">
        <v>4</v>
      </c>
      <c r="B2" s="137"/>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50" zoomScaleNormal="50" workbookViewId="0">
      <pane ySplit="2" topLeftCell="A3" activePane="bottomLeft" state="frozen"/>
      <selection pane="bottomLeft" activeCell="L4" sqref="L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35" t="str" cm="1">
        <f t="array" ref="A1">portfolio</f>
        <v>CITI</v>
      </c>
      <c r="B1" s="135"/>
      <c r="C1" s="135"/>
      <c r="D1" s="76" t="s">
        <v>0</v>
      </c>
      <c r="E1" s="76" t="s">
        <v>1</v>
      </c>
      <c r="F1" s="76" t="s">
        <v>170</v>
      </c>
      <c r="G1" s="136" t="s">
        <v>171</v>
      </c>
      <c r="H1" s="136"/>
      <c r="I1" s="136"/>
      <c r="J1" s="134" t="s">
        <v>172</v>
      </c>
      <c r="K1" s="134"/>
      <c r="L1" s="134"/>
      <c r="M1" s="5"/>
      <c r="N1" s="5"/>
    </row>
    <row r="2" spans="1:18" ht="19.5" customHeight="1">
      <c r="A2" s="137" t="s">
        <v>4</v>
      </c>
      <c r="B2" s="137"/>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72">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H4" sqref="H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9"/>
  </cols>
  <sheetData>
    <row r="1" spans="1:17" ht="19.5" customHeight="1">
      <c r="A1" s="135" t="str" cm="1">
        <f t="array" ref="A1">portfolio</f>
        <v>CITI</v>
      </c>
      <c r="B1" s="135"/>
      <c r="C1" s="135"/>
      <c r="D1" s="76" t="s">
        <v>0</v>
      </c>
      <c r="E1" s="76" t="s">
        <v>1</v>
      </c>
      <c r="F1" s="136" t="s">
        <v>202</v>
      </c>
      <c r="G1" s="136"/>
      <c r="H1" s="136"/>
      <c r="I1" s="134" t="s">
        <v>203</v>
      </c>
      <c r="J1" s="134"/>
      <c r="K1" s="134"/>
      <c r="L1" s="5"/>
      <c r="M1" s="5"/>
    </row>
    <row r="2" spans="1:17" ht="19.5" customHeight="1">
      <c r="A2" s="137" t="s">
        <v>4</v>
      </c>
      <c r="B2" s="137"/>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50" zoomScaleNormal="50" workbookViewId="0">
      <pane ySplit="2" topLeftCell="A9" activePane="bottomLeft" state="frozen"/>
      <selection pane="bottomLeft" activeCell="J4" sqref="J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35" t="str" cm="1">
        <f t="array" ref="A1">portfolio</f>
        <v>CITI</v>
      </c>
      <c r="B1" s="135"/>
      <c r="C1" s="135"/>
      <c r="D1" s="76" t="s">
        <v>0</v>
      </c>
      <c r="E1" s="76" t="s">
        <v>1</v>
      </c>
      <c r="F1" s="138" t="s">
        <v>234</v>
      </c>
      <c r="G1" s="139"/>
      <c r="H1" s="140"/>
      <c r="I1" s="134" t="s">
        <v>235</v>
      </c>
      <c r="J1" s="134"/>
      <c r="K1" s="134"/>
      <c r="L1" s="5"/>
      <c r="M1" s="5"/>
    </row>
    <row r="2" spans="1:16" ht="19.5" customHeight="1">
      <c r="A2" s="137" t="s">
        <v>4</v>
      </c>
      <c r="B2" s="137"/>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9"/>
      <c r="O4" s="129"/>
      <c r="P4" s="129"/>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9"/>
      <c r="O5" s="129"/>
      <c r="P5" s="129"/>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9"/>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9"/>
      <c r="O7" s="129"/>
      <c r="P7" s="129"/>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9"/>
      <c r="O8" s="129"/>
      <c r="P8" s="129"/>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9"/>
      <c r="O9" s="129"/>
      <c r="P9" s="129"/>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9"/>
      <c r="O10" s="129"/>
      <c r="P10" s="129"/>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9"/>
      <c r="O11" s="129"/>
      <c r="P11" s="129"/>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9"/>
      <c r="P12" s="129"/>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9"/>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9"/>
      <c r="O14" s="129"/>
      <c r="P14" s="129"/>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9"/>
      <c r="P15" s="129"/>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9"/>
      <c r="O16" s="129"/>
      <c r="P16" s="129"/>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84" t="s">
        <v>255</v>
      </c>
      <c r="M17" s="107" t="s">
        <v>93</v>
      </c>
      <c r="N17" s="104" t="s">
        <v>94</v>
      </c>
      <c r="O17" s="129"/>
      <c r="P17" s="129"/>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9"/>
      <c r="O18" s="129"/>
      <c r="P18" s="129"/>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9"/>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9"/>
      <c r="O20" s="129"/>
      <c r="P20" s="129"/>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9"/>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9"/>
      <c r="O22" s="129"/>
      <c r="P22" s="129"/>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9"/>
      <c r="P23" s="129"/>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opLeftCell="B1" zoomScale="85" zoomScaleNormal="85" workbookViewId="0">
      <pane ySplit="2" topLeftCell="A12" activePane="bottomLeft" state="frozen"/>
      <selection pane="bottomLeft" activeCell="D13" sqref="D1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9"/>
  </cols>
  <sheetData>
    <row r="1" spans="1:18" ht="41.45">
      <c r="A1" s="135" t="str" cm="1">
        <f t="array" ref="A1">portfolio</f>
        <v>CITI</v>
      </c>
      <c r="B1" s="135"/>
      <c r="C1" s="135"/>
      <c r="D1" s="74" t="s">
        <v>0</v>
      </c>
      <c r="E1" s="75" t="s">
        <v>1</v>
      </c>
      <c r="F1" s="76" t="s">
        <v>268</v>
      </c>
      <c r="G1" s="136" t="s">
        <v>269</v>
      </c>
      <c r="H1" s="136"/>
      <c r="I1" s="136"/>
      <c r="J1" s="134" t="s">
        <v>270</v>
      </c>
      <c r="K1" s="134"/>
      <c r="L1" s="134"/>
      <c r="M1" s="5"/>
      <c r="N1" s="5"/>
    </row>
    <row r="2" spans="1:18" ht="19.5" customHeight="1">
      <c r="A2" s="137" t="s">
        <v>4</v>
      </c>
      <c r="B2" s="137"/>
      <c r="C2" s="6">
        <f>SUM(C4:C100)</f>
        <v>1986646.63</v>
      </c>
      <c r="D2" s="6">
        <f>SUM(D3:D22)</f>
        <v>2229628</v>
      </c>
      <c r="E2" s="68">
        <f>IFERROR(C2/D2, "")</f>
        <v>0.89102156503237306</v>
      </c>
      <c r="F2" s="7">
        <v>0.89</v>
      </c>
      <c r="G2" s="6">
        <f>SUM(G4:G100)</f>
        <v>2273246.25</v>
      </c>
      <c r="H2" s="6">
        <f>C2-G2</f>
        <v>-286599.62000000011</v>
      </c>
      <c r="I2" s="7">
        <f>IFERROR(H2/G2, 0)</f>
        <v>-0.12607504356380225</v>
      </c>
      <c r="J2" s="6">
        <f>SUM(J4:J100)</f>
        <v>2540725.9380000001</v>
      </c>
      <c r="K2" s="8">
        <f>C2-J2</f>
        <v>-554079.30800000019</v>
      </c>
      <c r="L2" s="7">
        <f>IFERROR(K2/J2, 0)</f>
        <v>-0.21807913231135762</v>
      </c>
      <c r="M2" s="28" t="str">
        <f ca="1">IF(AND(TODAY()&gt;DATE(2024, 9, 1), COUNTA(Sites[Site])&lt;&gt;(COUNT(C:C)-1)), "Some sites are missing actual data; if new sites were added, make sure they are aligned correctly (including prior months!)", "")</f>
        <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55847.25</v>
      </c>
      <c r="D4" s="78">
        <v>61034</v>
      </c>
      <c r="E4" s="79">
        <f>IFERROR(C4/D4, "")</f>
        <v>0.91501867811383819</v>
      </c>
      <c r="F4" s="79">
        <f>(SUM(C4,Aug!C4,Jul!C4))/(SUM(Jul!D4,Aug!D4,Sep!D4))</f>
        <v>0.99090868995998105</v>
      </c>
      <c r="G4" s="14">
        <v>58954.620999999999</v>
      </c>
      <c r="H4" s="14">
        <f t="shared" ref="H4:H22" si="0">IF(AND(ISNUMBER(C4),ISNUMBER(G4)), C4-G4, "")</f>
        <v>-3107.3709999999992</v>
      </c>
      <c r="I4" s="15">
        <f>IFERROR(H4/G4, "")</f>
        <v>-5.2707844564041879E-2</v>
      </c>
      <c r="J4" s="125">
        <v>60738</v>
      </c>
      <c r="K4" s="16">
        <f t="shared" ref="K4:K22" si="1">IF(AND(ISNUMBER(C4),ISNUMBER(J4)), C4-J4, "")</f>
        <v>-4890.75</v>
      </c>
      <c r="L4" s="17">
        <f>IFERROR(K4/J4, "")</f>
        <v>-8.0522078435246475E-2</v>
      </c>
      <c r="M4" s="18"/>
      <c r="N4" s="18"/>
    </row>
    <row r="5" spans="1:18" ht="39.6" customHeight="1">
      <c r="A5" s="32" t="str">
        <v>CA: Antioch MC CUP - Citi</v>
      </c>
      <c r="B5" s="33" t="str">
        <v>CA</v>
      </c>
      <c r="C5" s="12">
        <v>202819</v>
      </c>
      <c r="D5" s="12">
        <v>205187</v>
      </c>
      <c r="E5" s="80">
        <f>IFERROR(C5/D5,"")</f>
        <v>0.9884593078508872</v>
      </c>
      <c r="F5" s="80">
        <f>(SUM(C5,Aug!C5,Jul!C5))/(SUM(Jul!D5,Aug!D5,Sep!D5))</f>
        <v>0.96277864447437655</v>
      </c>
      <c r="G5" s="20">
        <v>198982.14600000001</v>
      </c>
      <c r="H5" s="20">
        <f t="shared" si="0"/>
        <v>3836.8539999999921</v>
      </c>
      <c r="I5" s="21">
        <f>IFERROR(H5/G5, "")</f>
        <v>1.9282403356932293E-2</v>
      </c>
      <c r="J5" s="126">
        <v>203137</v>
      </c>
      <c r="K5" s="22">
        <f t="shared" si="1"/>
        <v>-318</v>
      </c>
      <c r="L5" s="21">
        <f>IFERROR(K5/J5, "")</f>
        <v>-1.5654459798067314E-3</v>
      </c>
      <c r="M5" s="84"/>
      <c r="N5" s="86"/>
    </row>
    <row r="6" spans="1:18" ht="15.6">
      <c r="A6" s="34" t="str">
        <v>CA: Clovis - Citi</v>
      </c>
      <c r="B6" s="31" t="str">
        <v>CA</v>
      </c>
      <c r="C6" s="26">
        <v>78772.75</v>
      </c>
      <c r="D6" s="78">
        <v>83528</v>
      </c>
      <c r="E6" s="79">
        <f t="shared" ref="E6" si="2">IFERROR(C6/D6, "")</f>
        <v>0.94306998850684798</v>
      </c>
      <c r="F6" s="79">
        <f>(SUM(C6,Aug!C6,Jul!C6))/(SUM(Jul!D6,Aug!D6,Sep!D6))</f>
        <v>0.93717770252704258</v>
      </c>
      <c r="G6" s="14">
        <v>88919.438999999998</v>
      </c>
      <c r="H6" s="14">
        <f t="shared" si="0"/>
        <v>-10146.688999999998</v>
      </c>
      <c r="I6" s="15">
        <f t="shared" ref="I6:I23" si="3">IFERROR(H6/G6, "")</f>
        <v>-0.11411103257185415</v>
      </c>
      <c r="J6" s="125">
        <v>80644</v>
      </c>
      <c r="K6" s="16">
        <f t="shared" si="1"/>
        <v>-1871.25</v>
      </c>
      <c r="L6" s="17">
        <f t="shared" ref="L6:L23" si="4">IFERROR(K6/J6, "")</f>
        <v>-2.3203834135211546E-2</v>
      </c>
      <c r="M6" s="18" t="s">
        <v>271</v>
      </c>
      <c r="N6" s="99" t="s">
        <v>272</v>
      </c>
    </row>
    <row r="7" spans="1:18" ht="28.9">
      <c r="A7" s="32" t="str">
        <v>CA: Elk Grove MOB - Citi</v>
      </c>
      <c r="B7" s="33" t="str">
        <v>CA</v>
      </c>
      <c r="C7" s="12">
        <v>122435</v>
      </c>
      <c r="D7" s="12">
        <v>144942</v>
      </c>
      <c r="E7" s="80">
        <f t="shared" ref="E7" si="5">IFERROR(C7/D7,"")</f>
        <v>0.84471719722371708</v>
      </c>
      <c r="F7" s="80">
        <f>(SUM(C7,Aug!C7,Jul!C7))/(SUM(Jul!D7,Aug!D7,Sep!D7))</f>
        <v>0.91162439726847311</v>
      </c>
      <c r="G7" s="20">
        <v>129394.62</v>
      </c>
      <c r="H7" s="20">
        <f t="shared" si="0"/>
        <v>-6959.6199999999953</v>
      </c>
      <c r="I7" s="21">
        <f t="shared" si="3"/>
        <v>-5.3786007486246304E-2</v>
      </c>
      <c r="J7" s="126">
        <v>144239</v>
      </c>
      <c r="K7" s="22">
        <f t="shared" si="1"/>
        <v>-21804</v>
      </c>
      <c r="L7" s="21">
        <f t="shared" si="4"/>
        <v>-0.15116577347319379</v>
      </c>
      <c r="M7" s="85" t="s">
        <v>206</v>
      </c>
      <c r="N7" s="94"/>
    </row>
    <row r="8" spans="1:18" ht="28.9">
      <c r="A8" s="34" t="str">
        <v>CA: Elk Grove Promenade - Citi</v>
      </c>
      <c r="B8" s="31" t="str">
        <v>CA</v>
      </c>
      <c r="C8" s="26">
        <v>59990</v>
      </c>
      <c r="D8" s="78">
        <v>78204</v>
      </c>
      <c r="E8" s="79">
        <f t="shared" ref="E8" si="6">IFERROR(C8/D8, "")</f>
        <v>0.76709631220909413</v>
      </c>
      <c r="F8" s="79">
        <f>(SUM(C8,Aug!C8,Jul!C8))/(SUM(Jul!D8,Aug!D8,Sep!D8))</f>
        <v>0.88596362460653399</v>
      </c>
      <c r="G8" s="14">
        <v>68141.278000000006</v>
      </c>
      <c r="H8" s="14">
        <f t="shared" si="0"/>
        <v>-8151.2780000000057</v>
      </c>
      <c r="I8" s="15">
        <f t="shared" si="3"/>
        <v>-0.11962320401445956</v>
      </c>
      <c r="J8" s="125">
        <v>77824.851999999999</v>
      </c>
      <c r="K8" s="16">
        <f t="shared" si="1"/>
        <v>-17834.851999999999</v>
      </c>
      <c r="L8" s="17">
        <f t="shared" si="4"/>
        <v>-0.22916653924378808</v>
      </c>
      <c r="M8" s="18" t="s">
        <v>107</v>
      </c>
      <c r="N8" s="99" t="s">
        <v>77</v>
      </c>
    </row>
    <row r="9" spans="1:18" ht="15.6">
      <c r="A9" s="32" t="str">
        <v>CA: Fresno Sequioa - Citi</v>
      </c>
      <c r="B9" s="33" t="str">
        <v>CA</v>
      </c>
      <c r="C9" s="12">
        <v>129333.5</v>
      </c>
      <c r="D9" s="12">
        <v>144602</v>
      </c>
      <c r="E9" s="80">
        <f t="shared" ref="E9" si="7">IFERROR(C9/D9,"")</f>
        <v>0.89441017413313784</v>
      </c>
      <c r="F9" s="80">
        <f>(SUM(C9,Aug!C9,Jul!C9))/(SUM(Jul!D9,Aug!D9,Sep!D9))</f>
        <v>0.91762092503236437</v>
      </c>
      <c r="G9" s="20">
        <v>143301.242</v>
      </c>
      <c r="H9" s="20">
        <f t="shared" si="0"/>
        <v>-13967.741999999998</v>
      </c>
      <c r="I9" s="21">
        <f t="shared" si="3"/>
        <v>-9.7471185909191196E-2</v>
      </c>
      <c r="J9" s="126">
        <v>143200</v>
      </c>
      <c r="K9" s="22">
        <f t="shared" si="1"/>
        <v>-13866.5</v>
      </c>
      <c r="L9" s="21">
        <f t="shared" si="4"/>
        <v>-9.6833100558659221E-2</v>
      </c>
      <c r="M9" s="61"/>
      <c r="N9" s="62"/>
    </row>
    <row r="10" spans="1:18" ht="15.6">
      <c r="A10" s="34" t="str">
        <v>CA: Fresno MOB - Citi</v>
      </c>
      <c r="B10" s="31" t="str">
        <v>CA</v>
      </c>
      <c r="C10" s="26">
        <v>53728.75</v>
      </c>
      <c r="D10" s="78">
        <v>57847</v>
      </c>
      <c r="E10" s="79">
        <f t="shared" ref="E10" si="8">IFERROR(C10/D10, "")</f>
        <v>0.92880788977820805</v>
      </c>
      <c r="F10" s="79">
        <f>(SUM(C10,Aug!C10,Jul!C10))/(SUM(Jul!D10,Aug!D10,Sep!D10))</f>
        <v>0.89396541966707654</v>
      </c>
      <c r="G10" s="14">
        <v>54424.572999999997</v>
      </c>
      <c r="H10" s="14">
        <f t="shared" si="0"/>
        <v>-695.82299999999668</v>
      </c>
      <c r="I10" s="15">
        <f t="shared" si="3"/>
        <v>-1.2785088823756077E-2</v>
      </c>
      <c r="J10" s="125">
        <v>57838</v>
      </c>
      <c r="K10" s="16">
        <f t="shared" si="1"/>
        <v>-4109.25</v>
      </c>
      <c r="L10" s="17">
        <f t="shared" si="4"/>
        <v>-7.104758117500605E-2</v>
      </c>
      <c r="M10" s="18"/>
      <c r="N10" s="18"/>
    </row>
    <row r="11" spans="1:18" ht="28.9">
      <c r="A11" s="32" t="str">
        <v>CA: Modesto Bangs - Citi</v>
      </c>
      <c r="B11" s="33" t="str">
        <v>CA</v>
      </c>
      <c r="C11" s="12">
        <v>25510.880000000001</v>
      </c>
      <c r="D11" s="12">
        <v>37763</v>
      </c>
      <c r="E11" s="80">
        <f t="shared" ref="E11" si="9">IFERROR(C11/D11,"")</f>
        <v>0.67555226014882297</v>
      </c>
      <c r="F11" s="80">
        <f>(SUM(C11,Aug!C11,Jul!C11))/(SUM(Jul!D11,Aug!D11,Sep!D11))</f>
        <v>0.76847812161931328</v>
      </c>
      <c r="G11" s="20">
        <v>31696.458999999999</v>
      </c>
      <c r="H11" s="20">
        <f t="shared" si="0"/>
        <v>-6185.5789999999979</v>
      </c>
      <c r="I11" s="21">
        <f t="shared" si="3"/>
        <v>-0.19515047406399555</v>
      </c>
      <c r="J11" s="126">
        <v>37579</v>
      </c>
      <c r="K11" s="22">
        <f t="shared" si="1"/>
        <v>-12068.119999999999</v>
      </c>
      <c r="L11" s="21">
        <f t="shared" si="4"/>
        <v>-0.32113999840336355</v>
      </c>
      <c r="M11" s="84" t="s">
        <v>273</v>
      </c>
      <c r="N11" s="87"/>
    </row>
    <row r="12" spans="1:18" ht="144">
      <c r="A12" s="34" t="str">
        <v>CA: Napa Data Center - Citi</v>
      </c>
      <c r="B12" s="31" t="str">
        <v>CA</v>
      </c>
      <c r="C12" s="26">
        <v>34820.25</v>
      </c>
      <c r="D12" s="78">
        <v>42134</v>
      </c>
      <c r="E12" s="79">
        <f t="shared" ref="E12" si="10">IFERROR(C12/D12, "")</f>
        <v>0.82641690796031708</v>
      </c>
      <c r="F12" s="79">
        <f>(SUM(C12,Aug!C12,Jul!C12))/(SUM(Jul!D12,Aug!D12,Sep!D12))</f>
        <v>0.83812037406973516</v>
      </c>
      <c r="G12" s="14">
        <v>52991.802000000003</v>
      </c>
      <c r="H12" s="14">
        <f t="shared" si="0"/>
        <v>-18171.552000000003</v>
      </c>
      <c r="I12" s="15">
        <f t="shared" si="3"/>
        <v>-0.3429125131468449</v>
      </c>
      <c r="J12" s="125">
        <v>40640</v>
      </c>
      <c r="K12" s="16">
        <f t="shared" si="1"/>
        <v>-5819.75</v>
      </c>
      <c r="L12" s="17">
        <f t="shared" si="4"/>
        <v>-0.1432025098425197</v>
      </c>
      <c r="M12" s="18" t="s">
        <v>274</v>
      </c>
      <c r="N12" s="99" t="s">
        <v>275</v>
      </c>
      <c r="O12" s="104" t="s">
        <v>246</v>
      </c>
      <c r="P12" s="104" t="s">
        <v>276</v>
      </c>
      <c r="Q12" s="104" t="s">
        <v>277</v>
      </c>
      <c r="R12" s="104" t="s">
        <v>246</v>
      </c>
    </row>
    <row r="13" spans="1:18" ht="72">
      <c r="A13" s="32" t="str">
        <v>CA: Petaluma MOB - Citi</v>
      </c>
      <c r="B13" s="33" t="str">
        <v>CA</v>
      </c>
      <c r="C13" s="12">
        <v>63545</v>
      </c>
      <c r="D13" s="12">
        <v>97494</v>
      </c>
      <c r="E13" s="80">
        <f t="shared" ref="E13" si="11">IFERROR(C13/D13,"")</f>
        <v>0.65178369950971338</v>
      </c>
      <c r="F13" s="80">
        <f>(SUM(C13,Aug!C13,Jul!C13))/(SUM(Jul!D13,Aug!D13,Sep!D13))</f>
        <v>0.73433461505102782</v>
      </c>
      <c r="G13" s="20">
        <v>92354.361999999994</v>
      </c>
      <c r="H13" s="20">
        <f t="shared" si="0"/>
        <v>-28809.361999999994</v>
      </c>
      <c r="I13" s="21">
        <f t="shared" si="3"/>
        <v>-0.3119437065679691</v>
      </c>
      <c r="J13" s="126">
        <v>93819</v>
      </c>
      <c r="K13" s="22">
        <f t="shared" si="1"/>
        <v>-30274</v>
      </c>
      <c r="L13" s="21">
        <f t="shared" si="4"/>
        <v>-0.32268517038126604</v>
      </c>
      <c r="M13" s="84" t="s">
        <v>278</v>
      </c>
      <c r="N13" s="109" t="s">
        <v>279</v>
      </c>
      <c r="O13" s="104" t="s">
        <v>216</v>
      </c>
      <c r="P13" s="104" t="s">
        <v>217</v>
      </c>
      <c r="Q13" s="104" t="s">
        <v>280</v>
      </c>
    </row>
    <row r="14" spans="1:18" ht="28.9">
      <c r="A14" s="34" t="str">
        <v>CA: Pleasanton Tec Ctr - Citi</v>
      </c>
      <c r="B14" s="31" t="str">
        <v>CA</v>
      </c>
      <c r="C14" s="26">
        <v>112420.5</v>
      </c>
      <c r="D14" s="78">
        <v>134334</v>
      </c>
      <c r="E14" s="79">
        <f t="shared" ref="E14" si="12">IFERROR(C14/D14, "")</f>
        <v>0.83687301799991065</v>
      </c>
      <c r="F14" s="79">
        <f>(SUM(C14,Aug!C14,Jul!C14))/(SUM(Jul!D14,Aug!D14,Sep!D14))</f>
        <v>0.84103362827479855</v>
      </c>
      <c r="G14" s="14">
        <v>81305.797000000006</v>
      </c>
      <c r="H14" s="14">
        <f t="shared" si="0"/>
        <v>31114.702999999994</v>
      </c>
      <c r="I14" s="15">
        <f t="shared" si="3"/>
        <v>0.38268738697684734</v>
      </c>
      <c r="J14" s="125">
        <v>133104</v>
      </c>
      <c r="K14" s="16">
        <f t="shared" si="1"/>
        <v>-20683.5</v>
      </c>
      <c r="L14" s="17">
        <f t="shared" si="4"/>
        <v>-0.15539352686620989</v>
      </c>
      <c r="M14" s="18" t="s">
        <v>281</v>
      </c>
      <c r="N14" s="18"/>
    </row>
    <row r="15" spans="1:18" ht="28.9">
      <c r="A15" s="32" t="str">
        <v>CA: Rancho Cordova - Citi</v>
      </c>
      <c r="B15" s="33" t="str">
        <v>CA</v>
      </c>
      <c r="C15" s="12">
        <v>163345</v>
      </c>
      <c r="D15" s="12">
        <v>213480</v>
      </c>
      <c r="E15" s="80">
        <f t="shared" ref="E15" si="13">IFERROR(C15/D15,"")</f>
        <v>0.76515364436949596</v>
      </c>
      <c r="F15" s="80">
        <f>(SUM(C15,Aug!C15,Jul!C15))/(SUM(Jul!D15,Aug!D15,Sep!D15))</f>
        <v>0.87773149980781251</v>
      </c>
      <c r="G15" s="20">
        <v>184792.96400000001</v>
      </c>
      <c r="H15" s="20">
        <f t="shared" si="0"/>
        <v>-21447.964000000007</v>
      </c>
      <c r="I15" s="21">
        <f t="shared" si="3"/>
        <v>-0.11606483026052879</v>
      </c>
      <c r="J15" s="126">
        <v>212202</v>
      </c>
      <c r="K15" s="22">
        <f t="shared" si="1"/>
        <v>-48857</v>
      </c>
      <c r="L15" s="21">
        <f t="shared" si="4"/>
        <v>-0.2302381692915241</v>
      </c>
      <c r="M15" s="84" t="s">
        <v>282</v>
      </c>
      <c r="N15" s="100" t="s">
        <v>283</v>
      </c>
    </row>
    <row r="16" spans="1:18" ht="28.9">
      <c r="A16" s="34" t="str">
        <v>CA: S Sacramento Wyndham - Citi</v>
      </c>
      <c r="B16" s="31" t="str">
        <v>CA</v>
      </c>
      <c r="C16" s="26">
        <v>88004</v>
      </c>
      <c r="D16" s="78">
        <v>125147</v>
      </c>
      <c r="E16" s="79">
        <f t="shared" ref="E16" si="14">IFERROR(C16/D16, "")</f>
        <v>0.7032050308836808</v>
      </c>
      <c r="F16" s="79">
        <f>(SUM(C16,Aug!C16,Jul!C16))/(SUM(Jul!D16,Aug!D16,Sep!D16))</f>
        <v>0.80614590824515142</v>
      </c>
      <c r="G16" s="14">
        <v>100006.393</v>
      </c>
      <c r="H16" s="14">
        <f t="shared" si="0"/>
        <v>-12002.392999999996</v>
      </c>
      <c r="I16" s="15">
        <f t="shared" si="3"/>
        <v>-0.1200162573606669</v>
      </c>
      <c r="J16" s="125">
        <v>124283</v>
      </c>
      <c r="K16" s="16">
        <f t="shared" si="1"/>
        <v>-36279</v>
      </c>
      <c r="L16" s="17">
        <f t="shared" si="4"/>
        <v>-0.2919063749668096</v>
      </c>
      <c r="M16" s="18" t="s">
        <v>254</v>
      </c>
      <c r="N16" s="41"/>
    </row>
    <row r="17" spans="1:17" ht="57.6">
      <c r="A17" s="32" t="str">
        <v>CA: Sacramento Point West - Citi</v>
      </c>
      <c r="B17" s="33" t="str">
        <v>CA</v>
      </c>
      <c r="C17" s="12">
        <v>166903</v>
      </c>
      <c r="D17" s="12">
        <v>240439</v>
      </c>
      <c r="E17" s="80">
        <f t="shared" ref="E17" si="15">IFERROR(C17/D17,"")</f>
        <v>0.69415943336979447</v>
      </c>
      <c r="F17" s="80">
        <f>(SUM(C17,Aug!C17,Jul!C17))/(SUM(Jul!D17,Aug!D17,Sep!D17))</f>
        <v>0.82530942554139053</v>
      </c>
      <c r="G17" s="20">
        <v>199996.05499999999</v>
      </c>
      <c r="H17" s="20">
        <f t="shared" si="0"/>
        <v>-33093.054999999993</v>
      </c>
      <c r="I17" s="21">
        <f t="shared" si="3"/>
        <v>-0.16546853886692911</v>
      </c>
      <c r="J17" s="126">
        <v>238351</v>
      </c>
      <c r="K17" s="22">
        <f t="shared" si="1"/>
        <v>-71448</v>
      </c>
      <c r="L17" s="21">
        <f t="shared" si="4"/>
        <v>-0.29975959823957105</v>
      </c>
      <c r="M17" s="66" t="s">
        <v>284</v>
      </c>
      <c r="N17" s="109" t="s">
        <v>285</v>
      </c>
      <c r="O17" s="104" t="s">
        <v>94</v>
      </c>
      <c r="P17" s="104" t="s">
        <v>286</v>
      </c>
    </row>
    <row r="18" spans="1:17" ht="12.75" customHeight="1">
      <c r="A18" s="34" t="str">
        <v>CA: San Jose FHC - Citi</v>
      </c>
      <c r="B18" s="31" t="str">
        <v>CA</v>
      </c>
      <c r="C18" s="26">
        <v>33532</v>
      </c>
      <c r="D18" s="78">
        <v>47497</v>
      </c>
      <c r="E18" s="79">
        <f t="shared" ref="E18" si="16">IFERROR(C18/D18, "")</f>
        <v>0.70598143040613093</v>
      </c>
      <c r="F18" s="79">
        <f>(SUM(C18,Aug!C18,Jul!C18))/(SUM(Jul!D18,Aug!D18,Sep!D18))</f>
        <v>0.82230447828997699</v>
      </c>
      <c r="G18" s="14">
        <v>41629.608999999997</v>
      </c>
      <c r="H18" s="14">
        <f t="shared" si="0"/>
        <v>-8097.6089999999967</v>
      </c>
      <c r="I18" s="15">
        <f t="shared" si="3"/>
        <v>-0.19451561507579851</v>
      </c>
      <c r="J18" s="125">
        <v>48681</v>
      </c>
      <c r="K18" s="16">
        <f t="shared" si="1"/>
        <v>-15149</v>
      </c>
      <c r="L18" s="17">
        <f t="shared" si="4"/>
        <v>-0.31118917031285304</v>
      </c>
      <c r="M18" s="41" t="s">
        <v>287</v>
      </c>
      <c r="N18" s="41"/>
    </row>
    <row r="19" spans="1:17" ht="28.9">
      <c r="A19" s="32" t="str">
        <v>CA: San Jose MOB - Citi</v>
      </c>
      <c r="B19" s="33" t="str">
        <v>CA</v>
      </c>
      <c r="C19" s="12">
        <v>54270.5</v>
      </c>
      <c r="D19" s="12">
        <v>76541</v>
      </c>
      <c r="E19" s="80">
        <f t="shared" ref="E19" si="17">IFERROR(C19/D19,"")</f>
        <v>0.70903829320233602</v>
      </c>
      <c r="F19" s="80">
        <f>(SUM(C19,Aug!C19,Jul!C19))/(SUM(Jul!D19,Aug!D19,Sep!D19))</f>
        <v>0.80934099708767337</v>
      </c>
      <c r="G19" s="20">
        <v>64152.906000000003</v>
      </c>
      <c r="H19" s="20">
        <f t="shared" si="0"/>
        <v>-9882.4060000000027</v>
      </c>
      <c r="I19" s="21">
        <f t="shared" si="3"/>
        <v>-0.15404455723330759</v>
      </c>
      <c r="J19" s="126">
        <v>77194</v>
      </c>
      <c r="K19" s="22">
        <f t="shared" si="1"/>
        <v>-22923.5</v>
      </c>
      <c r="L19" s="21">
        <f t="shared" si="4"/>
        <v>-0.2969596082597093</v>
      </c>
      <c r="M19" s="85" t="s">
        <v>288</v>
      </c>
      <c r="N19" s="19"/>
    </row>
    <row r="20" spans="1:17" ht="15.6">
      <c r="A20" s="34" t="str">
        <v>CA: Selma - Citi</v>
      </c>
      <c r="B20" s="31" t="str">
        <v>CA</v>
      </c>
      <c r="C20" s="26">
        <v>33273.75</v>
      </c>
      <c r="D20" s="78">
        <v>42144</v>
      </c>
      <c r="E20" s="79">
        <f t="shared" ref="E20" si="18">IFERROR(C20/D20, "")</f>
        <v>0.78952519931662868</v>
      </c>
      <c r="F20" s="79">
        <f>(SUM(C20,Aug!C20,Jul!C20))/(SUM(Jul!D20,Aug!D20,Sep!D20))</f>
        <v>0.82938291756626692</v>
      </c>
      <c r="G20" s="14">
        <v>41648.86</v>
      </c>
      <c r="H20" s="14">
        <f t="shared" si="0"/>
        <v>-8375.11</v>
      </c>
      <c r="I20" s="15">
        <f t="shared" si="3"/>
        <v>-0.20108857721435833</v>
      </c>
      <c r="J20" s="125">
        <v>41994</v>
      </c>
      <c r="K20" s="16">
        <f t="shared" si="1"/>
        <v>-8720.25</v>
      </c>
      <c r="L20" s="17">
        <f t="shared" si="4"/>
        <v>-0.20765466495213603</v>
      </c>
      <c r="M20" s="41" t="s">
        <v>289</v>
      </c>
      <c r="N20" s="41"/>
    </row>
    <row r="21" spans="1:17" ht="72">
      <c r="A21" s="32" t="str">
        <v>CA: Vacaville Hospital</v>
      </c>
      <c r="B21" s="33" t="str">
        <v>CA</v>
      </c>
      <c r="C21" s="12">
        <v>193003.25</v>
      </c>
      <c r="D21" s="12">
        <v>304096</v>
      </c>
      <c r="E21" s="80">
        <f t="shared" ref="E21:E23" si="19">IFERROR(C21/D21,"")</f>
        <v>0.63467868699358099</v>
      </c>
      <c r="F21" s="80">
        <f>(SUM(C21,Aug!C21,Jul!C21))/(SUM(Jul!D21,Aug!D21,Sep!D21))</f>
        <v>0.47939563613042263</v>
      </c>
      <c r="G21" s="20">
        <v>267984.29200000002</v>
      </c>
      <c r="H21" s="20">
        <f t="shared" si="0"/>
        <v>-74981.042000000016</v>
      </c>
      <c r="I21" s="21">
        <f t="shared" si="3"/>
        <v>-0.27979640687298196</v>
      </c>
      <c r="J21" s="126">
        <v>300743</v>
      </c>
      <c r="K21" s="22">
        <f t="shared" si="1"/>
        <v>-107739.75</v>
      </c>
      <c r="L21" s="21">
        <f t="shared" si="4"/>
        <v>-0.35824524594088641</v>
      </c>
      <c r="M21" s="85" t="s">
        <v>290</v>
      </c>
      <c r="N21" s="130" t="s">
        <v>291</v>
      </c>
      <c r="O21" s="104" t="s">
        <v>292</v>
      </c>
      <c r="P21" s="104" t="s">
        <v>161</v>
      </c>
      <c r="Q21" s="104" t="s">
        <v>262</v>
      </c>
    </row>
    <row r="22" spans="1:17" ht="72">
      <c r="A22" s="34" t="str">
        <v>CA: Manteca - KP Manteca Hospital</v>
      </c>
      <c r="B22" s="31" t="str">
        <v>CA</v>
      </c>
      <c r="C22" s="26">
        <v>83879.37</v>
      </c>
      <c r="D22" s="78">
        <v>93215</v>
      </c>
      <c r="E22" s="79">
        <f t="shared" ref="E22" si="20">IFERROR(C22/D22, "")</f>
        <v>0.8998484149546746</v>
      </c>
      <c r="F22" s="79">
        <f>(SUM(C22,Aug!C22,Jul!C22))/(SUM(Jul!D22,Aug!D22,Sep!D22))</f>
        <v>0.87719112774289221</v>
      </c>
      <c r="G22" s="14">
        <v>92284.936000000002</v>
      </c>
      <c r="H22" s="14">
        <f t="shared" si="0"/>
        <v>-8405.5660000000062</v>
      </c>
      <c r="I22" s="15">
        <f t="shared" si="3"/>
        <v>-9.1082752660737676E-2</v>
      </c>
      <c r="J22" s="125">
        <v>96165.085999999996</v>
      </c>
      <c r="K22" s="16">
        <f t="shared" si="1"/>
        <v>-12285.716</v>
      </c>
      <c r="L22" s="17">
        <f t="shared" si="4"/>
        <v>-0.12775651237913935</v>
      </c>
      <c r="M22" s="41" t="s">
        <v>293</v>
      </c>
      <c r="N22" s="41"/>
    </row>
    <row r="23" spans="1:17" ht="28.9">
      <c r="A23" s="32" t="str">
        <v>Sacramento - KP South Sacramento HSP</v>
      </c>
      <c r="B23" s="33" t="str">
        <v>CA</v>
      </c>
      <c r="C23" s="12">
        <v>231212.88</v>
      </c>
      <c r="D23" s="12">
        <v>0</v>
      </c>
      <c r="E23" s="80" t="str">
        <f t="shared" si="19"/>
        <v/>
      </c>
      <c r="F23" s="80"/>
      <c r="G23" s="20">
        <v>280283.89600000001</v>
      </c>
      <c r="H23" s="20">
        <f>IF(AND(ISNUMBER(C23),ISNUMBER(G23)), C23-G23, "")</f>
        <v>-49071.016000000003</v>
      </c>
      <c r="I23" s="21">
        <f t="shared" si="3"/>
        <v>-0.17507611639592738</v>
      </c>
      <c r="J23" s="126">
        <v>328350</v>
      </c>
      <c r="K23" s="22">
        <f>IF(AND(ISNUMBER(C23),ISNUMBER(J23)), C23-J23, "")</f>
        <v>-97137.12</v>
      </c>
      <c r="L23" s="21">
        <f t="shared" si="4"/>
        <v>-0.29583407948835083</v>
      </c>
      <c r="M23" s="85" t="s">
        <v>294</v>
      </c>
      <c r="N23" s="130" t="s">
        <v>295</v>
      </c>
      <c r="O23" s="104" t="s">
        <v>267</v>
      </c>
    </row>
    <row r="24" spans="1:17" ht="14.45">
      <c r="A24" s="23"/>
      <c r="B24" s="35"/>
      <c r="C24" s="23"/>
      <c r="D24" s="23"/>
      <c r="E24" s="23"/>
      <c r="F24" s="23"/>
      <c r="G24" s="23"/>
      <c r="H24" s="23"/>
      <c r="I24" s="23"/>
      <c r="J24" s="23"/>
      <c r="K24" s="23"/>
      <c r="L24" s="23"/>
      <c r="M24" s="23"/>
      <c r="N24" s="23"/>
    </row>
    <row r="25" spans="1:17" ht="14.45">
      <c r="A25" s="23"/>
      <c r="B25" s="35"/>
      <c r="C25" s="23"/>
      <c r="D25" s="23"/>
      <c r="E25" s="7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hyperlinks>
    <hyperlink ref="N6" r:id="rId1" display="https://us3.assetplanner.com/service_request?ID=107034" xr:uid="{0682F28E-B39D-413B-9F01-4AC4E099CA44}"/>
    <hyperlink ref="N8" r:id="rId2" display="https://us3.assetplanner.com/service_request?ID=099434" xr:uid="{49EBE4B3-125A-4B4C-AAAA-869516521884}"/>
    <hyperlink ref="N12" r:id="rId3" display="https://us3.assetplanner.com/service_request?ID=105795" xr:uid="{C02EDBD3-2062-4C51-B807-E99ACE5801F5}"/>
    <hyperlink ref="O12" r:id="rId4" display="https://us3.assetplanner.com/service_request?ID=106807" xr:uid="{F7927AA1-1406-4E21-A2A3-A6894314DBFF}"/>
    <hyperlink ref="P12" r:id="rId5" display="https://us3.assetplanner.com/service_request?ID=108584" xr:uid="{B52A6353-2702-4075-9DD4-ABE71C7F1D59}"/>
    <hyperlink ref="Q12" r:id="rId6" display="https://us3.assetplanner.com/service_request?ID=108619" xr:uid="{002201DD-0F14-409B-B4BF-5F87EA6854C8}"/>
    <hyperlink ref="R12" r:id="rId7" display="https://us3.assetplanner.com/service_request?ID=106807" xr:uid="{F834A8DD-5908-4B79-A599-9326528D5691}"/>
    <hyperlink ref="N13" r:id="rId8" display="https://us3.assetplanner.com/service_request?ID=099433" xr:uid="{B021D326-95C3-407A-B95C-0E5396CEF4F8}"/>
    <hyperlink ref="O13" r:id="rId9" display="https://us3.assetplanner.com/service_request?ID=104106" xr:uid="{53F8AED7-69EA-47E6-8622-2BDCD8925B91}"/>
    <hyperlink ref="P13" r:id="rId10" display="https://us3.assetplanner.com/service_request?ID=105254" xr:uid="{30F6ADEC-DF02-4163-8BB4-DD088B2EE784}"/>
    <hyperlink ref="Q13" r:id="rId11" display="https://us3.assetplanner.com/service_request?ID=107710" xr:uid="{40A6C282-8BC7-4078-90E5-CB96233A44C9}"/>
    <hyperlink ref="N15" r:id="rId12" display="https://us3.assetplanner.com/service_request?ID=107053" xr:uid="{BA71A9CA-9D9E-44BB-B2CA-C3A25798831A}"/>
    <hyperlink ref="N17" r:id="rId13" display="https://us3.assetplanner.com/service_request?ID=097653" xr:uid="{F4F59766-60AF-423C-AA27-C04ECEC4E613}"/>
    <hyperlink ref="O17" r:id="rId14" display="https://us3.assetplanner.com/service_request?ID=098986" xr:uid="{966443FB-853E-4767-BFB7-5DC7B104AF2A}"/>
    <hyperlink ref="P17" r:id="rId15" display="https://us3.assetplanner.com/service_request?ID=108046" xr:uid="{F1EC9FA4-A452-4188-BD50-65FC1DFF15B8}"/>
    <hyperlink ref="N21" r:id="rId16" display="https://us3.assetplanner.com/service_request?ID=107928" xr:uid="{054990BF-0E4C-4290-A3F2-9928AA083E43}"/>
    <hyperlink ref="O21" r:id="rId17" display="https://us3.assetplanner.com/service_request?ID=107287" xr:uid="{AA2334E2-2B37-4CBF-B710-65E9A0BD54F9}"/>
    <hyperlink ref="P21" r:id="rId18" display="https://us3.assetplanner.com/service_request?ID=100428" xr:uid="{C5873A7E-C59B-4CB6-A27A-DB1E75DF20AE}"/>
    <hyperlink ref="Q21" r:id="rId19" display="https://us3.assetplanner.com/service_request?ID=104327" xr:uid="{6AD13D86-1E10-440F-9942-123073052F29}"/>
    <hyperlink ref="N23" r:id="rId20" display="https://us3.assetplanner.com/service_request?ID=108432" xr:uid="{F1312A82-7EC4-4356-8D77-C228B3159E0F}"/>
    <hyperlink ref="O23" r:id="rId21" display="https://us3.assetplanner.com/service_request?ID=106356" xr:uid="{E1A92015-19FA-46EA-BB5E-A06CA5775B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Q342"/>
  <sheetViews>
    <sheetView zoomScale="60" zoomScaleNormal="60" workbookViewId="0">
      <pane ySplit="2" topLeftCell="A6" activePane="bottomLeft" state="frozen"/>
      <selection pane="bottomLeft" activeCell="K13" sqref="K13"/>
      <selection activeCell="M45" sqref="M45"/>
    </sheetView>
  </sheetViews>
  <sheetFormatPr defaultRowHeight="13.9"/>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 min="14" max="14" width="20.5703125" customWidth="1"/>
    <col min="15" max="15" width="17.28515625" style="113" customWidth="1"/>
  </cols>
  <sheetData>
    <row r="1" spans="1:17" ht="19.5" customHeight="1">
      <c r="A1" s="135" t="str" cm="1">
        <f t="array" ref="A1">portfolio</f>
        <v>CITI</v>
      </c>
      <c r="B1" s="135"/>
      <c r="C1" s="135"/>
      <c r="D1" s="76" t="s">
        <v>0</v>
      </c>
      <c r="E1" s="76" t="s">
        <v>296</v>
      </c>
      <c r="F1" s="136" t="s">
        <v>297</v>
      </c>
      <c r="G1" s="136"/>
      <c r="H1" s="136"/>
      <c r="I1" s="134" t="s">
        <v>298</v>
      </c>
      <c r="J1" s="134"/>
      <c r="K1" s="134"/>
      <c r="L1" s="88"/>
      <c r="M1" s="5"/>
      <c r="N1" s="5"/>
    </row>
    <row r="2" spans="1:17" ht="19.5" customHeight="1">
      <c r="A2" s="137" t="s">
        <v>4</v>
      </c>
      <c r="B2" s="137"/>
      <c r="C2" s="6">
        <f>SUM(C4:C100)</f>
        <v>1643994.95</v>
      </c>
      <c r="D2" s="6">
        <f>SUM(D4:D22)</f>
        <v>1739868</v>
      </c>
      <c r="E2" s="7">
        <f>C2/D2</f>
        <v>0.94489636570130608</v>
      </c>
      <c r="F2" s="6">
        <f>SUM(F4:F100)</f>
        <v>1769091.9839999999</v>
      </c>
      <c r="G2" s="6">
        <f>C2-F2</f>
        <v>-125097.03399999999</v>
      </c>
      <c r="H2" s="7">
        <f>IFERROR(G2/F2, 0)</f>
        <v>-7.0712566181635017E-2</v>
      </c>
      <c r="I2" s="6">
        <f>SUM(I4:I100)</f>
        <v>2249332.2829999998</v>
      </c>
      <c r="J2" s="8">
        <f>C2-I2</f>
        <v>-605337.33299999987</v>
      </c>
      <c r="K2" s="7">
        <f>IFERROR(J2/I2, 0)</f>
        <v>-0.26911867916315318</v>
      </c>
      <c r="L2" s="89" t="str">
        <f ca="1">IF(AND(TODAY()&gt;DATE(2024, 10, 1), COUNTA(Sites[Site])&lt;&gt;(COUNT(C:C)-1)), "Some sites are missing actual data; if new sites were added, make sure they are aligned correctly (including prior months!)", "")</f>
        <v/>
      </c>
      <c r="M2" s="5"/>
      <c r="N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32" t="s">
        <v>299</v>
      </c>
    </row>
    <row r="4" spans="1:17" ht="15.6">
      <c r="A4" s="34" t="str" cm="1">
        <f t="array" ref="A4:A23">Sites[Site]</f>
        <v>CA: Antioch Deer Valley - Citi</v>
      </c>
      <c r="B4" s="31" t="str" cm="1">
        <f t="array" ref="B4:B23">Sites[State]</f>
        <v>CA</v>
      </c>
      <c r="C4" s="26">
        <v>48139.5</v>
      </c>
      <c r="D4" s="78">
        <v>48791</v>
      </c>
      <c r="E4" s="79">
        <f t="shared" ref="E4:E23" si="0">C4/D4</f>
        <v>0.98664712754401429</v>
      </c>
      <c r="F4" s="14">
        <v>49733.822</v>
      </c>
      <c r="G4" s="14">
        <f>IF(AND(ISNUMBER(C4),ISNUMBER(F4)), C4-F4, "")</f>
        <v>-1594.3220000000001</v>
      </c>
      <c r="H4" s="15">
        <f t="shared" ref="H4:H23" si="1">IFERROR(G4/F4, "")</f>
        <v>-3.2057097884011412E-2</v>
      </c>
      <c r="I4" s="16">
        <v>48555</v>
      </c>
      <c r="J4" s="16">
        <f>IF(AND(ISNUMBER(C4),ISNUMBER(I4)), C4-I4, "")</f>
        <v>-415.5</v>
      </c>
      <c r="K4" s="17">
        <f>IFERROR(J4/I4, "")</f>
        <v>-8.5573061476675941E-3</v>
      </c>
      <c r="L4" s="18"/>
      <c r="M4" s="18"/>
      <c r="N4" s="18"/>
      <c r="O4" s="129"/>
      <c r="P4" s="129"/>
      <c r="Q4" s="129"/>
    </row>
    <row r="5" spans="1:17" ht="15.6">
      <c r="A5" s="32" t="str">
        <v>CA: Antioch MC CUP - Citi</v>
      </c>
      <c r="B5" s="33" t="str">
        <v>CA</v>
      </c>
      <c r="C5" s="12">
        <v>159015</v>
      </c>
      <c r="D5" s="12">
        <v>161457</v>
      </c>
      <c r="E5" s="80">
        <f t="shared" si="0"/>
        <v>0.98487522993738275</v>
      </c>
      <c r="F5" s="20">
        <v>162307.97899999999</v>
      </c>
      <c r="G5" s="20">
        <f>IF(AND(ISNUMBER(C5),ISNUMBER(F5)), C5-F5, "")</f>
        <v>-3292.9789999999921</v>
      </c>
      <c r="H5" s="21">
        <f t="shared" si="1"/>
        <v>-2.0288460371994357E-2</v>
      </c>
      <c r="I5" s="22">
        <v>159844</v>
      </c>
      <c r="J5" s="22">
        <f>IF(AND(ISNUMBER(C5),ISNUMBER(I5)), C5-I5, "")</f>
        <v>-829</v>
      </c>
      <c r="K5" s="21">
        <f t="shared" ref="K5:K15" si="2">IFERROR(J5/I5, "")</f>
        <v>-5.1863066489827581E-3</v>
      </c>
      <c r="L5" s="55" t="s">
        <v>300</v>
      </c>
      <c r="M5" s="102" t="s">
        <v>301</v>
      </c>
      <c r="N5" s="84" t="s">
        <v>302</v>
      </c>
      <c r="O5" s="129"/>
      <c r="P5" s="129"/>
      <c r="Q5" s="129"/>
    </row>
    <row r="6" spans="1:17" ht="45.75">
      <c r="A6" s="30" t="str">
        <v>CA: Clovis - Citi</v>
      </c>
      <c r="B6" s="31" t="str">
        <v>CA</v>
      </c>
      <c r="C6" s="26">
        <v>73523.570000000007</v>
      </c>
      <c r="D6" s="78">
        <v>67768</v>
      </c>
      <c r="E6" s="79">
        <f t="shared" si="0"/>
        <v>1.0849304981702279</v>
      </c>
      <c r="F6" s="14">
        <v>67135.724000000002</v>
      </c>
      <c r="G6" s="14">
        <f t="shared" ref="G6:G23" si="3">IF(AND(ISNUMBER(C6),ISNUMBER(F6)), C6-F6, "")</f>
        <v>6387.846000000005</v>
      </c>
      <c r="H6" s="15">
        <f t="shared" si="1"/>
        <v>9.5148240301988915E-2</v>
      </c>
      <c r="I6" s="16">
        <v>85899.694000000003</v>
      </c>
      <c r="J6" s="16">
        <f t="shared" ref="J6:J23" si="4">IF(AND(ISNUMBER(C6),ISNUMBER(I6)), C6-I6, "")</f>
        <v>-12376.123999999996</v>
      </c>
      <c r="K6" s="17">
        <f t="shared" si="2"/>
        <v>-0.14407646201859572</v>
      </c>
      <c r="L6" s="58" t="s">
        <v>303</v>
      </c>
      <c r="M6" s="58"/>
      <c r="N6" s="18"/>
      <c r="O6" s="129"/>
      <c r="P6" s="129"/>
      <c r="Q6" s="129"/>
    </row>
    <row r="7" spans="1:17" ht="28.9">
      <c r="A7" s="32" t="str">
        <v>CA: Elk Grove MOB - Citi</v>
      </c>
      <c r="B7" s="33" t="str">
        <v>CA</v>
      </c>
      <c r="C7" s="12">
        <v>100507</v>
      </c>
      <c r="D7" s="12">
        <v>107702</v>
      </c>
      <c r="E7" s="80">
        <f t="shared" si="0"/>
        <v>0.93319529813745339</v>
      </c>
      <c r="F7" s="20">
        <v>102964.655</v>
      </c>
      <c r="G7" s="20">
        <f t="shared" si="3"/>
        <v>-2457.6549999999988</v>
      </c>
      <c r="H7" s="21">
        <f t="shared" si="1"/>
        <v>-2.3868918902316516E-2</v>
      </c>
      <c r="I7" s="22">
        <v>107180</v>
      </c>
      <c r="J7" s="22">
        <f t="shared" si="4"/>
        <v>-6673</v>
      </c>
      <c r="K7" s="21">
        <f t="shared" si="2"/>
        <v>-6.2259749953349507E-2</v>
      </c>
      <c r="L7" s="66" t="s">
        <v>206</v>
      </c>
      <c r="M7" s="93"/>
      <c r="N7" s="84"/>
      <c r="O7" s="129"/>
      <c r="P7" s="129"/>
      <c r="Q7" s="129"/>
    </row>
    <row r="8" spans="1:17" ht="15.6">
      <c r="A8" s="30" t="str">
        <v>CA: Elk Grove Promenade - Citi</v>
      </c>
      <c r="B8" s="31" t="str">
        <v>CA</v>
      </c>
      <c r="C8" s="26">
        <v>55013.25</v>
      </c>
      <c r="D8" s="78">
        <v>59094</v>
      </c>
      <c r="E8" s="79">
        <f t="shared" si="0"/>
        <v>0.93094476596608788</v>
      </c>
      <c r="F8" s="14">
        <v>57268.624000000003</v>
      </c>
      <c r="G8" s="14">
        <f t="shared" si="3"/>
        <v>-2255.3740000000034</v>
      </c>
      <c r="H8" s="15">
        <f t="shared" si="1"/>
        <v>-3.9382367559590806E-2</v>
      </c>
      <c r="I8" s="16">
        <v>58807.5</v>
      </c>
      <c r="J8" s="16">
        <f t="shared" si="4"/>
        <v>-3794.25</v>
      </c>
      <c r="K8" s="17">
        <f t="shared" si="2"/>
        <v>-6.4519831654125753E-2</v>
      </c>
      <c r="L8" s="18" t="s">
        <v>304</v>
      </c>
      <c r="M8" s="99" t="s">
        <v>305</v>
      </c>
      <c r="N8" s="18" t="s">
        <v>306</v>
      </c>
      <c r="O8" s="129"/>
      <c r="P8" s="129"/>
      <c r="Q8" s="129"/>
    </row>
    <row r="9" spans="1:17" ht="15.6">
      <c r="A9" s="32" t="str">
        <v>CA: Fresno Sequioa - Citi</v>
      </c>
      <c r="B9" s="33" t="str">
        <v>CA</v>
      </c>
      <c r="C9" s="12">
        <v>109714</v>
      </c>
      <c r="D9" s="12">
        <v>121284</v>
      </c>
      <c r="E9" s="80">
        <f t="shared" si="0"/>
        <v>0.90460406978661656</v>
      </c>
      <c r="F9" s="20">
        <v>114487.967</v>
      </c>
      <c r="G9" s="20">
        <f t="shared" si="3"/>
        <v>-4773.9670000000042</v>
      </c>
      <c r="H9" s="21">
        <f t="shared" si="1"/>
        <v>-4.169841709216484E-2</v>
      </c>
      <c r="I9" s="22">
        <v>120362</v>
      </c>
      <c r="J9" s="22">
        <f t="shared" si="4"/>
        <v>-10648</v>
      </c>
      <c r="K9" s="21">
        <f t="shared" si="2"/>
        <v>-8.8466459513800041E-2</v>
      </c>
      <c r="L9" s="57"/>
      <c r="M9" s="60"/>
      <c r="N9" s="84"/>
      <c r="O9" s="129"/>
      <c r="P9" s="129"/>
      <c r="Q9" s="129"/>
    </row>
    <row r="10" spans="1:17" ht="15.6">
      <c r="A10" s="30" t="str">
        <v>CA: Fresno MOB - Citi</v>
      </c>
      <c r="B10" s="31" t="str">
        <v>CA</v>
      </c>
      <c r="C10" s="26">
        <v>42095.25</v>
      </c>
      <c r="D10" s="78">
        <v>48559</v>
      </c>
      <c r="E10" s="79">
        <f t="shared" si="0"/>
        <v>0.86688873329351923</v>
      </c>
      <c r="F10" s="14">
        <v>44657.813999999998</v>
      </c>
      <c r="G10" s="14">
        <f t="shared" si="3"/>
        <v>-2562.5639999999985</v>
      </c>
      <c r="H10" s="15">
        <f t="shared" si="1"/>
        <v>-5.7382208632066015E-2</v>
      </c>
      <c r="I10" s="16">
        <v>48457</v>
      </c>
      <c r="J10" s="16">
        <f t="shared" si="4"/>
        <v>-6361.75</v>
      </c>
      <c r="K10" s="17">
        <f t="shared" si="2"/>
        <v>-0.13128650143426129</v>
      </c>
      <c r="L10" s="18" t="s">
        <v>307</v>
      </c>
      <c r="M10" s="99" t="s">
        <v>308</v>
      </c>
      <c r="N10" s="18" t="s">
        <v>302</v>
      </c>
      <c r="O10" s="129"/>
      <c r="P10" s="129"/>
      <c r="Q10" s="129"/>
    </row>
    <row r="11" spans="1:17" ht="15.6">
      <c r="A11" s="32" t="str">
        <v>CA: Modesto Bangs - Citi</v>
      </c>
      <c r="B11" s="33" t="str">
        <v>CA</v>
      </c>
      <c r="C11" s="12">
        <v>23125.5</v>
      </c>
      <c r="D11" s="12">
        <v>31253</v>
      </c>
      <c r="E11" s="80">
        <f t="shared" si="0"/>
        <v>0.73994496528333276</v>
      </c>
      <c r="F11" s="20">
        <v>26513.214</v>
      </c>
      <c r="G11" s="20">
        <f t="shared" si="3"/>
        <v>-3387.7139999999999</v>
      </c>
      <c r="H11" s="21">
        <f t="shared" si="1"/>
        <v>-0.12777455045623665</v>
      </c>
      <c r="I11" s="22">
        <v>31100</v>
      </c>
      <c r="J11" s="22">
        <f t="shared" si="4"/>
        <v>-7974.5</v>
      </c>
      <c r="K11" s="21">
        <f t="shared" si="2"/>
        <v>-0.25641479099678455</v>
      </c>
      <c r="L11" s="57"/>
      <c r="M11" s="60"/>
      <c r="N11" s="84"/>
      <c r="O11" s="129"/>
      <c r="P11" s="129"/>
      <c r="Q11" s="129"/>
    </row>
    <row r="12" spans="1:17" ht="28.9">
      <c r="A12" s="30" t="str">
        <v>CA: Napa Data Center - Citi</v>
      </c>
      <c r="B12" s="31" t="str">
        <v>CA</v>
      </c>
      <c r="C12" s="26">
        <v>25421.5</v>
      </c>
      <c r="D12" s="78">
        <v>32658</v>
      </c>
      <c r="E12" s="79">
        <f t="shared" si="0"/>
        <v>0.77841570212505362</v>
      </c>
      <c r="F12" s="14">
        <v>45546.944000000003</v>
      </c>
      <c r="G12" s="14">
        <f t="shared" si="3"/>
        <v>-20125.444000000003</v>
      </c>
      <c r="H12" s="15">
        <f t="shared" si="1"/>
        <v>-0.44186156594831044</v>
      </c>
      <c r="I12" s="16">
        <v>31608</v>
      </c>
      <c r="J12" s="16">
        <f t="shared" si="4"/>
        <v>-6186.5</v>
      </c>
      <c r="K12" s="17">
        <f t="shared" si="2"/>
        <v>-0.19572576562895469</v>
      </c>
      <c r="L12" s="18" t="s">
        <v>309</v>
      </c>
      <c r="M12" s="99" t="s">
        <v>310</v>
      </c>
      <c r="N12" s="18" t="s">
        <v>311</v>
      </c>
      <c r="O12" s="133" t="s">
        <v>277</v>
      </c>
      <c r="P12" s="129"/>
      <c r="Q12" s="129"/>
    </row>
    <row r="13" spans="1:17" ht="76.5">
      <c r="A13" s="32" t="str">
        <v>CA: Petaluma MOB - Citi</v>
      </c>
      <c r="B13" s="33" t="str">
        <v>CA</v>
      </c>
      <c r="C13" s="12">
        <v>42328</v>
      </c>
      <c r="D13" s="12">
        <v>75096</v>
      </c>
      <c r="E13" s="80">
        <f t="shared" si="0"/>
        <v>0.56365185895387238</v>
      </c>
      <c r="F13" s="20">
        <v>60242</v>
      </c>
      <c r="G13" s="20">
        <f t="shared" si="3"/>
        <v>-17914</v>
      </c>
      <c r="H13" s="21">
        <f t="shared" si="1"/>
        <v>-0.29736728528269313</v>
      </c>
      <c r="I13" s="22">
        <v>66005</v>
      </c>
      <c r="J13" s="22">
        <f t="shared" si="4"/>
        <v>-23677</v>
      </c>
      <c r="K13" s="21">
        <f t="shared" si="2"/>
        <v>-0.35871524884478451</v>
      </c>
      <c r="L13" s="84" t="s">
        <v>312</v>
      </c>
      <c r="M13" s="109" t="s">
        <v>313</v>
      </c>
      <c r="N13" s="84" t="s">
        <v>314</v>
      </c>
      <c r="O13" s="133" t="s">
        <v>280</v>
      </c>
      <c r="P13" s="104" t="s">
        <v>217</v>
      </c>
      <c r="Q13" s="104" t="s">
        <v>315</v>
      </c>
    </row>
    <row r="14" spans="1:17" ht="15.6">
      <c r="A14" s="30" t="str">
        <v>CA: Pleasanton Tec Ctr - Citi</v>
      </c>
      <c r="B14" s="31" t="str">
        <v>CA</v>
      </c>
      <c r="C14" s="26">
        <v>97157.5</v>
      </c>
      <c r="D14" s="78">
        <v>104866</v>
      </c>
      <c r="E14" s="79">
        <f t="shared" si="0"/>
        <v>0.92649190395361702</v>
      </c>
      <c r="F14" s="14">
        <v>101301.82799999999</v>
      </c>
      <c r="G14" s="14">
        <f t="shared" si="3"/>
        <v>-4144.3279999999941</v>
      </c>
      <c r="H14" s="15">
        <f t="shared" si="1"/>
        <v>-4.0910693141687375E-2</v>
      </c>
      <c r="I14" s="16">
        <v>104092</v>
      </c>
      <c r="J14" s="16">
        <f t="shared" si="4"/>
        <v>-6934.5</v>
      </c>
      <c r="K14" s="17">
        <f t="shared" si="2"/>
        <v>-6.6618952465127002E-2</v>
      </c>
      <c r="L14" s="18"/>
      <c r="M14" s="18"/>
      <c r="N14" s="18"/>
      <c r="O14" s="129"/>
      <c r="P14" s="129"/>
      <c r="Q14" s="129"/>
    </row>
    <row r="15" spans="1:17" ht="43.15">
      <c r="A15" s="32" t="str">
        <v>CA: Rancho Cordova - Citi</v>
      </c>
      <c r="B15" s="33" t="str">
        <v>CA</v>
      </c>
      <c r="C15" s="12">
        <v>149343.35999999999</v>
      </c>
      <c r="D15" s="12">
        <v>171967</v>
      </c>
      <c r="E15" s="80">
        <f t="shared" si="0"/>
        <v>0.86844196851721545</v>
      </c>
      <c r="F15" s="20">
        <v>125328.603</v>
      </c>
      <c r="G15" s="20">
        <f t="shared" si="3"/>
        <v>24014.756999999983</v>
      </c>
      <c r="H15" s="21">
        <f t="shared" si="1"/>
        <v>0.19161433563573657</v>
      </c>
      <c r="I15" s="22">
        <v>170703.48199999999</v>
      </c>
      <c r="J15" s="22">
        <f t="shared" si="4"/>
        <v>-21360.122000000003</v>
      </c>
      <c r="K15" s="21">
        <f t="shared" si="2"/>
        <v>-0.12512997245129426</v>
      </c>
      <c r="L15" s="84" t="s">
        <v>303</v>
      </c>
      <c r="M15" s="96"/>
      <c r="N15" s="84"/>
      <c r="O15" s="129"/>
      <c r="P15" s="129"/>
      <c r="Q15" s="129"/>
    </row>
    <row r="16" spans="1:17" ht="43.15">
      <c r="A16" s="30" t="str">
        <v>CA: S Sacramento Wyndham - Citi</v>
      </c>
      <c r="B16" s="31" t="str">
        <v>CA</v>
      </c>
      <c r="C16" s="37">
        <v>74591.28</v>
      </c>
      <c r="D16" s="78">
        <v>92577</v>
      </c>
      <c r="E16" s="79">
        <f t="shared" si="0"/>
        <v>0.80572150750186333</v>
      </c>
      <c r="F16" s="14">
        <v>77696.320999999996</v>
      </c>
      <c r="G16" s="14">
        <f t="shared" si="3"/>
        <v>-3105.0409999999974</v>
      </c>
      <c r="H16" s="38">
        <f t="shared" si="1"/>
        <v>-3.9963809869453117E-2</v>
      </c>
      <c r="I16" s="39">
        <v>123109.194</v>
      </c>
      <c r="J16" s="16">
        <f t="shared" si="4"/>
        <v>-48517.914000000004</v>
      </c>
      <c r="K16" s="40">
        <f t="shared" ref="K16:K23" si="5">IFERROR(J16/I16, "")</f>
        <v>-0.39410471650070267</v>
      </c>
      <c r="L16" s="41" t="s">
        <v>303</v>
      </c>
      <c r="M16" s="41"/>
      <c r="N16" s="18"/>
      <c r="O16" s="129"/>
      <c r="P16" s="129"/>
      <c r="Q16" s="129"/>
    </row>
    <row r="17" spans="1:17" ht="57.6">
      <c r="A17" s="32" t="str">
        <v>CA: Sacramento Point West - Citi</v>
      </c>
      <c r="B17" s="33" t="str">
        <v>CA</v>
      </c>
      <c r="C17" s="42">
        <v>178762.98</v>
      </c>
      <c r="D17" s="12">
        <v>178364</v>
      </c>
      <c r="E17" s="80">
        <f t="shared" si="0"/>
        <v>1.0022368863672042</v>
      </c>
      <c r="F17" s="20">
        <v>148586.579</v>
      </c>
      <c r="G17" s="20">
        <f t="shared" si="3"/>
        <v>30176.401000000013</v>
      </c>
      <c r="H17" s="43">
        <f t="shared" si="1"/>
        <v>0.20308968147116446</v>
      </c>
      <c r="I17" s="44">
        <v>220360.046</v>
      </c>
      <c r="J17" s="22">
        <f t="shared" si="4"/>
        <v>-41597.065999999992</v>
      </c>
      <c r="K17" s="43">
        <f t="shared" si="5"/>
        <v>-0.18876863912072334</v>
      </c>
      <c r="L17" s="84" t="s">
        <v>316</v>
      </c>
      <c r="M17" s="100" t="s">
        <v>62</v>
      </c>
      <c r="N17" s="84" t="s">
        <v>302</v>
      </c>
      <c r="O17" s="129"/>
      <c r="P17" s="129"/>
      <c r="Q17" s="129"/>
    </row>
    <row r="18" spans="1:17" ht="48.75" customHeight="1">
      <c r="A18" s="30" t="str">
        <v>CA: San Jose FHC - Citi</v>
      </c>
      <c r="B18" s="31" t="str">
        <v>CA</v>
      </c>
      <c r="C18" s="37">
        <v>30703.5</v>
      </c>
      <c r="D18" s="78">
        <v>37332</v>
      </c>
      <c r="E18" s="79">
        <f t="shared" si="0"/>
        <v>0.82244455159112828</v>
      </c>
      <c r="F18" s="14">
        <v>35592.305</v>
      </c>
      <c r="G18" s="14">
        <f t="shared" si="3"/>
        <v>-4888.8050000000003</v>
      </c>
      <c r="H18" s="38">
        <f t="shared" si="1"/>
        <v>-0.13735567280624281</v>
      </c>
      <c r="I18" s="39">
        <v>38263</v>
      </c>
      <c r="J18" s="16">
        <f t="shared" si="4"/>
        <v>-7559.5</v>
      </c>
      <c r="K18" s="40">
        <f t="shared" si="5"/>
        <v>-0.19756684002822569</v>
      </c>
      <c r="L18" s="41" t="s">
        <v>287</v>
      </c>
      <c r="M18" s="41"/>
      <c r="N18" s="18"/>
      <c r="O18" s="129"/>
      <c r="P18" s="129"/>
      <c r="Q18" s="129"/>
    </row>
    <row r="19" spans="1:17" ht="43.15">
      <c r="A19" s="32" t="str">
        <v>CA: San Jose MOB - Citi</v>
      </c>
      <c r="B19" s="33" t="str">
        <v>CA</v>
      </c>
      <c r="C19" s="42">
        <v>109510.07</v>
      </c>
      <c r="D19" s="12">
        <v>61008</v>
      </c>
      <c r="E19" s="80">
        <f t="shared" si="0"/>
        <v>1.7950116378179912</v>
      </c>
      <c r="F19" s="20">
        <v>38122.555</v>
      </c>
      <c r="G19" s="20">
        <f t="shared" si="3"/>
        <v>71387.515000000014</v>
      </c>
      <c r="H19" s="43">
        <f t="shared" si="1"/>
        <v>1.8725795005082952</v>
      </c>
      <c r="I19" s="44">
        <v>58383.724999999999</v>
      </c>
      <c r="J19" s="22">
        <f t="shared" si="4"/>
        <v>51126.345000000008</v>
      </c>
      <c r="K19" s="43">
        <f t="shared" si="5"/>
        <v>0.87569515305849377</v>
      </c>
      <c r="L19" s="84" t="s">
        <v>303</v>
      </c>
      <c r="M19" s="60"/>
      <c r="N19" s="84"/>
      <c r="O19" s="129"/>
      <c r="P19" s="129"/>
      <c r="Q19" s="129"/>
    </row>
    <row r="20" spans="1:17" ht="65.25" customHeight="1">
      <c r="A20" s="30" t="str">
        <v>CA: Selma - Citi</v>
      </c>
      <c r="B20" s="31" t="str">
        <v>CA</v>
      </c>
      <c r="C20" s="37">
        <v>14368.19</v>
      </c>
      <c r="D20" s="78">
        <v>34259</v>
      </c>
      <c r="E20" s="79">
        <f t="shared" si="0"/>
        <v>0.41939899004641118</v>
      </c>
      <c r="F20" s="14">
        <v>27872.149000000001</v>
      </c>
      <c r="G20" s="14">
        <f t="shared" si="3"/>
        <v>-13503.959000000001</v>
      </c>
      <c r="H20" s="38">
        <f t="shared" si="1"/>
        <v>-0.48449651298864682</v>
      </c>
      <c r="I20" s="39">
        <v>41389.79</v>
      </c>
      <c r="J20" s="16">
        <f t="shared" si="4"/>
        <v>-27021.599999999999</v>
      </c>
      <c r="K20" s="40">
        <f t="shared" si="5"/>
        <v>-0.65285665861073461</v>
      </c>
      <c r="L20" s="41" t="s">
        <v>317</v>
      </c>
      <c r="M20" s="41"/>
      <c r="N20" s="18"/>
      <c r="O20" s="129"/>
      <c r="P20" s="129"/>
      <c r="Q20" s="129"/>
    </row>
    <row r="21" spans="1:17" ht="76.5" customHeight="1">
      <c r="A21" s="32" t="str">
        <v>CA: Vacaville Hospital</v>
      </c>
      <c r="B21" s="33" t="str">
        <v>CA</v>
      </c>
      <c r="C21" s="42">
        <v>40628.92</v>
      </c>
      <c r="D21" s="12">
        <v>237441</v>
      </c>
      <c r="E21" s="80">
        <f t="shared" si="0"/>
        <v>0.17111164457696859</v>
      </c>
      <c r="F21" s="20">
        <v>225674.16899999999</v>
      </c>
      <c r="G21" s="20">
        <f t="shared" si="3"/>
        <v>-185045.24900000001</v>
      </c>
      <c r="H21" s="43">
        <f t="shared" si="1"/>
        <v>-0.81996645792456657</v>
      </c>
      <c r="I21" s="44">
        <v>346755.37900000002</v>
      </c>
      <c r="J21" s="22">
        <f t="shared" si="4"/>
        <v>-306126.45900000003</v>
      </c>
      <c r="K21" s="43">
        <f t="shared" si="5"/>
        <v>-0.8828311759224361</v>
      </c>
      <c r="L21" s="84" t="s">
        <v>318</v>
      </c>
      <c r="M21" s="109" t="s">
        <v>319</v>
      </c>
      <c r="N21" s="84" t="s">
        <v>320</v>
      </c>
      <c r="O21" s="133" t="s">
        <v>321</v>
      </c>
      <c r="P21" s="129"/>
      <c r="Q21" s="129"/>
    </row>
    <row r="22" spans="1:17" ht="43.15">
      <c r="A22" s="30" t="str">
        <v>CA: Manteca - KP Manteca Hospital</v>
      </c>
      <c r="B22" s="31" t="str">
        <v>CA</v>
      </c>
      <c r="C22" s="37">
        <v>68365.38</v>
      </c>
      <c r="D22" s="78">
        <v>68392</v>
      </c>
      <c r="E22" s="79">
        <f t="shared" si="0"/>
        <v>0.99961077318984681</v>
      </c>
      <c r="F22" s="14">
        <v>66552.11</v>
      </c>
      <c r="G22" s="14">
        <f t="shared" si="3"/>
        <v>1813.2700000000041</v>
      </c>
      <c r="H22" s="38">
        <f t="shared" si="1"/>
        <v>2.7245867937169897E-2</v>
      </c>
      <c r="I22" s="39">
        <v>95941.22</v>
      </c>
      <c r="J22" s="16">
        <f t="shared" si="4"/>
        <v>-27575.839999999997</v>
      </c>
      <c r="K22" s="40">
        <f t="shared" si="5"/>
        <v>-0.28742432084978692</v>
      </c>
      <c r="L22" s="41" t="s">
        <v>303</v>
      </c>
      <c r="M22" s="41"/>
      <c r="N22" s="18"/>
      <c r="O22" s="129"/>
      <c r="P22" s="129"/>
      <c r="Q22" s="129"/>
    </row>
    <row r="23" spans="1:17" ht="72">
      <c r="A23" s="32" t="str">
        <v>Sacramento - KP South Sacramento HSP</v>
      </c>
      <c r="B23" s="33" t="str">
        <v>CA</v>
      </c>
      <c r="C23" s="42">
        <v>201681.2</v>
      </c>
      <c r="D23" s="12">
        <v>0</v>
      </c>
      <c r="E23" s="80" t="e">
        <f t="shared" si="0"/>
        <v>#DIV/0!</v>
      </c>
      <c r="F23" s="20">
        <v>191506.622</v>
      </c>
      <c r="G23" s="20">
        <f t="shared" si="3"/>
        <v>10174.578000000009</v>
      </c>
      <c r="H23" s="43">
        <f t="shared" si="1"/>
        <v>5.3129118428082392E-2</v>
      </c>
      <c r="I23" s="44">
        <v>292516.25300000003</v>
      </c>
      <c r="J23" s="22">
        <f t="shared" si="4"/>
        <v>-90835.053000000014</v>
      </c>
      <c r="K23" s="43">
        <f t="shared" si="5"/>
        <v>-0.31052993489561759</v>
      </c>
      <c r="L23" s="84" t="s">
        <v>322</v>
      </c>
      <c r="M23" s="109" t="s">
        <v>323</v>
      </c>
      <c r="N23" s="84" t="s">
        <v>311</v>
      </c>
      <c r="O23" s="133" t="s">
        <v>324</v>
      </c>
      <c r="P23" s="129"/>
      <c r="Q23" s="129"/>
    </row>
    <row r="24" spans="1:17" ht="14.45">
      <c r="A24" s="23"/>
      <c r="B24" s="35"/>
      <c r="C24" s="23"/>
      <c r="D24" s="23"/>
      <c r="E24" s="23"/>
      <c r="F24" s="23"/>
      <c r="G24" s="23"/>
      <c r="H24" s="23"/>
      <c r="I24" s="23"/>
      <c r="J24" s="23"/>
      <c r="K24" s="23"/>
      <c r="L24" s="90"/>
      <c r="M24" s="23"/>
      <c r="N24" s="23"/>
    </row>
    <row r="25" spans="1:17" ht="14.45">
      <c r="A25" s="23"/>
      <c r="B25" s="35"/>
      <c r="C25" s="23"/>
      <c r="D25" s="23"/>
      <c r="E25" s="23"/>
      <c r="F25" s="23"/>
      <c r="G25" s="23"/>
      <c r="H25" s="23"/>
      <c r="I25" s="23"/>
      <c r="J25" s="23"/>
      <c r="K25" s="23"/>
      <c r="L25" s="90"/>
      <c r="M25" s="23"/>
      <c r="N25" s="23"/>
    </row>
    <row r="26" spans="1:17" ht="14.45">
      <c r="A26" s="23"/>
      <c r="B26" s="35"/>
      <c r="C26" s="23"/>
      <c r="D26" s="23"/>
      <c r="E26" s="23"/>
      <c r="F26" s="23"/>
      <c r="G26" s="23"/>
      <c r="H26" s="23"/>
      <c r="I26" s="23"/>
      <c r="J26" s="23"/>
      <c r="K26" s="23"/>
      <c r="L26" s="90"/>
      <c r="M26" s="23"/>
      <c r="N26" s="23"/>
    </row>
    <row r="27" spans="1:17" ht="14.45">
      <c r="A27" s="23"/>
      <c r="B27" s="35"/>
      <c r="C27" s="23"/>
      <c r="D27" s="23"/>
      <c r="E27" s="23"/>
      <c r="F27" s="23"/>
      <c r="G27" s="23"/>
      <c r="H27" s="23"/>
      <c r="I27" s="23"/>
      <c r="J27" s="23"/>
      <c r="K27" s="23"/>
      <c r="L27" s="90"/>
      <c r="M27" s="23"/>
      <c r="N27" s="23"/>
    </row>
    <row r="28" spans="1:17" ht="14.45">
      <c r="A28" s="23"/>
      <c r="B28" s="35"/>
      <c r="C28" s="23"/>
      <c r="D28" s="23"/>
      <c r="E28" s="23"/>
      <c r="F28" s="23"/>
      <c r="G28" s="23"/>
      <c r="H28" s="23"/>
      <c r="I28" s="23"/>
      <c r="J28" s="23"/>
      <c r="K28" s="23"/>
      <c r="L28" s="90"/>
      <c r="M28" s="23"/>
      <c r="N28" s="23"/>
    </row>
    <row r="29" spans="1:17" ht="14.45">
      <c r="A29" s="23"/>
      <c r="B29" s="35"/>
      <c r="C29" s="23"/>
      <c r="D29" s="23"/>
      <c r="E29" s="23"/>
      <c r="F29" s="23"/>
      <c r="G29" s="23"/>
      <c r="H29" s="23"/>
      <c r="I29" s="23"/>
      <c r="J29" s="23"/>
      <c r="K29" s="23"/>
      <c r="L29" s="90"/>
      <c r="M29" s="23"/>
      <c r="N29" s="23"/>
    </row>
    <row r="30" spans="1:17" ht="14.45">
      <c r="A30" s="23"/>
      <c r="B30" s="35"/>
      <c r="C30" s="23"/>
      <c r="D30" s="23"/>
      <c r="E30" s="23"/>
      <c r="F30" s="23"/>
      <c r="G30" s="23"/>
      <c r="H30" s="23"/>
      <c r="I30" s="23"/>
      <c r="J30" s="23"/>
      <c r="K30" s="23"/>
      <c r="L30" s="90"/>
      <c r="M30" s="23"/>
      <c r="N30" s="23"/>
    </row>
    <row r="31" spans="1:17" ht="14.45">
      <c r="A31" s="23"/>
      <c r="B31" s="35"/>
      <c r="C31" s="23"/>
      <c r="D31" s="23"/>
      <c r="E31" s="23"/>
      <c r="F31" s="23"/>
      <c r="G31" s="23"/>
      <c r="H31" s="23"/>
      <c r="I31" s="23"/>
      <c r="J31" s="23"/>
      <c r="K31" s="23"/>
      <c r="L31" s="90"/>
      <c r="M31" s="23"/>
      <c r="N31" s="23"/>
    </row>
    <row r="32" spans="1:17" ht="14.45">
      <c r="A32" s="23"/>
      <c r="B32" s="35"/>
      <c r="C32" s="23"/>
      <c r="D32" s="23"/>
      <c r="E32" s="23"/>
      <c r="F32" s="23"/>
      <c r="G32" s="23"/>
      <c r="H32" s="23"/>
      <c r="I32" s="23"/>
      <c r="J32" s="23"/>
      <c r="K32" s="23"/>
      <c r="L32" s="90"/>
      <c r="M32" s="23"/>
      <c r="N32" s="23"/>
    </row>
    <row r="33" spans="1:14" ht="14.45">
      <c r="A33" s="23"/>
      <c r="B33" s="35"/>
      <c r="C33" s="23"/>
      <c r="D33" s="23"/>
      <c r="E33" s="23"/>
      <c r="F33" s="23"/>
      <c r="G33" s="23"/>
      <c r="H33" s="24"/>
      <c r="I33" s="23"/>
      <c r="J33" s="23"/>
      <c r="K33" s="24"/>
      <c r="L33" s="90"/>
      <c r="M33" s="23"/>
      <c r="N33" s="23"/>
    </row>
    <row r="34" spans="1:14" ht="14.45">
      <c r="A34" s="23"/>
      <c r="B34" s="35"/>
      <c r="C34" s="23"/>
      <c r="D34" s="23"/>
      <c r="E34" s="23"/>
      <c r="F34" s="23"/>
      <c r="G34" s="23"/>
      <c r="H34" s="24"/>
      <c r="I34" s="23"/>
      <c r="J34" s="23"/>
      <c r="K34" s="24"/>
      <c r="L34" s="90"/>
      <c r="M34" s="23"/>
      <c r="N34" s="23"/>
    </row>
    <row r="35" spans="1:14" ht="14.45">
      <c r="A35" s="23"/>
      <c r="B35" s="35"/>
      <c r="C35" s="23"/>
      <c r="D35" s="23"/>
      <c r="E35" s="23"/>
      <c r="F35" s="23"/>
      <c r="G35" s="23"/>
      <c r="H35" s="24"/>
      <c r="I35" s="23"/>
      <c r="J35" s="23"/>
      <c r="K35" s="24"/>
      <c r="L35" s="90"/>
      <c r="M35" s="23"/>
      <c r="N35" s="23"/>
    </row>
    <row r="36" spans="1:14" ht="14.45">
      <c r="A36" s="23"/>
      <c r="B36" s="35"/>
      <c r="C36" s="23"/>
      <c r="D36" s="23"/>
      <c r="E36" s="23"/>
      <c r="F36" s="23"/>
      <c r="G36" s="23"/>
      <c r="H36" s="24"/>
      <c r="I36" s="23"/>
      <c r="J36" s="23"/>
      <c r="K36" s="24"/>
      <c r="L36" s="90"/>
      <c r="M36" s="23"/>
      <c r="N36" s="23"/>
    </row>
    <row r="37" spans="1:14" ht="14.45">
      <c r="A37" s="23"/>
      <c r="B37" s="35"/>
      <c r="C37" s="23"/>
      <c r="D37" s="23"/>
      <c r="E37" s="23"/>
      <c r="F37" s="23"/>
      <c r="G37" s="23"/>
      <c r="H37" s="24"/>
      <c r="I37" s="23"/>
      <c r="J37" s="23"/>
      <c r="K37" s="24"/>
      <c r="L37" s="90"/>
      <c r="M37" s="23"/>
      <c r="N37" s="23"/>
    </row>
    <row r="38" spans="1:14" ht="14.45">
      <c r="A38" s="23"/>
      <c r="B38" s="35"/>
      <c r="C38" s="23"/>
      <c r="D38" s="23"/>
      <c r="E38" s="23"/>
      <c r="F38" s="23"/>
      <c r="G38" s="23"/>
      <c r="H38" s="24"/>
      <c r="I38" s="23"/>
      <c r="J38" s="23"/>
      <c r="K38" s="24"/>
      <c r="L38" s="90"/>
      <c r="M38" s="23"/>
      <c r="N38" s="23"/>
    </row>
    <row r="39" spans="1:14" ht="14.45">
      <c r="A39" s="23"/>
      <c r="B39" s="35"/>
      <c r="C39" s="23"/>
      <c r="D39" s="23"/>
      <c r="E39" s="23"/>
      <c r="F39" s="23"/>
      <c r="G39" s="23"/>
      <c r="H39" s="24"/>
      <c r="I39" s="23"/>
      <c r="J39" s="23"/>
      <c r="K39" s="24"/>
      <c r="L39" s="90"/>
      <c r="M39" s="23"/>
      <c r="N39" s="23"/>
    </row>
    <row r="40" spans="1:14" ht="14.45">
      <c r="A40" s="23"/>
      <c r="B40" s="35"/>
      <c r="C40" s="23"/>
      <c r="D40" s="23"/>
      <c r="E40" s="23"/>
      <c r="F40" s="23"/>
      <c r="G40" s="23"/>
      <c r="H40" s="24"/>
      <c r="I40" s="23"/>
      <c r="J40" s="23"/>
      <c r="K40" s="24"/>
      <c r="L40" s="90"/>
      <c r="M40" s="23"/>
      <c r="N40" s="23"/>
    </row>
    <row r="41" spans="1:14" ht="14.45">
      <c r="A41" s="23"/>
      <c r="B41" s="35"/>
      <c r="C41" s="23"/>
      <c r="D41" s="23"/>
      <c r="E41" s="23"/>
      <c r="F41" s="23"/>
      <c r="G41" s="23"/>
      <c r="H41" s="24"/>
      <c r="I41" s="23"/>
      <c r="J41" s="23"/>
      <c r="K41" s="24"/>
      <c r="L41" s="90"/>
      <c r="M41" s="23"/>
      <c r="N41" s="23"/>
    </row>
    <row r="42" spans="1:14" ht="14.45">
      <c r="A42" s="23"/>
      <c r="B42" s="35"/>
      <c r="C42" s="23"/>
      <c r="D42" s="23"/>
      <c r="E42" s="23"/>
      <c r="F42" s="23"/>
      <c r="G42" s="23"/>
      <c r="H42" s="24"/>
      <c r="I42" s="23"/>
      <c r="J42" s="23"/>
      <c r="K42" s="24"/>
      <c r="L42" s="90"/>
      <c r="M42" s="23"/>
      <c r="N42" s="23"/>
    </row>
    <row r="43" spans="1:14" ht="14.45">
      <c r="A43" s="23"/>
      <c r="B43" s="35"/>
      <c r="C43" s="23"/>
      <c r="D43" s="23"/>
      <c r="E43" s="23"/>
      <c r="F43" s="23"/>
      <c r="G43" s="23"/>
      <c r="H43" s="24"/>
      <c r="I43" s="23"/>
      <c r="J43" s="23"/>
      <c r="K43" s="24"/>
      <c r="L43" s="90"/>
      <c r="M43" s="23"/>
      <c r="N43" s="23"/>
    </row>
    <row r="44" spans="1:14" ht="14.45">
      <c r="A44" s="23"/>
      <c r="B44" s="35"/>
      <c r="C44" s="23"/>
      <c r="D44" s="23"/>
      <c r="E44" s="23"/>
      <c r="F44" s="23"/>
      <c r="G44" s="23"/>
      <c r="H44" s="24"/>
      <c r="I44" s="23"/>
      <c r="J44" s="23"/>
      <c r="K44" s="24"/>
      <c r="L44" s="90"/>
      <c r="M44" s="23"/>
      <c r="N44" s="23"/>
    </row>
    <row r="45" spans="1:14" ht="14.45">
      <c r="A45" s="23"/>
      <c r="B45" s="35"/>
      <c r="C45" s="23"/>
      <c r="D45" s="23"/>
      <c r="E45" s="23"/>
      <c r="F45" s="23"/>
      <c r="G45" s="23"/>
      <c r="H45" s="24"/>
      <c r="I45" s="23"/>
      <c r="J45" s="23"/>
      <c r="K45" s="24"/>
      <c r="L45" s="90"/>
      <c r="M45" s="23"/>
      <c r="N45" s="23"/>
    </row>
    <row r="46" spans="1:14" ht="14.45">
      <c r="A46" s="23"/>
      <c r="B46" s="35"/>
      <c r="C46" s="23"/>
      <c r="D46" s="23"/>
      <c r="E46" s="23"/>
      <c r="F46" s="23"/>
      <c r="G46" s="23"/>
      <c r="H46" s="24"/>
      <c r="I46" s="23"/>
      <c r="J46" s="23"/>
      <c r="K46" s="24"/>
      <c r="L46" s="90"/>
      <c r="M46" s="23"/>
      <c r="N46" s="23"/>
    </row>
    <row r="47" spans="1:14" ht="14.45">
      <c r="A47" s="23"/>
      <c r="B47" s="35"/>
      <c r="C47" s="23"/>
      <c r="D47" s="23"/>
      <c r="E47" s="23"/>
      <c r="F47" s="23"/>
      <c r="G47" s="23"/>
      <c r="H47" s="24"/>
      <c r="I47" s="23"/>
      <c r="J47" s="23"/>
      <c r="K47" s="24"/>
      <c r="L47" s="90"/>
      <c r="M47" s="23"/>
      <c r="N47" s="23"/>
    </row>
    <row r="48" spans="1:14" ht="14.45">
      <c r="A48" s="23"/>
      <c r="B48" s="35"/>
      <c r="C48" s="23"/>
      <c r="D48" s="23"/>
      <c r="E48" s="23"/>
      <c r="F48" s="23"/>
      <c r="G48" s="23"/>
      <c r="H48" s="24"/>
      <c r="I48" s="23"/>
      <c r="J48" s="23"/>
      <c r="K48" s="24"/>
      <c r="L48" s="90"/>
      <c r="M48" s="23"/>
      <c r="N48" s="23"/>
    </row>
    <row r="49" spans="1:14" ht="14.45">
      <c r="A49" s="23"/>
      <c r="B49" s="35"/>
      <c r="C49" s="23"/>
      <c r="D49" s="23"/>
      <c r="E49" s="23"/>
      <c r="F49" s="23"/>
      <c r="G49" s="23"/>
      <c r="H49" s="24"/>
      <c r="I49" s="23"/>
      <c r="J49" s="23"/>
      <c r="K49" s="24"/>
      <c r="L49" s="90"/>
      <c r="M49" s="23"/>
      <c r="N49" s="23"/>
    </row>
    <row r="50" spans="1:14" ht="14.45">
      <c r="A50" s="23"/>
      <c r="B50" s="35"/>
      <c r="C50" s="23"/>
      <c r="D50" s="23"/>
      <c r="E50" s="23"/>
      <c r="F50" s="23"/>
      <c r="G50" s="23"/>
      <c r="H50" s="24"/>
      <c r="I50" s="23"/>
      <c r="J50" s="23"/>
      <c r="K50" s="24"/>
      <c r="L50" s="90"/>
      <c r="M50" s="23"/>
      <c r="N50" s="23"/>
    </row>
    <row r="51" spans="1:14" ht="14.45">
      <c r="A51" s="23"/>
      <c r="B51" s="35"/>
      <c r="C51" s="23"/>
      <c r="D51" s="23"/>
      <c r="E51" s="23"/>
      <c r="F51" s="23"/>
      <c r="G51" s="23"/>
      <c r="H51" s="24"/>
      <c r="I51" s="23"/>
      <c r="J51" s="23"/>
      <c r="K51" s="24"/>
      <c r="L51" s="90"/>
      <c r="M51" s="23"/>
      <c r="N51" s="23"/>
    </row>
    <row r="52" spans="1:14" ht="14.45">
      <c r="A52" s="23"/>
      <c r="B52" s="35"/>
      <c r="C52" s="23"/>
      <c r="D52" s="23"/>
      <c r="E52" s="23"/>
      <c r="F52" s="23"/>
      <c r="G52" s="23"/>
      <c r="H52" s="24"/>
      <c r="I52" s="23"/>
      <c r="J52" s="23"/>
      <c r="K52" s="24"/>
      <c r="L52" s="90"/>
      <c r="M52" s="23"/>
      <c r="N52" s="23"/>
    </row>
    <row r="53" spans="1:14" ht="14.45">
      <c r="A53" s="23"/>
      <c r="B53" s="35"/>
      <c r="C53" s="23"/>
      <c r="D53" s="23"/>
      <c r="E53" s="23"/>
      <c r="F53" s="23"/>
      <c r="G53" s="23"/>
      <c r="H53" s="24"/>
      <c r="I53" s="23"/>
      <c r="J53" s="23"/>
      <c r="K53" s="24"/>
      <c r="L53" s="90"/>
      <c r="M53" s="23"/>
      <c r="N53" s="23"/>
    </row>
    <row r="54" spans="1:14" ht="14.45">
      <c r="A54" s="23"/>
      <c r="B54" s="35"/>
      <c r="C54" s="23"/>
      <c r="D54" s="23"/>
      <c r="E54" s="23"/>
      <c r="F54" s="23"/>
      <c r="G54" s="23"/>
      <c r="H54" s="24"/>
      <c r="I54" s="23"/>
      <c r="J54" s="23"/>
      <c r="K54" s="24"/>
      <c r="L54" s="90"/>
      <c r="M54" s="23"/>
      <c r="N54" s="23"/>
    </row>
    <row r="55" spans="1:14" ht="14.45">
      <c r="A55" s="23"/>
      <c r="B55" s="35"/>
      <c r="C55" s="23"/>
      <c r="D55" s="23"/>
      <c r="E55" s="23"/>
      <c r="F55" s="23"/>
      <c r="G55" s="23"/>
      <c r="H55" s="24"/>
      <c r="I55" s="23"/>
      <c r="J55" s="23"/>
      <c r="K55" s="24"/>
      <c r="L55" s="90"/>
      <c r="M55" s="23"/>
      <c r="N55" s="23"/>
    </row>
    <row r="56" spans="1:14" ht="14.45">
      <c r="A56" s="23"/>
      <c r="B56" s="35"/>
      <c r="C56" s="23"/>
      <c r="D56" s="23"/>
      <c r="E56" s="23"/>
      <c r="F56" s="23"/>
      <c r="G56" s="23"/>
      <c r="H56" s="24"/>
      <c r="I56" s="23"/>
      <c r="J56" s="23"/>
      <c r="K56" s="24"/>
      <c r="L56" s="90"/>
      <c r="M56" s="23"/>
      <c r="N56" s="23"/>
    </row>
    <row r="57" spans="1:14" ht="14.45">
      <c r="A57" s="23"/>
      <c r="B57" s="35"/>
      <c r="C57" s="23"/>
      <c r="D57" s="23"/>
      <c r="E57" s="23"/>
      <c r="F57" s="23"/>
      <c r="G57" s="23"/>
      <c r="H57" s="24"/>
      <c r="I57" s="23"/>
      <c r="J57" s="23"/>
      <c r="K57" s="24"/>
      <c r="L57" s="90"/>
      <c r="M57" s="23"/>
      <c r="N57" s="23"/>
    </row>
    <row r="58" spans="1:14" ht="14.45">
      <c r="A58" s="23"/>
      <c r="B58" s="35"/>
      <c r="C58" s="23"/>
      <c r="D58" s="23"/>
      <c r="E58" s="23"/>
      <c r="F58" s="23"/>
      <c r="G58" s="23"/>
      <c r="H58" s="24"/>
      <c r="I58" s="23"/>
      <c r="J58" s="23"/>
      <c r="K58" s="24"/>
      <c r="L58" s="90"/>
      <c r="M58" s="23"/>
      <c r="N58" s="23"/>
    </row>
    <row r="59" spans="1:14" ht="14.45">
      <c r="A59" s="23"/>
      <c r="B59" s="35"/>
      <c r="C59" s="23"/>
      <c r="D59" s="23"/>
      <c r="E59" s="23"/>
      <c r="F59" s="23"/>
      <c r="G59" s="23"/>
      <c r="H59" s="24"/>
      <c r="I59" s="23"/>
      <c r="J59" s="23"/>
      <c r="K59" s="24"/>
      <c r="L59" s="90"/>
      <c r="M59" s="23"/>
      <c r="N59" s="23"/>
    </row>
    <row r="60" spans="1:14" ht="14.45">
      <c r="A60" s="23"/>
      <c r="B60" s="35"/>
      <c r="C60" s="23"/>
      <c r="D60" s="23"/>
      <c r="E60" s="23"/>
      <c r="F60" s="23"/>
      <c r="G60" s="23"/>
      <c r="H60" s="24"/>
      <c r="I60" s="23"/>
      <c r="J60" s="23"/>
      <c r="K60" s="24"/>
      <c r="L60" s="90"/>
      <c r="M60" s="23"/>
      <c r="N60" s="23"/>
    </row>
    <row r="61" spans="1:14" ht="14.45">
      <c r="A61" s="23"/>
      <c r="B61" s="35"/>
      <c r="C61" s="23"/>
      <c r="D61" s="23"/>
      <c r="E61" s="23"/>
      <c r="F61" s="23"/>
      <c r="G61" s="23"/>
      <c r="H61" s="24"/>
      <c r="I61" s="23"/>
      <c r="J61" s="23"/>
      <c r="K61" s="24"/>
      <c r="L61" s="90"/>
      <c r="M61" s="23"/>
      <c r="N61" s="23"/>
    </row>
    <row r="62" spans="1:14" ht="14.45">
      <c r="A62" s="23"/>
      <c r="B62" s="35"/>
      <c r="C62" s="23"/>
      <c r="D62" s="23"/>
      <c r="E62" s="23"/>
      <c r="F62" s="23"/>
      <c r="G62" s="23"/>
      <c r="H62" s="24"/>
      <c r="I62" s="23"/>
      <c r="J62" s="23"/>
      <c r="K62" s="24"/>
      <c r="L62" s="90"/>
      <c r="M62" s="23"/>
      <c r="N62" s="23"/>
    </row>
    <row r="63" spans="1:14" ht="14.45">
      <c r="A63" s="23"/>
      <c r="B63" s="35"/>
      <c r="C63" s="23"/>
      <c r="D63" s="23"/>
      <c r="E63" s="23"/>
      <c r="F63" s="23"/>
      <c r="G63" s="23"/>
      <c r="H63" s="24"/>
      <c r="I63" s="23"/>
      <c r="J63" s="23"/>
      <c r="K63" s="24"/>
      <c r="L63" s="90"/>
      <c r="M63" s="23"/>
      <c r="N63" s="23"/>
    </row>
    <row r="64" spans="1:14" ht="14.45">
      <c r="A64" s="23"/>
      <c r="B64" s="35"/>
      <c r="C64" s="23"/>
      <c r="D64" s="23"/>
      <c r="E64" s="23"/>
      <c r="F64" s="23"/>
      <c r="G64" s="23"/>
      <c r="H64" s="24"/>
      <c r="I64" s="23"/>
      <c r="J64" s="23"/>
      <c r="K64" s="24"/>
      <c r="L64" s="90"/>
      <c r="M64" s="23"/>
      <c r="N64" s="23"/>
    </row>
    <row r="65" spans="1:14" ht="14.45">
      <c r="A65" s="23"/>
      <c r="B65" s="35"/>
      <c r="C65" s="23"/>
      <c r="D65" s="23"/>
      <c r="E65" s="23"/>
      <c r="F65" s="23"/>
      <c r="G65" s="23"/>
      <c r="H65" s="24"/>
      <c r="I65" s="23"/>
      <c r="J65" s="23"/>
      <c r="K65" s="24"/>
      <c r="L65" s="90"/>
      <c r="M65" s="23"/>
      <c r="N65" s="23"/>
    </row>
    <row r="66" spans="1:14" ht="14.45">
      <c r="A66" s="23"/>
      <c r="B66" s="35"/>
      <c r="C66" s="23"/>
      <c r="D66" s="23"/>
      <c r="E66" s="23"/>
      <c r="F66" s="23"/>
      <c r="G66" s="23"/>
      <c r="H66" s="24"/>
      <c r="I66" s="23"/>
      <c r="J66" s="23"/>
      <c r="K66" s="24"/>
      <c r="L66" s="90"/>
      <c r="M66" s="23"/>
      <c r="N66" s="23"/>
    </row>
    <row r="67" spans="1:14" ht="14.45">
      <c r="A67" s="23"/>
      <c r="B67" s="35"/>
      <c r="C67" s="23"/>
      <c r="D67" s="23"/>
      <c r="E67" s="23"/>
      <c r="F67" s="23"/>
      <c r="G67" s="23"/>
      <c r="H67" s="24"/>
      <c r="I67" s="23"/>
      <c r="J67" s="23"/>
      <c r="K67" s="24"/>
      <c r="L67" s="90"/>
      <c r="M67" s="23"/>
      <c r="N67" s="23"/>
    </row>
    <row r="68" spans="1:14" ht="14.45">
      <c r="A68" s="23"/>
      <c r="B68" s="35"/>
      <c r="C68" s="23"/>
      <c r="D68" s="23"/>
      <c r="E68" s="23"/>
      <c r="F68" s="23"/>
      <c r="G68" s="23"/>
      <c r="H68" s="24"/>
      <c r="I68" s="23"/>
      <c r="J68" s="23"/>
      <c r="K68" s="24"/>
      <c r="L68" s="90"/>
      <c r="M68" s="23"/>
      <c r="N68" s="23"/>
    </row>
    <row r="69" spans="1:14" ht="14.45">
      <c r="A69" s="23"/>
      <c r="B69" s="35"/>
      <c r="C69" s="23"/>
      <c r="D69" s="23"/>
      <c r="E69" s="23"/>
      <c r="F69" s="23"/>
      <c r="G69" s="23"/>
      <c r="H69" s="24"/>
      <c r="I69" s="23"/>
      <c r="J69" s="23"/>
      <c r="K69" s="24"/>
      <c r="L69" s="90"/>
      <c r="M69" s="23"/>
      <c r="N69" s="23"/>
    </row>
    <row r="70" spans="1:14" ht="14.45">
      <c r="A70" s="23"/>
      <c r="B70" s="35"/>
      <c r="C70" s="23"/>
      <c r="D70" s="23"/>
      <c r="E70" s="23"/>
      <c r="F70" s="23"/>
      <c r="G70" s="23"/>
      <c r="H70" s="24"/>
      <c r="I70" s="23"/>
      <c r="J70" s="23"/>
      <c r="K70" s="24"/>
      <c r="L70" s="90"/>
      <c r="M70" s="23"/>
      <c r="N70" s="23"/>
    </row>
    <row r="71" spans="1:14" ht="14.45">
      <c r="A71" s="23"/>
      <c r="B71" s="35"/>
      <c r="C71" s="23"/>
      <c r="D71" s="23"/>
      <c r="E71" s="23"/>
      <c r="F71" s="23"/>
      <c r="G71" s="23"/>
      <c r="H71" s="24"/>
      <c r="I71" s="23"/>
      <c r="J71" s="23"/>
      <c r="K71" s="24"/>
      <c r="L71" s="90"/>
      <c r="M71" s="23"/>
      <c r="N71" s="23"/>
    </row>
    <row r="72" spans="1:14" ht="14.45">
      <c r="A72" s="23"/>
      <c r="B72" s="35"/>
      <c r="C72" s="23"/>
      <c r="D72" s="23"/>
      <c r="E72" s="23"/>
      <c r="F72" s="23"/>
      <c r="G72" s="23"/>
      <c r="H72" s="24"/>
      <c r="I72" s="23"/>
      <c r="J72" s="23"/>
      <c r="K72" s="24"/>
      <c r="L72" s="90"/>
      <c r="M72" s="23"/>
      <c r="N72" s="23"/>
    </row>
    <row r="73" spans="1:14" ht="14.45">
      <c r="A73" s="23"/>
      <c r="B73" s="35"/>
      <c r="C73" s="23"/>
      <c r="D73" s="23"/>
      <c r="E73" s="23"/>
      <c r="F73" s="23"/>
      <c r="G73" s="23"/>
      <c r="H73" s="24"/>
      <c r="I73" s="23"/>
      <c r="J73" s="23"/>
      <c r="K73" s="24"/>
      <c r="L73" s="90"/>
      <c r="M73" s="23"/>
      <c r="N73" s="23"/>
    </row>
    <row r="74" spans="1:14" ht="14.45">
      <c r="A74" s="23"/>
      <c r="B74" s="35"/>
      <c r="C74" s="23"/>
      <c r="D74" s="23"/>
      <c r="E74" s="23"/>
      <c r="F74" s="23"/>
      <c r="G74" s="23"/>
      <c r="H74" s="24"/>
      <c r="I74" s="23"/>
      <c r="J74" s="23"/>
      <c r="K74" s="24"/>
      <c r="L74" s="90"/>
      <c r="M74" s="23"/>
      <c r="N74" s="23"/>
    </row>
    <row r="75" spans="1:14" ht="14.45">
      <c r="A75" s="23"/>
      <c r="B75" s="35"/>
      <c r="C75" s="23"/>
      <c r="D75" s="23"/>
      <c r="E75" s="23"/>
      <c r="F75" s="23"/>
      <c r="G75" s="23"/>
      <c r="H75" s="24"/>
      <c r="I75" s="23"/>
      <c r="J75" s="23"/>
      <c r="K75" s="24"/>
      <c r="L75" s="90"/>
      <c r="M75" s="23"/>
      <c r="N75" s="23"/>
    </row>
    <row r="76" spans="1:14" ht="14.45">
      <c r="A76" s="23"/>
      <c r="B76" s="35"/>
      <c r="C76" s="23"/>
      <c r="D76" s="23"/>
      <c r="E76" s="23"/>
      <c r="F76" s="23"/>
      <c r="G76" s="23"/>
      <c r="H76" s="24"/>
      <c r="I76" s="23"/>
      <c r="J76" s="23"/>
      <c r="K76" s="24"/>
      <c r="L76" s="90"/>
      <c r="M76" s="23"/>
      <c r="N76" s="23"/>
    </row>
    <row r="77" spans="1:14" ht="14.45">
      <c r="A77" s="23"/>
      <c r="B77" s="35"/>
      <c r="C77" s="23"/>
      <c r="D77" s="23"/>
      <c r="E77" s="23"/>
      <c r="F77" s="23"/>
      <c r="G77" s="23"/>
      <c r="H77" s="24"/>
      <c r="I77" s="23"/>
      <c r="J77" s="23"/>
      <c r="K77" s="24"/>
      <c r="L77" s="90"/>
      <c r="M77" s="23"/>
      <c r="N77" s="23"/>
    </row>
    <row r="78" spans="1:14" ht="14.45">
      <c r="A78" s="23"/>
      <c r="B78" s="35"/>
      <c r="C78" s="23"/>
      <c r="D78" s="23"/>
      <c r="E78" s="23"/>
      <c r="F78" s="23"/>
      <c r="G78" s="23"/>
      <c r="H78" s="24"/>
      <c r="I78" s="23"/>
      <c r="J78" s="23"/>
      <c r="K78" s="24"/>
      <c r="L78" s="90"/>
      <c r="M78" s="23"/>
      <c r="N78" s="23"/>
    </row>
    <row r="79" spans="1:14" ht="14.45">
      <c r="A79" s="23"/>
      <c r="B79" s="35"/>
      <c r="C79" s="23"/>
      <c r="D79" s="23"/>
      <c r="E79" s="23"/>
      <c r="F79" s="23"/>
      <c r="G79" s="23"/>
      <c r="H79" s="24"/>
      <c r="I79" s="23"/>
      <c r="J79" s="23"/>
      <c r="K79" s="24"/>
      <c r="L79" s="90"/>
      <c r="M79" s="23"/>
      <c r="N79" s="23"/>
    </row>
    <row r="80" spans="1:14" ht="14.45">
      <c r="A80" s="23"/>
      <c r="B80" s="35"/>
      <c r="C80" s="23"/>
      <c r="D80" s="23"/>
      <c r="E80" s="23"/>
      <c r="F80" s="23"/>
      <c r="G80" s="23"/>
      <c r="H80" s="24"/>
      <c r="I80" s="23"/>
      <c r="J80" s="23"/>
      <c r="K80" s="24"/>
      <c r="L80" s="90"/>
      <c r="M80" s="23"/>
      <c r="N80" s="23"/>
    </row>
    <row r="81" spans="1:14" ht="14.45">
      <c r="A81" s="23"/>
      <c r="B81" s="35"/>
      <c r="C81" s="23"/>
      <c r="D81" s="23"/>
      <c r="E81" s="23"/>
      <c r="F81" s="23"/>
      <c r="G81" s="23"/>
      <c r="H81" s="24"/>
      <c r="I81" s="23"/>
      <c r="J81" s="23"/>
      <c r="K81" s="24"/>
      <c r="L81" s="90"/>
      <c r="M81" s="23"/>
      <c r="N81" s="23"/>
    </row>
    <row r="82" spans="1:14" ht="14.45">
      <c r="A82" s="23"/>
      <c r="B82" s="35"/>
      <c r="C82" s="23"/>
      <c r="D82" s="23"/>
      <c r="E82" s="23"/>
      <c r="F82" s="23"/>
      <c r="G82" s="23"/>
      <c r="H82" s="24"/>
      <c r="I82" s="23"/>
      <c r="J82" s="23"/>
      <c r="K82" s="24"/>
      <c r="L82" s="90"/>
      <c r="M82" s="23"/>
      <c r="N82" s="23"/>
    </row>
    <row r="83" spans="1:14" ht="14.45">
      <c r="A83" s="23"/>
      <c r="B83" s="35"/>
      <c r="C83" s="23"/>
      <c r="D83" s="23"/>
      <c r="E83" s="23"/>
      <c r="F83" s="23"/>
      <c r="G83" s="23"/>
      <c r="H83" s="24"/>
      <c r="I83" s="23"/>
      <c r="J83" s="23"/>
      <c r="K83" s="24"/>
      <c r="L83" s="90"/>
      <c r="M83" s="23"/>
      <c r="N83" s="23"/>
    </row>
    <row r="84" spans="1:14" ht="14.45">
      <c r="A84" s="23"/>
      <c r="B84" s="35"/>
      <c r="C84" s="23"/>
      <c r="D84" s="23"/>
      <c r="E84" s="23"/>
      <c r="F84" s="23"/>
      <c r="G84" s="23"/>
      <c r="H84" s="24"/>
      <c r="I84" s="23"/>
      <c r="J84" s="23"/>
      <c r="K84" s="24"/>
      <c r="L84" s="90"/>
      <c r="M84" s="23"/>
      <c r="N84" s="23"/>
    </row>
    <row r="85" spans="1:14" ht="14.45">
      <c r="A85" s="23"/>
      <c r="B85" s="35"/>
      <c r="C85" s="23"/>
      <c r="D85" s="23"/>
      <c r="E85" s="23"/>
      <c r="F85" s="23"/>
      <c r="G85" s="23"/>
      <c r="H85" s="24"/>
      <c r="I85" s="23"/>
      <c r="J85" s="23"/>
      <c r="K85" s="24"/>
      <c r="L85" s="90"/>
      <c r="M85" s="23"/>
      <c r="N85" s="23"/>
    </row>
    <row r="86" spans="1:14" ht="14.45">
      <c r="A86" s="23"/>
      <c r="B86" s="35"/>
      <c r="C86" s="23"/>
      <c r="D86" s="23"/>
      <c r="E86" s="23"/>
      <c r="F86" s="23"/>
      <c r="G86" s="23"/>
      <c r="H86" s="24"/>
      <c r="I86" s="23"/>
      <c r="J86" s="23"/>
      <c r="K86" s="24"/>
      <c r="L86" s="90"/>
      <c r="M86" s="23"/>
      <c r="N86" s="23"/>
    </row>
    <row r="87" spans="1:14" ht="14.45">
      <c r="A87" s="23"/>
      <c r="B87" s="35"/>
      <c r="C87" s="23"/>
      <c r="D87" s="23"/>
      <c r="E87" s="23"/>
      <c r="F87" s="23"/>
      <c r="G87" s="23"/>
      <c r="H87" s="24"/>
      <c r="I87" s="23"/>
      <c r="J87" s="23"/>
      <c r="K87" s="24"/>
      <c r="L87" s="90"/>
      <c r="M87" s="23"/>
      <c r="N87" s="23"/>
    </row>
    <row r="88" spans="1:14" ht="14.45">
      <c r="A88" s="23"/>
      <c r="B88" s="35"/>
      <c r="C88" s="23"/>
      <c r="D88" s="23"/>
      <c r="E88" s="23"/>
      <c r="F88" s="23"/>
      <c r="G88" s="23"/>
      <c r="H88" s="24"/>
      <c r="I88" s="23"/>
      <c r="J88" s="23"/>
      <c r="K88" s="24"/>
      <c r="L88" s="90"/>
      <c r="M88" s="23"/>
      <c r="N88" s="23"/>
    </row>
    <row r="89" spans="1:14" ht="14.45">
      <c r="A89" s="23"/>
      <c r="B89" s="35"/>
      <c r="C89" s="23"/>
      <c r="D89" s="23"/>
      <c r="E89" s="23"/>
      <c r="F89" s="23"/>
      <c r="G89" s="23"/>
      <c r="H89" s="24"/>
      <c r="I89" s="23"/>
      <c r="J89" s="23"/>
      <c r="K89" s="24"/>
      <c r="L89" s="90"/>
      <c r="M89" s="23"/>
      <c r="N89" s="23"/>
    </row>
    <row r="90" spans="1:14" ht="14.45">
      <c r="A90" s="23"/>
      <c r="B90" s="35"/>
      <c r="C90" s="23"/>
      <c r="D90" s="23"/>
      <c r="E90" s="23"/>
      <c r="F90" s="23"/>
      <c r="G90" s="23"/>
      <c r="H90" s="24"/>
      <c r="I90" s="23"/>
      <c r="J90" s="23"/>
      <c r="K90" s="24"/>
      <c r="L90" s="90"/>
      <c r="M90" s="23"/>
      <c r="N90" s="23"/>
    </row>
    <row r="91" spans="1:14" ht="14.45">
      <c r="A91" s="23"/>
      <c r="B91" s="35"/>
      <c r="C91" s="23"/>
      <c r="D91" s="23"/>
      <c r="E91" s="23"/>
      <c r="F91" s="23"/>
      <c r="G91" s="23"/>
      <c r="H91" s="24"/>
      <c r="I91" s="23"/>
      <c r="J91" s="23"/>
      <c r="K91" s="24"/>
      <c r="L91" s="90"/>
      <c r="M91" s="23"/>
      <c r="N91" s="23"/>
    </row>
    <row r="92" spans="1:14" ht="14.45">
      <c r="A92" s="23"/>
      <c r="B92" s="35"/>
      <c r="C92" s="23"/>
      <c r="D92" s="23"/>
      <c r="E92" s="23"/>
      <c r="F92" s="23"/>
      <c r="G92" s="23"/>
      <c r="H92" s="24"/>
      <c r="I92" s="23"/>
      <c r="J92" s="23"/>
      <c r="K92" s="24"/>
      <c r="L92" s="90"/>
      <c r="M92" s="23"/>
      <c r="N92" s="23"/>
    </row>
    <row r="93" spans="1:14" ht="14.45">
      <c r="A93" s="23"/>
      <c r="B93" s="35"/>
      <c r="C93" s="23"/>
      <c r="D93" s="23"/>
      <c r="E93" s="23"/>
      <c r="F93" s="23"/>
      <c r="G93" s="23"/>
      <c r="H93" s="24"/>
      <c r="I93" s="23"/>
      <c r="J93" s="23"/>
      <c r="K93" s="24"/>
      <c r="L93" s="90"/>
      <c r="M93" s="23"/>
      <c r="N93" s="23"/>
    </row>
    <row r="94" spans="1:14" ht="14.45">
      <c r="A94" s="23"/>
      <c r="B94" s="35"/>
      <c r="C94" s="23"/>
      <c r="D94" s="23"/>
      <c r="E94" s="23"/>
      <c r="F94" s="23"/>
      <c r="G94" s="23"/>
      <c r="H94" s="24"/>
      <c r="I94" s="23"/>
      <c r="J94" s="23"/>
      <c r="K94" s="24"/>
      <c r="L94" s="90"/>
      <c r="M94" s="23"/>
      <c r="N94" s="23"/>
    </row>
    <row r="95" spans="1:14" ht="14.45">
      <c r="A95" s="23"/>
      <c r="B95" s="35"/>
      <c r="C95" s="23"/>
      <c r="D95" s="23"/>
      <c r="E95" s="23"/>
      <c r="F95" s="23"/>
      <c r="G95" s="23"/>
      <c r="H95" s="24"/>
      <c r="I95" s="23"/>
      <c r="J95" s="23"/>
      <c r="K95" s="24"/>
      <c r="L95" s="90"/>
      <c r="M95" s="23"/>
      <c r="N95" s="23"/>
    </row>
    <row r="96" spans="1:14" ht="14.45">
      <c r="A96" s="23"/>
      <c r="B96" s="35"/>
      <c r="C96" s="23"/>
      <c r="D96" s="23"/>
      <c r="E96" s="23"/>
      <c r="F96" s="23"/>
      <c r="G96" s="23"/>
      <c r="H96" s="24"/>
      <c r="I96" s="23"/>
      <c r="J96" s="23"/>
      <c r="K96" s="24"/>
      <c r="L96" s="90"/>
      <c r="M96" s="23"/>
      <c r="N96" s="23"/>
    </row>
    <row r="97" spans="1:14" ht="14.45">
      <c r="A97" s="23"/>
      <c r="B97" s="35"/>
      <c r="C97" s="23"/>
      <c r="D97" s="23"/>
      <c r="E97" s="23"/>
      <c r="F97" s="23"/>
      <c r="G97" s="23"/>
      <c r="H97" s="24"/>
      <c r="I97" s="23"/>
      <c r="J97" s="23"/>
      <c r="K97" s="24"/>
      <c r="L97" s="90"/>
      <c r="M97" s="23"/>
      <c r="N97" s="23"/>
    </row>
    <row r="98" spans="1:14" ht="14.45">
      <c r="A98" s="23"/>
      <c r="B98" s="35"/>
      <c r="C98" s="23"/>
      <c r="D98" s="23"/>
      <c r="E98" s="23"/>
      <c r="F98" s="23"/>
      <c r="G98" s="23"/>
      <c r="H98" s="24"/>
      <c r="I98" s="23"/>
      <c r="J98" s="23"/>
      <c r="K98" s="24"/>
      <c r="L98" s="90"/>
      <c r="M98" s="23"/>
      <c r="N98" s="23"/>
    </row>
    <row r="99" spans="1:14" ht="14.45">
      <c r="A99" s="23"/>
      <c r="B99" s="35"/>
      <c r="C99" s="23"/>
      <c r="D99" s="23"/>
      <c r="E99" s="23"/>
      <c r="F99" s="23"/>
      <c r="G99" s="23"/>
      <c r="H99" s="24"/>
      <c r="I99" s="23"/>
      <c r="J99" s="23"/>
      <c r="K99" s="24"/>
      <c r="L99" s="90"/>
      <c r="M99" s="23"/>
      <c r="N99" s="23"/>
    </row>
    <row r="100" spans="1:14" ht="14.45">
      <c r="A100" s="23"/>
      <c r="B100" s="35"/>
      <c r="C100" s="23"/>
      <c r="D100" s="23"/>
      <c r="E100" s="23"/>
      <c r="F100" s="23"/>
      <c r="G100" s="23"/>
      <c r="H100" s="24"/>
      <c r="I100" s="23"/>
      <c r="J100" s="23"/>
      <c r="K100" s="24"/>
      <c r="L100" s="90"/>
      <c r="M100" s="23"/>
      <c r="N100" s="23"/>
    </row>
    <row r="101" spans="1:14" ht="14.45">
      <c r="A101" s="23"/>
      <c r="B101" s="35"/>
      <c r="C101" s="23"/>
      <c r="D101" s="23"/>
      <c r="E101" s="23"/>
      <c r="F101" s="23"/>
      <c r="G101" s="23"/>
      <c r="H101" s="24"/>
      <c r="I101" s="23"/>
      <c r="J101" s="23"/>
      <c r="K101" s="24"/>
      <c r="L101" s="90"/>
      <c r="M101" s="23"/>
      <c r="N101" s="23"/>
    </row>
    <row r="102" spans="1:14" ht="14.45">
      <c r="A102" s="23"/>
      <c r="B102" s="35"/>
      <c r="C102" s="23"/>
      <c r="D102" s="23"/>
      <c r="E102" s="23"/>
      <c r="F102" s="23"/>
      <c r="G102" s="23"/>
      <c r="H102" s="24"/>
      <c r="I102" s="23"/>
      <c r="J102" s="23"/>
      <c r="K102" s="24"/>
      <c r="L102" s="90"/>
      <c r="M102" s="23"/>
      <c r="N102" s="23"/>
    </row>
    <row r="103" spans="1:14" ht="14.45">
      <c r="A103" s="23"/>
      <c r="B103" s="35"/>
      <c r="C103" s="23"/>
      <c r="D103" s="23"/>
      <c r="E103" s="23"/>
      <c r="F103" s="23"/>
      <c r="G103" s="23"/>
      <c r="H103" s="24"/>
      <c r="I103" s="23"/>
      <c r="J103" s="23"/>
      <c r="K103" s="24"/>
      <c r="L103" s="90"/>
      <c r="M103" s="23"/>
      <c r="N103" s="23"/>
    </row>
    <row r="104" spans="1:14" ht="14.45">
      <c r="A104" s="23"/>
      <c r="B104" s="35"/>
      <c r="C104" s="23"/>
      <c r="D104" s="23"/>
      <c r="E104" s="23"/>
      <c r="F104" s="23"/>
      <c r="G104" s="23"/>
      <c r="H104" s="24"/>
      <c r="I104" s="23"/>
      <c r="J104" s="23"/>
      <c r="K104" s="24"/>
      <c r="L104" s="90"/>
      <c r="M104" s="23"/>
      <c r="N104" s="23"/>
    </row>
    <row r="105" spans="1:14" ht="14.45">
      <c r="A105" s="23"/>
      <c r="B105" s="35"/>
      <c r="C105" s="23"/>
      <c r="D105" s="23"/>
      <c r="E105" s="23"/>
      <c r="F105" s="23"/>
      <c r="G105" s="23"/>
      <c r="H105" s="24"/>
      <c r="I105" s="23"/>
      <c r="J105" s="23"/>
      <c r="K105" s="24"/>
      <c r="L105" s="90"/>
      <c r="M105" s="23"/>
      <c r="N105" s="23"/>
    </row>
    <row r="106" spans="1:14" ht="14.45">
      <c r="A106" s="23"/>
      <c r="B106" s="35"/>
      <c r="C106" s="23"/>
      <c r="D106" s="23"/>
      <c r="E106" s="23"/>
      <c r="F106" s="23"/>
      <c r="G106" s="23"/>
      <c r="H106" s="24"/>
      <c r="I106" s="23"/>
      <c r="J106" s="23"/>
      <c r="K106" s="24"/>
      <c r="L106" s="90"/>
      <c r="M106" s="23"/>
      <c r="N106" s="23"/>
    </row>
    <row r="107" spans="1:14" ht="14.45">
      <c r="A107" s="23"/>
      <c r="B107" s="35"/>
      <c r="C107" s="23"/>
      <c r="D107" s="23"/>
      <c r="E107" s="23"/>
      <c r="F107" s="23"/>
      <c r="G107" s="23"/>
      <c r="H107" s="24"/>
      <c r="I107" s="23"/>
      <c r="J107" s="23"/>
      <c r="K107" s="24"/>
      <c r="L107" s="90"/>
      <c r="M107" s="23"/>
      <c r="N107" s="23"/>
    </row>
    <row r="108" spans="1:14" ht="14.45">
      <c r="A108" s="23"/>
      <c r="B108" s="35"/>
      <c r="C108" s="23"/>
      <c r="D108" s="23"/>
      <c r="E108" s="23"/>
      <c r="F108" s="23"/>
      <c r="G108" s="23"/>
      <c r="H108" s="24"/>
      <c r="I108" s="23"/>
      <c r="J108" s="23"/>
      <c r="K108" s="24"/>
      <c r="L108" s="90"/>
      <c r="M108" s="23"/>
      <c r="N108" s="23"/>
    </row>
    <row r="109" spans="1:14" ht="14.45">
      <c r="A109" s="23"/>
      <c r="B109" s="35"/>
      <c r="C109" s="23"/>
      <c r="D109" s="23"/>
      <c r="E109" s="23"/>
      <c r="F109" s="23"/>
      <c r="G109" s="23"/>
      <c r="H109" s="24"/>
      <c r="I109" s="23"/>
      <c r="J109" s="23"/>
      <c r="K109" s="24"/>
      <c r="L109" s="90"/>
      <c r="M109" s="23"/>
      <c r="N109" s="23"/>
    </row>
    <row r="110" spans="1:14" ht="14.45">
      <c r="A110" s="23"/>
      <c r="B110" s="35"/>
      <c r="C110" s="23"/>
      <c r="D110" s="23"/>
      <c r="E110" s="23"/>
      <c r="F110" s="23"/>
      <c r="G110" s="23"/>
      <c r="H110" s="24"/>
      <c r="I110" s="23"/>
      <c r="J110" s="23"/>
      <c r="K110" s="24"/>
      <c r="L110" s="90"/>
      <c r="M110" s="23"/>
      <c r="N110" s="23"/>
    </row>
    <row r="111" spans="1:14" ht="14.45">
      <c r="A111" s="23"/>
      <c r="B111" s="35"/>
      <c r="C111" s="23"/>
      <c r="D111" s="23"/>
      <c r="E111" s="23"/>
      <c r="F111" s="23"/>
      <c r="G111" s="23"/>
      <c r="H111" s="24"/>
      <c r="I111" s="23"/>
      <c r="J111" s="23"/>
      <c r="K111" s="24"/>
      <c r="L111" s="90"/>
      <c r="M111" s="23"/>
      <c r="N111" s="23"/>
    </row>
    <row r="112" spans="1:14" ht="14.45">
      <c r="A112" s="23"/>
      <c r="B112" s="35"/>
      <c r="C112" s="23"/>
      <c r="D112" s="23"/>
      <c r="E112" s="23"/>
      <c r="F112" s="23"/>
      <c r="G112" s="23"/>
      <c r="H112" s="24"/>
      <c r="I112" s="23"/>
      <c r="J112" s="23"/>
      <c r="K112" s="24"/>
      <c r="L112" s="90"/>
      <c r="M112" s="23"/>
      <c r="N112" s="23"/>
    </row>
    <row r="113" spans="1:14" ht="14.45">
      <c r="A113" s="23"/>
      <c r="B113" s="35"/>
      <c r="C113" s="23"/>
      <c r="D113" s="23"/>
      <c r="E113" s="23"/>
      <c r="F113" s="23"/>
      <c r="G113" s="23"/>
      <c r="H113" s="24"/>
      <c r="I113" s="23"/>
      <c r="J113" s="23"/>
      <c r="K113" s="24"/>
      <c r="L113" s="90"/>
      <c r="M113" s="23"/>
      <c r="N113" s="23"/>
    </row>
    <row r="114" spans="1:14" ht="14.45">
      <c r="A114" s="23"/>
      <c r="B114" s="35"/>
      <c r="C114" s="23"/>
      <c r="D114" s="23"/>
      <c r="E114" s="23"/>
      <c r="F114" s="23"/>
      <c r="G114" s="23"/>
      <c r="H114" s="24"/>
      <c r="I114" s="23"/>
      <c r="J114" s="23"/>
      <c r="K114" s="24"/>
      <c r="L114" s="90"/>
      <c r="M114" s="23"/>
      <c r="N114" s="23"/>
    </row>
    <row r="115" spans="1:14" ht="14.45">
      <c r="A115" s="23"/>
      <c r="B115" s="35"/>
      <c r="C115" s="23"/>
      <c r="D115" s="23"/>
      <c r="E115" s="23"/>
      <c r="F115" s="23"/>
      <c r="G115" s="23"/>
      <c r="H115" s="24"/>
      <c r="I115" s="23"/>
      <c r="J115" s="23"/>
      <c r="K115" s="24"/>
      <c r="L115" s="90"/>
      <c r="M115" s="23"/>
      <c r="N115" s="23"/>
    </row>
    <row r="116" spans="1:14" ht="14.45">
      <c r="A116" s="23"/>
      <c r="B116" s="35"/>
      <c r="C116" s="23"/>
      <c r="D116" s="23"/>
      <c r="E116" s="23"/>
      <c r="F116" s="23"/>
      <c r="G116" s="23"/>
      <c r="H116" s="24"/>
      <c r="I116" s="23"/>
      <c r="J116" s="23"/>
      <c r="K116" s="24"/>
      <c r="L116" s="90"/>
      <c r="M116" s="23"/>
      <c r="N116" s="23"/>
    </row>
    <row r="117" spans="1:14" ht="14.45">
      <c r="A117" s="23"/>
      <c r="B117" s="35"/>
      <c r="C117" s="23"/>
      <c r="D117" s="23"/>
      <c r="E117" s="23"/>
      <c r="F117" s="23"/>
      <c r="G117" s="23"/>
      <c r="H117" s="24"/>
      <c r="I117" s="23"/>
      <c r="J117" s="23"/>
      <c r="K117" s="24"/>
      <c r="L117" s="90"/>
      <c r="M117" s="23"/>
      <c r="N117" s="23"/>
    </row>
    <row r="118" spans="1:14" ht="14.45">
      <c r="A118" s="23"/>
      <c r="B118" s="35"/>
      <c r="C118" s="23"/>
      <c r="D118" s="23"/>
      <c r="E118" s="23"/>
      <c r="F118" s="23"/>
      <c r="G118" s="23"/>
      <c r="H118" s="24"/>
      <c r="I118" s="23"/>
      <c r="J118" s="23"/>
      <c r="K118" s="24"/>
      <c r="L118" s="90"/>
      <c r="M118" s="23"/>
      <c r="N118" s="23"/>
    </row>
    <row r="119" spans="1:14" ht="14.45">
      <c r="A119" s="23"/>
      <c r="B119" s="35"/>
      <c r="C119" s="23"/>
      <c r="D119" s="23"/>
      <c r="E119" s="23"/>
      <c r="F119" s="23"/>
      <c r="G119" s="23"/>
      <c r="H119" s="24"/>
      <c r="I119" s="23"/>
      <c r="J119" s="23"/>
      <c r="K119" s="24"/>
      <c r="L119" s="90"/>
      <c r="M119" s="23"/>
      <c r="N119" s="23"/>
    </row>
    <row r="120" spans="1:14" ht="14.45">
      <c r="A120" s="23"/>
      <c r="B120" s="35"/>
      <c r="C120" s="23"/>
      <c r="D120" s="23"/>
      <c r="E120" s="23"/>
      <c r="F120" s="23"/>
      <c r="G120" s="23"/>
      <c r="H120" s="24"/>
      <c r="I120" s="23"/>
      <c r="J120" s="23"/>
      <c r="K120" s="24"/>
      <c r="L120" s="90"/>
      <c r="M120" s="23"/>
      <c r="N120" s="23"/>
    </row>
    <row r="121" spans="1:14" ht="14.45">
      <c r="A121" s="23"/>
      <c r="B121" s="35"/>
      <c r="C121" s="23"/>
      <c r="D121" s="23"/>
      <c r="E121" s="23"/>
      <c r="F121" s="23"/>
      <c r="G121" s="23"/>
      <c r="H121" s="24"/>
      <c r="I121" s="23"/>
      <c r="J121" s="23"/>
      <c r="K121" s="24"/>
      <c r="L121" s="90"/>
      <c r="M121" s="23"/>
      <c r="N121" s="23"/>
    </row>
    <row r="122" spans="1:14" ht="14.45">
      <c r="A122" s="23"/>
      <c r="B122" s="35"/>
      <c r="C122" s="23"/>
      <c r="D122" s="23"/>
      <c r="E122" s="23"/>
      <c r="F122" s="23"/>
      <c r="G122" s="23"/>
      <c r="H122" s="24"/>
      <c r="I122" s="23"/>
      <c r="J122" s="23"/>
      <c r="K122" s="24"/>
      <c r="L122" s="90"/>
      <c r="M122" s="23"/>
      <c r="N122" s="23"/>
    </row>
    <row r="123" spans="1:14" ht="14.45">
      <c r="A123" s="23"/>
      <c r="B123" s="35"/>
      <c r="C123" s="23"/>
      <c r="D123" s="23"/>
      <c r="E123" s="23"/>
      <c r="F123" s="23"/>
      <c r="G123" s="23"/>
      <c r="H123" s="24"/>
      <c r="I123" s="23"/>
      <c r="J123" s="23"/>
      <c r="K123" s="24"/>
      <c r="L123" s="90"/>
      <c r="M123" s="23"/>
      <c r="N123" s="23"/>
    </row>
    <row r="124" spans="1:14" ht="14.45">
      <c r="A124" s="23"/>
      <c r="B124" s="35"/>
      <c r="C124" s="23"/>
      <c r="D124" s="23"/>
      <c r="E124" s="23"/>
      <c r="F124" s="23"/>
      <c r="G124" s="23"/>
      <c r="H124" s="24"/>
      <c r="I124" s="23"/>
      <c r="J124" s="23"/>
      <c r="K124" s="24"/>
      <c r="L124" s="90"/>
      <c r="M124" s="23"/>
      <c r="N124" s="23"/>
    </row>
    <row r="125" spans="1:14" ht="14.45">
      <c r="A125" s="23"/>
      <c r="B125" s="35"/>
      <c r="C125" s="23"/>
      <c r="D125" s="23"/>
      <c r="E125" s="23"/>
      <c r="F125" s="23"/>
      <c r="G125" s="23"/>
      <c r="H125" s="24"/>
      <c r="I125" s="23"/>
      <c r="J125" s="23"/>
      <c r="K125" s="24"/>
      <c r="L125" s="90"/>
      <c r="M125" s="23"/>
      <c r="N125" s="23"/>
    </row>
    <row r="126" spans="1:14" ht="14.45">
      <c r="A126" s="23"/>
      <c r="B126" s="35"/>
      <c r="C126" s="23"/>
      <c r="D126" s="23"/>
      <c r="E126" s="23"/>
      <c r="F126" s="23"/>
      <c r="G126" s="23"/>
      <c r="H126" s="24"/>
      <c r="I126" s="23"/>
      <c r="J126" s="23"/>
      <c r="K126" s="24"/>
      <c r="L126" s="90"/>
      <c r="M126" s="23"/>
      <c r="N126" s="23"/>
    </row>
    <row r="127" spans="1:14" ht="14.45">
      <c r="A127" s="23"/>
      <c r="B127" s="35"/>
      <c r="C127" s="23"/>
      <c r="D127" s="23"/>
      <c r="E127" s="23"/>
      <c r="F127" s="23"/>
      <c r="G127" s="23"/>
      <c r="H127" s="24"/>
      <c r="I127" s="23"/>
      <c r="J127" s="23"/>
      <c r="K127" s="24"/>
      <c r="L127" s="90"/>
      <c r="M127" s="23"/>
      <c r="N127" s="23"/>
    </row>
    <row r="128" spans="1:14" ht="14.45">
      <c r="A128" s="23"/>
      <c r="B128" s="35"/>
      <c r="C128" s="23"/>
      <c r="D128" s="23"/>
      <c r="E128" s="23"/>
      <c r="F128" s="23"/>
      <c r="G128" s="23"/>
      <c r="H128" s="24"/>
      <c r="I128" s="23"/>
      <c r="J128" s="23"/>
      <c r="K128" s="24"/>
      <c r="L128" s="90"/>
      <c r="M128" s="23"/>
      <c r="N128" s="23"/>
    </row>
    <row r="129" spans="1:14" ht="14.45">
      <c r="A129" s="23"/>
      <c r="B129" s="35"/>
      <c r="C129" s="23"/>
      <c r="D129" s="23"/>
      <c r="E129" s="23"/>
      <c r="F129" s="23"/>
      <c r="G129" s="23"/>
      <c r="H129" s="24"/>
      <c r="I129" s="23"/>
      <c r="J129" s="23"/>
      <c r="K129" s="24"/>
      <c r="L129" s="90"/>
      <c r="M129" s="23"/>
      <c r="N129" s="23"/>
    </row>
    <row r="130" spans="1:14" ht="14.45">
      <c r="A130" s="23"/>
      <c r="B130" s="35"/>
      <c r="C130" s="23"/>
      <c r="D130" s="23"/>
      <c r="E130" s="23"/>
      <c r="F130" s="23"/>
      <c r="G130" s="23"/>
      <c r="H130" s="24"/>
      <c r="I130" s="23"/>
      <c r="J130" s="23"/>
      <c r="K130" s="24"/>
      <c r="L130" s="90"/>
      <c r="M130" s="23"/>
      <c r="N130" s="23"/>
    </row>
    <row r="131" spans="1:14" ht="14.45">
      <c r="A131" s="23"/>
      <c r="B131" s="35"/>
      <c r="C131" s="23"/>
      <c r="D131" s="23"/>
      <c r="E131" s="23"/>
      <c r="F131" s="23"/>
      <c r="G131" s="23"/>
      <c r="H131" s="24"/>
      <c r="I131" s="23"/>
      <c r="J131" s="23"/>
      <c r="K131" s="24"/>
      <c r="L131" s="90"/>
      <c r="M131" s="23"/>
      <c r="N131" s="23"/>
    </row>
    <row r="132" spans="1:14" ht="14.45">
      <c r="A132" s="23"/>
      <c r="B132" s="35"/>
      <c r="C132" s="23"/>
      <c r="D132" s="23"/>
      <c r="E132" s="23"/>
      <c r="F132" s="23"/>
      <c r="G132" s="23"/>
      <c r="H132" s="24"/>
      <c r="I132" s="23"/>
      <c r="J132" s="23"/>
      <c r="K132" s="24"/>
      <c r="L132" s="90"/>
      <c r="M132" s="23"/>
      <c r="N132" s="23"/>
    </row>
    <row r="133" spans="1:14" ht="14.45">
      <c r="A133" s="23"/>
      <c r="B133" s="35"/>
      <c r="C133" s="23"/>
      <c r="D133" s="23"/>
      <c r="E133" s="23"/>
      <c r="F133" s="23"/>
      <c r="G133" s="23"/>
      <c r="H133" s="24"/>
      <c r="I133" s="23"/>
      <c r="J133" s="23"/>
      <c r="K133" s="24"/>
      <c r="L133" s="90"/>
      <c r="M133" s="23"/>
      <c r="N133" s="23"/>
    </row>
    <row r="134" spans="1:14" ht="14.45">
      <c r="A134" s="23"/>
      <c r="B134" s="35"/>
      <c r="C134" s="23"/>
      <c r="D134" s="23"/>
      <c r="E134" s="23"/>
      <c r="F134" s="23"/>
      <c r="G134" s="23"/>
      <c r="H134" s="24"/>
      <c r="I134" s="23"/>
      <c r="J134" s="23"/>
      <c r="K134" s="24"/>
      <c r="L134" s="90"/>
      <c r="M134" s="23"/>
      <c r="N134" s="23"/>
    </row>
    <row r="135" spans="1:14" ht="14.45">
      <c r="A135" s="23"/>
      <c r="B135" s="35"/>
      <c r="C135" s="23"/>
      <c r="D135" s="23"/>
      <c r="E135" s="23"/>
      <c r="F135" s="23"/>
      <c r="G135" s="23"/>
      <c r="H135" s="24"/>
      <c r="I135" s="23"/>
      <c r="J135" s="23"/>
      <c r="K135" s="24"/>
      <c r="L135" s="90"/>
      <c r="M135" s="23"/>
      <c r="N135" s="23"/>
    </row>
    <row r="136" spans="1:14" ht="14.45">
      <c r="A136" s="23"/>
      <c r="B136" s="35"/>
      <c r="C136" s="23"/>
      <c r="D136" s="23"/>
      <c r="E136" s="23"/>
      <c r="F136" s="23"/>
      <c r="G136" s="23"/>
      <c r="H136" s="24"/>
      <c r="I136" s="23"/>
      <c r="J136" s="23"/>
      <c r="K136" s="24"/>
      <c r="L136" s="90"/>
      <c r="M136" s="23"/>
      <c r="N136" s="23"/>
    </row>
    <row r="137" spans="1:14" ht="14.45">
      <c r="A137" s="23"/>
      <c r="B137" s="35"/>
      <c r="C137" s="23"/>
      <c r="D137" s="23"/>
      <c r="E137" s="23"/>
      <c r="F137" s="23"/>
      <c r="G137" s="23"/>
      <c r="H137" s="24"/>
      <c r="I137" s="23"/>
      <c r="J137" s="23"/>
      <c r="K137" s="24"/>
      <c r="L137" s="90"/>
      <c r="M137" s="23"/>
      <c r="N137" s="23"/>
    </row>
    <row r="138" spans="1:14" ht="14.45">
      <c r="A138" s="23"/>
      <c r="B138" s="35"/>
      <c r="C138" s="23"/>
      <c r="D138" s="23"/>
      <c r="E138" s="23"/>
      <c r="F138" s="23"/>
      <c r="G138" s="23"/>
      <c r="H138" s="24"/>
      <c r="I138" s="23"/>
      <c r="J138" s="23"/>
      <c r="K138" s="24"/>
      <c r="L138" s="90"/>
      <c r="M138" s="23"/>
      <c r="N138" s="23"/>
    </row>
    <row r="139" spans="1:14" ht="14.45">
      <c r="A139" s="23"/>
      <c r="B139" s="35"/>
      <c r="C139" s="23"/>
      <c r="D139" s="23"/>
      <c r="E139" s="23"/>
      <c r="F139" s="23"/>
      <c r="G139" s="23"/>
      <c r="H139" s="24"/>
      <c r="I139" s="23"/>
      <c r="J139" s="23"/>
      <c r="K139" s="24"/>
      <c r="L139" s="90"/>
      <c r="M139" s="23"/>
      <c r="N139" s="23"/>
    </row>
    <row r="140" spans="1:14" ht="14.45">
      <c r="A140" s="23"/>
      <c r="B140" s="35"/>
      <c r="C140" s="23"/>
      <c r="D140" s="23"/>
      <c r="E140" s="23"/>
      <c r="F140" s="23"/>
      <c r="G140" s="23"/>
      <c r="H140" s="24"/>
      <c r="I140" s="23"/>
      <c r="J140" s="23"/>
      <c r="K140" s="24"/>
      <c r="L140" s="90"/>
      <c r="M140" s="23"/>
      <c r="N140" s="23"/>
    </row>
    <row r="141" spans="1:14" ht="14.45">
      <c r="A141" s="23"/>
      <c r="B141" s="35"/>
      <c r="C141" s="23"/>
      <c r="D141" s="23"/>
      <c r="E141" s="23"/>
      <c r="F141" s="23"/>
      <c r="G141" s="23"/>
      <c r="H141" s="24"/>
      <c r="I141" s="23"/>
      <c r="J141" s="23"/>
      <c r="K141" s="24"/>
      <c r="L141" s="90"/>
      <c r="M141" s="23"/>
      <c r="N141" s="23"/>
    </row>
    <row r="142" spans="1:14" ht="14.45">
      <c r="A142" s="23"/>
      <c r="B142" s="35"/>
      <c r="C142" s="23"/>
      <c r="D142" s="23"/>
      <c r="E142" s="23"/>
      <c r="F142" s="23"/>
      <c r="G142" s="23"/>
      <c r="H142" s="24"/>
      <c r="I142" s="23"/>
      <c r="J142" s="23"/>
      <c r="K142" s="24"/>
      <c r="L142" s="90"/>
      <c r="M142" s="23"/>
      <c r="N142" s="23"/>
    </row>
    <row r="143" spans="1:14" ht="14.45">
      <c r="A143" s="23"/>
      <c r="B143" s="35"/>
      <c r="C143" s="23"/>
      <c r="D143" s="23"/>
      <c r="E143" s="23"/>
      <c r="F143" s="23"/>
      <c r="G143" s="23"/>
      <c r="H143" s="24"/>
      <c r="I143" s="23"/>
      <c r="J143" s="23"/>
      <c r="K143" s="24"/>
      <c r="L143" s="90"/>
      <c r="M143" s="23"/>
      <c r="N143" s="23"/>
    </row>
    <row r="144" spans="1:14" ht="14.45">
      <c r="A144" s="23"/>
      <c r="B144" s="35"/>
      <c r="C144" s="23"/>
      <c r="D144" s="23"/>
      <c r="E144" s="23"/>
      <c r="F144" s="23"/>
      <c r="G144" s="23"/>
      <c r="H144" s="24"/>
      <c r="I144" s="23"/>
      <c r="J144" s="23"/>
      <c r="K144" s="24"/>
      <c r="L144" s="90"/>
      <c r="M144" s="23"/>
      <c r="N144" s="23"/>
    </row>
    <row r="145" spans="1:14" ht="14.45">
      <c r="A145" s="23"/>
      <c r="B145" s="35"/>
      <c r="C145" s="23"/>
      <c r="D145" s="23"/>
      <c r="E145" s="23"/>
      <c r="F145" s="23"/>
      <c r="G145" s="23"/>
      <c r="H145" s="24"/>
      <c r="I145" s="23"/>
      <c r="J145" s="23"/>
      <c r="K145" s="24"/>
      <c r="L145" s="90"/>
      <c r="M145" s="23"/>
      <c r="N145" s="23"/>
    </row>
    <row r="146" spans="1:14" ht="14.45">
      <c r="A146" s="23"/>
      <c r="B146" s="35"/>
      <c r="C146" s="23"/>
      <c r="D146" s="23"/>
      <c r="E146" s="23"/>
      <c r="F146" s="23"/>
      <c r="G146" s="23"/>
      <c r="H146" s="24"/>
      <c r="I146" s="23"/>
      <c r="J146" s="23"/>
      <c r="K146" s="24"/>
      <c r="L146" s="90"/>
      <c r="M146" s="23"/>
      <c r="N146" s="23"/>
    </row>
    <row r="147" spans="1:14" ht="14.45">
      <c r="A147" s="23"/>
      <c r="B147" s="35"/>
      <c r="C147" s="23"/>
      <c r="D147" s="23"/>
      <c r="E147" s="23"/>
      <c r="F147" s="23"/>
      <c r="G147" s="23"/>
      <c r="H147" s="24"/>
      <c r="I147" s="23"/>
      <c r="J147" s="23"/>
      <c r="K147" s="24"/>
      <c r="L147" s="90"/>
      <c r="M147" s="23"/>
      <c r="N147" s="23"/>
    </row>
    <row r="148" spans="1:14" ht="14.45">
      <c r="A148" s="23"/>
      <c r="B148" s="35"/>
      <c r="C148" s="23"/>
      <c r="D148" s="23"/>
      <c r="E148" s="23"/>
      <c r="F148" s="23"/>
      <c r="G148" s="23"/>
      <c r="H148" s="24"/>
      <c r="I148" s="23"/>
      <c r="J148" s="23"/>
      <c r="K148" s="24"/>
      <c r="L148" s="90"/>
      <c r="M148" s="23"/>
      <c r="N148" s="23"/>
    </row>
    <row r="149" spans="1:14" ht="14.45">
      <c r="A149" s="23"/>
      <c r="B149" s="35"/>
      <c r="C149" s="23"/>
      <c r="D149" s="23"/>
      <c r="E149" s="23"/>
      <c r="F149" s="23"/>
      <c r="G149" s="23"/>
      <c r="H149" s="24"/>
      <c r="I149" s="23"/>
      <c r="J149" s="23"/>
      <c r="K149" s="24"/>
      <c r="L149" s="90"/>
      <c r="M149" s="23"/>
      <c r="N149" s="23"/>
    </row>
    <row r="150" spans="1:14" ht="14.45">
      <c r="A150" s="23"/>
      <c r="B150" s="35"/>
      <c r="C150" s="23"/>
      <c r="D150" s="23"/>
      <c r="E150" s="23"/>
      <c r="F150" s="23"/>
      <c r="G150" s="23"/>
      <c r="H150" s="24"/>
      <c r="I150" s="23"/>
      <c r="J150" s="23"/>
      <c r="K150" s="24"/>
      <c r="L150" s="90"/>
      <c r="M150" s="23"/>
      <c r="N150" s="23"/>
    </row>
    <row r="151" spans="1:14" ht="14.45">
      <c r="A151" s="23"/>
      <c r="B151" s="35"/>
      <c r="C151" s="23"/>
      <c r="D151" s="23"/>
      <c r="E151" s="23"/>
      <c r="F151" s="23"/>
      <c r="G151" s="23"/>
      <c r="H151" s="24"/>
      <c r="I151" s="23"/>
      <c r="J151" s="23"/>
      <c r="K151" s="24"/>
      <c r="L151" s="90"/>
      <c r="M151" s="23"/>
      <c r="N151" s="23"/>
    </row>
    <row r="152" spans="1:14" ht="14.45">
      <c r="A152" s="23"/>
      <c r="B152" s="35"/>
      <c r="C152" s="23"/>
      <c r="D152" s="23"/>
      <c r="E152" s="23"/>
      <c r="F152" s="23"/>
      <c r="G152" s="23"/>
      <c r="H152" s="24"/>
      <c r="I152" s="23"/>
      <c r="J152" s="23"/>
      <c r="K152" s="24"/>
      <c r="L152" s="90"/>
      <c r="M152" s="23"/>
      <c r="N152" s="23"/>
    </row>
    <row r="153" spans="1:14" ht="14.45">
      <c r="A153" s="23"/>
      <c r="B153" s="35"/>
      <c r="C153" s="23"/>
      <c r="D153" s="23"/>
      <c r="E153" s="23"/>
      <c r="F153" s="23"/>
      <c r="G153" s="23"/>
      <c r="H153" s="24"/>
      <c r="I153" s="23"/>
      <c r="J153" s="23"/>
      <c r="K153" s="24"/>
      <c r="L153" s="90"/>
      <c r="M153" s="23"/>
      <c r="N153" s="23"/>
    </row>
    <row r="154" spans="1:14" ht="14.45">
      <c r="A154" s="23"/>
      <c r="B154" s="35"/>
      <c r="C154" s="23"/>
      <c r="D154" s="23"/>
      <c r="E154" s="23"/>
      <c r="F154" s="23"/>
      <c r="G154" s="23"/>
      <c r="H154" s="24"/>
      <c r="I154" s="23"/>
      <c r="J154" s="23"/>
      <c r="K154" s="24"/>
      <c r="L154" s="90"/>
      <c r="M154" s="23"/>
      <c r="N154" s="23"/>
    </row>
    <row r="155" spans="1:14" ht="14.45">
      <c r="A155" s="23"/>
      <c r="B155" s="35"/>
      <c r="C155" s="23"/>
      <c r="D155" s="23"/>
      <c r="E155" s="23"/>
      <c r="F155" s="23"/>
      <c r="G155" s="23"/>
      <c r="H155" s="24"/>
      <c r="I155" s="23"/>
      <c r="J155" s="23"/>
      <c r="K155" s="24"/>
      <c r="L155" s="90"/>
      <c r="M155" s="23"/>
      <c r="N155" s="23"/>
    </row>
    <row r="156" spans="1:14" ht="14.45">
      <c r="A156" s="23"/>
      <c r="B156" s="35"/>
      <c r="C156" s="23"/>
      <c r="D156" s="23"/>
      <c r="E156" s="23"/>
      <c r="F156" s="23"/>
      <c r="G156" s="23"/>
      <c r="H156" s="24"/>
      <c r="I156" s="23"/>
      <c r="J156" s="23"/>
      <c r="K156" s="24"/>
      <c r="L156" s="90"/>
      <c r="M156" s="23"/>
      <c r="N156" s="23"/>
    </row>
    <row r="157" spans="1:14" ht="14.45">
      <c r="A157" s="23"/>
      <c r="B157" s="35"/>
      <c r="C157" s="23"/>
      <c r="D157" s="23"/>
      <c r="E157" s="23"/>
      <c r="F157" s="23"/>
      <c r="G157" s="23"/>
      <c r="H157" s="24"/>
      <c r="I157" s="23"/>
      <c r="J157" s="23"/>
      <c r="K157" s="24"/>
      <c r="L157" s="90"/>
      <c r="M157" s="23"/>
      <c r="N157" s="23"/>
    </row>
    <row r="158" spans="1:14" ht="14.45">
      <c r="A158" s="23"/>
      <c r="B158" s="35"/>
      <c r="C158" s="23"/>
      <c r="D158" s="23"/>
      <c r="E158" s="23"/>
      <c r="F158" s="23"/>
      <c r="G158" s="23"/>
      <c r="H158" s="24"/>
      <c r="I158" s="23"/>
      <c r="J158" s="23"/>
      <c r="K158" s="24"/>
      <c r="L158" s="90"/>
      <c r="M158" s="23"/>
      <c r="N158" s="23"/>
    </row>
    <row r="159" spans="1:14" ht="14.45">
      <c r="A159" s="23"/>
      <c r="B159" s="35"/>
      <c r="C159" s="23"/>
      <c r="D159" s="23"/>
      <c r="E159" s="23"/>
      <c r="F159" s="23"/>
      <c r="G159" s="23"/>
      <c r="H159" s="24"/>
      <c r="I159" s="23"/>
      <c r="J159" s="23"/>
      <c r="K159" s="24"/>
      <c r="L159" s="90"/>
      <c r="M159" s="23"/>
      <c r="N159" s="23"/>
    </row>
    <row r="160" spans="1:14" ht="14.45">
      <c r="A160" s="23"/>
      <c r="B160" s="35"/>
      <c r="C160" s="23"/>
      <c r="D160" s="23"/>
      <c r="E160" s="23"/>
      <c r="F160" s="23"/>
      <c r="G160" s="23"/>
      <c r="H160" s="24"/>
      <c r="I160" s="23"/>
      <c r="J160" s="23"/>
      <c r="K160" s="24"/>
      <c r="L160" s="90"/>
      <c r="M160" s="23"/>
      <c r="N160" s="23"/>
    </row>
    <row r="161" spans="1:14" ht="14.45">
      <c r="A161" s="23"/>
      <c r="B161" s="35"/>
      <c r="C161" s="23"/>
      <c r="D161" s="23"/>
      <c r="E161" s="23"/>
      <c r="F161" s="23"/>
      <c r="G161" s="23"/>
      <c r="H161" s="24"/>
      <c r="I161" s="23"/>
      <c r="J161" s="23"/>
      <c r="K161" s="24"/>
      <c r="L161" s="90"/>
      <c r="M161" s="23"/>
      <c r="N161" s="23"/>
    </row>
    <row r="162" spans="1:14" ht="14.45">
      <c r="A162" s="23"/>
      <c r="B162" s="35"/>
      <c r="C162" s="23"/>
      <c r="D162" s="23"/>
      <c r="E162" s="23"/>
      <c r="F162" s="23"/>
      <c r="G162" s="23"/>
      <c r="H162" s="24"/>
      <c r="I162" s="23"/>
      <c r="J162" s="23"/>
      <c r="K162" s="24"/>
      <c r="L162" s="90"/>
      <c r="M162" s="23"/>
      <c r="N162" s="23"/>
    </row>
    <row r="163" spans="1:14" ht="14.45">
      <c r="A163" s="23"/>
      <c r="B163" s="35"/>
      <c r="C163" s="23"/>
      <c r="D163" s="23"/>
      <c r="E163" s="23"/>
      <c r="F163" s="23"/>
      <c r="G163" s="23"/>
      <c r="H163" s="24"/>
      <c r="I163" s="23"/>
      <c r="J163" s="23"/>
      <c r="K163" s="24"/>
      <c r="L163" s="90"/>
      <c r="M163" s="23"/>
      <c r="N163" s="23"/>
    </row>
    <row r="164" spans="1:14" ht="14.45">
      <c r="A164" s="23"/>
      <c r="B164" s="35"/>
      <c r="C164" s="23"/>
      <c r="D164" s="23"/>
      <c r="E164" s="23"/>
      <c r="F164" s="23"/>
      <c r="G164" s="23"/>
      <c r="H164" s="24"/>
      <c r="I164" s="23"/>
      <c r="J164" s="23"/>
      <c r="K164" s="24"/>
      <c r="L164" s="90"/>
      <c r="M164" s="23"/>
      <c r="N164" s="23"/>
    </row>
    <row r="165" spans="1:14" ht="14.45">
      <c r="A165" s="23"/>
      <c r="B165" s="35"/>
      <c r="C165" s="23"/>
      <c r="D165" s="23"/>
      <c r="E165" s="23"/>
      <c r="F165" s="23"/>
      <c r="G165" s="23"/>
      <c r="H165" s="24"/>
      <c r="I165" s="23"/>
      <c r="J165" s="23"/>
      <c r="K165" s="24"/>
      <c r="L165" s="90"/>
      <c r="M165" s="23"/>
      <c r="N165" s="23"/>
    </row>
    <row r="166" spans="1:14" ht="14.45">
      <c r="A166" s="23"/>
      <c r="B166" s="35"/>
      <c r="C166" s="23"/>
      <c r="D166" s="23"/>
      <c r="E166" s="23"/>
      <c r="F166" s="23"/>
      <c r="G166" s="23"/>
      <c r="H166" s="24"/>
      <c r="I166" s="23"/>
      <c r="J166" s="23"/>
      <c r="K166" s="24"/>
      <c r="L166" s="90"/>
      <c r="M166" s="23"/>
      <c r="N166" s="23"/>
    </row>
    <row r="167" spans="1:14" ht="14.45">
      <c r="A167" s="23"/>
      <c r="B167" s="35"/>
      <c r="C167" s="23"/>
      <c r="D167" s="23"/>
      <c r="E167" s="23"/>
      <c r="F167" s="23"/>
      <c r="G167" s="23"/>
      <c r="H167" s="24"/>
      <c r="I167" s="23"/>
      <c r="J167" s="23"/>
      <c r="K167" s="24"/>
      <c r="L167" s="90"/>
      <c r="M167" s="23"/>
      <c r="N167" s="23"/>
    </row>
    <row r="168" spans="1:14" ht="14.45">
      <c r="A168" s="23"/>
      <c r="B168" s="35"/>
      <c r="C168" s="23"/>
      <c r="D168" s="23"/>
      <c r="E168" s="23"/>
      <c r="F168" s="23"/>
      <c r="G168" s="23"/>
      <c r="H168" s="24"/>
      <c r="I168" s="23"/>
      <c r="J168" s="23"/>
      <c r="K168" s="24"/>
      <c r="L168" s="90"/>
      <c r="M168" s="23"/>
      <c r="N168" s="23"/>
    </row>
    <row r="169" spans="1:14" ht="14.45">
      <c r="A169" s="23"/>
      <c r="B169" s="35"/>
      <c r="C169" s="23"/>
      <c r="D169" s="23"/>
      <c r="E169" s="23"/>
      <c r="F169" s="23"/>
      <c r="G169" s="23"/>
      <c r="H169" s="24"/>
      <c r="I169" s="23"/>
      <c r="J169" s="23"/>
      <c r="K169" s="24"/>
      <c r="L169" s="90"/>
      <c r="M169" s="23"/>
      <c r="N169" s="23"/>
    </row>
    <row r="170" spans="1:14" ht="14.45">
      <c r="A170" s="23"/>
      <c r="B170" s="35"/>
      <c r="C170" s="23"/>
      <c r="D170" s="23"/>
      <c r="E170" s="23"/>
      <c r="F170" s="23"/>
      <c r="G170" s="23"/>
      <c r="H170" s="24"/>
      <c r="I170" s="23"/>
      <c r="J170" s="23"/>
      <c r="K170" s="24"/>
      <c r="L170" s="90"/>
      <c r="M170" s="23"/>
      <c r="N170" s="23"/>
    </row>
    <row r="171" spans="1:14" ht="14.45">
      <c r="A171" s="23"/>
      <c r="B171" s="35"/>
      <c r="C171" s="23"/>
      <c r="D171" s="23"/>
      <c r="E171" s="23"/>
      <c r="F171" s="23"/>
      <c r="G171" s="23"/>
      <c r="H171" s="24"/>
      <c r="I171" s="23"/>
      <c r="J171" s="23"/>
      <c r="K171" s="24"/>
      <c r="L171" s="90"/>
      <c r="M171" s="23"/>
      <c r="N171" s="23"/>
    </row>
    <row r="172" spans="1:14" ht="14.45">
      <c r="A172" s="23"/>
      <c r="B172" s="35"/>
      <c r="C172" s="23"/>
      <c r="D172" s="23"/>
      <c r="E172" s="23"/>
      <c r="F172" s="23"/>
      <c r="G172" s="23"/>
      <c r="H172" s="24"/>
      <c r="I172" s="23"/>
      <c r="J172" s="23"/>
      <c r="K172" s="24"/>
      <c r="L172" s="90"/>
      <c r="M172" s="23"/>
      <c r="N172" s="23"/>
    </row>
    <row r="173" spans="1:14" ht="14.45">
      <c r="A173" s="23"/>
      <c r="B173" s="35"/>
      <c r="C173" s="23"/>
      <c r="D173" s="23"/>
      <c r="E173" s="23"/>
      <c r="F173" s="23"/>
      <c r="G173" s="23"/>
      <c r="H173" s="24"/>
      <c r="I173" s="23"/>
      <c r="J173" s="23"/>
      <c r="K173" s="24"/>
      <c r="L173" s="90"/>
      <c r="M173" s="23"/>
      <c r="N173" s="23"/>
    </row>
    <row r="174" spans="1:14" ht="14.45">
      <c r="A174" s="23"/>
      <c r="B174" s="35"/>
      <c r="C174" s="23"/>
      <c r="D174" s="23"/>
      <c r="E174" s="23"/>
      <c r="F174" s="23"/>
      <c r="G174" s="23"/>
      <c r="H174" s="24"/>
      <c r="I174" s="23"/>
      <c r="J174" s="23"/>
      <c r="K174" s="24"/>
      <c r="L174" s="90"/>
      <c r="M174" s="23"/>
      <c r="N174" s="23"/>
    </row>
    <row r="175" spans="1:14" ht="14.45">
      <c r="A175" s="23"/>
      <c r="B175" s="35"/>
      <c r="C175" s="23"/>
      <c r="D175" s="23"/>
      <c r="E175" s="23"/>
      <c r="F175" s="23"/>
      <c r="G175" s="23"/>
      <c r="H175" s="24"/>
      <c r="I175" s="23"/>
      <c r="J175" s="23"/>
      <c r="K175" s="24"/>
      <c r="L175" s="90"/>
      <c r="M175" s="23"/>
      <c r="N175" s="23"/>
    </row>
    <row r="176" spans="1:14" ht="14.45">
      <c r="A176" s="23"/>
      <c r="B176" s="35"/>
      <c r="C176" s="23"/>
      <c r="D176" s="23"/>
      <c r="E176" s="23"/>
      <c r="F176" s="23"/>
      <c r="G176" s="23"/>
      <c r="H176" s="24"/>
      <c r="I176" s="23"/>
      <c r="J176" s="23"/>
      <c r="K176" s="24"/>
      <c r="L176" s="90"/>
      <c r="M176" s="23"/>
      <c r="N176" s="23"/>
    </row>
    <row r="177" spans="1:14" ht="14.45">
      <c r="A177" s="23"/>
      <c r="B177" s="35"/>
      <c r="C177" s="23"/>
      <c r="D177" s="23"/>
      <c r="E177" s="23"/>
      <c r="F177" s="23"/>
      <c r="G177" s="23"/>
      <c r="H177" s="24"/>
      <c r="I177" s="23"/>
      <c r="J177" s="23"/>
      <c r="K177" s="24"/>
      <c r="L177" s="90"/>
      <c r="M177" s="23"/>
      <c r="N177" s="23"/>
    </row>
    <row r="178" spans="1:14" ht="14.45">
      <c r="A178" s="23"/>
      <c r="B178" s="35"/>
      <c r="C178" s="23"/>
      <c r="D178" s="23"/>
      <c r="E178" s="23"/>
      <c r="F178" s="23"/>
      <c r="G178" s="23"/>
      <c r="H178" s="24"/>
      <c r="I178" s="23"/>
      <c r="J178" s="23"/>
      <c r="K178" s="24"/>
      <c r="L178" s="90"/>
      <c r="M178" s="23"/>
      <c r="N178" s="23"/>
    </row>
    <row r="179" spans="1:14" ht="14.45">
      <c r="A179" s="23"/>
      <c r="B179" s="35"/>
      <c r="C179" s="23"/>
      <c r="D179" s="23"/>
      <c r="E179" s="23"/>
      <c r="F179" s="23"/>
      <c r="G179" s="23"/>
      <c r="H179" s="24"/>
      <c r="I179" s="23"/>
      <c r="J179" s="23"/>
      <c r="K179" s="24"/>
      <c r="L179" s="90"/>
      <c r="M179" s="23"/>
      <c r="N179" s="23"/>
    </row>
    <row r="180" spans="1:14" ht="14.45">
      <c r="A180" s="23"/>
      <c r="B180" s="35"/>
      <c r="C180" s="23"/>
      <c r="D180" s="23"/>
      <c r="E180" s="23"/>
      <c r="F180" s="23"/>
      <c r="G180" s="23"/>
      <c r="H180" s="24"/>
      <c r="I180" s="23"/>
      <c r="J180" s="23"/>
      <c r="K180" s="24"/>
      <c r="L180" s="90"/>
      <c r="M180" s="23"/>
      <c r="N180" s="23"/>
    </row>
    <row r="181" spans="1:14" ht="14.45">
      <c r="A181" s="23"/>
      <c r="B181" s="35"/>
      <c r="C181" s="23"/>
      <c r="D181" s="23"/>
      <c r="E181" s="23"/>
      <c r="F181" s="23"/>
      <c r="G181" s="23"/>
      <c r="H181" s="24"/>
      <c r="I181" s="23"/>
      <c r="J181" s="23"/>
      <c r="K181" s="24"/>
      <c r="L181" s="90"/>
      <c r="M181" s="23"/>
      <c r="N181" s="23"/>
    </row>
    <row r="182" spans="1:14" ht="14.45">
      <c r="A182" s="23"/>
      <c r="B182" s="35"/>
      <c r="C182" s="23"/>
      <c r="D182" s="23"/>
      <c r="E182" s="23"/>
      <c r="F182" s="23"/>
      <c r="G182" s="23"/>
      <c r="H182" s="24"/>
      <c r="I182" s="23"/>
      <c r="J182" s="23"/>
      <c r="K182" s="24"/>
      <c r="L182" s="90"/>
      <c r="M182" s="23"/>
      <c r="N182" s="23"/>
    </row>
    <row r="183" spans="1:14" ht="14.45">
      <c r="A183" s="23"/>
      <c r="B183" s="35"/>
      <c r="C183" s="23"/>
      <c r="D183" s="23"/>
      <c r="E183" s="23"/>
      <c r="F183" s="23"/>
      <c r="G183" s="23"/>
      <c r="H183" s="24"/>
      <c r="I183" s="23"/>
      <c r="J183" s="23"/>
      <c r="K183" s="24"/>
      <c r="L183" s="90"/>
      <c r="M183" s="23"/>
      <c r="N183" s="23"/>
    </row>
    <row r="184" spans="1:14" ht="14.45">
      <c r="A184" s="23"/>
      <c r="B184" s="35"/>
      <c r="C184" s="23"/>
      <c r="D184" s="23"/>
      <c r="E184" s="23"/>
      <c r="F184" s="23"/>
      <c r="G184" s="23"/>
      <c r="H184" s="24"/>
      <c r="I184" s="23"/>
      <c r="J184" s="23"/>
      <c r="K184" s="24"/>
      <c r="L184" s="90"/>
      <c r="M184" s="23"/>
      <c r="N184" s="23"/>
    </row>
    <row r="185" spans="1:14" ht="14.45">
      <c r="A185" s="23"/>
      <c r="B185" s="35"/>
      <c r="C185" s="23"/>
      <c r="D185" s="23"/>
      <c r="E185" s="23"/>
      <c r="F185" s="23"/>
      <c r="G185" s="23"/>
      <c r="H185" s="24"/>
      <c r="I185" s="23"/>
      <c r="J185" s="23"/>
      <c r="K185" s="24"/>
      <c r="L185" s="90"/>
      <c r="M185" s="23"/>
      <c r="N185" s="23"/>
    </row>
    <row r="186" spans="1:14" ht="14.45">
      <c r="A186" s="23"/>
      <c r="B186" s="35"/>
      <c r="C186" s="23"/>
      <c r="D186" s="23"/>
      <c r="E186" s="23"/>
      <c r="F186" s="23"/>
      <c r="G186" s="23"/>
      <c r="H186" s="24"/>
      <c r="I186" s="23"/>
      <c r="J186" s="23"/>
      <c r="K186" s="24"/>
      <c r="L186" s="90"/>
      <c r="M186" s="23"/>
      <c r="N186" s="23"/>
    </row>
    <row r="187" spans="1:14" ht="14.45">
      <c r="A187" s="23"/>
      <c r="B187" s="35"/>
      <c r="C187" s="23"/>
      <c r="D187" s="23"/>
      <c r="E187" s="23"/>
      <c r="F187" s="23"/>
      <c r="G187" s="23"/>
      <c r="H187" s="24"/>
      <c r="I187" s="23"/>
      <c r="J187" s="23"/>
      <c r="K187" s="24"/>
      <c r="L187" s="90"/>
      <c r="M187" s="23"/>
      <c r="N187" s="23"/>
    </row>
    <row r="188" spans="1:14" ht="14.45">
      <c r="A188" s="23"/>
      <c r="B188" s="35"/>
      <c r="C188" s="23"/>
      <c r="D188" s="23"/>
      <c r="E188" s="23"/>
      <c r="F188" s="23"/>
      <c r="G188" s="23"/>
      <c r="H188" s="24"/>
      <c r="I188" s="23"/>
      <c r="J188" s="23"/>
      <c r="K188" s="24"/>
      <c r="L188" s="90"/>
      <c r="M188" s="23"/>
      <c r="N188" s="23"/>
    </row>
    <row r="189" spans="1:14" ht="14.45">
      <c r="A189" s="23"/>
      <c r="B189" s="35"/>
      <c r="C189" s="23"/>
      <c r="D189" s="23"/>
      <c r="E189" s="23"/>
      <c r="F189" s="23"/>
      <c r="G189" s="23"/>
      <c r="H189" s="24"/>
      <c r="I189" s="23"/>
      <c r="J189" s="23"/>
      <c r="K189" s="24"/>
      <c r="L189" s="90"/>
      <c r="M189" s="23"/>
      <c r="N189" s="23"/>
    </row>
    <row r="190" spans="1:14" ht="14.45">
      <c r="A190" s="23"/>
      <c r="B190" s="35"/>
      <c r="C190" s="23"/>
      <c r="D190" s="23"/>
      <c r="E190" s="23"/>
      <c r="F190" s="23"/>
      <c r="G190" s="23"/>
      <c r="H190" s="24"/>
      <c r="I190" s="23"/>
      <c r="J190" s="23"/>
      <c r="K190" s="24"/>
      <c r="L190" s="90"/>
      <c r="M190" s="23"/>
      <c r="N190" s="23"/>
    </row>
    <row r="191" spans="1:14" ht="14.45">
      <c r="A191" s="23"/>
      <c r="B191" s="35"/>
      <c r="C191" s="23"/>
      <c r="D191" s="23"/>
      <c r="E191" s="23"/>
      <c r="F191" s="23"/>
      <c r="G191" s="23"/>
      <c r="H191" s="24"/>
      <c r="I191" s="23"/>
      <c r="J191" s="23"/>
      <c r="K191" s="24"/>
      <c r="L191" s="90"/>
      <c r="M191" s="23"/>
      <c r="N191" s="23"/>
    </row>
    <row r="192" spans="1:14" ht="14.45">
      <c r="A192" s="23"/>
      <c r="B192" s="35"/>
      <c r="C192" s="23"/>
      <c r="D192" s="23"/>
      <c r="E192" s="23"/>
      <c r="F192" s="23"/>
      <c r="G192" s="23"/>
      <c r="H192" s="24"/>
      <c r="I192" s="23"/>
      <c r="J192" s="23"/>
      <c r="K192" s="24"/>
      <c r="L192" s="90"/>
      <c r="M192" s="23"/>
      <c r="N192" s="23"/>
    </row>
    <row r="193" spans="1:14" ht="14.45">
      <c r="A193" s="23"/>
      <c r="B193" s="35"/>
      <c r="C193" s="23"/>
      <c r="D193" s="23"/>
      <c r="E193" s="23"/>
      <c r="F193" s="23"/>
      <c r="G193" s="23"/>
      <c r="H193" s="24"/>
      <c r="I193" s="23"/>
      <c r="J193" s="23"/>
      <c r="K193" s="24"/>
      <c r="L193" s="90"/>
      <c r="M193" s="23"/>
      <c r="N193" s="23"/>
    </row>
    <row r="194" spans="1:14" ht="14.45">
      <c r="A194" s="23"/>
      <c r="B194" s="35"/>
      <c r="C194" s="23"/>
      <c r="D194" s="23"/>
      <c r="E194" s="23"/>
      <c r="F194" s="23"/>
      <c r="G194" s="23"/>
      <c r="H194" s="24"/>
      <c r="I194" s="23"/>
      <c r="J194" s="23"/>
      <c r="K194" s="24"/>
      <c r="L194" s="90"/>
      <c r="M194" s="23"/>
      <c r="N194" s="23"/>
    </row>
    <row r="195" spans="1:14" ht="14.45">
      <c r="A195" s="23"/>
      <c r="B195" s="35"/>
      <c r="C195" s="23"/>
      <c r="D195" s="23"/>
      <c r="E195" s="23"/>
      <c r="F195" s="23"/>
      <c r="G195" s="23"/>
      <c r="H195" s="24"/>
      <c r="I195" s="23"/>
      <c r="J195" s="23"/>
      <c r="K195" s="24"/>
      <c r="L195" s="90"/>
      <c r="M195" s="23"/>
      <c r="N195" s="23"/>
    </row>
    <row r="196" spans="1:14" ht="14.45">
      <c r="A196" s="23"/>
      <c r="B196" s="35"/>
      <c r="C196" s="23"/>
      <c r="D196" s="23"/>
      <c r="E196" s="23"/>
      <c r="F196" s="23"/>
      <c r="G196" s="23"/>
      <c r="H196" s="24"/>
      <c r="I196" s="23"/>
      <c r="J196" s="23"/>
      <c r="K196" s="24"/>
      <c r="L196" s="90"/>
      <c r="M196" s="23"/>
      <c r="N196" s="23"/>
    </row>
    <row r="197" spans="1:14" ht="14.45">
      <c r="A197" s="23"/>
      <c r="B197" s="35"/>
      <c r="C197" s="23"/>
      <c r="D197" s="23"/>
      <c r="E197" s="23"/>
      <c r="F197" s="23"/>
      <c r="G197" s="23"/>
      <c r="H197" s="24"/>
      <c r="I197" s="23"/>
      <c r="J197" s="23"/>
      <c r="K197" s="24"/>
      <c r="L197" s="90"/>
      <c r="M197" s="23"/>
      <c r="N197" s="23"/>
    </row>
    <row r="198" spans="1:14" ht="14.45">
      <c r="A198" s="23"/>
      <c r="B198" s="35"/>
      <c r="C198" s="23"/>
      <c r="D198" s="23"/>
      <c r="E198" s="23"/>
      <c r="F198" s="23"/>
      <c r="G198" s="23"/>
      <c r="H198" s="24"/>
      <c r="I198" s="23"/>
      <c r="J198" s="23"/>
      <c r="K198" s="24"/>
      <c r="L198" s="90"/>
      <c r="M198" s="23"/>
      <c r="N198" s="23"/>
    </row>
    <row r="199" spans="1:14" ht="14.45">
      <c r="A199" s="23"/>
      <c r="B199" s="35"/>
      <c r="C199" s="23"/>
      <c r="D199" s="23"/>
      <c r="E199" s="23"/>
      <c r="F199" s="23"/>
      <c r="G199" s="23"/>
      <c r="H199" s="24"/>
      <c r="I199" s="23"/>
      <c r="J199" s="23"/>
      <c r="K199" s="24"/>
      <c r="L199" s="90"/>
      <c r="M199" s="23"/>
      <c r="N199" s="23"/>
    </row>
    <row r="200" spans="1:14" ht="14.45">
      <c r="A200" s="23"/>
      <c r="B200" s="35"/>
      <c r="C200" s="23"/>
      <c r="D200" s="23"/>
      <c r="E200" s="23"/>
      <c r="F200" s="23"/>
      <c r="G200" s="23"/>
      <c r="H200" s="24"/>
      <c r="I200" s="23"/>
      <c r="J200" s="23"/>
      <c r="K200" s="24"/>
      <c r="L200" s="90"/>
      <c r="M200" s="23"/>
      <c r="N200" s="23"/>
    </row>
    <row r="201" spans="1:14" ht="14.45">
      <c r="A201" s="23"/>
      <c r="B201" s="35"/>
      <c r="C201" s="23"/>
      <c r="D201" s="23"/>
      <c r="E201" s="23"/>
      <c r="F201" s="23"/>
      <c r="G201" s="23"/>
      <c r="H201" s="24"/>
      <c r="I201" s="23"/>
      <c r="J201" s="23"/>
      <c r="K201" s="24"/>
      <c r="L201" s="90"/>
      <c r="M201" s="23"/>
      <c r="N201" s="23"/>
    </row>
    <row r="202" spans="1:14" ht="14.45">
      <c r="A202" s="23"/>
      <c r="B202" s="35"/>
      <c r="C202" s="23"/>
      <c r="D202" s="23"/>
      <c r="E202" s="23"/>
      <c r="F202" s="23"/>
      <c r="G202" s="23"/>
      <c r="H202" s="24"/>
      <c r="I202" s="23"/>
      <c r="J202" s="23"/>
      <c r="K202" s="24"/>
      <c r="L202" s="90"/>
      <c r="M202" s="23"/>
      <c r="N202" s="23"/>
    </row>
    <row r="203" spans="1:14" ht="14.45">
      <c r="A203" s="23"/>
      <c r="B203" s="35"/>
      <c r="C203" s="23"/>
      <c r="D203" s="23"/>
      <c r="E203" s="23"/>
      <c r="F203" s="23"/>
      <c r="G203" s="23"/>
      <c r="H203" s="24"/>
      <c r="I203" s="23"/>
      <c r="J203" s="23"/>
      <c r="K203" s="24"/>
      <c r="L203" s="90"/>
      <c r="M203" s="23"/>
      <c r="N203" s="23"/>
    </row>
    <row r="204" spans="1:14" ht="14.45">
      <c r="A204" s="23"/>
      <c r="B204" s="35"/>
      <c r="C204" s="23"/>
      <c r="D204" s="23"/>
      <c r="E204" s="23"/>
      <c r="F204" s="23"/>
      <c r="G204" s="23"/>
      <c r="H204" s="24"/>
      <c r="I204" s="23"/>
      <c r="J204" s="23"/>
      <c r="K204" s="24"/>
      <c r="L204" s="90"/>
      <c r="M204" s="23"/>
      <c r="N204" s="23"/>
    </row>
    <row r="205" spans="1:14" ht="14.45">
      <c r="A205" s="23"/>
      <c r="B205" s="35"/>
      <c r="C205" s="23"/>
      <c r="D205" s="23"/>
      <c r="E205" s="23"/>
      <c r="F205" s="23"/>
      <c r="G205" s="23"/>
      <c r="H205" s="24"/>
      <c r="I205" s="23"/>
      <c r="J205" s="23"/>
      <c r="K205" s="24"/>
      <c r="L205" s="90"/>
      <c r="M205" s="23"/>
      <c r="N205" s="23"/>
    </row>
    <row r="206" spans="1:14" ht="14.45">
      <c r="A206" s="23"/>
      <c r="B206" s="35"/>
      <c r="C206" s="23"/>
      <c r="D206" s="23"/>
      <c r="E206" s="23"/>
      <c r="F206" s="23"/>
      <c r="G206" s="23"/>
      <c r="H206" s="24"/>
      <c r="I206" s="23"/>
      <c r="J206" s="23"/>
      <c r="K206" s="24"/>
      <c r="L206" s="90"/>
      <c r="M206" s="23"/>
      <c r="N206" s="23"/>
    </row>
    <row r="207" spans="1:14" ht="14.45">
      <c r="A207" s="23"/>
      <c r="B207" s="35"/>
      <c r="C207" s="23"/>
      <c r="D207" s="23"/>
      <c r="E207" s="23"/>
      <c r="F207" s="23"/>
      <c r="G207" s="23"/>
      <c r="H207" s="24"/>
      <c r="I207" s="23"/>
      <c r="J207" s="23"/>
      <c r="K207" s="24"/>
      <c r="L207" s="90"/>
      <c r="M207" s="23"/>
      <c r="N207" s="23"/>
    </row>
    <row r="208" spans="1:14" ht="14.45">
      <c r="A208" s="23"/>
      <c r="B208" s="35"/>
      <c r="C208" s="23"/>
      <c r="D208" s="23"/>
      <c r="E208" s="23"/>
      <c r="F208" s="23"/>
      <c r="G208" s="23"/>
      <c r="H208" s="24"/>
      <c r="I208" s="23"/>
      <c r="J208" s="23"/>
      <c r="K208" s="24"/>
      <c r="L208" s="90"/>
      <c r="M208" s="23"/>
      <c r="N208" s="23"/>
    </row>
    <row r="209" spans="1:14" ht="14.45">
      <c r="A209" s="23"/>
      <c r="B209" s="35"/>
      <c r="C209" s="23"/>
      <c r="D209" s="23"/>
      <c r="E209" s="23"/>
      <c r="F209" s="23"/>
      <c r="G209" s="23"/>
      <c r="H209" s="24"/>
      <c r="I209" s="23"/>
      <c r="J209" s="23"/>
      <c r="K209" s="24"/>
      <c r="L209" s="90"/>
      <c r="M209" s="23"/>
      <c r="N209" s="23"/>
    </row>
    <row r="210" spans="1:14" ht="14.45">
      <c r="A210" s="23"/>
      <c r="B210" s="35"/>
      <c r="C210" s="23"/>
      <c r="D210" s="23"/>
      <c r="E210" s="23"/>
      <c r="F210" s="23"/>
      <c r="G210" s="23"/>
      <c r="H210" s="24"/>
      <c r="I210" s="23"/>
      <c r="J210" s="23"/>
      <c r="K210" s="24"/>
      <c r="L210" s="90"/>
      <c r="M210" s="23"/>
      <c r="N210" s="23"/>
    </row>
    <row r="211" spans="1:14" ht="14.45">
      <c r="A211" s="23"/>
      <c r="B211" s="35"/>
      <c r="C211" s="23"/>
      <c r="D211" s="23"/>
      <c r="E211" s="23"/>
      <c r="F211" s="23"/>
      <c r="G211" s="23"/>
      <c r="H211" s="24"/>
      <c r="I211" s="23"/>
      <c r="J211" s="23"/>
      <c r="K211" s="24"/>
      <c r="L211" s="90"/>
      <c r="M211" s="23"/>
      <c r="N211" s="23"/>
    </row>
    <row r="212" spans="1:14" ht="14.45">
      <c r="A212" s="23"/>
      <c r="B212" s="35"/>
      <c r="C212" s="23"/>
      <c r="D212" s="23"/>
      <c r="E212" s="23"/>
      <c r="F212" s="23"/>
      <c r="G212" s="23"/>
      <c r="H212" s="24"/>
      <c r="I212" s="23"/>
      <c r="J212" s="23"/>
      <c r="K212" s="24"/>
      <c r="L212" s="90"/>
      <c r="M212" s="23"/>
      <c r="N212" s="23"/>
    </row>
    <row r="213" spans="1:14" ht="14.45">
      <c r="A213" s="23"/>
      <c r="B213" s="35"/>
      <c r="C213" s="23"/>
      <c r="D213" s="23"/>
      <c r="E213" s="23"/>
      <c r="F213" s="23"/>
      <c r="G213" s="23"/>
      <c r="H213" s="24"/>
      <c r="I213" s="23"/>
      <c r="J213" s="23"/>
      <c r="K213" s="24"/>
      <c r="L213" s="90"/>
      <c r="M213" s="23"/>
      <c r="N213" s="23"/>
    </row>
    <row r="214" spans="1:14" ht="14.45">
      <c r="A214" s="23"/>
      <c r="B214" s="35"/>
      <c r="C214" s="23"/>
      <c r="D214" s="23"/>
      <c r="E214" s="23"/>
      <c r="F214" s="23"/>
      <c r="G214" s="23"/>
      <c r="H214" s="24"/>
      <c r="I214" s="23"/>
      <c r="J214" s="23"/>
      <c r="K214" s="24"/>
      <c r="L214" s="90"/>
      <c r="M214" s="23"/>
      <c r="N214" s="23"/>
    </row>
    <row r="215" spans="1:14" ht="14.45">
      <c r="A215" s="23"/>
      <c r="B215" s="35"/>
      <c r="C215" s="23"/>
      <c r="D215" s="23"/>
      <c r="E215" s="23"/>
      <c r="F215" s="23"/>
      <c r="G215" s="23"/>
      <c r="H215" s="24"/>
      <c r="I215" s="23"/>
      <c r="J215" s="23"/>
      <c r="K215" s="24"/>
      <c r="L215" s="90"/>
      <c r="M215" s="23"/>
      <c r="N215" s="23"/>
    </row>
    <row r="216" spans="1:14" ht="14.45">
      <c r="A216" s="23"/>
      <c r="B216" s="35"/>
      <c r="C216" s="23"/>
      <c r="D216" s="23"/>
      <c r="E216" s="23"/>
      <c r="F216" s="23"/>
      <c r="G216" s="23"/>
      <c r="H216" s="24"/>
      <c r="I216" s="23"/>
      <c r="J216" s="23"/>
      <c r="K216" s="24"/>
      <c r="L216" s="90"/>
      <c r="M216" s="23"/>
      <c r="N216" s="23"/>
    </row>
    <row r="217" spans="1:14" ht="14.45">
      <c r="A217" s="23"/>
      <c r="B217" s="35"/>
      <c r="C217" s="23"/>
      <c r="D217" s="23"/>
      <c r="E217" s="23"/>
      <c r="F217" s="23"/>
      <c r="G217" s="23"/>
      <c r="H217" s="24"/>
      <c r="I217" s="23"/>
      <c r="J217" s="23"/>
      <c r="K217" s="24"/>
      <c r="L217" s="90"/>
      <c r="M217" s="23"/>
      <c r="N217" s="23"/>
    </row>
    <row r="218" spans="1:14" ht="14.45">
      <c r="A218" s="23"/>
      <c r="B218" s="35"/>
      <c r="C218" s="23"/>
      <c r="D218" s="23"/>
      <c r="E218" s="23"/>
      <c r="F218" s="23"/>
      <c r="G218" s="23"/>
      <c r="H218" s="24"/>
      <c r="I218" s="23"/>
      <c r="J218" s="23"/>
      <c r="K218" s="24"/>
      <c r="L218" s="90"/>
      <c r="M218" s="23"/>
      <c r="N218" s="23"/>
    </row>
    <row r="219" spans="1:14" ht="14.45">
      <c r="A219" s="23"/>
      <c r="B219" s="35"/>
      <c r="C219" s="23"/>
      <c r="D219" s="23"/>
      <c r="E219" s="23"/>
      <c r="F219" s="23"/>
      <c r="G219" s="23"/>
      <c r="H219" s="24"/>
      <c r="I219" s="23"/>
      <c r="J219" s="23"/>
      <c r="K219" s="24"/>
      <c r="L219" s="90"/>
      <c r="M219" s="23"/>
      <c r="N219" s="23"/>
    </row>
    <row r="220" spans="1:14" ht="14.45">
      <c r="A220" s="23"/>
      <c r="B220" s="35"/>
      <c r="C220" s="23"/>
      <c r="D220" s="23"/>
      <c r="E220" s="23"/>
      <c r="F220" s="23"/>
      <c r="G220" s="23"/>
      <c r="H220" s="24"/>
      <c r="I220" s="23"/>
      <c r="J220" s="23"/>
      <c r="K220" s="24"/>
      <c r="L220" s="90"/>
      <c r="M220" s="23"/>
      <c r="N220" s="23"/>
    </row>
    <row r="221" spans="1:14" ht="14.45">
      <c r="A221" s="23"/>
      <c r="B221" s="35"/>
      <c r="C221" s="23"/>
      <c r="D221" s="23"/>
      <c r="E221" s="23"/>
      <c r="F221" s="23"/>
      <c r="G221" s="23"/>
      <c r="H221" s="24"/>
      <c r="I221" s="23"/>
      <c r="J221" s="23"/>
      <c r="K221" s="24"/>
      <c r="L221" s="90"/>
      <c r="M221" s="23"/>
      <c r="N221" s="23"/>
    </row>
    <row r="222" spans="1:14" ht="14.45">
      <c r="A222" s="23"/>
      <c r="B222" s="35"/>
      <c r="C222" s="23"/>
      <c r="D222" s="23"/>
      <c r="E222" s="23"/>
      <c r="F222" s="23"/>
      <c r="G222" s="23"/>
      <c r="H222" s="24"/>
      <c r="I222" s="23"/>
      <c r="J222" s="23"/>
      <c r="K222" s="24"/>
      <c r="L222" s="90"/>
      <c r="M222" s="23"/>
      <c r="N222" s="23"/>
    </row>
    <row r="223" spans="1:14" ht="14.45">
      <c r="A223" s="23"/>
      <c r="B223" s="35"/>
      <c r="C223" s="23"/>
      <c r="D223" s="23"/>
      <c r="E223" s="23"/>
      <c r="F223" s="23"/>
      <c r="G223" s="23"/>
      <c r="H223" s="24"/>
      <c r="I223" s="23"/>
      <c r="J223" s="23"/>
      <c r="K223" s="24"/>
      <c r="L223" s="90"/>
      <c r="M223" s="23"/>
      <c r="N223" s="23"/>
    </row>
    <row r="224" spans="1:14" ht="14.45">
      <c r="A224" s="23"/>
      <c r="B224" s="35"/>
      <c r="C224" s="23"/>
      <c r="D224" s="23"/>
      <c r="E224" s="23"/>
      <c r="F224" s="23"/>
      <c r="G224" s="23"/>
      <c r="H224" s="24"/>
      <c r="I224" s="23"/>
      <c r="J224" s="23"/>
      <c r="K224" s="24"/>
      <c r="L224" s="90"/>
      <c r="M224" s="23"/>
      <c r="N224" s="23"/>
    </row>
    <row r="225" spans="1:14" ht="14.45">
      <c r="A225" s="23"/>
      <c r="B225" s="35"/>
      <c r="C225" s="23"/>
      <c r="D225" s="23"/>
      <c r="E225" s="23"/>
      <c r="F225" s="23"/>
      <c r="G225" s="23"/>
      <c r="H225" s="24"/>
      <c r="I225" s="23"/>
      <c r="J225" s="23"/>
      <c r="K225" s="24"/>
      <c r="L225" s="90"/>
      <c r="M225" s="23"/>
      <c r="N225" s="23"/>
    </row>
    <row r="226" spans="1:14" ht="14.45">
      <c r="A226" s="23"/>
      <c r="B226" s="35"/>
      <c r="C226" s="23"/>
      <c r="D226" s="23"/>
      <c r="E226" s="23"/>
      <c r="F226" s="23"/>
      <c r="G226" s="23"/>
      <c r="H226" s="24"/>
      <c r="I226" s="23"/>
      <c r="J226" s="23"/>
      <c r="K226" s="24"/>
      <c r="L226" s="90"/>
      <c r="M226" s="23"/>
      <c r="N226" s="23"/>
    </row>
    <row r="227" spans="1:14" ht="14.45">
      <c r="A227" s="23"/>
      <c r="B227" s="35"/>
      <c r="C227" s="23"/>
      <c r="D227" s="23"/>
      <c r="E227" s="23"/>
      <c r="F227" s="23"/>
      <c r="G227" s="23"/>
      <c r="H227" s="24"/>
      <c r="I227" s="23"/>
      <c r="J227" s="23"/>
      <c r="K227" s="24"/>
      <c r="L227" s="90"/>
      <c r="M227" s="23"/>
      <c r="N227" s="23"/>
    </row>
    <row r="228" spans="1:14" ht="14.45">
      <c r="A228" s="23"/>
      <c r="B228" s="35"/>
      <c r="C228" s="23"/>
      <c r="D228" s="23"/>
      <c r="E228" s="23"/>
      <c r="F228" s="23"/>
      <c r="G228" s="23"/>
      <c r="H228" s="24"/>
      <c r="I228" s="23"/>
      <c r="J228" s="23"/>
      <c r="K228" s="24"/>
      <c r="L228" s="90"/>
      <c r="M228" s="23"/>
      <c r="N228" s="23"/>
    </row>
    <row r="229" spans="1:14" ht="14.45">
      <c r="A229" s="23"/>
      <c r="B229" s="35"/>
      <c r="C229" s="23"/>
      <c r="D229" s="23"/>
      <c r="E229" s="23"/>
      <c r="F229" s="23"/>
      <c r="G229" s="23"/>
      <c r="H229" s="24"/>
      <c r="I229" s="23"/>
      <c r="J229" s="23"/>
      <c r="K229" s="24"/>
      <c r="L229" s="90"/>
      <c r="M229" s="23"/>
      <c r="N229" s="23"/>
    </row>
    <row r="230" spans="1:14" ht="14.45">
      <c r="A230" s="23"/>
      <c r="B230" s="35"/>
      <c r="C230" s="23"/>
      <c r="D230" s="23"/>
      <c r="E230" s="23"/>
      <c r="F230" s="23"/>
      <c r="G230" s="23"/>
      <c r="H230" s="24"/>
      <c r="I230" s="23"/>
      <c r="J230" s="23"/>
      <c r="K230" s="24"/>
      <c r="L230" s="90"/>
      <c r="M230" s="23"/>
      <c r="N230" s="23"/>
    </row>
    <row r="231" spans="1:14" ht="14.45">
      <c r="A231" s="23"/>
      <c r="B231" s="35"/>
      <c r="C231" s="23"/>
      <c r="D231" s="23"/>
      <c r="E231" s="23"/>
      <c r="F231" s="23"/>
      <c r="G231" s="23"/>
      <c r="H231" s="24"/>
      <c r="I231" s="23"/>
      <c r="J231" s="23"/>
      <c r="K231" s="24"/>
      <c r="L231" s="90"/>
      <c r="M231" s="23"/>
      <c r="N231" s="23"/>
    </row>
    <row r="232" spans="1:14" ht="14.45">
      <c r="A232" s="23"/>
      <c r="B232" s="35"/>
      <c r="C232" s="23"/>
      <c r="D232" s="23"/>
      <c r="E232" s="23"/>
      <c r="F232" s="23"/>
      <c r="G232" s="23"/>
      <c r="H232" s="24"/>
      <c r="I232" s="23"/>
      <c r="J232" s="23"/>
      <c r="K232" s="24"/>
      <c r="L232" s="90"/>
      <c r="M232" s="23"/>
      <c r="N232" s="23"/>
    </row>
    <row r="233" spans="1:14" ht="14.45">
      <c r="A233" s="23"/>
      <c r="B233" s="35"/>
      <c r="C233" s="23"/>
      <c r="D233" s="23"/>
      <c r="E233" s="23"/>
      <c r="F233" s="23"/>
      <c r="G233" s="23"/>
      <c r="H233" s="24"/>
      <c r="I233" s="23"/>
      <c r="J233" s="23"/>
      <c r="K233" s="24"/>
      <c r="L233" s="90"/>
      <c r="M233" s="23"/>
      <c r="N233" s="23"/>
    </row>
    <row r="234" spans="1:14" ht="14.45">
      <c r="A234" s="23"/>
      <c r="B234" s="35"/>
      <c r="C234" s="23"/>
      <c r="D234" s="23"/>
      <c r="E234" s="23"/>
      <c r="F234" s="23"/>
      <c r="G234" s="23"/>
      <c r="H234" s="24"/>
      <c r="I234" s="23"/>
      <c r="J234" s="23"/>
      <c r="K234" s="24"/>
      <c r="L234" s="90"/>
      <c r="M234" s="23"/>
      <c r="N234" s="23"/>
    </row>
    <row r="235" spans="1:14" ht="14.45">
      <c r="A235" s="23"/>
      <c r="B235" s="35"/>
      <c r="C235" s="23"/>
      <c r="D235" s="23"/>
      <c r="E235" s="23"/>
      <c r="F235" s="23"/>
      <c r="G235" s="23"/>
      <c r="H235" s="24"/>
      <c r="I235" s="23"/>
      <c r="J235" s="23"/>
      <c r="K235" s="24"/>
      <c r="L235" s="90"/>
      <c r="M235" s="23"/>
      <c r="N235" s="23"/>
    </row>
    <row r="236" spans="1:14" ht="14.45">
      <c r="A236" s="23"/>
      <c r="B236" s="35"/>
      <c r="C236" s="23"/>
      <c r="D236" s="23"/>
      <c r="E236" s="23"/>
      <c r="F236" s="23"/>
      <c r="G236" s="23"/>
      <c r="H236" s="24"/>
      <c r="I236" s="23"/>
      <c r="J236" s="23"/>
      <c r="K236" s="24"/>
      <c r="L236" s="90"/>
      <c r="M236" s="23"/>
      <c r="N236" s="23"/>
    </row>
    <row r="237" spans="1:14" ht="14.45">
      <c r="A237" s="23"/>
      <c r="B237" s="35"/>
      <c r="C237" s="23"/>
      <c r="D237" s="23"/>
      <c r="E237" s="23"/>
      <c r="F237" s="23"/>
      <c r="G237" s="23"/>
      <c r="H237" s="24"/>
      <c r="I237" s="23"/>
      <c r="J237" s="23"/>
      <c r="K237" s="24"/>
      <c r="L237" s="90"/>
      <c r="M237" s="23"/>
      <c r="N237" s="23"/>
    </row>
    <row r="238" spans="1:14" ht="14.45">
      <c r="A238" s="23"/>
      <c r="B238" s="35"/>
      <c r="C238" s="23"/>
      <c r="D238" s="23"/>
      <c r="E238" s="23"/>
      <c r="F238" s="23"/>
      <c r="G238" s="23"/>
      <c r="H238" s="24"/>
      <c r="I238" s="23"/>
      <c r="J238" s="23"/>
      <c r="K238" s="24"/>
      <c r="L238" s="90"/>
      <c r="M238" s="23"/>
      <c r="N238" s="23"/>
    </row>
    <row r="239" spans="1:14" ht="14.45">
      <c r="A239" s="23"/>
      <c r="B239" s="35"/>
      <c r="C239" s="23"/>
      <c r="D239" s="23"/>
      <c r="E239" s="23"/>
      <c r="F239" s="23"/>
      <c r="G239" s="23"/>
      <c r="H239" s="24"/>
      <c r="I239" s="23"/>
      <c r="J239" s="23"/>
      <c r="K239" s="24"/>
      <c r="L239" s="90"/>
      <c r="M239" s="23"/>
      <c r="N239" s="23"/>
    </row>
    <row r="240" spans="1:14" ht="14.45">
      <c r="A240" s="23"/>
      <c r="B240" s="35"/>
      <c r="C240" s="23"/>
      <c r="D240" s="23"/>
      <c r="E240" s="23"/>
      <c r="F240" s="23"/>
      <c r="G240" s="23"/>
      <c r="H240" s="24"/>
      <c r="I240" s="23"/>
      <c r="J240" s="23"/>
      <c r="K240" s="24"/>
      <c r="L240" s="90"/>
      <c r="M240" s="23"/>
      <c r="N240" s="23"/>
    </row>
    <row r="241" spans="1:14" ht="14.45">
      <c r="A241" s="23"/>
      <c r="B241" s="35"/>
      <c r="C241" s="23"/>
      <c r="D241" s="23"/>
      <c r="E241" s="23"/>
      <c r="F241" s="23"/>
      <c r="G241" s="23"/>
      <c r="H241" s="24"/>
      <c r="I241" s="23"/>
      <c r="J241" s="23"/>
      <c r="K241" s="24"/>
      <c r="L241" s="90"/>
      <c r="M241" s="23"/>
      <c r="N241" s="23"/>
    </row>
    <row r="242" spans="1:14" ht="14.45">
      <c r="A242" s="23"/>
      <c r="B242" s="35"/>
      <c r="C242" s="23"/>
      <c r="D242" s="23"/>
      <c r="E242" s="23"/>
      <c r="F242" s="23"/>
      <c r="G242" s="23"/>
      <c r="H242" s="24"/>
      <c r="I242" s="23"/>
      <c r="J242" s="23"/>
      <c r="K242" s="24"/>
      <c r="L242" s="90"/>
      <c r="M242" s="23"/>
      <c r="N242" s="23"/>
    </row>
    <row r="243" spans="1:14" ht="14.45">
      <c r="A243" s="23"/>
      <c r="B243" s="35"/>
      <c r="C243" s="23"/>
      <c r="D243" s="23"/>
      <c r="E243" s="23"/>
      <c r="F243" s="23"/>
      <c r="G243" s="23"/>
      <c r="H243" s="24"/>
      <c r="I243" s="23"/>
      <c r="J243" s="23"/>
      <c r="K243" s="24"/>
      <c r="L243" s="90"/>
      <c r="M243" s="23"/>
      <c r="N243" s="23"/>
    </row>
    <row r="244" spans="1:14" ht="14.45">
      <c r="A244" s="23"/>
      <c r="B244" s="35"/>
      <c r="C244" s="23"/>
      <c r="D244" s="23"/>
      <c r="E244" s="23"/>
      <c r="F244" s="23"/>
      <c r="G244" s="23"/>
      <c r="H244" s="24"/>
      <c r="I244" s="23"/>
      <c r="J244" s="23"/>
      <c r="K244" s="24"/>
      <c r="L244" s="90"/>
      <c r="M244" s="23"/>
      <c r="N244" s="23"/>
    </row>
    <row r="245" spans="1:14" ht="14.45">
      <c r="A245" s="23"/>
      <c r="B245" s="35"/>
      <c r="C245" s="23"/>
      <c r="D245" s="23"/>
      <c r="E245" s="23"/>
      <c r="F245" s="23"/>
      <c r="G245" s="23"/>
      <c r="H245" s="24"/>
      <c r="I245" s="23"/>
      <c r="J245" s="23"/>
      <c r="K245" s="24"/>
      <c r="L245" s="90"/>
      <c r="M245" s="23"/>
      <c r="N245" s="23"/>
    </row>
    <row r="246" spans="1:14" ht="14.45">
      <c r="A246" s="23"/>
      <c r="B246" s="35"/>
      <c r="C246" s="23"/>
      <c r="D246" s="23"/>
      <c r="E246" s="23"/>
      <c r="F246" s="23"/>
      <c r="G246" s="23"/>
      <c r="H246" s="24"/>
      <c r="I246" s="23"/>
      <c r="J246" s="23"/>
      <c r="K246" s="24"/>
      <c r="L246" s="90"/>
      <c r="M246" s="23"/>
      <c r="N246" s="23"/>
    </row>
    <row r="247" spans="1:14" ht="14.45">
      <c r="A247" s="23"/>
      <c r="B247" s="35"/>
      <c r="C247" s="23"/>
      <c r="D247" s="23"/>
      <c r="E247" s="23"/>
      <c r="F247" s="23"/>
      <c r="G247" s="23"/>
      <c r="H247" s="24"/>
      <c r="I247" s="23"/>
      <c r="J247" s="23"/>
      <c r="K247" s="24"/>
      <c r="L247" s="90"/>
      <c r="M247" s="23"/>
      <c r="N247" s="23"/>
    </row>
    <row r="248" spans="1:14" ht="14.45">
      <c r="A248" s="23"/>
      <c r="B248" s="35"/>
      <c r="C248" s="23"/>
      <c r="D248" s="23"/>
      <c r="E248" s="23"/>
      <c r="F248" s="23"/>
      <c r="G248" s="23"/>
      <c r="H248" s="24"/>
      <c r="I248" s="23"/>
      <c r="J248" s="23"/>
      <c r="K248" s="24"/>
      <c r="L248" s="90"/>
      <c r="M248" s="23"/>
      <c r="N248" s="23"/>
    </row>
    <row r="249" spans="1:14" ht="14.45">
      <c r="A249" s="23"/>
      <c r="B249" s="35"/>
      <c r="C249" s="23"/>
      <c r="D249" s="23"/>
      <c r="E249" s="23"/>
      <c r="F249" s="23"/>
      <c r="G249" s="23"/>
      <c r="H249" s="24"/>
      <c r="I249" s="23"/>
      <c r="J249" s="23"/>
      <c r="K249" s="24"/>
      <c r="L249" s="90"/>
      <c r="M249" s="23"/>
      <c r="N249" s="23"/>
    </row>
    <row r="250" spans="1:14" ht="14.45">
      <c r="A250" s="23"/>
      <c r="B250" s="35"/>
      <c r="C250" s="23"/>
      <c r="D250" s="23"/>
      <c r="E250" s="23"/>
      <c r="F250" s="23"/>
      <c r="G250" s="23"/>
      <c r="H250" s="24"/>
      <c r="I250" s="23"/>
      <c r="J250" s="23"/>
      <c r="K250" s="24"/>
      <c r="L250" s="90"/>
      <c r="M250" s="23"/>
      <c r="N250" s="23"/>
    </row>
    <row r="251" spans="1:14" ht="14.45">
      <c r="A251" s="23"/>
      <c r="B251" s="35"/>
      <c r="C251" s="23"/>
      <c r="D251" s="23"/>
      <c r="E251" s="23"/>
      <c r="F251" s="23"/>
      <c r="G251" s="23"/>
      <c r="H251" s="24"/>
      <c r="I251" s="23"/>
      <c r="J251" s="23"/>
      <c r="K251" s="24"/>
      <c r="L251" s="90"/>
      <c r="M251" s="23"/>
      <c r="N251" s="23"/>
    </row>
    <row r="252" spans="1:14" ht="14.45">
      <c r="A252" s="23"/>
      <c r="B252" s="35"/>
      <c r="C252" s="23"/>
      <c r="D252" s="23"/>
      <c r="E252" s="23"/>
      <c r="F252" s="23"/>
      <c r="G252" s="23"/>
      <c r="H252" s="24"/>
      <c r="I252" s="23"/>
      <c r="J252" s="23"/>
      <c r="K252" s="24"/>
      <c r="L252" s="90"/>
      <c r="M252" s="23"/>
      <c r="N252" s="23"/>
    </row>
    <row r="253" spans="1:14" ht="14.45">
      <c r="A253" s="23"/>
      <c r="B253" s="35"/>
      <c r="C253" s="23"/>
      <c r="D253" s="23"/>
      <c r="E253" s="23"/>
      <c r="F253" s="23"/>
      <c r="G253" s="23"/>
      <c r="H253" s="24"/>
      <c r="I253" s="23"/>
      <c r="J253" s="23"/>
      <c r="K253" s="24"/>
      <c r="L253" s="90"/>
      <c r="M253" s="23"/>
      <c r="N253" s="23"/>
    </row>
    <row r="254" spans="1:14" ht="14.45">
      <c r="A254" s="23"/>
      <c r="B254" s="35"/>
      <c r="C254" s="23"/>
      <c r="D254" s="23"/>
      <c r="E254" s="23"/>
      <c r="F254" s="23"/>
      <c r="G254" s="23"/>
      <c r="H254" s="24"/>
      <c r="I254" s="23"/>
      <c r="J254" s="23"/>
      <c r="K254" s="24"/>
      <c r="L254" s="90"/>
      <c r="M254" s="23"/>
      <c r="N254" s="23"/>
    </row>
    <row r="255" spans="1:14" ht="14.45">
      <c r="A255" s="23"/>
      <c r="B255" s="35"/>
      <c r="C255" s="23"/>
      <c r="D255" s="23"/>
      <c r="E255" s="23"/>
      <c r="F255" s="23"/>
      <c r="G255" s="23"/>
      <c r="H255" s="24"/>
      <c r="I255" s="23"/>
      <c r="J255" s="23"/>
      <c r="K255" s="24"/>
      <c r="L255" s="90"/>
      <c r="M255" s="23"/>
      <c r="N255" s="23"/>
    </row>
    <row r="256" spans="1:14" ht="14.45">
      <c r="A256" s="23"/>
      <c r="B256" s="35"/>
      <c r="C256" s="23"/>
      <c r="D256" s="23"/>
      <c r="E256" s="23"/>
      <c r="F256" s="23"/>
      <c r="G256" s="23"/>
      <c r="H256" s="24"/>
      <c r="I256" s="23"/>
      <c r="J256" s="23"/>
      <c r="K256" s="24"/>
      <c r="L256" s="90"/>
      <c r="M256" s="23"/>
      <c r="N256" s="23"/>
    </row>
    <row r="257" spans="1:14" ht="14.45">
      <c r="A257" s="23"/>
      <c r="B257" s="35"/>
      <c r="C257" s="23"/>
      <c r="D257" s="23"/>
      <c r="E257" s="23"/>
      <c r="F257" s="23"/>
      <c r="G257" s="23"/>
      <c r="H257" s="24"/>
      <c r="I257" s="23"/>
      <c r="J257" s="23"/>
      <c r="K257" s="24"/>
      <c r="L257" s="90"/>
      <c r="M257" s="23"/>
      <c r="N257" s="23"/>
    </row>
    <row r="258" spans="1:14" ht="14.45">
      <c r="A258" s="23"/>
      <c r="B258" s="35"/>
      <c r="C258" s="23"/>
      <c r="D258" s="23"/>
      <c r="E258" s="23"/>
      <c r="F258" s="23"/>
      <c r="G258" s="23"/>
      <c r="H258" s="24"/>
      <c r="I258" s="23"/>
      <c r="J258" s="23"/>
      <c r="K258" s="24"/>
      <c r="L258" s="90"/>
      <c r="M258" s="23"/>
      <c r="N258" s="23"/>
    </row>
    <row r="259" spans="1:14" ht="14.45">
      <c r="A259" s="23"/>
      <c r="B259" s="35"/>
      <c r="C259" s="23"/>
      <c r="D259" s="23"/>
      <c r="E259" s="23"/>
      <c r="F259" s="23"/>
      <c r="G259" s="23"/>
      <c r="H259" s="24"/>
      <c r="I259" s="23"/>
      <c r="J259" s="23"/>
      <c r="K259" s="24"/>
      <c r="L259" s="90"/>
      <c r="M259" s="23"/>
      <c r="N259" s="23"/>
    </row>
    <row r="260" spans="1:14" ht="14.45">
      <c r="A260" s="23"/>
      <c r="B260" s="35"/>
      <c r="C260" s="23"/>
      <c r="D260" s="23"/>
      <c r="E260" s="23"/>
      <c r="F260" s="23"/>
      <c r="G260" s="23"/>
      <c r="H260" s="24"/>
      <c r="I260" s="23"/>
      <c r="J260" s="23"/>
      <c r="K260" s="24"/>
      <c r="L260" s="90"/>
      <c r="M260" s="23"/>
      <c r="N260" s="23"/>
    </row>
    <row r="261" spans="1:14" ht="14.45">
      <c r="A261" s="23"/>
      <c r="B261" s="35"/>
      <c r="C261" s="23"/>
      <c r="D261" s="23"/>
      <c r="E261" s="23"/>
      <c r="F261" s="23"/>
      <c r="G261" s="23"/>
      <c r="H261" s="24"/>
      <c r="I261" s="23"/>
      <c r="J261" s="23"/>
      <c r="K261" s="24"/>
      <c r="L261" s="90"/>
      <c r="M261" s="23"/>
      <c r="N261" s="23"/>
    </row>
    <row r="262" spans="1:14" ht="14.45">
      <c r="A262" s="23"/>
      <c r="B262" s="35"/>
      <c r="C262" s="23"/>
      <c r="D262" s="23"/>
      <c r="E262" s="23"/>
      <c r="F262" s="23"/>
      <c r="G262" s="23"/>
      <c r="H262" s="24"/>
      <c r="I262" s="23"/>
      <c r="J262" s="23"/>
      <c r="K262" s="24"/>
      <c r="L262" s="90"/>
      <c r="M262" s="23"/>
      <c r="N262" s="23"/>
    </row>
    <row r="263" spans="1:14" ht="14.45">
      <c r="A263" s="23"/>
      <c r="B263" s="35"/>
      <c r="C263" s="23"/>
      <c r="D263" s="23"/>
      <c r="E263" s="23"/>
      <c r="F263" s="23"/>
      <c r="G263" s="23"/>
      <c r="H263" s="24"/>
      <c r="I263" s="23"/>
      <c r="J263" s="23"/>
      <c r="K263" s="24"/>
      <c r="L263" s="90"/>
      <c r="M263" s="23"/>
      <c r="N263" s="23"/>
    </row>
    <row r="264" spans="1:14" ht="14.45">
      <c r="A264" s="23"/>
      <c r="B264" s="35"/>
      <c r="C264" s="23"/>
      <c r="D264" s="23"/>
      <c r="E264" s="23"/>
      <c r="F264" s="23"/>
      <c r="G264" s="23"/>
      <c r="H264" s="24"/>
      <c r="I264" s="23"/>
      <c r="J264" s="23"/>
      <c r="K264" s="24"/>
      <c r="L264" s="90"/>
      <c r="M264" s="23"/>
      <c r="N264" s="23"/>
    </row>
    <row r="265" spans="1:14" ht="14.45">
      <c r="A265" s="23"/>
      <c r="B265" s="35"/>
      <c r="C265" s="23"/>
      <c r="D265" s="23"/>
      <c r="E265" s="23"/>
      <c r="F265" s="23"/>
      <c r="G265" s="23"/>
      <c r="H265" s="24"/>
      <c r="I265" s="23"/>
      <c r="J265" s="23"/>
      <c r="K265" s="24"/>
      <c r="L265" s="90"/>
      <c r="M265" s="23"/>
      <c r="N265" s="23"/>
    </row>
    <row r="266" spans="1:14" ht="14.45">
      <c r="A266" s="23"/>
      <c r="B266" s="35"/>
      <c r="C266" s="23"/>
      <c r="D266" s="23"/>
      <c r="E266" s="23"/>
      <c r="F266" s="23"/>
      <c r="G266" s="23"/>
      <c r="H266" s="24"/>
      <c r="I266" s="23"/>
      <c r="J266" s="23"/>
      <c r="K266" s="24"/>
      <c r="L266" s="90"/>
      <c r="M266" s="23"/>
      <c r="N266" s="23"/>
    </row>
    <row r="267" spans="1:14" ht="14.45">
      <c r="A267" s="23"/>
      <c r="B267" s="35"/>
      <c r="C267" s="23"/>
      <c r="D267" s="23"/>
      <c r="E267" s="23"/>
      <c r="F267" s="23"/>
      <c r="G267" s="23"/>
      <c r="H267" s="24"/>
      <c r="I267" s="23"/>
      <c r="J267" s="23"/>
      <c r="K267" s="24"/>
      <c r="L267" s="90"/>
      <c r="M267" s="23"/>
      <c r="N267" s="23"/>
    </row>
    <row r="268" spans="1:14" ht="14.45">
      <c r="A268" s="23"/>
      <c r="B268" s="35"/>
      <c r="C268" s="23"/>
      <c r="D268" s="23"/>
      <c r="E268" s="23"/>
      <c r="F268" s="23"/>
      <c r="G268" s="23"/>
      <c r="H268" s="24"/>
      <c r="I268" s="23"/>
      <c r="J268" s="23"/>
      <c r="K268" s="24"/>
      <c r="L268" s="90"/>
      <c r="M268" s="23"/>
      <c r="N268" s="23"/>
    </row>
    <row r="269" spans="1:14" ht="14.45">
      <c r="A269" s="23"/>
      <c r="B269" s="35"/>
      <c r="C269" s="23"/>
      <c r="D269" s="23"/>
      <c r="E269" s="23"/>
      <c r="F269" s="23"/>
      <c r="G269" s="23"/>
      <c r="H269" s="24"/>
      <c r="I269" s="23"/>
      <c r="J269" s="23"/>
      <c r="K269" s="24"/>
      <c r="L269" s="90"/>
      <c r="M269" s="23"/>
      <c r="N269" s="23"/>
    </row>
    <row r="270" spans="1:14" ht="14.45">
      <c r="A270" s="23"/>
      <c r="B270" s="35"/>
      <c r="C270" s="23"/>
      <c r="D270" s="23"/>
      <c r="E270" s="23"/>
      <c r="F270" s="23"/>
      <c r="G270" s="23"/>
      <c r="H270" s="24"/>
      <c r="I270" s="23"/>
      <c r="J270" s="23"/>
      <c r="K270" s="24"/>
      <c r="L270" s="90"/>
      <c r="M270" s="23"/>
      <c r="N270" s="23"/>
    </row>
    <row r="271" spans="1:14" ht="14.45">
      <c r="A271" s="23"/>
      <c r="B271" s="35"/>
      <c r="C271" s="23"/>
      <c r="D271" s="23"/>
      <c r="E271" s="23"/>
      <c r="F271" s="23"/>
      <c r="G271" s="23"/>
      <c r="H271" s="24"/>
      <c r="I271" s="23"/>
      <c r="J271" s="23"/>
      <c r="K271" s="24"/>
      <c r="L271" s="90"/>
      <c r="M271" s="23"/>
      <c r="N271" s="23"/>
    </row>
    <row r="272" spans="1:14" ht="14.45">
      <c r="A272" s="23"/>
      <c r="B272" s="35"/>
      <c r="C272" s="23"/>
      <c r="D272" s="23"/>
      <c r="E272" s="23"/>
      <c r="F272" s="23"/>
      <c r="G272" s="23"/>
      <c r="H272" s="24"/>
      <c r="I272" s="23"/>
      <c r="J272" s="23"/>
      <c r="K272" s="24"/>
      <c r="L272" s="90"/>
      <c r="M272" s="23"/>
      <c r="N272" s="23"/>
    </row>
    <row r="273" spans="1:14" ht="14.45">
      <c r="A273" s="23"/>
      <c r="B273" s="35"/>
      <c r="C273" s="23"/>
      <c r="D273" s="23"/>
      <c r="E273" s="23"/>
      <c r="F273" s="23"/>
      <c r="G273" s="23"/>
      <c r="H273" s="24"/>
      <c r="I273" s="23"/>
      <c r="J273" s="23"/>
      <c r="K273" s="24"/>
      <c r="L273" s="90"/>
      <c r="M273" s="23"/>
      <c r="N273" s="23"/>
    </row>
    <row r="274" spans="1:14" ht="14.45">
      <c r="A274" s="23"/>
      <c r="B274" s="35"/>
      <c r="C274" s="23"/>
      <c r="D274" s="23"/>
      <c r="E274" s="23"/>
      <c r="F274" s="23"/>
      <c r="G274" s="23"/>
      <c r="H274" s="24"/>
      <c r="I274" s="23"/>
      <c r="J274" s="23"/>
      <c r="K274" s="24"/>
      <c r="L274" s="90"/>
      <c r="M274" s="23"/>
      <c r="N274" s="23"/>
    </row>
    <row r="275" spans="1:14" ht="14.45">
      <c r="A275" s="23"/>
      <c r="B275" s="35"/>
      <c r="C275" s="23"/>
      <c r="D275" s="23"/>
      <c r="E275" s="23"/>
      <c r="F275" s="23"/>
      <c r="G275" s="23"/>
      <c r="H275" s="24"/>
      <c r="I275" s="23"/>
      <c r="J275" s="23"/>
      <c r="K275" s="24"/>
      <c r="L275" s="90"/>
      <c r="M275" s="23"/>
      <c r="N275" s="23"/>
    </row>
    <row r="276" spans="1:14" ht="14.45">
      <c r="A276" s="23"/>
      <c r="B276" s="35"/>
      <c r="C276" s="23"/>
      <c r="D276" s="23"/>
      <c r="E276" s="23"/>
      <c r="F276" s="23"/>
      <c r="G276" s="23"/>
      <c r="H276" s="24"/>
      <c r="I276" s="23"/>
      <c r="J276" s="23"/>
      <c r="K276" s="24"/>
      <c r="L276" s="90"/>
      <c r="M276" s="23"/>
      <c r="N276" s="23"/>
    </row>
    <row r="277" spans="1:14" ht="14.45">
      <c r="A277" s="23"/>
      <c r="B277" s="35"/>
      <c r="C277" s="23"/>
      <c r="D277" s="23"/>
      <c r="E277" s="23"/>
      <c r="F277" s="23"/>
      <c r="G277" s="23"/>
      <c r="H277" s="24"/>
      <c r="I277" s="23"/>
      <c r="J277" s="23"/>
      <c r="K277" s="24"/>
      <c r="L277" s="90"/>
      <c r="M277" s="23"/>
      <c r="N277" s="23"/>
    </row>
    <row r="278" spans="1:14" ht="14.45">
      <c r="A278" s="23"/>
      <c r="B278" s="35"/>
      <c r="C278" s="23"/>
      <c r="D278" s="23"/>
      <c r="E278" s="23"/>
      <c r="F278" s="23"/>
      <c r="G278" s="23"/>
      <c r="H278" s="24"/>
      <c r="I278" s="23"/>
      <c r="J278" s="23"/>
      <c r="K278" s="24"/>
      <c r="L278" s="90"/>
      <c r="M278" s="23"/>
      <c r="N278" s="23"/>
    </row>
    <row r="279" spans="1:14" ht="14.45">
      <c r="A279" s="23"/>
      <c r="B279" s="35"/>
      <c r="C279" s="23"/>
      <c r="D279" s="23"/>
      <c r="E279" s="23"/>
      <c r="F279" s="23"/>
      <c r="G279" s="23"/>
      <c r="H279" s="24"/>
      <c r="I279" s="23"/>
      <c r="J279" s="23"/>
      <c r="K279" s="24"/>
      <c r="L279" s="90"/>
      <c r="M279" s="23"/>
      <c r="N279" s="23"/>
    </row>
    <row r="280" spans="1:14" ht="14.45">
      <c r="A280" s="23"/>
      <c r="B280" s="35"/>
      <c r="C280" s="23"/>
      <c r="D280" s="23"/>
      <c r="E280" s="23"/>
      <c r="F280" s="23"/>
      <c r="G280" s="23"/>
      <c r="H280" s="24"/>
      <c r="I280" s="23"/>
      <c r="J280" s="23"/>
      <c r="K280" s="24"/>
      <c r="L280" s="90"/>
      <c r="M280" s="23"/>
      <c r="N280" s="23"/>
    </row>
    <row r="281" spans="1:14" ht="14.45">
      <c r="A281" s="23"/>
      <c r="B281" s="35"/>
      <c r="C281" s="23"/>
      <c r="D281" s="23"/>
      <c r="E281" s="23"/>
      <c r="F281" s="23"/>
      <c r="G281" s="23"/>
      <c r="H281" s="24"/>
      <c r="I281" s="23"/>
      <c r="J281" s="23"/>
      <c r="K281" s="24"/>
      <c r="L281" s="90"/>
      <c r="M281" s="23"/>
      <c r="N281" s="23"/>
    </row>
    <row r="282" spans="1:14" ht="14.45">
      <c r="A282" s="23"/>
      <c r="B282" s="35"/>
      <c r="C282" s="23"/>
      <c r="D282" s="23"/>
      <c r="E282" s="23"/>
      <c r="F282" s="23"/>
      <c r="G282" s="23"/>
      <c r="H282" s="24"/>
      <c r="I282" s="23"/>
      <c r="J282" s="23"/>
      <c r="K282" s="24"/>
      <c r="L282" s="90"/>
      <c r="M282" s="23"/>
      <c r="N282" s="23"/>
    </row>
    <row r="283" spans="1:14" ht="14.45">
      <c r="A283" s="23"/>
      <c r="B283" s="35"/>
      <c r="C283" s="23"/>
      <c r="D283" s="23"/>
      <c r="E283" s="23"/>
      <c r="F283" s="23"/>
      <c r="G283" s="23"/>
      <c r="H283" s="24"/>
      <c r="I283" s="23"/>
      <c r="J283" s="23"/>
      <c r="K283" s="24"/>
      <c r="L283" s="90"/>
      <c r="M283" s="23"/>
      <c r="N283" s="23"/>
    </row>
    <row r="284" spans="1:14" ht="14.45">
      <c r="A284" s="23"/>
      <c r="B284" s="35"/>
      <c r="C284" s="23"/>
      <c r="D284" s="23"/>
      <c r="E284" s="23"/>
      <c r="F284" s="23"/>
      <c r="G284" s="23"/>
      <c r="H284" s="24"/>
      <c r="I284" s="23"/>
      <c r="J284" s="23"/>
      <c r="K284" s="24"/>
      <c r="L284" s="90"/>
      <c r="M284" s="23"/>
      <c r="N284" s="23"/>
    </row>
    <row r="285" spans="1:14" ht="14.45">
      <c r="A285" s="23"/>
      <c r="B285" s="35"/>
      <c r="C285" s="23"/>
      <c r="D285" s="23"/>
      <c r="E285" s="23"/>
      <c r="F285" s="23"/>
      <c r="G285" s="23"/>
      <c r="H285" s="24"/>
      <c r="I285" s="23"/>
      <c r="J285" s="23"/>
      <c r="K285" s="24"/>
      <c r="L285" s="90"/>
      <c r="M285" s="23"/>
      <c r="N285" s="23"/>
    </row>
    <row r="286" spans="1:14" ht="14.45">
      <c r="A286" s="23"/>
      <c r="B286" s="35"/>
      <c r="C286" s="23"/>
      <c r="D286" s="23"/>
      <c r="E286" s="23"/>
      <c r="F286" s="23"/>
      <c r="G286" s="23"/>
      <c r="H286" s="24"/>
      <c r="I286" s="23"/>
      <c r="J286" s="23"/>
      <c r="K286" s="24"/>
      <c r="L286" s="90"/>
      <c r="M286" s="23"/>
      <c r="N286" s="23"/>
    </row>
    <row r="287" spans="1:14" ht="14.45">
      <c r="A287" s="23"/>
      <c r="B287" s="35"/>
      <c r="C287" s="23"/>
      <c r="D287" s="23"/>
      <c r="E287" s="23"/>
      <c r="F287" s="23"/>
      <c r="G287" s="23"/>
      <c r="H287" s="24"/>
      <c r="I287" s="23"/>
      <c r="J287" s="23"/>
      <c r="K287" s="24"/>
      <c r="L287" s="90"/>
      <c r="M287" s="23"/>
      <c r="N287" s="23"/>
    </row>
    <row r="288" spans="1:14" ht="14.45">
      <c r="A288" s="23"/>
      <c r="B288" s="35"/>
      <c r="C288" s="23"/>
      <c r="D288" s="23"/>
      <c r="E288" s="23"/>
      <c r="F288" s="23"/>
      <c r="G288" s="23"/>
      <c r="H288" s="24"/>
      <c r="I288" s="23"/>
      <c r="J288" s="23"/>
      <c r="K288" s="24"/>
      <c r="L288" s="90"/>
      <c r="M288" s="23"/>
      <c r="N288" s="23"/>
    </row>
    <row r="289" spans="1:14" ht="14.45">
      <c r="A289" s="23"/>
      <c r="B289" s="35"/>
      <c r="C289" s="23"/>
      <c r="D289" s="23"/>
      <c r="E289" s="23"/>
      <c r="F289" s="23"/>
      <c r="G289" s="23"/>
      <c r="H289" s="24"/>
      <c r="I289" s="23"/>
      <c r="J289" s="23"/>
      <c r="K289" s="24"/>
      <c r="L289" s="90"/>
      <c r="M289" s="23"/>
      <c r="N289" s="23"/>
    </row>
    <row r="290" spans="1:14" ht="14.45">
      <c r="A290" s="23"/>
      <c r="B290" s="35"/>
      <c r="C290" s="23"/>
      <c r="D290" s="23"/>
      <c r="E290" s="23"/>
      <c r="F290" s="23"/>
      <c r="G290" s="23"/>
      <c r="H290" s="24"/>
      <c r="I290" s="23"/>
      <c r="J290" s="23"/>
      <c r="K290" s="24"/>
      <c r="L290" s="90"/>
      <c r="M290" s="23"/>
      <c r="N290" s="23"/>
    </row>
    <row r="291" spans="1:14" ht="14.45">
      <c r="A291" s="23"/>
      <c r="B291" s="35"/>
      <c r="C291" s="23"/>
      <c r="D291" s="23"/>
      <c r="E291" s="23"/>
      <c r="F291" s="23"/>
      <c r="G291" s="23"/>
      <c r="H291" s="24"/>
      <c r="I291" s="23"/>
      <c r="J291" s="23"/>
      <c r="K291" s="24"/>
      <c r="L291" s="90"/>
      <c r="M291" s="23"/>
      <c r="N291" s="23"/>
    </row>
    <row r="292" spans="1:14" ht="14.45">
      <c r="A292" s="23"/>
      <c r="B292" s="35"/>
      <c r="C292" s="23"/>
      <c r="D292" s="23"/>
      <c r="E292" s="23"/>
      <c r="F292" s="23"/>
      <c r="G292" s="23"/>
      <c r="H292" s="24"/>
      <c r="I292" s="23"/>
      <c r="J292" s="23"/>
      <c r="K292" s="24"/>
      <c r="L292" s="90"/>
      <c r="M292" s="23"/>
      <c r="N292" s="23"/>
    </row>
    <row r="293" spans="1:14" ht="14.45">
      <c r="A293" s="23"/>
      <c r="B293" s="35"/>
      <c r="C293" s="23"/>
      <c r="D293" s="23"/>
      <c r="E293" s="23"/>
      <c r="F293" s="23"/>
      <c r="G293" s="23"/>
      <c r="H293" s="24"/>
      <c r="I293" s="23"/>
      <c r="J293" s="23"/>
      <c r="K293" s="24"/>
      <c r="L293" s="90"/>
      <c r="M293" s="23"/>
      <c r="N293" s="23"/>
    </row>
    <row r="294" spans="1:14" ht="14.45">
      <c r="A294" s="23"/>
      <c r="B294" s="35"/>
      <c r="C294" s="23"/>
      <c r="D294" s="23"/>
      <c r="E294" s="23"/>
      <c r="F294" s="23"/>
      <c r="G294" s="23"/>
      <c r="H294" s="24"/>
      <c r="I294" s="23"/>
      <c r="J294" s="23"/>
      <c r="K294" s="24"/>
      <c r="L294" s="90"/>
      <c r="M294" s="23"/>
      <c r="N294" s="23"/>
    </row>
    <row r="295" spans="1:14" ht="14.45">
      <c r="A295" s="23"/>
      <c r="B295" s="35"/>
      <c r="C295" s="23"/>
      <c r="D295" s="23"/>
      <c r="E295" s="23"/>
      <c r="F295" s="23"/>
      <c r="G295" s="23"/>
      <c r="H295" s="24"/>
      <c r="I295" s="23"/>
      <c r="J295" s="23"/>
      <c r="K295" s="24"/>
      <c r="L295" s="90"/>
      <c r="M295" s="23"/>
      <c r="N295" s="23"/>
    </row>
    <row r="296" spans="1:14" ht="14.45">
      <c r="A296" s="23"/>
      <c r="B296" s="35"/>
      <c r="C296" s="23"/>
      <c r="D296" s="23"/>
      <c r="E296" s="23"/>
      <c r="F296" s="23"/>
      <c r="G296" s="23"/>
      <c r="H296" s="24"/>
      <c r="I296" s="23"/>
      <c r="J296" s="23"/>
      <c r="K296" s="24"/>
      <c r="L296" s="90"/>
      <c r="M296" s="23"/>
      <c r="N296" s="23"/>
    </row>
    <row r="297" spans="1:14" ht="14.45">
      <c r="A297" s="23"/>
      <c r="B297" s="35"/>
      <c r="C297" s="23"/>
      <c r="D297" s="23"/>
      <c r="E297" s="23"/>
      <c r="F297" s="23"/>
      <c r="G297" s="23"/>
      <c r="H297" s="24"/>
      <c r="I297" s="23"/>
      <c r="J297" s="23"/>
      <c r="K297" s="24"/>
      <c r="L297" s="90"/>
      <c r="M297" s="23"/>
      <c r="N297" s="23"/>
    </row>
    <row r="298" spans="1:14" ht="14.45">
      <c r="A298" s="23"/>
      <c r="B298" s="35"/>
      <c r="C298" s="23"/>
      <c r="D298" s="23"/>
      <c r="E298" s="23"/>
      <c r="F298" s="23"/>
      <c r="G298" s="23"/>
      <c r="H298" s="24"/>
      <c r="I298" s="23"/>
      <c r="J298" s="23"/>
      <c r="K298" s="24"/>
      <c r="L298" s="90"/>
      <c r="M298" s="23"/>
      <c r="N298" s="23"/>
    </row>
    <row r="299" spans="1:14" ht="14.45">
      <c r="A299" s="23"/>
      <c r="B299" s="35"/>
      <c r="C299" s="23"/>
      <c r="D299" s="23"/>
      <c r="E299" s="23"/>
      <c r="F299" s="23"/>
      <c r="G299" s="23"/>
      <c r="H299" s="24"/>
      <c r="I299" s="23"/>
      <c r="J299" s="23"/>
      <c r="K299" s="24"/>
      <c r="L299" s="90"/>
      <c r="M299" s="23"/>
      <c r="N299" s="23"/>
    </row>
    <row r="300" spans="1:14" ht="14.45">
      <c r="A300" s="23"/>
      <c r="B300" s="35"/>
      <c r="C300" s="23"/>
      <c r="D300" s="23"/>
      <c r="E300" s="23"/>
      <c r="F300" s="23"/>
      <c r="G300" s="23"/>
      <c r="H300" s="24"/>
      <c r="I300" s="23"/>
      <c r="J300" s="23"/>
      <c r="K300" s="24"/>
      <c r="L300" s="90"/>
      <c r="M300" s="23"/>
      <c r="N300" s="23"/>
    </row>
    <row r="301" spans="1:14" ht="14.45">
      <c r="A301" s="23"/>
      <c r="B301" s="35"/>
      <c r="C301" s="23"/>
      <c r="D301" s="23"/>
      <c r="E301" s="23"/>
      <c r="F301" s="23"/>
      <c r="G301" s="23"/>
      <c r="H301" s="24"/>
      <c r="I301" s="23"/>
      <c r="J301" s="23"/>
      <c r="K301" s="24"/>
      <c r="L301" s="90"/>
      <c r="M301" s="23"/>
      <c r="N301" s="23"/>
    </row>
    <row r="302" spans="1:14" ht="14.45">
      <c r="A302" s="23"/>
      <c r="B302" s="35"/>
      <c r="C302" s="23"/>
      <c r="D302" s="23"/>
      <c r="E302" s="23"/>
      <c r="F302" s="23"/>
      <c r="G302" s="23"/>
      <c r="H302" s="24"/>
      <c r="I302" s="23"/>
      <c r="J302" s="23"/>
      <c r="K302" s="24"/>
      <c r="L302" s="90"/>
      <c r="M302" s="23"/>
      <c r="N302" s="23"/>
    </row>
    <row r="303" spans="1:14" ht="14.45">
      <c r="A303" s="23"/>
      <c r="B303" s="35"/>
      <c r="C303" s="23"/>
      <c r="D303" s="23"/>
      <c r="E303" s="23"/>
      <c r="F303" s="23"/>
      <c r="G303" s="23"/>
      <c r="H303" s="24"/>
      <c r="I303" s="23"/>
      <c r="J303" s="23"/>
      <c r="K303" s="24"/>
      <c r="L303" s="90"/>
      <c r="M303" s="23"/>
      <c r="N303" s="23"/>
    </row>
    <row r="304" spans="1:14" ht="14.45">
      <c r="A304" s="23"/>
      <c r="B304" s="35"/>
      <c r="C304" s="23"/>
      <c r="D304" s="23"/>
      <c r="E304" s="23"/>
      <c r="F304" s="23"/>
      <c r="G304" s="23"/>
      <c r="H304" s="24"/>
      <c r="I304" s="23"/>
      <c r="J304" s="23"/>
      <c r="K304" s="24"/>
      <c r="L304" s="90"/>
      <c r="M304" s="23"/>
      <c r="N304" s="23"/>
    </row>
    <row r="305" spans="1:14" ht="14.45">
      <c r="A305" s="23"/>
      <c r="B305" s="35"/>
      <c r="C305" s="23"/>
      <c r="D305" s="23"/>
      <c r="E305" s="23"/>
      <c r="F305" s="23"/>
      <c r="G305" s="23"/>
      <c r="H305" s="24"/>
      <c r="I305" s="23"/>
      <c r="J305" s="23"/>
      <c r="K305" s="24"/>
      <c r="L305" s="90"/>
      <c r="M305" s="23"/>
      <c r="N305" s="23"/>
    </row>
    <row r="306" spans="1:14" ht="14.45">
      <c r="A306" s="23"/>
      <c r="B306" s="35"/>
      <c r="C306" s="23"/>
      <c r="D306" s="23"/>
      <c r="E306" s="23"/>
      <c r="F306" s="23"/>
      <c r="G306" s="23"/>
      <c r="H306" s="24"/>
      <c r="I306" s="23"/>
      <c r="J306" s="23"/>
      <c r="K306" s="24"/>
      <c r="L306" s="90"/>
      <c r="M306" s="23"/>
      <c r="N306" s="23"/>
    </row>
    <row r="307" spans="1:14" ht="14.45">
      <c r="A307" s="23"/>
      <c r="B307" s="35"/>
      <c r="C307" s="23"/>
      <c r="D307" s="23"/>
      <c r="E307" s="23"/>
      <c r="F307" s="23"/>
      <c r="G307" s="23"/>
      <c r="H307" s="24"/>
      <c r="I307" s="23"/>
      <c r="J307" s="23"/>
      <c r="K307" s="24"/>
      <c r="L307" s="90"/>
      <c r="M307" s="23"/>
      <c r="N307" s="23"/>
    </row>
    <row r="308" spans="1:14" ht="14.45">
      <c r="A308" s="23"/>
      <c r="B308" s="35"/>
      <c r="C308" s="23"/>
      <c r="D308" s="23"/>
      <c r="E308" s="23"/>
      <c r="F308" s="23"/>
      <c r="G308" s="23"/>
      <c r="H308" s="24"/>
      <c r="I308" s="23"/>
      <c r="J308" s="23"/>
      <c r="K308" s="24"/>
      <c r="L308" s="90"/>
      <c r="M308" s="23"/>
      <c r="N308" s="23"/>
    </row>
    <row r="309" spans="1:14" ht="14.45">
      <c r="A309" s="23"/>
      <c r="B309" s="35"/>
      <c r="C309" s="23"/>
      <c r="D309" s="23"/>
      <c r="E309" s="23"/>
      <c r="F309" s="23"/>
      <c r="G309" s="23"/>
      <c r="H309" s="24"/>
      <c r="I309" s="23"/>
      <c r="J309" s="23"/>
      <c r="K309" s="24"/>
      <c r="L309" s="90"/>
      <c r="M309" s="23"/>
      <c r="N309" s="23"/>
    </row>
    <row r="310" spans="1:14" ht="14.45">
      <c r="A310" s="23"/>
      <c r="B310" s="35"/>
      <c r="C310" s="23"/>
      <c r="D310" s="23"/>
      <c r="E310" s="23"/>
      <c r="F310" s="23"/>
      <c r="G310" s="23"/>
      <c r="H310" s="24"/>
      <c r="I310" s="23"/>
      <c r="J310" s="23"/>
      <c r="K310" s="24"/>
      <c r="L310" s="90"/>
      <c r="M310" s="23"/>
      <c r="N310" s="23"/>
    </row>
    <row r="311" spans="1:14" ht="14.45">
      <c r="A311" s="23"/>
      <c r="B311" s="35"/>
      <c r="C311" s="23"/>
      <c r="D311" s="23"/>
      <c r="E311" s="23"/>
      <c r="F311" s="23"/>
      <c r="G311" s="23"/>
      <c r="H311" s="24"/>
      <c r="I311" s="23"/>
      <c r="J311" s="23"/>
      <c r="K311" s="24"/>
      <c r="L311" s="90"/>
      <c r="M311" s="23"/>
      <c r="N311" s="23"/>
    </row>
    <row r="312" spans="1:14" ht="14.45">
      <c r="A312" s="23"/>
      <c r="B312" s="35"/>
      <c r="C312" s="23"/>
      <c r="D312" s="23"/>
      <c r="E312" s="23"/>
      <c r="F312" s="23"/>
      <c r="G312" s="23"/>
      <c r="H312" s="24"/>
      <c r="I312" s="23"/>
      <c r="J312" s="23"/>
      <c r="K312" s="24"/>
      <c r="L312" s="90"/>
      <c r="M312" s="23"/>
      <c r="N312" s="23"/>
    </row>
    <row r="313" spans="1:14" ht="14.45">
      <c r="A313" s="23"/>
      <c r="B313" s="35"/>
      <c r="C313" s="23"/>
      <c r="D313" s="23"/>
      <c r="E313" s="23"/>
      <c r="F313" s="23"/>
      <c r="G313" s="23"/>
      <c r="H313" s="24"/>
      <c r="I313" s="23"/>
      <c r="J313" s="23"/>
      <c r="K313" s="24"/>
      <c r="L313" s="90"/>
      <c r="M313" s="23"/>
      <c r="N313" s="23"/>
    </row>
    <row r="314" spans="1:14" ht="14.45">
      <c r="A314" s="23"/>
      <c r="B314" s="35"/>
      <c r="C314" s="23"/>
      <c r="D314" s="23"/>
      <c r="E314" s="23"/>
      <c r="F314" s="23"/>
      <c r="G314" s="23"/>
      <c r="H314" s="24"/>
      <c r="I314" s="23"/>
      <c r="J314" s="23"/>
      <c r="K314" s="24"/>
      <c r="L314" s="90"/>
      <c r="M314" s="23"/>
      <c r="N314" s="23"/>
    </row>
    <row r="315" spans="1:14" ht="14.45">
      <c r="A315" s="23"/>
      <c r="B315" s="35"/>
      <c r="C315" s="23"/>
      <c r="D315" s="23"/>
      <c r="E315" s="23"/>
      <c r="F315" s="23"/>
      <c r="G315" s="23"/>
      <c r="H315" s="24"/>
      <c r="I315" s="23"/>
      <c r="J315" s="23"/>
      <c r="K315" s="24"/>
      <c r="L315" s="90"/>
      <c r="M315" s="23"/>
      <c r="N315" s="23"/>
    </row>
    <row r="316" spans="1:14" ht="14.45">
      <c r="A316" s="23"/>
      <c r="B316" s="35"/>
      <c r="C316" s="23"/>
      <c r="D316" s="23"/>
      <c r="E316" s="23"/>
      <c r="F316" s="23"/>
      <c r="G316" s="23"/>
      <c r="H316" s="24"/>
      <c r="I316" s="23"/>
      <c r="J316" s="23"/>
      <c r="K316" s="24"/>
      <c r="L316" s="90"/>
      <c r="M316" s="23"/>
      <c r="N316" s="23"/>
    </row>
    <row r="317" spans="1:14" ht="14.45">
      <c r="A317" s="23"/>
      <c r="B317" s="35"/>
      <c r="C317" s="23"/>
      <c r="D317" s="23"/>
      <c r="E317" s="23"/>
      <c r="F317" s="23"/>
      <c r="G317" s="23"/>
      <c r="H317" s="24"/>
      <c r="I317" s="23"/>
      <c r="J317" s="23"/>
      <c r="K317" s="24"/>
      <c r="L317" s="90"/>
      <c r="M317" s="23"/>
      <c r="N317" s="23"/>
    </row>
    <row r="318" spans="1:14" ht="14.45">
      <c r="A318" s="23"/>
      <c r="B318" s="35"/>
      <c r="C318" s="23"/>
      <c r="D318" s="23"/>
      <c r="E318" s="23"/>
      <c r="F318" s="23"/>
      <c r="G318" s="23"/>
      <c r="H318" s="24"/>
      <c r="I318" s="23"/>
      <c r="J318" s="23"/>
      <c r="K318" s="24"/>
      <c r="L318" s="90"/>
      <c r="M318" s="23"/>
      <c r="N318" s="23"/>
    </row>
    <row r="319" spans="1:14" ht="14.45">
      <c r="A319" s="23"/>
      <c r="B319" s="35"/>
      <c r="C319" s="23"/>
      <c r="D319" s="23"/>
      <c r="E319" s="23"/>
      <c r="F319" s="23"/>
      <c r="G319" s="23"/>
      <c r="H319" s="24"/>
      <c r="I319" s="23"/>
      <c r="J319" s="23"/>
      <c r="K319" s="24"/>
      <c r="L319" s="90"/>
      <c r="M319" s="23"/>
      <c r="N319" s="23"/>
    </row>
    <row r="320" spans="1:14" ht="14.45">
      <c r="A320" s="23"/>
      <c r="B320" s="35"/>
      <c r="C320" s="23"/>
      <c r="D320" s="23"/>
      <c r="E320" s="23"/>
      <c r="F320" s="23"/>
      <c r="G320" s="23"/>
      <c r="H320" s="24"/>
      <c r="I320" s="23"/>
      <c r="J320" s="23"/>
      <c r="K320" s="24"/>
      <c r="L320" s="90"/>
      <c r="M320" s="23"/>
      <c r="N320" s="23"/>
    </row>
    <row r="321" spans="1:14" ht="14.45">
      <c r="A321" s="23"/>
      <c r="B321" s="35"/>
      <c r="C321" s="23"/>
      <c r="D321" s="23"/>
      <c r="E321" s="23"/>
      <c r="F321" s="23"/>
      <c r="G321" s="23"/>
      <c r="H321" s="24"/>
      <c r="I321" s="23"/>
      <c r="J321" s="23"/>
      <c r="K321" s="24"/>
      <c r="L321" s="90"/>
      <c r="M321" s="23"/>
      <c r="N321" s="23"/>
    </row>
    <row r="322" spans="1:14" ht="14.45">
      <c r="A322" s="23"/>
      <c r="B322" s="35"/>
      <c r="C322" s="23"/>
      <c r="D322" s="23"/>
      <c r="E322" s="23"/>
      <c r="F322" s="23"/>
      <c r="G322" s="23"/>
      <c r="H322" s="24"/>
      <c r="I322" s="23"/>
      <c r="J322" s="23"/>
      <c r="K322" s="24"/>
      <c r="L322" s="90"/>
      <c r="M322" s="23"/>
      <c r="N322" s="23"/>
    </row>
    <row r="323" spans="1:14" ht="14.45">
      <c r="A323" s="23"/>
      <c r="B323" s="35"/>
      <c r="C323" s="23"/>
      <c r="D323" s="23"/>
      <c r="E323" s="23"/>
      <c r="F323" s="23"/>
      <c r="G323" s="23"/>
      <c r="H323" s="24"/>
      <c r="I323" s="23"/>
      <c r="J323" s="23"/>
      <c r="K323" s="24"/>
      <c r="L323" s="90"/>
      <c r="M323" s="23"/>
      <c r="N323" s="23"/>
    </row>
    <row r="324" spans="1:14" ht="14.45">
      <c r="A324" s="23"/>
      <c r="B324" s="35"/>
      <c r="C324" s="23"/>
      <c r="D324" s="23"/>
      <c r="E324" s="23"/>
      <c r="F324" s="23"/>
      <c r="G324" s="23"/>
      <c r="H324" s="24"/>
      <c r="I324" s="23"/>
      <c r="J324" s="23"/>
      <c r="K324" s="24"/>
      <c r="L324" s="90"/>
      <c r="M324" s="23"/>
      <c r="N324" s="23"/>
    </row>
    <row r="325" spans="1:14" ht="14.45">
      <c r="A325" s="23"/>
      <c r="B325" s="35"/>
      <c r="C325" s="23"/>
      <c r="D325" s="23"/>
      <c r="E325" s="23"/>
      <c r="F325" s="23"/>
      <c r="G325" s="23"/>
      <c r="H325" s="24"/>
      <c r="I325" s="23"/>
      <c r="J325" s="23"/>
      <c r="K325" s="24"/>
      <c r="L325" s="90"/>
      <c r="M325" s="23"/>
      <c r="N325" s="23"/>
    </row>
    <row r="326" spans="1:14" ht="14.45">
      <c r="A326" s="23"/>
      <c r="B326" s="35"/>
      <c r="C326" s="23"/>
      <c r="D326" s="23"/>
      <c r="E326" s="23"/>
      <c r="F326" s="23"/>
      <c r="G326" s="23"/>
      <c r="H326" s="24"/>
      <c r="I326" s="23"/>
      <c r="J326" s="23"/>
      <c r="K326" s="24"/>
      <c r="L326" s="90"/>
      <c r="M326" s="23"/>
      <c r="N326" s="23"/>
    </row>
    <row r="327" spans="1:14" ht="14.45">
      <c r="A327" s="23"/>
      <c r="B327" s="35"/>
      <c r="C327" s="23"/>
      <c r="D327" s="23"/>
      <c r="E327" s="23"/>
      <c r="F327" s="23"/>
      <c r="G327" s="23"/>
      <c r="H327" s="24"/>
      <c r="I327" s="23"/>
      <c r="J327" s="23"/>
      <c r="K327" s="24"/>
      <c r="L327" s="90"/>
      <c r="M327" s="23"/>
      <c r="N327" s="23"/>
    </row>
    <row r="328" spans="1:14" ht="14.45">
      <c r="A328" s="23"/>
      <c r="B328" s="35"/>
      <c r="C328" s="23"/>
      <c r="D328" s="23"/>
      <c r="E328" s="23"/>
      <c r="F328" s="23"/>
      <c r="G328" s="23"/>
      <c r="H328" s="24"/>
      <c r="I328" s="23"/>
      <c r="J328" s="23"/>
      <c r="K328" s="24"/>
      <c r="L328" s="90"/>
      <c r="M328" s="23"/>
      <c r="N328" s="23"/>
    </row>
    <row r="329" spans="1:14" ht="14.45">
      <c r="A329" s="23"/>
      <c r="B329" s="35"/>
      <c r="C329" s="23"/>
      <c r="D329" s="23"/>
      <c r="E329" s="23"/>
      <c r="F329" s="23"/>
      <c r="G329" s="23"/>
      <c r="H329" s="24"/>
      <c r="I329" s="23"/>
      <c r="J329" s="23"/>
      <c r="K329" s="24"/>
      <c r="L329" s="90"/>
      <c r="M329" s="23"/>
      <c r="N329" s="23"/>
    </row>
    <row r="330" spans="1:14" ht="14.45">
      <c r="A330" s="23"/>
      <c r="B330" s="35"/>
      <c r="C330" s="23"/>
      <c r="D330" s="23"/>
      <c r="E330" s="23"/>
      <c r="F330" s="23"/>
      <c r="G330" s="23"/>
      <c r="H330" s="24"/>
      <c r="I330" s="23"/>
      <c r="J330" s="23"/>
      <c r="K330" s="24"/>
      <c r="L330" s="90"/>
      <c r="M330" s="23"/>
      <c r="N330" s="23"/>
    </row>
    <row r="331" spans="1:14" ht="14.45">
      <c r="A331" s="23"/>
      <c r="B331" s="35"/>
      <c r="C331" s="23"/>
      <c r="D331" s="23"/>
      <c r="E331" s="23"/>
      <c r="F331" s="23"/>
      <c r="G331" s="23"/>
      <c r="H331" s="24"/>
      <c r="I331" s="23"/>
      <c r="J331" s="23"/>
      <c r="K331" s="24"/>
      <c r="L331" s="90"/>
      <c r="M331" s="23"/>
      <c r="N331" s="23"/>
    </row>
    <row r="332" spans="1:14" ht="14.45">
      <c r="A332" s="23"/>
      <c r="B332" s="35"/>
      <c r="C332" s="23"/>
      <c r="D332" s="23"/>
      <c r="E332" s="23"/>
      <c r="F332" s="23"/>
      <c r="G332" s="23"/>
      <c r="H332" s="24"/>
      <c r="I332" s="23"/>
      <c r="J332" s="23"/>
      <c r="K332" s="24"/>
      <c r="L332" s="90"/>
      <c r="M332" s="23"/>
      <c r="N332" s="23"/>
    </row>
    <row r="333" spans="1:14" ht="14.45">
      <c r="A333" s="23"/>
      <c r="B333" s="35"/>
      <c r="C333" s="23"/>
      <c r="D333" s="23"/>
      <c r="E333" s="23"/>
      <c r="F333" s="23"/>
      <c r="G333" s="23"/>
      <c r="H333" s="24"/>
      <c r="I333" s="23"/>
      <c r="J333" s="23"/>
      <c r="K333" s="24"/>
      <c r="L333" s="90"/>
      <c r="M333" s="23"/>
      <c r="N333" s="23"/>
    </row>
    <row r="334" spans="1:14" ht="14.45">
      <c r="A334" s="23"/>
      <c r="B334" s="35"/>
      <c r="C334" s="23"/>
      <c r="D334" s="23"/>
      <c r="E334" s="23"/>
      <c r="F334" s="23"/>
      <c r="G334" s="23"/>
      <c r="H334" s="24"/>
      <c r="I334" s="23"/>
      <c r="J334" s="23"/>
      <c r="K334" s="24"/>
      <c r="L334" s="90"/>
      <c r="M334" s="23"/>
      <c r="N334" s="23"/>
    </row>
    <row r="335" spans="1:14" ht="14.45">
      <c r="A335" s="23"/>
      <c r="B335" s="35"/>
      <c r="C335" s="23"/>
      <c r="D335" s="23"/>
      <c r="E335" s="23"/>
      <c r="F335" s="23"/>
      <c r="G335" s="23"/>
      <c r="H335" s="24"/>
      <c r="I335" s="23"/>
      <c r="J335" s="23"/>
      <c r="K335" s="24"/>
      <c r="L335" s="90"/>
      <c r="M335" s="23"/>
      <c r="N335" s="23"/>
    </row>
    <row r="336" spans="1:14" ht="14.45">
      <c r="A336" s="23"/>
      <c r="B336" s="35"/>
      <c r="C336" s="23"/>
      <c r="D336" s="23"/>
      <c r="E336" s="23"/>
      <c r="F336" s="23"/>
      <c r="G336" s="23"/>
      <c r="H336" s="24"/>
      <c r="I336" s="23"/>
      <c r="J336" s="23"/>
      <c r="K336" s="24"/>
      <c r="L336" s="90"/>
      <c r="M336" s="23"/>
      <c r="N336" s="23"/>
    </row>
    <row r="337" spans="1:14" ht="14.45">
      <c r="A337" s="23"/>
      <c r="B337" s="35"/>
      <c r="C337" s="23"/>
      <c r="D337" s="23"/>
      <c r="E337" s="23"/>
      <c r="F337" s="23"/>
      <c r="G337" s="23"/>
      <c r="H337" s="24"/>
      <c r="I337" s="23"/>
      <c r="J337" s="23"/>
      <c r="K337" s="24"/>
      <c r="L337" s="90"/>
      <c r="M337" s="23"/>
      <c r="N337" s="23"/>
    </row>
    <row r="338" spans="1:14" ht="14.45">
      <c r="A338" s="23"/>
      <c r="B338" s="35"/>
      <c r="C338" s="23"/>
      <c r="D338" s="23"/>
      <c r="E338" s="23"/>
      <c r="F338" s="23"/>
      <c r="G338" s="23"/>
      <c r="H338" s="24"/>
      <c r="I338" s="23"/>
      <c r="J338" s="23"/>
      <c r="K338" s="24"/>
      <c r="L338" s="90"/>
      <c r="M338" s="23"/>
      <c r="N338" s="23"/>
    </row>
    <row r="339" spans="1:14" ht="14.45">
      <c r="A339" s="23"/>
      <c r="B339" s="35"/>
      <c r="C339" s="23"/>
      <c r="D339" s="23"/>
      <c r="E339" s="23"/>
      <c r="F339" s="23"/>
      <c r="G339" s="23"/>
      <c r="H339" s="24"/>
      <c r="I339" s="23"/>
      <c r="J339" s="23"/>
      <c r="K339" s="24"/>
      <c r="L339" s="90"/>
      <c r="M339" s="23"/>
      <c r="N339" s="23"/>
    </row>
    <row r="340" spans="1:14" ht="14.45">
      <c r="A340" s="23"/>
      <c r="B340" s="35"/>
      <c r="C340" s="23"/>
      <c r="D340" s="23"/>
      <c r="E340" s="23"/>
      <c r="F340" s="23"/>
      <c r="G340" s="23"/>
      <c r="H340" s="24"/>
      <c r="I340" s="23"/>
      <c r="J340" s="23"/>
      <c r="K340" s="24"/>
      <c r="L340" s="90"/>
      <c r="M340" s="23"/>
      <c r="N340" s="23"/>
    </row>
    <row r="341" spans="1:14" ht="14.45">
      <c r="A341" s="23"/>
      <c r="B341" s="35"/>
      <c r="C341" s="23"/>
      <c r="D341" s="23"/>
      <c r="E341" s="23"/>
      <c r="F341" s="23"/>
      <c r="G341" s="23"/>
      <c r="H341" s="24"/>
      <c r="I341" s="23"/>
      <c r="J341" s="23"/>
      <c r="K341" s="24"/>
      <c r="L341" s="90"/>
      <c r="M341" s="23"/>
      <c r="N341" s="23"/>
    </row>
    <row r="342" spans="1:14" ht="14.45">
      <c r="C342" s="23"/>
      <c r="D342" s="23"/>
      <c r="E342" s="23"/>
      <c r="F342" s="23"/>
      <c r="G342" s="23"/>
      <c r="H342" s="24"/>
      <c r="I342" s="23"/>
      <c r="J342" s="23"/>
      <c r="K342" s="24"/>
      <c r="L342" s="90"/>
      <c r="M342" s="23"/>
      <c r="N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hyperlinks>
    <hyperlink ref="M5" r:id="rId1" display="https://us3.assetplanner.com/service_request?ID=109230" xr:uid="{F273D875-AA20-4F89-8A4D-3C3F382398EC}"/>
    <hyperlink ref="M8" r:id="rId2" display="https://us3.assetplanner.com/service_request?ID=108382" xr:uid="{7C468497-D7A8-4FBF-8A1A-C14227974750}"/>
    <hyperlink ref="M10" r:id="rId3" display="https://us3.assetplanner.com/service_request?ID=109754" xr:uid="{4872EEA7-75C0-46E9-8A24-189C20C0C84B}"/>
    <hyperlink ref="M12" r:id="rId4" display="https://us3.assetplanner.com/service_request?ID=108584" xr:uid="{570F740D-DFB2-4B98-B5FE-5BC23BC3C72D}"/>
    <hyperlink ref="O12" r:id="rId5" display="https://us3.assetplanner.com/service_request?ID=108619" xr:uid="{D661C309-376E-4026-83A5-AC4B13017366}"/>
    <hyperlink ref="M13" r:id="rId6" display="https://us3.assetplanner.com/service_request?ID=108914" xr:uid="{66EBC185-B157-4BEE-9ED8-A3E2F5EC400A}"/>
    <hyperlink ref="O13" r:id="rId7" display="https://us3.assetplanner.com/service_request?ID=107710" xr:uid="{49D765F1-18C4-441B-8CE5-075A3866B780}"/>
    <hyperlink ref="P13" r:id="rId8" display="https://us3.assetplanner.com/service_request?ID=105254" xr:uid="{FEAFB399-D033-4E58-B43C-F236CCD095E3}"/>
    <hyperlink ref="Q13" r:id="rId9" display="https://us3.assetplanner.com/service_request?ID=106156" xr:uid="{C2BBB932-01E4-4AF7-92DC-1998B926F1F6}"/>
    <hyperlink ref="M17" r:id="rId10" display="https://us3.assetplanner.com/service_request?ID=097653" xr:uid="{62FF6EE1-C469-4753-95E4-5E0B84815DDB}"/>
    <hyperlink ref="M21" r:id="rId11" display="https://us3.assetplanner.com/service_request?ID=107287" xr:uid="{2776490F-AD00-42FF-A2D7-67061F3BC8C3}"/>
    <hyperlink ref="O21" r:id="rId12" display="https://us3.assetplanner.com/service_request?ID=109154" xr:uid="{4A59694C-C40C-4208-A02C-9C2DCA029C9E}"/>
    <hyperlink ref="M23" r:id="rId13" display="https://us3.assetplanner.com/service_request?ID=106356" xr:uid="{4127B61A-E765-4881-BD7F-AA2650A60AD1}"/>
    <hyperlink ref="O23" r:id="rId14" display="https://us3.assetplanner.com/service_request?ID=108432" xr:uid="{980E8DF9-2963-421B-85C1-DE93C34169D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42"/>
  <sheetViews>
    <sheetView zoomScale="50" zoomScaleNormal="50" workbookViewId="0">
      <pane ySplit="2" topLeftCell="A3" activePane="bottomLeft" state="frozen"/>
      <selection pane="bottomLeft" activeCell="O4" sqref="O4:O2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29.25" customHeight="1" thickBot="1">
      <c r="A1" s="135" t="str" cm="1">
        <f t="array" ref="A1">portfolio</f>
        <v>CITI</v>
      </c>
      <c r="B1" s="135"/>
      <c r="C1" s="135"/>
      <c r="D1" s="74" t="s">
        <v>0</v>
      </c>
      <c r="E1" s="75" t="s">
        <v>1</v>
      </c>
      <c r="F1" s="136" t="s">
        <v>325</v>
      </c>
      <c r="G1" s="136"/>
      <c r="H1" s="136"/>
      <c r="I1" s="134" t="s">
        <v>326</v>
      </c>
      <c r="J1" s="134"/>
      <c r="K1" s="134"/>
      <c r="L1" s="5"/>
      <c r="M1" s="5"/>
    </row>
    <row r="2" spans="1:15" ht="19.5" customHeight="1">
      <c r="A2" s="137" t="s">
        <v>4</v>
      </c>
      <c r="B2" s="137"/>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5" ht="14.25" customHeight="1">
      <c r="A3" s="9" t="s">
        <v>5</v>
      </c>
      <c r="B3" s="9" t="s">
        <v>6</v>
      </c>
      <c r="C3" s="25" t="s">
        <v>7</v>
      </c>
      <c r="D3" s="69"/>
      <c r="E3" s="70"/>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c r="O4" s="113"/>
    </row>
    <row r="5" spans="1:15" ht="15.6">
      <c r="A5" s="32" t="str">
        <v>CA: Antioch MC CUP - Citi</v>
      </c>
      <c r="B5" s="33" t="str">
        <v>CA</v>
      </c>
      <c r="C5" s="12"/>
      <c r="D5" s="12"/>
      <c r="E5" s="80" t="e">
        <f t="shared" si="0"/>
        <v>#DIV/0!</v>
      </c>
      <c r="F5" s="20"/>
      <c r="G5" s="20"/>
      <c r="H5" s="21" t="str">
        <f>IFERROR(G5/F5, "")</f>
        <v/>
      </c>
      <c r="I5" s="22"/>
      <c r="J5" s="22"/>
      <c r="K5" s="21" t="str">
        <f t="shared" ref="K5:K15" si="1">IFERROR(J5/I5, "")</f>
        <v/>
      </c>
      <c r="L5" s="59"/>
      <c r="M5" s="93"/>
      <c r="O5" s="113" t="s">
        <v>302</v>
      </c>
    </row>
    <row r="6" spans="1:15" ht="15.6">
      <c r="A6" s="30" t="str">
        <v>CA: Clovis - Citi</v>
      </c>
      <c r="B6" s="31" t="str">
        <v>CA</v>
      </c>
      <c r="C6" s="26"/>
      <c r="D6" s="71"/>
      <c r="E6" s="82" t="e">
        <f t="shared" si="0"/>
        <v>#DIV/0!</v>
      </c>
      <c r="F6" s="14"/>
      <c r="G6" s="14"/>
      <c r="H6" s="15" t="str">
        <f t="shared" ref="H6:H15" si="2">IFERROR(G6/F6, "")</f>
        <v/>
      </c>
      <c r="I6" s="16"/>
      <c r="J6" s="16"/>
      <c r="K6" s="17" t="str">
        <f t="shared" si="1"/>
        <v/>
      </c>
      <c r="L6" s="58"/>
      <c r="M6" s="58"/>
      <c r="O6" s="113"/>
    </row>
    <row r="7" spans="1:15" ht="15.6">
      <c r="A7" s="32" t="str">
        <v>CA: Elk Grove MOB - Citi</v>
      </c>
      <c r="B7" s="33" t="str">
        <v>CA</v>
      </c>
      <c r="C7" s="12"/>
      <c r="D7" s="12"/>
      <c r="E7" s="80" t="e">
        <f t="shared" si="0"/>
        <v>#DIV/0!</v>
      </c>
      <c r="F7" s="20"/>
      <c r="G7" s="20"/>
      <c r="H7" s="21" t="str">
        <f t="shared" si="2"/>
        <v/>
      </c>
      <c r="I7" s="22"/>
      <c r="J7" s="22"/>
      <c r="K7" s="21" t="str">
        <f t="shared" si="1"/>
        <v/>
      </c>
      <c r="L7" s="59"/>
      <c r="M7" s="93"/>
      <c r="O7" s="113"/>
    </row>
    <row r="8" spans="1:15" ht="15.6">
      <c r="A8" s="30" t="str">
        <v>CA: Elk Grove Promenade - Citi</v>
      </c>
      <c r="B8" s="31" t="str">
        <v>CA</v>
      </c>
      <c r="C8" s="26"/>
      <c r="D8" s="71"/>
      <c r="E8" s="82" t="e">
        <f t="shared" si="0"/>
        <v>#DIV/0!</v>
      </c>
      <c r="F8" s="14"/>
      <c r="G8" s="14"/>
      <c r="H8" s="15" t="str">
        <f t="shared" si="2"/>
        <v/>
      </c>
      <c r="I8" s="16"/>
      <c r="J8" s="16"/>
      <c r="K8" s="17" t="str">
        <f t="shared" si="1"/>
        <v/>
      </c>
      <c r="L8" s="58"/>
      <c r="M8" s="58"/>
      <c r="O8" s="113" t="s">
        <v>306</v>
      </c>
    </row>
    <row r="9" spans="1:15" ht="15.6">
      <c r="A9" s="32" t="str">
        <v>CA: Fresno Sequioa - Citi</v>
      </c>
      <c r="B9" s="33" t="str">
        <v>CA</v>
      </c>
      <c r="C9" s="12"/>
      <c r="D9" s="12"/>
      <c r="E9" s="80" t="e">
        <f t="shared" si="0"/>
        <v>#DIV/0!</v>
      </c>
      <c r="F9" s="20"/>
      <c r="G9" s="20"/>
      <c r="H9" s="21" t="str">
        <f t="shared" si="2"/>
        <v/>
      </c>
      <c r="I9" s="22"/>
      <c r="J9" s="22"/>
      <c r="K9" s="21" t="str">
        <f t="shared" si="1"/>
        <v/>
      </c>
      <c r="L9" s="59"/>
      <c r="M9" s="93"/>
      <c r="O9" s="113"/>
    </row>
    <row r="10" spans="1:15" ht="15.6">
      <c r="A10" s="30" t="str">
        <v>CA: Fresno MOB - Citi</v>
      </c>
      <c r="B10" s="31" t="str">
        <v>CA</v>
      </c>
      <c r="C10" s="26"/>
      <c r="D10" s="71"/>
      <c r="E10" s="82" t="e">
        <f t="shared" si="0"/>
        <v>#DIV/0!</v>
      </c>
      <c r="F10" s="14"/>
      <c r="G10" s="14"/>
      <c r="H10" s="15" t="str">
        <f t="shared" si="2"/>
        <v/>
      </c>
      <c r="I10" s="16"/>
      <c r="J10" s="16"/>
      <c r="K10" s="17" t="str">
        <f t="shared" si="1"/>
        <v/>
      </c>
      <c r="L10" s="58"/>
      <c r="M10" s="58"/>
      <c r="O10" s="113" t="s">
        <v>302</v>
      </c>
    </row>
    <row r="11" spans="1:15" ht="81" customHeight="1">
      <c r="A11" s="32" t="str">
        <v>CA: Modesto Bangs - Citi</v>
      </c>
      <c r="B11" s="33" t="str">
        <v>CA</v>
      </c>
      <c r="C11" s="12"/>
      <c r="D11" s="12"/>
      <c r="E11" s="80" t="e">
        <f t="shared" si="0"/>
        <v>#DIV/0!</v>
      </c>
      <c r="F11" s="20"/>
      <c r="G11" s="20"/>
      <c r="H11" s="21" t="str">
        <f t="shared" si="2"/>
        <v/>
      </c>
      <c r="I11" s="22"/>
      <c r="J11" s="22"/>
      <c r="K11" s="21" t="str">
        <f t="shared" si="1"/>
        <v/>
      </c>
      <c r="L11" s="66"/>
      <c r="M11" s="97"/>
      <c r="O11" s="113"/>
    </row>
    <row r="12" spans="1:15" ht="52.9">
      <c r="A12" s="30" t="str">
        <v>CA: Napa Data Center - Citi</v>
      </c>
      <c r="B12" s="31" t="str">
        <v>CA</v>
      </c>
      <c r="C12" s="26"/>
      <c r="D12" s="71"/>
      <c r="E12" s="82" t="e">
        <f t="shared" si="0"/>
        <v>#DIV/0!</v>
      </c>
      <c r="F12" s="14"/>
      <c r="G12" s="14"/>
      <c r="H12" s="15" t="str">
        <f t="shared" si="2"/>
        <v/>
      </c>
      <c r="I12" s="16"/>
      <c r="J12" s="16"/>
      <c r="K12" s="17" t="str">
        <f t="shared" si="1"/>
        <v/>
      </c>
      <c r="L12" s="58"/>
      <c r="M12" s="58"/>
      <c r="O12" s="131" t="s">
        <v>311</v>
      </c>
    </row>
    <row r="13" spans="1:15" ht="105.6">
      <c r="A13" s="32" t="str">
        <v>CA: Petaluma MOB - Citi</v>
      </c>
      <c r="B13" s="33" t="str">
        <v>CA</v>
      </c>
      <c r="C13" s="12"/>
      <c r="D13" s="12"/>
      <c r="E13" s="80" t="e">
        <f t="shared" si="0"/>
        <v>#DIV/0!</v>
      </c>
      <c r="F13" s="20"/>
      <c r="G13" s="20"/>
      <c r="H13" s="21" t="str">
        <f t="shared" si="2"/>
        <v/>
      </c>
      <c r="I13" s="22"/>
      <c r="J13" s="22"/>
      <c r="K13" s="21" t="str">
        <f t="shared" si="1"/>
        <v/>
      </c>
      <c r="L13" s="59"/>
      <c r="M13" s="92"/>
      <c r="O13" s="131" t="s">
        <v>314</v>
      </c>
    </row>
    <row r="14" spans="1:15" ht="15.6">
      <c r="A14" s="30" t="str">
        <v>CA: Pleasanton Tec Ctr - Citi</v>
      </c>
      <c r="B14" s="31" t="str">
        <v>CA</v>
      </c>
      <c r="C14" s="26"/>
      <c r="D14" s="71"/>
      <c r="E14" s="82" t="e">
        <f t="shared" si="0"/>
        <v>#DIV/0!</v>
      </c>
      <c r="F14" s="14"/>
      <c r="G14" s="14"/>
      <c r="H14" s="15" t="str">
        <f t="shared" si="2"/>
        <v/>
      </c>
      <c r="I14" s="16"/>
      <c r="J14" s="16"/>
      <c r="K14" s="17" t="str">
        <f t="shared" si="1"/>
        <v/>
      </c>
      <c r="L14" s="58"/>
      <c r="M14" s="58"/>
      <c r="O14" s="113"/>
    </row>
    <row r="15" spans="1:15" ht="15.6">
      <c r="A15" s="32" t="str">
        <v>CA: Rancho Cordova - Citi</v>
      </c>
      <c r="B15" s="33" t="str">
        <v>CA</v>
      </c>
      <c r="C15" s="12"/>
      <c r="D15" s="12"/>
      <c r="E15" s="80" t="e">
        <f t="shared" si="0"/>
        <v>#DIV/0!</v>
      </c>
      <c r="F15" s="20"/>
      <c r="G15" s="20"/>
      <c r="H15" s="21" t="str">
        <f t="shared" si="2"/>
        <v/>
      </c>
      <c r="I15" s="22"/>
      <c r="J15" s="22"/>
      <c r="K15" s="21" t="str">
        <f t="shared" si="1"/>
        <v/>
      </c>
      <c r="L15" s="59"/>
      <c r="M15" s="92"/>
      <c r="O15" s="113"/>
    </row>
    <row r="16" spans="1:15"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c r="O16" s="113"/>
    </row>
    <row r="17" spans="1:15" ht="15.6">
      <c r="A17" s="32" t="str">
        <v>CA: Sacramento Point West - Citi</v>
      </c>
      <c r="B17" s="33" t="str">
        <v>CA</v>
      </c>
      <c r="C17" s="42"/>
      <c r="D17" s="42"/>
      <c r="E17" s="80" t="e">
        <f t="shared" si="0"/>
        <v>#DIV/0!</v>
      </c>
      <c r="F17" s="20"/>
      <c r="G17" s="20"/>
      <c r="H17" s="43" t="str">
        <f t="shared" si="3"/>
        <v/>
      </c>
      <c r="I17" s="44"/>
      <c r="J17" s="44"/>
      <c r="K17" s="43" t="str">
        <f t="shared" si="4"/>
        <v/>
      </c>
      <c r="L17" s="59"/>
      <c r="M17" s="93"/>
      <c r="O17" s="113" t="s">
        <v>302</v>
      </c>
    </row>
    <row r="18" spans="1:15"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c r="O18" s="113"/>
    </row>
    <row r="19" spans="1:15" ht="15.6">
      <c r="A19" s="32" t="str">
        <v>CA: San Jose MOB - Citi</v>
      </c>
      <c r="B19" s="33" t="str">
        <v>CA</v>
      </c>
      <c r="C19" s="42"/>
      <c r="D19" s="42"/>
      <c r="E19" s="80" t="e">
        <f t="shared" si="0"/>
        <v>#DIV/0!</v>
      </c>
      <c r="F19" s="20"/>
      <c r="G19" s="20"/>
      <c r="H19" s="43" t="str">
        <f t="shared" si="3"/>
        <v/>
      </c>
      <c r="I19" s="44"/>
      <c r="J19" s="44"/>
      <c r="K19" s="43" t="str">
        <f t="shared" si="4"/>
        <v/>
      </c>
      <c r="L19" s="66"/>
      <c r="M19" s="97"/>
      <c r="O19" s="113"/>
    </row>
    <row r="20" spans="1:15" ht="15.6">
      <c r="A20" s="30" t="str">
        <v>CA: Selma - Citi</v>
      </c>
      <c r="B20" s="31" t="str">
        <v>CA</v>
      </c>
      <c r="C20" s="37"/>
      <c r="D20" s="72"/>
      <c r="E20" s="82" t="e">
        <f t="shared" si="0"/>
        <v>#DIV/0!</v>
      </c>
      <c r="F20" s="14"/>
      <c r="G20" s="14"/>
      <c r="H20" s="38" t="str">
        <f t="shared" si="3"/>
        <v/>
      </c>
      <c r="I20" s="39"/>
      <c r="J20" s="39"/>
      <c r="K20" s="40" t="str">
        <f t="shared" si="4"/>
        <v/>
      </c>
      <c r="L20" s="67"/>
      <c r="M20" s="67"/>
      <c r="O20" s="113"/>
    </row>
    <row r="21" spans="1:15" ht="39.6">
      <c r="A21" s="32" t="str">
        <v>CA: Vacaville Hospital</v>
      </c>
      <c r="B21" s="33" t="str">
        <v>CA</v>
      </c>
      <c r="C21" s="42"/>
      <c r="D21" s="42"/>
      <c r="E21" s="80" t="e">
        <f t="shared" si="0"/>
        <v>#DIV/0!</v>
      </c>
      <c r="F21" s="20"/>
      <c r="G21" s="20"/>
      <c r="H21" s="43" t="str">
        <f t="shared" si="3"/>
        <v/>
      </c>
      <c r="I21" s="44"/>
      <c r="J21" s="44"/>
      <c r="K21" s="43" t="str">
        <f t="shared" si="4"/>
        <v/>
      </c>
      <c r="L21" s="66"/>
      <c r="M21" s="97"/>
      <c r="O21" s="131" t="s">
        <v>320</v>
      </c>
    </row>
    <row r="22" spans="1:15" ht="15.6">
      <c r="A22" s="30" t="str">
        <v>CA: Manteca - KP Manteca Hospital</v>
      </c>
      <c r="B22" s="31" t="str">
        <v>CA</v>
      </c>
      <c r="C22" s="37"/>
      <c r="D22" s="72"/>
      <c r="E22" s="82" t="e">
        <f t="shared" si="0"/>
        <v>#DIV/0!</v>
      </c>
      <c r="F22" s="14"/>
      <c r="G22" s="14"/>
      <c r="H22" s="38" t="str">
        <f t="shared" si="3"/>
        <v/>
      </c>
      <c r="I22" s="39"/>
      <c r="J22" s="39"/>
      <c r="K22" s="40" t="str">
        <f t="shared" si="4"/>
        <v/>
      </c>
      <c r="L22" s="67"/>
      <c r="M22" s="67"/>
      <c r="O22" s="113"/>
    </row>
    <row r="23" spans="1:15" ht="52.9">
      <c r="A23" s="23" t="str">
        <v>Sacramento - KP South Sacramento HSP</v>
      </c>
      <c r="B23" s="35" t="str">
        <v>CA</v>
      </c>
      <c r="C23" s="23"/>
      <c r="D23" s="23"/>
      <c r="E23" s="23"/>
      <c r="F23" s="23"/>
      <c r="G23" s="23"/>
      <c r="H23" s="23"/>
      <c r="I23" s="23"/>
      <c r="J23" s="23"/>
      <c r="K23" s="23"/>
      <c r="L23" s="23"/>
      <c r="M23" s="23"/>
      <c r="O23" s="131" t="s">
        <v>311</v>
      </c>
    </row>
    <row r="24" spans="1:15" ht="14.45">
      <c r="A24" s="23"/>
      <c r="B24" s="35"/>
      <c r="C24" s="23"/>
      <c r="D24" s="23"/>
      <c r="E24" s="23"/>
      <c r="F24" s="23"/>
      <c r="G24" s="23"/>
      <c r="H24" s="23"/>
      <c r="I24" s="23"/>
      <c r="J24" s="23"/>
      <c r="K24" s="23"/>
      <c r="L24" s="23"/>
      <c r="M24" s="23"/>
      <c r="O24" s="113"/>
    </row>
    <row r="25" spans="1:15" ht="14.45">
      <c r="A25" s="23"/>
      <c r="B25" s="35"/>
      <c r="C25" s="23"/>
      <c r="D25" s="23"/>
      <c r="E25" s="7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35" t="str" cm="1">
        <f t="array" ref="A1">portfolio</f>
        <v>CITI</v>
      </c>
      <c r="B1" s="135"/>
      <c r="C1" s="135"/>
      <c r="D1" s="74" t="s">
        <v>0</v>
      </c>
      <c r="E1" s="75" t="s">
        <v>1</v>
      </c>
      <c r="F1" s="136" t="s">
        <v>327</v>
      </c>
      <c r="G1" s="136"/>
      <c r="H1" s="136"/>
      <c r="I1" s="134" t="s">
        <v>328</v>
      </c>
      <c r="J1" s="134"/>
      <c r="K1" s="134"/>
      <c r="L1" s="5"/>
      <c r="M1" s="5"/>
    </row>
    <row r="2" spans="1:13" ht="19.5" customHeight="1">
      <c r="A2" s="137" t="s">
        <v>4</v>
      </c>
      <c r="B2" s="137"/>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329</v>
      </c>
      <c r="B1" t="s">
        <v>330</v>
      </c>
    </row>
    <row r="3" spans="1:6" ht="13.15">
      <c r="A3" t="s">
        <v>331</v>
      </c>
      <c r="B3" t="s">
        <v>5</v>
      </c>
      <c r="C3" t="s">
        <v>6</v>
      </c>
      <c r="D3" t="s">
        <v>332</v>
      </c>
      <c r="E3" s="2" t="s">
        <v>333</v>
      </c>
    </row>
    <row r="4" spans="1:6" ht="14.45">
      <c r="A4" t="s">
        <v>334</v>
      </c>
      <c r="B4" t="s">
        <v>335</v>
      </c>
      <c r="C4" s="4" t="s">
        <v>336</v>
      </c>
      <c r="F4" s="3"/>
    </row>
    <row r="5" spans="1:6" ht="14.45">
      <c r="A5" t="s">
        <v>337</v>
      </c>
      <c r="B5" t="s">
        <v>338</v>
      </c>
      <c r="C5" s="4" t="s">
        <v>336</v>
      </c>
      <c r="F5" s="3"/>
    </row>
    <row r="6" spans="1:6" ht="14.45">
      <c r="A6" t="s">
        <v>339</v>
      </c>
      <c r="B6" t="s">
        <v>340</v>
      </c>
      <c r="C6" s="4" t="s">
        <v>336</v>
      </c>
      <c r="F6" s="3"/>
    </row>
    <row r="7" spans="1:6" ht="12.75" customHeight="1">
      <c r="A7" t="s">
        <v>341</v>
      </c>
      <c r="B7" t="s">
        <v>342</v>
      </c>
      <c r="C7" s="4" t="s">
        <v>336</v>
      </c>
    </row>
    <row r="8" spans="1:6" ht="12.75" customHeight="1">
      <c r="A8" t="s">
        <v>343</v>
      </c>
      <c r="B8" t="s">
        <v>344</v>
      </c>
      <c r="C8" s="4" t="s">
        <v>336</v>
      </c>
    </row>
    <row r="9" spans="1:6" ht="12.75" customHeight="1">
      <c r="A9" t="s">
        <v>345</v>
      </c>
      <c r="B9" t="s">
        <v>346</v>
      </c>
      <c r="C9" s="4" t="s">
        <v>336</v>
      </c>
    </row>
    <row r="10" spans="1:6" ht="12.75" customHeight="1">
      <c r="A10" t="s">
        <v>347</v>
      </c>
      <c r="B10" t="s">
        <v>348</v>
      </c>
      <c r="C10" s="4" t="s">
        <v>336</v>
      </c>
    </row>
    <row r="11" spans="1:6" ht="12.75" customHeight="1">
      <c r="A11" t="s">
        <v>349</v>
      </c>
      <c r="B11" t="s">
        <v>350</v>
      </c>
      <c r="C11" s="4" t="s">
        <v>336</v>
      </c>
    </row>
    <row r="12" spans="1:6" ht="12.75" customHeight="1">
      <c r="A12" t="s">
        <v>351</v>
      </c>
      <c r="B12" t="s">
        <v>352</v>
      </c>
      <c r="C12" s="4" t="s">
        <v>336</v>
      </c>
    </row>
    <row r="13" spans="1:6" ht="12.75" customHeight="1">
      <c r="A13" t="s">
        <v>353</v>
      </c>
      <c r="B13" t="s">
        <v>354</v>
      </c>
      <c r="C13" s="4" t="s">
        <v>336</v>
      </c>
    </row>
    <row r="14" spans="1:6" ht="12.75" customHeight="1">
      <c r="A14" t="s">
        <v>355</v>
      </c>
      <c r="B14" t="s">
        <v>356</v>
      </c>
      <c r="C14" s="4" t="s">
        <v>336</v>
      </c>
    </row>
    <row r="15" spans="1:6" ht="12.75" customHeight="1">
      <c r="A15" t="s">
        <v>357</v>
      </c>
      <c r="B15" t="s">
        <v>358</v>
      </c>
      <c r="C15" s="4" t="s">
        <v>336</v>
      </c>
    </row>
    <row r="16" spans="1:6" ht="12.75" customHeight="1">
      <c r="A16" t="s">
        <v>359</v>
      </c>
      <c r="B16" t="s">
        <v>360</v>
      </c>
      <c r="C16" s="4" t="s">
        <v>336</v>
      </c>
    </row>
    <row r="17" spans="1:3" ht="12.75" customHeight="1">
      <c r="A17" t="s">
        <v>361</v>
      </c>
      <c r="B17" t="s">
        <v>362</v>
      </c>
      <c r="C17" s="4" t="s">
        <v>336</v>
      </c>
    </row>
    <row r="18" spans="1:3" ht="12.75" customHeight="1">
      <c r="A18" t="s">
        <v>363</v>
      </c>
      <c r="B18" t="s">
        <v>364</v>
      </c>
      <c r="C18" s="4" t="s">
        <v>336</v>
      </c>
    </row>
    <row r="19" spans="1:3" ht="12.75" customHeight="1">
      <c r="A19" t="s">
        <v>365</v>
      </c>
      <c r="B19" t="s">
        <v>366</v>
      </c>
      <c r="C19" s="4" t="s">
        <v>336</v>
      </c>
    </row>
    <row r="20" spans="1:3" ht="12.75" customHeight="1">
      <c r="A20" t="s">
        <v>367</v>
      </c>
      <c r="B20" t="s">
        <v>368</v>
      </c>
      <c r="C20" s="4" t="s">
        <v>336</v>
      </c>
    </row>
    <row r="21" spans="1:3" ht="12.75" customHeight="1">
      <c r="A21" t="s">
        <v>369</v>
      </c>
      <c r="B21" t="s">
        <v>370</v>
      </c>
      <c r="C21" s="4" t="s">
        <v>336</v>
      </c>
    </row>
    <row r="22" spans="1:3" ht="12.75" customHeight="1">
      <c r="A22" s="56" t="s">
        <v>371</v>
      </c>
      <c r="B22" t="s">
        <v>372</v>
      </c>
      <c r="C22" s="4" t="s">
        <v>336</v>
      </c>
    </row>
    <row r="23" spans="1:3" ht="12.75" customHeight="1">
      <c r="A23" t="s">
        <v>373</v>
      </c>
      <c r="B23" t="s">
        <v>374</v>
      </c>
      <c r="C23" s="4" t="s">
        <v>336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FDB11BDA-42D8-4E3C-8AB1-18559E6CB60D}"/>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2025-12-01T14:51:54Z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