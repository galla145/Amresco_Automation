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29" documentId="13_ncr:1_{7F8CC8CC-DC1C-4874-940A-D30B7FD68F28}" xr6:coauthVersionLast="47" xr6:coauthVersionMax="47" xr10:uidLastSave="{E9D542D3-D8C9-4020-B01F-02984F9ECDF7}"/>
  <bookViews>
    <workbookView xWindow="-108" yWindow="-108" windowWidth="23256" windowHeight="13896" tabRatio="866" firstSheet="14" xr2:uid="{00000000-000D-0000-FFFF-FFFF00000000}"/>
  </bookViews>
  <sheets>
    <sheet name="Weather Data" sheetId="74" r:id="rId1"/>
    <sheet name="Littlefield Solar YTD" sheetId="73" r:id="rId2"/>
    <sheet name="Year to Date" sheetId="34" state="hidden" r:id="rId3"/>
    <sheet name="1st Qtr" sheetId="1" r:id="rId4"/>
    <sheet name="2nd Qtr" sheetId="18" r:id="rId5"/>
    <sheet name="3rd Qtr" sheetId="29" r:id="rId6"/>
    <sheet name="4th Qtr" sheetId="30" r:id="rId7"/>
    <sheet name="Jan" sheetId="72" r:id="rId8"/>
    <sheet name="Feb" sheetId="3" r:id="rId9"/>
    <sheet name="Mar" sheetId="4" r:id="rId10"/>
    <sheet name="Apr" sheetId="21" r:id="rId11"/>
    <sheet name="May" sheetId="20" r:id="rId12"/>
    <sheet name="Jun" sheetId="19" r:id="rId13"/>
    <sheet name="Jul" sheetId="26" r:id="rId14"/>
    <sheet name="Aug" sheetId="27" r:id="rId15"/>
    <sheet name="Sep" sheetId="28" r:id="rId16"/>
    <sheet name="Oct" sheetId="31" r:id="rId17"/>
    <sheet name="Nov" sheetId="32" r:id="rId18"/>
    <sheet name="Dec" sheetId="33" r:id="rId19"/>
    <sheet name="Sites" sheetId="68" r:id="rId20"/>
  </sheets>
  <definedNames>
    <definedName name="_xlnm._FilterDatabase" localSheetId="3" hidden="1">'1st Qtr'!$A$2:$I$2</definedName>
    <definedName name="_xlnm._FilterDatabase" localSheetId="4" hidden="1">'2nd Qtr'!$A$2:$I$2</definedName>
    <definedName name="_xlnm._FilterDatabase" localSheetId="5" hidden="1">'3rd Qtr'!$A$2:$I$2</definedName>
    <definedName name="_xlnm._FilterDatabase" localSheetId="6" hidden="1">'4th Qtr'!$A$2:$I$2</definedName>
    <definedName name="_xlnm._FilterDatabase" localSheetId="10" hidden="1">Apr!$A$2:$I$2</definedName>
    <definedName name="_xlnm._FilterDatabase" localSheetId="14" hidden="1">Aug!$A$2:$I$2</definedName>
    <definedName name="_xlnm._FilterDatabase" localSheetId="18" hidden="1">Dec!$A$2:$I$2</definedName>
    <definedName name="_xlnm._FilterDatabase" localSheetId="8" hidden="1">Feb!$A$2:$I$2</definedName>
    <definedName name="_xlnm._FilterDatabase" localSheetId="7" hidden="1">Jan!$A$3:$K$3</definedName>
    <definedName name="_xlnm._FilterDatabase" localSheetId="13" hidden="1">Jul!$A$2:$I$2</definedName>
    <definedName name="_xlnm._FilterDatabase" localSheetId="12" hidden="1">Jun!$A$2:$I$2</definedName>
    <definedName name="_xlnm._FilterDatabase" localSheetId="9" hidden="1">Mar!$A$2:$I$2</definedName>
    <definedName name="_xlnm._FilterDatabase" localSheetId="11" hidden="1">May!$A$2:$I$2</definedName>
    <definedName name="_xlnm._FilterDatabase" localSheetId="17" hidden="1">Nov!$A$2:$I$2</definedName>
    <definedName name="_xlnm._FilterDatabase" localSheetId="16" hidden="1">Oct!$A$2:$I$2</definedName>
    <definedName name="_xlnm._FilterDatabase" localSheetId="15" hidden="1">Sep!$A$2:$I$2</definedName>
    <definedName name="_xlnm._FilterDatabase" localSheetId="2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73" l="1"/>
  <c r="F4" i="73"/>
  <c r="C4" i="73"/>
  <c r="B4" i="73"/>
  <c r="D4" i="73" s="1"/>
  <c r="E4" i="73" s="1"/>
  <c r="A4" i="73" a="1"/>
  <c r="A4" i="73" s="1"/>
  <c r="A1" i="73" a="1"/>
  <c r="A1" i="73" s="1"/>
  <c r="G17" i="73"/>
  <c r="H17" i="73" s="1"/>
  <c r="D17" i="73"/>
  <c r="E17" i="73" s="1"/>
  <c r="G16" i="73"/>
  <c r="H16" i="73" s="1"/>
  <c r="D16" i="73"/>
  <c r="E16" i="73" s="1"/>
  <c r="G15" i="73"/>
  <c r="H15" i="73" s="1"/>
  <c r="D15" i="73"/>
  <c r="E15" i="73" s="1"/>
  <c r="G14" i="73"/>
  <c r="H14" i="73" s="1"/>
  <c r="D14" i="73"/>
  <c r="E14" i="73" s="1"/>
  <c r="G13" i="73"/>
  <c r="H13" i="73" s="1"/>
  <c r="D13" i="73"/>
  <c r="E13" i="73" s="1"/>
  <c r="G12" i="73"/>
  <c r="H12" i="73" s="1"/>
  <c r="D12" i="73"/>
  <c r="E12" i="73" s="1"/>
  <c r="G11" i="73"/>
  <c r="H11" i="73" s="1"/>
  <c r="D11" i="73"/>
  <c r="E11" i="73" s="1"/>
  <c r="G10" i="73"/>
  <c r="H10" i="73" s="1"/>
  <c r="D10" i="73"/>
  <c r="E10" i="73" s="1"/>
  <c r="G9" i="73"/>
  <c r="H9" i="73" s="1"/>
  <c r="D9" i="73"/>
  <c r="E9" i="73" s="1"/>
  <c r="G8" i="73"/>
  <c r="H8" i="73" s="1"/>
  <c r="D8" i="73"/>
  <c r="E8" i="73" s="1"/>
  <c r="E4" i="21"/>
  <c r="F4" i="21" s="1"/>
  <c r="E4" i="20"/>
  <c r="F4" i="20" s="1"/>
  <c r="H4" i="20"/>
  <c r="I4" i="20" s="1"/>
  <c r="E4" i="72"/>
  <c r="F4" i="72"/>
  <c r="H4" i="72"/>
  <c r="I4" i="72"/>
  <c r="G4" i="30"/>
  <c r="G2" i="30" s="1"/>
  <c r="G4" i="29"/>
  <c r="G2" i="29" s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G2" i="72"/>
  <c r="D2" i="72"/>
  <c r="C2" i="72"/>
  <c r="A1" i="72" a="1"/>
  <c r="A1" i="72" s="1"/>
  <c r="H4" i="73" l="1"/>
  <c r="H2" i="28"/>
  <c r="I2" i="28" s="1"/>
  <c r="E2" i="20"/>
  <c r="F2" i="20" s="1"/>
  <c r="G4" i="34"/>
  <c r="G2" i="34" s="1"/>
  <c r="H2" i="3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<sst xmlns="http://schemas.openxmlformats.org/spreadsheetml/2006/main" count="316" uniqueCount="92">
  <si>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</si>
  <si>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</si>
  <si>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</si>
  <si>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</si>
  <si>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</si>
  <si>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</si>
  <si>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</si>
  <si>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</si>
  <si>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</si>
  <si>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January</t>
  </si>
  <si>
    <t>1.Low generation due to weather/snow.</t>
  </si>
  <si>
    <t>February</t>
  </si>
  <si>
    <t>1.Inverter 33 tripped offline at 11:45AM on 02/11. Technician found an alarm and cleared it. The inverterwas back online at 13:30 on 02/12.
2.Inverter 10 tripped offline at 12:00 PM on 02/25 due to an arc fault. It came back online at 9:45 AM on 02/26 after the technician cleared the grid unlock alarm by logging into the DAS.</t>
  </si>
  <si>
    <t>1.SR096699
2.SR097781</t>
  </si>
  <si>
    <t>SR097781</t>
  </si>
  <si>
    <t>March</t>
  </si>
  <si>
    <t>1. Inverter 32 did not start production due to Insolation resistance fault on 03/17 technician noted water pooling on the ground and inverter back online at 10:00 on 03/18.
2. Inverter 32 started late for the production at 13:00 on 03/31</t>
  </si>
  <si>
    <t>1.SR098664
2.SR099174</t>
  </si>
  <si>
    <t>April</t>
  </si>
  <si>
    <t>1. Inverter 32 started late for the production at 12:00pm on 04/22 due to  "Alarm E34 - Insulation fault". Technician was dispatched to the site to replace the 4 solar modules on 04/25. And again inverte 32 tripped offline  from 06:00 to 15:00 on 04/26.</t>
  </si>
  <si>
    <t>1.SR099174</t>
  </si>
  <si>
    <t>May</t>
  </si>
  <si>
    <t xml:space="preserve">1. Inverter 32 started late for the production on 05/04, 05/18, 05/20 and 05/31  due to  "Alarm E34 - Insulation fault". </t>
  </si>
  <si>
    <t>1. SR099174</t>
  </si>
  <si>
    <t>June</t>
  </si>
  <si>
    <t>1.Inverter 32 started late for the production on 06/06 , 06/07 , 06/10 ,06/18 , 06/29
2. Inverter 20 was tripped offline multiple days</t>
  </si>
  <si>
    <t>1. SR099174
2.	SR103744</t>
  </si>
  <si>
    <t>SR103744</t>
  </si>
  <si>
    <t>July</t>
  </si>
  <si>
    <t>1. Site was offline at 9:15am on 07/01 due to utility outage and later utility power has been restored and back online at 13:00 on same day.
2. Invert 39 has tripped offline at 7:00am on 07/13 and later back online at 9:30am on 07/14
3. Inverter 20 tripped offline at 09:15am on 07/01 and reporting Alarm E34 - Insulation later back online at 11:15 on 07/14. Inverter 20 string 14 connector replaced.  String 11 causing a ground fault, left unplugged.</t>
  </si>
  <si>
    <t>1. SR103827
2. SR104365
3. SR104443, SR104568, SR103827, SR103744, SR105336</t>
  </si>
  <si>
    <t>SR104365</t>
  </si>
  <si>
    <t>SR104443</t>
  </si>
  <si>
    <t>SR104568</t>
  </si>
  <si>
    <t>SR103827</t>
  </si>
  <si>
    <t>SR105336</t>
  </si>
  <si>
    <t>August</t>
  </si>
  <si>
    <t>1.Inverter 32 started for production at 11:15 on 08/30</t>
  </si>
  <si>
    <t>1.	SR107227</t>
  </si>
  <si>
    <t>September</t>
  </si>
  <si>
    <t>October</t>
  </si>
  <si>
    <t>1.Inverter 31 is derating at 83kW from 10/09 and later resolved by replacing the fan on 10/17</t>
  </si>
  <si>
    <t>1.SR109268</t>
  </si>
  <si>
    <t>1.Closed</t>
  </si>
  <si>
    <t>State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</si>
  <si>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</si>
  <si>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</si>
  <si>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</si>
  <si>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</si>
  <si>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</si>
  <si>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</si>
  <si>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</si>
  <si>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</si>
  <si>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</si>
  <si>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</si>
  <si>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</si>
  <si>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</si>
  <si>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</si>
  <si>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</si>
  <si>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</si>
  <si>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</si>
  <si>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</si>
  <si>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</si>
  <si>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</si>
  <si>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</si>
  <si>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</si>
  <si>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</si>
  <si>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</si>
  <si>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</si>
  <si>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</si>
  <si>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s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</si>
  <si>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</si>
  <si>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</si>
  <si>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</si>
  <si>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</si>
  <si>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</si>
  <si>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</si>
  <si>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Status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</si>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</sst>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164" fontId="28" fillId="4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0" fillId="0" borderId="0" xfId="0" applyAlignment="1">
      <alignment vertical="top"/>
    </xf>
    <xf numFmtId="49" fontId="23" fillId="38" borderId="0" xfId="2" applyNumberFormat="1" applyFont="1" applyFill="1" applyBorder="1" applyAlignment="1">
      <alignment horizontal="left" vertical="top" wrapText="1"/>
    </xf>
    <xf numFmtId="0" fontId="24" fillId="3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2.xml"/><Relationship Id="rId21" Type="http://schemas.openxmlformats.org/officeDocument/2006/relationships/theme" Target="theme/theme1.xml"/><Relationship Id="rId34" Type="http://schemas.openxmlformats.org/officeDocument/2006/relationships/customXml" Target="../customXml/item7.xml"/><Relationship Id="rId42" Type="http://schemas.openxmlformats.org/officeDocument/2006/relationships/customXml" Target="../customXml/item15.xml"/><Relationship Id="rId47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45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4.xml"/><Relationship Id="rId44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43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Relationship Id="rId46" Type="http://schemas.openxmlformats.org/officeDocument/2006/relationships/customXml" Target="../customXml/item19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209550</xdr:colOff>
      <xdr:row>45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28A134-ABFD-A1B5-FA7D-D95D60A61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95950" cy="73818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4365" TargetMode="External"/><Relationship Id="rId13" Type="http://schemas.openxmlformats.org/officeDocument/2006/relationships/hyperlink" Target="https://us3.assetplanner.com/service_request?ID=105336" TargetMode="External"/><Relationship Id="rId3" Type="http://schemas.openxmlformats.org/officeDocument/2006/relationships/hyperlink" Target="https://us3.assetplanner.com/service_request?ID=099174" TargetMode="External"/><Relationship Id="rId7" Type="http://schemas.openxmlformats.org/officeDocument/2006/relationships/hyperlink" Target="https://us3.assetplanner.com/service_request?ID=103827" TargetMode="External"/><Relationship Id="rId12" Type="http://schemas.openxmlformats.org/officeDocument/2006/relationships/hyperlink" Target="https://us3.assetplanner.com/service_request?ID=103744" TargetMode="External"/><Relationship Id="rId2" Type="http://schemas.openxmlformats.org/officeDocument/2006/relationships/hyperlink" Target="https://us3.assetplanner.com/service_request?ID=097781" TargetMode="External"/><Relationship Id="rId1" Type="http://schemas.openxmlformats.org/officeDocument/2006/relationships/hyperlink" Target="https://us3.assetplanner.com/service_request?ID=096699" TargetMode="External"/><Relationship Id="rId6" Type="http://schemas.openxmlformats.org/officeDocument/2006/relationships/hyperlink" Target="https://us3.assetplanner.com/service_request?ID=103744" TargetMode="External"/><Relationship Id="rId11" Type="http://schemas.openxmlformats.org/officeDocument/2006/relationships/hyperlink" Target="https://us3.assetplanner.com/service_request?ID=103827" TargetMode="External"/><Relationship Id="rId5" Type="http://schemas.openxmlformats.org/officeDocument/2006/relationships/hyperlink" Target="https://us3.assetplanner.com/service_request?ID=099174" TargetMode="External"/><Relationship Id="rId15" Type="http://schemas.openxmlformats.org/officeDocument/2006/relationships/hyperlink" Target="https://us3.assetplanner.com/service_request?ID=109268" TargetMode="External"/><Relationship Id="rId10" Type="http://schemas.openxmlformats.org/officeDocument/2006/relationships/hyperlink" Target="https://us3.assetplanner.com/service_request?ID=104568" TargetMode="External"/><Relationship Id="rId4" Type="http://schemas.openxmlformats.org/officeDocument/2006/relationships/hyperlink" Target="https://us3.assetplanner.com/service_request?ID=099174" TargetMode="External"/><Relationship Id="rId9" Type="http://schemas.openxmlformats.org/officeDocument/2006/relationships/hyperlink" Target="https://us3.assetplanner.com/service_request?ID=104443" TargetMode="External"/><Relationship Id="rId14" Type="http://schemas.openxmlformats.org/officeDocument/2006/relationships/hyperlink" Target="https://us3.assetplanner.com/service_request?ID=10722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7781" TargetMode="External"/><Relationship Id="rId1" Type="http://schemas.openxmlformats.org/officeDocument/2006/relationships/hyperlink" Target="https://us3.assetplanner.com/service_request?ID=096699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3744" TargetMode="External"/><Relationship Id="rId1" Type="http://schemas.openxmlformats.org/officeDocument/2006/relationships/hyperlink" Target="https://us3.assetplanner.com/service_request?ID=099174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443" TargetMode="External"/><Relationship Id="rId7" Type="http://schemas.openxmlformats.org/officeDocument/2006/relationships/hyperlink" Target="https://us3.assetplanner.com/service_request?ID=105336" TargetMode="External"/><Relationship Id="rId2" Type="http://schemas.openxmlformats.org/officeDocument/2006/relationships/hyperlink" Target="https://us3.assetplanner.com/service_request?ID=104365" TargetMode="External"/><Relationship Id="rId1" Type="http://schemas.openxmlformats.org/officeDocument/2006/relationships/hyperlink" Target="https://us3.assetplanner.com/service_request?ID=103827" TargetMode="External"/><Relationship Id="rId6" Type="http://schemas.openxmlformats.org/officeDocument/2006/relationships/hyperlink" Target="https://us3.assetplanner.com/service_request?ID=103744" TargetMode="External"/><Relationship Id="rId5" Type="http://schemas.openxmlformats.org/officeDocument/2006/relationships/hyperlink" Target="https://us3.assetplanner.com/service_request?ID=103827" TargetMode="External"/><Relationship Id="rId4" Type="http://schemas.openxmlformats.org/officeDocument/2006/relationships/hyperlink" Target="https://us3.assetplanner.com/service_request?ID=104568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7227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9268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FF52-2B98-4FD1-B821-620382357A7A}">
  <dimension ref="A1"/>
  <sheetViews>
    <sheetView workbookViewId="0"/>
  </sheetViews>
  <sheetFormatPr defaultRowHeight="12.7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7825-86A6-4F53-8D65-5B3C3AD9C1D6}">
  <sheetPr>
    <tabColor rgb="FFFFFF00"/>
  </sheetPr>
  <dimension ref="A1:P17"/>
  <sheetViews>
    <sheetView workbookViewId="0">
      <selection activeCell="A9" sqref="A9:A17"/>
    </sheetView>
  </sheetViews>
  <sheetFormatPr defaultRowHeight="12.75"/>
  <cols>
    <col min="1" max="1" width="35.85546875" bestFit="1" customWidth="1"/>
    <col min="2" max="2" width="11.7109375" customWidth="1"/>
    <col min="3" max="8" width="13.28515625" customWidth="1"/>
    <col min="9" max="9" width="71.5703125" customWidth="1"/>
    <col min="10" max="10" width="20.5703125" bestFit="1" customWidth="1"/>
  </cols>
  <sheetData>
    <row r="1" spans="1:16" ht="15.75">
      <c r="A1" s="52" t="str" cm="1">
        <f t="array" ref="A1">portfolio</f>
        <v>Walden Renewables Dev't LLC</v>
      </c>
      <c r="B1" s="52"/>
      <c r="C1" s="53" t="s">
        <v>0</v>
      </c>
      <c r="D1" s="53"/>
      <c r="E1" s="53"/>
      <c r="F1" s="51" t="s">
        <v>1</v>
      </c>
      <c r="G1" s="51"/>
      <c r="H1" s="51"/>
    </row>
    <row r="2" spans="1:16" ht="14.25">
      <c r="A2" s="50" t="s">
        <v>2</v>
      </c>
      <c r="B2" s="6"/>
      <c r="C2" s="6"/>
      <c r="D2" s="6"/>
      <c r="E2" s="7"/>
      <c r="F2" s="6"/>
      <c r="G2" s="8"/>
      <c r="H2" s="7"/>
    </row>
    <row r="3" spans="1:16">
      <c r="A3" s="9" t="s">
        <v>3</v>
      </c>
      <c r="B3" s="25" t="s">
        <v>4</v>
      </c>
      <c r="C3" s="36" t="s">
        <v>5</v>
      </c>
      <c r="D3" s="36" t="s">
        <v>6</v>
      </c>
      <c r="E3" s="37" t="s">
        <v>7</v>
      </c>
      <c r="F3" s="38" t="s">
        <v>8</v>
      </c>
      <c r="G3" s="39" t="s">
        <v>6</v>
      </c>
      <c r="H3" s="40" t="s">
        <v>7</v>
      </c>
    </row>
    <row r="4" spans="1:16" ht="15.75">
      <c r="A4" s="13" t="str" cm="1">
        <f t="array" ref="A4">Sites[Site]</f>
        <v>ME: Wells - Littlefield Solar</v>
      </c>
      <c r="B4" s="26">
        <f>SUM('1st Qtr'!C4, '2nd Qtr'!C4, '3rd Qtr'!C4, '4th Qtr'!C4)</f>
        <v>6990716</v>
      </c>
      <c r="C4" s="14">
        <f>SUM('1st Qtr'!D4, '2nd Qtr'!D4, '3rd Qtr'!D4, '4th Qtr'!D4)</f>
        <v>7840981.169999999</v>
      </c>
      <c r="D4" s="14">
        <f>IF(AND(ISNUMBER(B4),ISNUMBER(C4)), B4-C4, "")</f>
        <v>-850265.16999999899</v>
      </c>
      <c r="E4" s="15">
        <f>IFERROR(D4/C4, "")</f>
        <v>-0.10843861904083607</v>
      </c>
      <c r="F4" s="16">
        <f>SUM('1st Qtr'!G4,'2nd Qtr'!G4,'3rd Qtr'!G4,'4th Qtr'!G4)</f>
        <v>7181206.0499999998</v>
      </c>
      <c r="G4" s="16">
        <f>SUM('1st Qtr'!H4, '2nd Qtr'!H4, '3rd Qtr'!H4, '4th Qtr'!H4)</f>
        <v>-190490.05000000005</v>
      </c>
      <c r="H4" s="17">
        <f>IFERROR(G4/F4, "")</f>
        <v>-2.6526191934013652E-2</v>
      </c>
    </row>
    <row r="8" spans="1:16" ht="15.75">
      <c r="A8" s="33" t="s">
        <v>9</v>
      </c>
      <c r="B8" s="26">
        <v>306430</v>
      </c>
      <c r="C8" s="14">
        <v>560571.1</v>
      </c>
      <c r="D8" s="14">
        <f>IF(AND(ISNUMBER(B8),ISNUMBER(C8)), B8-C8, "")</f>
        <v>-254141.09999999998</v>
      </c>
      <c r="E8" s="15">
        <f>IFERROR(D8/C8, "")</f>
        <v>-0.45336104554801343</v>
      </c>
      <c r="F8" s="16">
        <v>342243.7</v>
      </c>
      <c r="G8" s="16">
        <f>IF(AND(ISNUMBER(B8),ISNUMBER(F8)), B8-F8, "")</f>
        <v>-35813.700000000012</v>
      </c>
      <c r="H8" s="17">
        <f>IFERROR(G8/F8, "")</f>
        <v>-0.10464385465678407</v>
      </c>
      <c r="I8" s="18" t="s">
        <v>10</v>
      </c>
      <c r="J8" s="18"/>
    </row>
    <row r="9" spans="1:16" ht="76.5">
      <c r="A9" s="42" t="s">
        <v>11</v>
      </c>
      <c r="B9" s="26">
        <v>219588</v>
      </c>
      <c r="C9" s="14">
        <v>601103.19999999995</v>
      </c>
      <c r="D9" s="14">
        <f>IF(AND(ISNUMBER(B9),ISNUMBER(C9)), B9-C9, "")</f>
        <v>-381515.19999999995</v>
      </c>
      <c r="E9" s="15">
        <f>IFERROR(D9/C9, "")</f>
        <v>-0.63469168023061595</v>
      </c>
      <c r="F9" s="16">
        <v>451211.3</v>
      </c>
      <c r="G9" s="16">
        <f>IF(AND(ISNUMBER(B9),ISNUMBER(F9)), B9-F9, "")</f>
        <v>-231623.3</v>
      </c>
      <c r="H9" s="17">
        <f>IFERROR(G9/F9, "")</f>
        <v>-0.51333665624065705</v>
      </c>
      <c r="I9" s="18" t="s">
        <v>12</v>
      </c>
      <c r="J9" s="43" t="s">
        <v>13</v>
      </c>
      <c r="K9" s="44" t="s">
        <v>14</v>
      </c>
    </row>
    <row r="10" spans="1:16" ht="60.75">
      <c r="A10" s="42" t="s">
        <v>15</v>
      </c>
      <c r="B10" s="26">
        <v>681384</v>
      </c>
      <c r="C10" s="14">
        <v>701424.14300000004</v>
      </c>
      <c r="D10" s="14">
        <f>IF(AND(ISNUMBER(B10),ISNUMBER(C10)), B10-C10, "")</f>
        <v>-20040.14300000004</v>
      </c>
      <c r="E10" s="15">
        <f>IFERROR(D10/C10, "")</f>
        <v>-2.8570649014572114E-2</v>
      </c>
      <c r="F10" s="16">
        <v>701755.12</v>
      </c>
      <c r="G10" s="16">
        <f>IF(AND(ISNUMBER(B10),ISNUMBER(F10)), B10-F10, "")</f>
        <v>-20371.119999999995</v>
      </c>
      <c r="H10" s="17">
        <f>IFERROR(G10/F10, "")</f>
        <v>-2.9028815635858837E-2</v>
      </c>
      <c r="I10" s="18" t="s">
        <v>16</v>
      </c>
      <c r="J10" s="18" t="s">
        <v>17</v>
      </c>
    </row>
    <row r="11" spans="1:16" ht="60.75">
      <c r="A11" s="42" t="s">
        <v>18</v>
      </c>
      <c r="B11" s="45">
        <v>799664</v>
      </c>
      <c r="C11" s="14">
        <v>805747.81099999999</v>
      </c>
      <c r="D11" s="14">
        <f>IF(AND(ISNUMBER(B11),ISNUMBER(C11)), B11-C11, "")</f>
        <v>-6083.810999999987</v>
      </c>
      <c r="E11" s="15">
        <f>IFERROR(D11/C11, "")</f>
        <v>-7.5505150829382611E-3</v>
      </c>
      <c r="F11" s="16">
        <v>783489.13</v>
      </c>
      <c r="G11" s="16">
        <f>IF(AND(ISNUMBER(B11),ISNUMBER(F11)), B11-F11, "")</f>
        <v>16174.869999999995</v>
      </c>
      <c r="H11" s="17">
        <f>IFERROR(G11/F11, "")</f>
        <v>2.0644664208678932E-2</v>
      </c>
      <c r="I11" s="18" t="s">
        <v>19</v>
      </c>
      <c r="J11" s="43" t="s">
        <v>20</v>
      </c>
    </row>
    <row r="12" spans="1:16" ht="30.75">
      <c r="A12" s="42" t="s">
        <v>21</v>
      </c>
      <c r="B12" s="26">
        <v>748850</v>
      </c>
      <c r="C12" s="14">
        <v>748674.49899999995</v>
      </c>
      <c r="D12" s="14">
        <f>IF(AND(ISNUMBER(B12),ISNUMBER(C12)), B12-C12, "")</f>
        <v>175.5010000000475</v>
      </c>
      <c r="E12" s="15">
        <f>IFERROR(D12/C12, "")</f>
        <v>2.3441562419244027E-4</v>
      </c>
      <c r="F12" s="16">
        <v>895247.98</v>
      </c>
      <c r="G12" s="16">
        <f>IF(AND(ISNUMBER(B12),ISNUMBER(F12)), B12-F12, "")</f>
        <v>-146397.97999999998</v>
      </c>
      <c r="H12" s="17">
        <f>IFERROR(G12/F12, "")</f>
        <v>-0.16352785291958993</v>
      </c>
      <c r="I12" s="18" t="s">
        <v>22</v>
      </c>
      <c r="J12" s="43" t="s">
        <v>23</v>
      </c>
    </row>
    <row r="13" spans="1:16" ht="45.75">
      <c r="A13" s="42" t="s">
        <v>24</v>
      </c>
      <c r="B13" s="26">
        <v>868100</v>
      </c>
      <c r="C13" s="14">
        <v>885732.19799999997</v>
      </c>
      <c r="D13" s="14">
        <f>IF(AND(ISNUMBER(B13),ISNUMBER(C13)), B13-C13, "")</f>
        <v>-17632.197999999975</v>
      </c>
      <c r="E13" s="15">
        <f>IFERROR(D13/C13, "")</f>
        <v>-1.9906917734066585E-2</v>
      </c>
      <c r="F13" s="16">
        <v>877072.6</v>
      </c>
      <c r="G13" s="16">
        <f>IF(AND(ISNUMBER(B13),ISNUMBER(F13)), B13-F13, "")</f>
        <v>-8972.5999999999767</v>
      </c>
      <c r="H13" s="17">
        <f>IFERROR(G13/F13, "")</f>
        <v>-1.0230167947328393E-2</v>
      </c>
      <c r="I13" s="18" t="s">
        <v>25</v>
      </c>
      <c r="J13" s="43" t="s">
        <v>26</v>
      </c>
      <c r="K13" s="47" t="s">
        <v>27</v>
      </c>
    </row>
    <row r="14" spans="1:16" ht="106.5">
      <c r="A14" s="42" t="s">
        <v>28</v>
      </c>
      <c r="B14" s="26">
        <v>926000</v>
      </c>
      <c r="C14" s="14">
        <v>960073.57299999997</v>
      </c>
      <c r="D14" s="14">
        <f>IF(AND(ISNUMBER(B14),ISNUMBER(C14)), B14-C14, "")</f>
        <v>-34073.572999999975</v>
      </c>
      <c r="E14" s="15">
        <f>IFERROR(D14/C14, "")</f>
        <v>-3.5490585261635961E-2</v>
      </c>
      <c r="F14" s="16">
        <v>932088.42</v>
      </c>
      <c r="G14" s="16">
        <f>IF(AND(ISNUMBER(B14),ISNUMBER(F14)), B14-F14, "")</f>
        <v>-6088.4200000000419</v>
      </c>
      <c r="H14" s="17">
        <f>IFERROR(G14/F14, "")</f>
        <v>-6.5320197841316832E-3</v>
      </c>
      <c r="I14" s="49" t="s">
        <v>29</v>
      </c>
      <c r="J14" s="43" t="s">
        <v>30</v>
      </c>
      <c r="K14" s="44" t="s">
        <v>31</v>
      </c>
      <c r="L14" s="44" t="s">
        <v>32</v>
      </c>
      <c r="M14" s="44" t="s">
        <v>33</v>
      </c>
      <c r="N14" s="44" t="s">
        <v>34</v>
      </c>
      <c r="O14" s="44" t="s">
        <v>27</v>
      </c>
      <c r="P14" s="44" t="s">
        <v>35</v>
      </c>
    </row>
    <row r="15" spans="1:16" ht="15.75">
      <c r="A15" s="42" t="s">
        <v>36</v>
      </c>
      <c r="B15" s="26">
        <v>985740</v>
      </c>
      <c r="C15" s="14">
        <v>1030575</v>
      </c>
      <c r="D15" s="14">
        <f>IF(AND(ISNUMBER(B15),ISNUMBER(C15)), B15-C15, "")</f>
        <v>-44835</v>
      </c>
      <c r="E15" s="15">
        <f>IFERROR(D15/C15, "")</f>
        <v>-4.3504839531329595E-2</v>
      </c>
      <c r="F15" s="16">
        <v>897662.9</v>
      </c>
      <c r="G15" s="16">
        <f>IF(AND(ISNUMBER(B15),ISNUMBER(F15)), B15-F15, "")</f>
        <v>88077.099999999977</v>
      </c>
      <c r="H15" s="17">
        <f>IFERROR(G15/F15, "")</f>
        <v>9.8118235698501047E-2</v>
      </c>
      <c r="I15" s="18" t="s">
        <v>37</v>
      </c>
      <c r="J15" s="43" t="s">
        <v>38</v>
      </c>
    </row>
    <row r="16" spans="1:16" ht="15.75">
      <c r="A16" s="42" t="s">
        <v>39</v>
      </c>
      <c r="B16" s="26">
        <v>820410</v>
      </c>
      <c r="C16" s="14">
        <v>865136.63</v>
      </c>
      <c r="D16" s="14">
        <f>IF(AND(ISNUMBER(B16),ISNUMBER(C16)), B16-C16, "")</f>
        <v>-44726.630000000005</v>
      </c>
      <c r="E16" s="15">
        <f>IFERROR(D16/C16, "")</f>
        <v>-5.1698920666438553E-2</v>
      </c>
      <c r="F16" s="14">
        <v>738211.14</v>
      </c>
      <c r="G16" s="16">
        <f>IF(AND(ISNUMBER(B16),ISNUMBER(F16)), B16-F16, "")</f>
        <v>82198.859999999986</v>
      </c>
      <c r="H16" s="17">
        <f>IFERROR(G16/F16, "")</f>
        <v>0.11134871251062398</v>
      </c>
      <c r="I16" s="18"/>
      <c r="J16" s="18"/>
    </row>
    <row r="17" spans="1:11" ht="30.75">
      <c r="A17" s="42" t="s">
        <v>40</v>
      </c>
      <c r="B17" s="26">
        <v>634550</v>
      </c>
      <c r="C17" s="14">
        <v>681943.01599999995</v>
      </c>
      <c r="D17" s="14">
        <f>IF(AND(ISNUMBER(B17),ISNUMBER(C17)), B17-C17, "")</f>
        <v>-47393.015999999945</v>
      </c>
      <c r="E17" s="15">
        <f>IFERROR(D17/C17, "")</f>
        <v>-6.9497032579038762E-2</v>
      </c>
      <c r="F17" s="16">
        <v>562223.76</v>
      </c>
      <c r="G17" s="16">
        <f>IF(AND(ISNUMBER(B17),ISNUMBER(F17)), B17-F17, "")</f>
        <v>72326.239999999991</v>
      </c>
      <c r="H17" s="17">
        <f>IFERROR(G17/F17, "")</f>
        <v>0.12864315801950452</v>
      </c>
      <c r="I17" s="18" t="s">
        <v>41</v>
      </c>
      <c r="J17" s="43" t="s">
        <v>42</v>
      </c>
      <c r="K17" s="18" t="s">
        <v>43</v>
      </c>
    </row>
  </sheetData>
  <mergeCells count="3">
    <mergeCell ref="A1:B1"/>
    <mergeCell ref="C1:E1"/>
    <mergeCell ref="F1:H1"/>
  </mergeCells>
  <conditionalFormatting sqref="E8 H8">
    <cfRule type="cellIs" dxfId="58" priority="21" stopIfTrue="1" operator="lessThanOrEqual">
      <formula>-0.1</formula>
    </cfRule>
    <cfRule type="expression" dxfId="57" priority="22">
      <formula>AND(ISNUMBER(E8), E8&gt;=0.1)</formula>
    </cfRule>
  </conditionalFormatting>
  <conditionalFormatting sqref="E9 H9">
    <cfRule type="cellIs" dxfId="56" priority="19" stopIfTrue="1" operator="lessThanOrEqual">
      <formula>-0.1</formula>
    </cfRule>
    <cfRule type="expression" dxfId="55" priority="20">
      <formula>AND(ISNUMBER(E9), E9&gt;=0.1)</formula>
    </cfRule>
  </conditionalFormatting>
  <conditionalFormatting sqref="E10 H10">
    <cfRule type="cellIs" dxfId="54" priority="17" stopIfTrue="1" operator="lessThanOrEqual">
      <formula>-0.1</formula>
    </cfRule>
    <cfRule type="expression" dxfId="53" priority="18">
      <formula>AND(ISNUMBER(E10), E10&gt;=0.1)</formula>
    </cfRule>
  </conditionalFormatting>
  <conditionalFormatting sqref="E11 H11">
    <cfRule type="cellIs" dxfId="52" priority="15" stopIfTrue="1" operator="lessThanOrEqual">
      <formula>-0.1</formula>
    </cfRule>
    <cfRule type="expression" dxfId="51" priority="16">
      <formula>AND(ISNUMBER(E11), E11&gt;=0.1)</formula>
    </cfRule>
  </conditionalFormatting>
  <conditionalFormatting sqref="E12 H12">
    <cfRule type="cellIs" dxfId="50" priority="13" stopIfTrue="1" operator="lessThanOrEqual">
      <formula>-0.1</formula>
    </cfRule>
    <cfRule type="expression" dxfId="49" priority="14">
      <formula>AND(ISNUMBER(E12), E12&gt;=0.1)</formula>
    </cfRule>
  </conditionalFormatting>
  <conditionalFormatting sqref="E13 H13">
    <cfRule type="cellIs" dxfId="48" priority="11" stopIfTrue="1" operator="lessThanOrEqual">
      <formula>-0.1</formula>
    </cfRule>
    <cfRule type="expression" dxfId="47" priority="12">
      <formula>AND(ISNUMBER(E13), E13&gt;=0.1)</formula>
    </cfRule>
  </conditionalFormatting>
  <conditionalFormatting sqref="E14 H14">
    <cfRule type="cellIs" dxfId="46" priority="9" stopIfTrue="1" operator="lessThanOrEqual">
      <formula>-0.1</formula>
    </cfRule>
    <cfRule type="expression" dxfId="45" priority="10">
      <formula>AND(ISNUMBER(E14), E14&gt;=0.1)</formula>
    </cfRule>
  </conditionalFormatting>
  <conditionalFormatting sqref="E15 H15">
    <cfRule type="cellIs" dxfId="44" priority="7" stopIfTrue="1" operator="lessThanOrEqual">
      <formula>-0.1</formula>
    </cfRule>
    <cfRule type="expression" dxfId="43" priority="8">
      <formula>AND(ISNUMBER(E15), E15&gt;=0.1)</formula>
    </cfRule>
  </conditionalFormatting>
  <conditionalFormatting sqref="E16 H16">
    <cfRule type="cellIs" dxfId="42" priority="5" stopIfTrue="1" operator="lessThanOrEqual">
      <formula>-0.1</formula>
    </cfRule>
    <cfRule type="expression" dxfId="41" priority="6">
      <formula>AND(ISNUMBER(E16), E16&gt;=0.1)</formula>
    </cfRule>
  </conditionalFormatting>
  <conditionalFormatting sqref="E17 H17">
    <cfRule type="cellIs" dxfId="40" priority="3" stopIfTrue="1" operator="lessThanOrEqual">
      <formula>-0.1</formula>
    </cfRule>
    <cfRule type="expression" dxfId="39" priority="4">
      <formula>AND(ISNUMBER(E17), E17&gt;=0.1)</formula>
    </cfRule>
  </conditionalFormatting>
  <conditionalFormatting sqref="E2 H2 E4 H4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hyperlinks>
    <hyperlink ref="J9" r:id="rId1" display="https://us3.assetplanner.com/service_request?ID=096699" xr:uid="{E002B177-CB6A-4DC0-B9F5-6B888125586E}"/>
    <hyperlink ref="K9" r:id="rId2" display="https://us3.assetplanner.com/service_request?ID=097781" xr:uid="{0C5A04A3-5C49-418D-9BD2-162D1CC85B50}"/>
    <hyperlink ref="J11" r:id="rId3" display="https://us3.assetplanner.com/service_request?ID=099174" xr:uid="{2D165BCC-51F0-4396-8ED0-2FA308E6BD58}"/>
    <hyperlink ref="J12" r:id="rId4" display="https://us3.assetplanner.com/service_request?ID=099174" xr:uid="{44E63B57-750E-400F-B6D2-9AC7CC83368B}"/>
    <hyperlink ref="J13" r:id="rId5" display="https://us3.assetplanner.com/service_request?ID=099174" xr:uid="{B874A7CC-DEB9-492E-9260-12AF9085468A}"/>
    <hyperlink ref="K13" r:id="rId6" display="https://us3.assetplanner.com/service_request?ID=103744" xr:uid="{6C04E2D8-9FB3-4B1A-8911-CE39BA153F54}"/>
    <hyperlink ref="J14" r:id="rId7" display="https://us3.assetplanner.com/service_request?ID=103827" xr:uid="{8137C581-DC97-4A1E-9A40-41F407ED5A92}"/>
    <hyperlink ref="K14" r:id="rId8" display="https://us3.assetplanner.com/service_request?ID=104365" xr:uid="{FCE7E92F-869A-4A49-878F-8F6BEFA2C159}"/>
    <hyperlink ref="L14" r:id="rId9" display="https://us3.assetplanner.com/service_request?ID=104443" xr:uid="{E7EFC806-89C5-42E1-8243-D0CEAF82C821}"/>
    <hyperlink ref="M14" r:id="rId10" display="https://us3.assetplanner.com/service_request?ID=104568" xr:uid="{47840A2D-9D83-4F67-8402-E5E4570BE5F2}"/>
    <hyperlink ref="N14" r:id="rId11" display="https://us3.assetplanner.com/service_request?ID=103827" xr:uid="{DFBDA2C1-0E66-40BA-866B-2AD7F279AD72}"/>
    <hyperlink ref="O14" r:id="rId12" display="https://us3.assetplanner.com/service_request?ID=103744" xr:uid="{2BC819B4-FC43-441F-8E17-C9230F9716D0}"/>
    <hyperlink ref="P14" r:id="rId13" display="https://us3.assetplanner.com/service_request?ID=105336" xr:uid="{7F759B1B-7D12-4C9F-BC62-7356D037B6DA}"/>
    <hyperlink ref="J15" r:id="rId14" display="https://us3.assetplanner.com/service_request?ID=107227" xr:uid="{1831EEB6-1CFB-417D-A077-DFBDF53F7A25}"/>
    <hyperlink ref="J17" r:id="rId15" display="https://us3.assetplanner.com/service_request?ID=109268" xr:uid="{7F66AE76-2070-4328-89B3-A21DEE5BBCD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302"/>
  <sheetViews>
    <sheetView workbookViewId="0">
      <pane ySplit="2" topLeftCell="A3" activePane="bottomLeft" state="frozen"/>
      <selection pane="bottomLeft" sqref="A1:I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6">
        <f>SUM(C4:C60)</f>
        <v>6990716</v>
      </c>
      <c r="D2" s="6">
        <f>SUM(D4:D60)</f>
        <v>7840981.169999999</v>
      </c>
      <c r="E2" s="6">
        <f>C2-D2</f>
        <v>-850265.16999999899</v>
      </c>
      <c r="F2" s="7">
        <f>IFERROR(E2/D2, 0)</f>
        <v>-0.10843861904083607</v>
      </c>
      <c r="G2" s="6">
        <f>SUM(G4:G60)</f>
        <v>7181206.0499999998</v>
      </c>
      <c r="H2" s="8">
        <f>C2-G2</f>
        <v>-190490.04999999981</v>
      </c>
      <c r="I2" s="7">
        <f>IFERROR(H2/G2, 0)</f>
        <v>-2.6526191934013621E-2</v>
      </c>
    </row>
    <row r="3" spans="1:9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6990716</v>
      </c>
      <c r="D4" s="14">
        <f>SUM('1st Qtr'!D4, '2nd Qtr'!D4, '3rd Qtr'!D4, '4th Qtr'!D4)</f>
        <v>7840981.169999999</v>
      </c>
      <c r="E4" s="14">
        <f>IF(AND(ISNUMBER(C4),ISNUMBER(D4)), C4-D4, "")</f>
        <v>-850265.16999999899</v>
      </c>
      <c r="F4" s="15">
        <f>IFERROR(E4/D4, "")</f>
        <v>-0.10843861904083607</v>
      </c>
      <c r="G4" s="16">
        <f>SUM('1st Qtr'!G4,'2nd Qtr'!G4,'3rd Qtr'!G4,'4th Qtr'!G4)</f>
        <v>7181206.0499999998</v>
      </c>
      <c r="H4" s="16">
        <f>SUM('1st Qtr'!H4, '2nd Qtr'!H4, '3rd Qtr'!H4, '4th Qtr'!H4)</f>
        <v>-190490.05000000005</v>
      </c>
      <c r="I4" s="17">
        <f>IFERROR(H4/G4, "")</f>
        <v>-2.6526191934013652E-2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H4" activePane="bottomLeft" state="frozen"/>
      <selection pane="bottomLeft" activeCell="H4" sqref="H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45</v>
      </c>
      <c r="E1" s="53"/>
      <c r="F1" s="53"/>
      <c r="G1" s="51" t="s">
        <v>46</v>
      </c>
      <c r="H1" s="51"/>
      <c r="I1" s="51"/>
    </row>
    <row r="2" spans="1:9" ht="19.5" customHeight="1">
      <c r="A2" s="54" t="s">
        <v>2</v>
      </c>
      <c r="B2" s="54"/>
      <c r="C2" s="6">
        <f>SUM(C4:C68)</f>
        <v>1207402</v>
      </c>
      <c r="D2" s="6">
        <f>SUM(D4:D68)</f>
        <v>1863098.443</v>
      </c>
      <c r="E2" s="6">
        <f>C2-D2</f>
        <v>-655696.44299999997</v>
      </c>
      <c r="F2" s="7">
        <f>IFERROR(E2/D2, 0)</f>
        <v>-0.35193869946248457</v>
      </c>
      <c r="G2" s="6">
        <f>SUM(G4:G68)</f>
        <v>1495210.12</v>
      </c>
      <c r="H2" s="8">
        <f>C2-G2</f>
        <v>-287808.12000000011</v>
      </c>
      <c r="I2" s="7">
        <f>IFERROR(H2/G2, 0)</f>
        <v>-0.19248673892068099</v>
      </c>
    </row>
    <row r="3" spans="1:9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1207402</v>
      </c>
      <c r="D4" s="14">
        <f>SUM(Jan!D4, Feb!D4, Mar!D4)</f>
        <v>1863098.443</v>
      </c>
      <c r="E4" s="14">
        <f>IF(AND(ISNUMBER(C4),ISNUMBER(D4)), C4-D4, "")</f>
        <v>-655696.44299999997</v>
      </c>
      <c r="F4" s="15">
        <f>IFERROR(E4/D4, "")</f>
        <v>-0.35193869946248457</v>
      </c>
      <c r="G4" s="16">
        <f>SUM(Jan!G4, Feb!G4, Mar!G4)</f>
        <v>1495210.12</v>
      </c>
      <c r="H4" s="16">
        <f>SUM(Jan!H4, Feb!H4, Mar!H4)</f>
        <v>-287808.12</v>
      </c>
      <c r="I4" s="17">
        <f>IFERROR(H4/G4, "")</f>
        <v>-0.19248673892068091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U31" sqref="U31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47</v>
      </c>
      <c r="E1" s="53"/>
      <c r="F1" s="53"/>
      <c r="G1" s="51" t="s">
        <v>48</v>
      </c>
      <c r="H1" s="51"/>
      <c r="I1" s="51"/>
    </row>
    <row r="2" spans="1:9" ht="19.5" customHeight="1">
      <c r="A2" s="54" t="s">
        <v>2</v>
      </c>
      <c r="B2" s="54"/>
      <c r="C2" s="6">
        <f>SUM(C4:C90)</f>
        <v>2416614</v>
      </c>
      <c r="D2" s="6">
        <f>SUM(D4:D90)</f>
        <v>2440154.5079999999</v>
      </c>
      <c r="E2" s="6">
        <f>C2-D2</f>
        <v>-23540.507999999914</v>
      </c>
      <c r="F2" s="7">
        <f>IFERROR(E2/D2, 0)</f>
        <v>-9.6471382950640248E-3</v>
      </c>
      <c r="G2" s="6">
        <f>SUM(G4:G90)</f>
        <v>2555809.71</v>
      </c>
      <c r="H2" s="8">
        <f>C2-G2</f>
        <v>-139195.70999999996</v>
      </c>
      <c r="I2" s="7">
        <f>IFERROR(H2/G2, 0)</f>
        <v>-5.4462470134366912E-2</v>
      </c>
    </row>
    <row r="3" spans="1:9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2416614</v>
      </c>
      <c r="D4" s="14">
        <f>SUM(Apr!D4, May!D4, Jun!D4)</f>
        <v>2440154.5079999999</v>
      </c>
      <c r="E4" s="14">
        <f>IF(AND(ISNUMBER(C4),ISNUMBER(D4)), C4-D4, "")</f>
        <v>-23540.507999999914</v>
      </c>
      <c r="F4" s="15">
        <f>IFERROR(E4/D4, "")</f>
        <v>-9.6471382950640248E-3</v>
      </c>
      <c r="G4" s="16">
        <f>SUM(Apr!G4,May!G4,Jun!G4)</f>
        <v>2555809.71</v>
      </c>
      <c r="H4" s="16">
        <f>SUM(Apr!H4, May!H4, Jun!H4)</f>
        <v>-139195.70999999996</v>
      </c>
      <c r="I4" s="17">
        <f>IFERROR(H4/G4, "")</f>
        <v>-5.4462470134366912E-2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H4" sqref="H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49</v>
      </c>
      <c r="E1" s="53"/>
      <c r="F1" s="53"/>
      <c r="G1" s="51" t="s">
        <v>50</v>
      </c>
      <c r="H1" s="51"/>
      <c r="I1" s="51"/>
    </row>
    <row r="2" spans="1:9" ht="19.5" customHeight="1">
      <c r="A2" s="54" t="s">
        <v>2</v>
      </c>
      <c r="B2" s="54"/>
      <c r="C2" s="6">
        <f>SUM(C4:C89)</f>
        <v>2732150</v>
      </c>
      <c r="D2" s="6">
        <f>SUM(D4:D89)</f>
        <v>2855785.2029999997</v>
      </c>
      <c r="E2" s="6">
        <f>C2-D2</f>
        <v>-123635.20299999975</v>
      </c>
      <c r="F2" s="7">
        <f>IFERROR(E2/D2, 0)</f>
        <v>-4.3292892921400768E-2</v>
      </c>
      <c r="G2" s="6">
        <f>SUM(G4:G89)</f>
        <v>2567962.46</v>
      </c>
      <c r="H2" s="8">
        <f>C2-G2</f>
        <v>164187.54000000004</v>
      </c>
      <c r="I2" s="7">
        <f>IFERROR(H2/G2, 0)</f>
        <v>6.3936892597721243E-2</v>
      </c>
    </row>
    <row r="3" spans="1:9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2732150</v>
      </c>
      <c r="D4" s="14">
        <f>SUM(Jul!D4, Aug!D4, Sep!D4)</f>
        <v>2855785.2029999997</v>
      </c>
      <c r="E4" s="14">
        <f>IF(AND(ISNUMBER(C4),ISNUMBER(D4)), C4-D4, "")</f>
        <v>-123635.20299999975</v>
      </c>
      <c r="F4" s="15">
        <f>IFERROR(E4/D4, "")</f>
        <v>-4.3292892921400768E-2</v>
      </c>
      <c r="G4" s="16">
        <f>SUM(Jul!G4,Aug!G4,Sep!G4)</f>
        <v>2567962.46</v>
      </c>
      <c r="H4" s="16">
        <f>SUM(Jul!H4, Aug!H4, Sep!H4)</f>
        <v>164187.53999999992</v>
      </c>
      <c r="I4" s="17">
        <f>IFERROR(H4/G4, "")</f>
        <v>6.3936892597721201E-2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I2" sqref="I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51</v>
      </c>
      <c r="E1" s="53"/>
      <c r="F1" s="53"/>
      <c r="G1" s="51" t="s">
        <v>52</v>
      </c>
      <c r="H1" s="51"/>
      <c r="I1" s="51"/>
    </row>
    <row r="2" spans="1:9" ht="19.5" customHeight="1">
      <c r="A2" s="54" t="s">
        <v>2</v>
      </c>
      <c r="B2" s="54"/>
      <c r="C2" s="6">
        <f>SUM(C4:C89)</f>
        <v>634550</v>
      </c>
      <c r="D2" s="6">
        <f>SUM(D4:D89)</f>
        <v>681943.01599999995</v>
      </c>
      <c r="E2" s="6">
        <f>C2-D2</f>
        <v>-47393.015999999945</v>
      </c>
      <c r="F2" s="7">
        <f>IFERROR(E2/D2, 0)</f>
        <v>-6.9497032579038762E-2</v>
      </c>
      <c r="G2" s="6">
        <f>SUM(G4:G89)</f>
        <v>562223.76</v>
      </c>
      <c r="H2" s="8">
        <f>C2-G2</f>
        <v>72326.239999999991</v>
      </c>
      <c r="I2" s="7">
        <f>IFERROR(H2/G2, 0)</f>
        <v>0.12864315801950452</v>
      </c>
    </row>
    <row r="3" spans="1:9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634550</v>
      </c>
      <c r="D4" s="14">
        <f>SUM(Oct!D4, Nov!D4, Dec!D4)</f>
        <v>681943.01599999995</v>
      </c>
      <c r="E4" s="14">
        <f>IF(AND(ISNUMBER(C4),ISNUMBER(D4)), C4-D4, "")</f>
        <v>-47393.015999999945</v>
      </c>
      <c r="F4" s="15">
        <f>IFERROR(E4/D4, "")</f>
        <v>-6.9497032579038762E-2</v>
      </c>
      <c r="G4" s="16">
        <f>SUM(Oct!G4,Nov!G4,Dec!G4)</f>
        <v>562223.76</v>
      </c>
      <c r="H4" s="16">
        <f>SUM(Oct!H4, Nov!H4, Dec!H4)</f>
        <v>72326.239999999991</v>
      </c>
      <c r="I4" s="17">
        <f>IFERROR(H4/G4, "")</f>
        <v>0.12864315801950452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53</v>
      </c>
      <c r="E1" s="53"/>
      <c r="F1" s="53"/>
      <c r="G1" s="51" t="s">
        <v>54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SUM(C4:C89)</f>
        <v>306430</v>
      </c>
      <c r="D2" s="6">
        <f>SUM(D4:D89)</f>
        <v>560571.1</v>
      </c>
      <c r="E2" s="6">
        <f>C2-D2</f>
        <v>-254141.09999999998</v>
      </c>
      <c r="F2" s="7">
        <f>IFERROR(E2/D2, 0)</f>
        <v>-0.45336104554801343</v>
      </c>
      <c r="G2" s="6">
        <f>SUM(G4:G89)</f>
        <v>342243.7</v>
      </c>
      <c r="H2" s="8">
        <f>C2-G2</f>
        <v>-35813.700000000012</v>
      </c>
      <c r="I2" s="7">
        <f>IFERROR(H2/G2, 0)</f>
        <v>-0.10464385465678407</v>
      </c>
      <c r="J2" s="28" t="s">
        <v>55</v>
      </c>
      <c r="K2" s="5"/>
    </row>
    <row r="3" spans="1:11" ht="14.25" customHeight="1">
      <c r="A3" s="2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41" t="s">
        <v>8</v>
      </c>
      <c r="H3" s="39" t="s">
        <v>6</v>
      </c>
      <c r="I3" s="40" t="s">
        <v>7</v>
      </c>
      <c r="J3" s="27" t="s">
        <v>56</v>
      </c>
      <c r="K3" s="27" t="s">
        <v>57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306430</v>
      </c>
      <c r="D4" s="14">
        <v>560571.1</v>
      </c>
      <c r="E4" s="14">
        <f>IF(AND(ISNUMBER(C4),ISNUMBER(D4)), C4-D4, "")</f>
        <v>-254141.09999999998</v>
      </c>
      <c r="F4" s="15">
        <f>IFERROR(E4/D4, "")</f>
        <v>-0.45336104554801343</v>
      </c>
      <c r="G4" s="16">
        <v>342243.7</v>
      </c>
      <c r="H4" s="16">
        <f>IF(AND(ISNUMBER(C4),ISNUMBER(G4)), C4-G4, "")</f>
        <v>-35813.700000000012</v>
      </c>
      <c r="I4" s="17">
        <f>IFERROR(H4/G4, "")</f>
        <v>-0.10464385465678407</v>
      </c>
      <c r="J4" s="18" t="s">
        <v>10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zoomScale="90" zoomScaleNormal="90" workbookViewId="0">
      <pane ySplit="2" topLeftCell="H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2" ht="19.5" customHeight="1">
      <c r="A1" s="52" t="str" cm="1">
        <f t="array" ref="A1">portfolio</f>
        <v>Walden Renewables Dev't LLC</v>
      </c>
      <c r="B1" s="52"/>
      <c r="C1" s="52"/>
      <c r="D1" s="53" t="s">
        <v>58</v>
      </c>
      <c r="E1" s="53"/>
      <c r="F1" s="53"/>
      <c r="G1" s="51" t="s">
        <v>59</v>
      </c>
      <c r="H1" s="51"/>
      <c r="I1" s="51"/>
      <c r="J1" s="5"/>
      <c r="K1" s="5"/>
    </row>
    <row r="2" spans="1:12" ht="19.5" customHeight="1">
      <c r="A2" s="54" t="s">
        <v>2</v>
      </c>
      <c r="B2" s="54"/>
      <c r="C2" s="6">
        <f>SUM(C4:C85)</f>
        <v>219588</v>
      </c>
      <c r="D2" s="6">
        <f>SUM(D4:D85)</f>
        <v>601103.19999999995</v>
      </c>
      <c r="E2" s="6">
        <f>C2-D2</f>
        <v>-381515.19999999995</v>
      </c>
      <c r="F2" s="7">
        <f>IFERROR(E2/D2, 0)</f>
        <v>-0.63469168023061595</v>
      </c>
      <c r="G2" s="6">
        <f>SUM(G4:G85)</f>
        <v>451211.3</v>
      </c>
      <c r="H2" s="8">
        <f>C2-G2</f>
        <v>-231623.3</v>
      </c>
      <c r="I2" s="7">
        <f>IFERROR(H2/G2, 0)</f>
        <v>-0.51333665624065705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56</v>
      </c>
      <c r="K3" s="27" t="s">
        <v>57</v>
      </c>
    </row>
    <row r="4" spans="1:12" ht="57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219588</v>
      </c>
      <c r="D4" s="14">
        <v>601103.19999999995</v>
      </c>
      <c r="E4" s="14">
        <f>IF(AND(ISNUMBER(C4),ISNUMBER(D4)), C4-D4, "")</f>
        <v>-381515.19999999995</v>
      </c>
      <c r="F4" s="15">
        <f>IFERROR(E4/D4, "")</f>
        <v>-0.63469168023061595</v>
      </c>
      <c r="G4" s="16">
        <v>451211.3</v>
      </c>
      <c r="H4" s="16">
        <f>IF(AND(ISNUMBER(C4),ISNUMBER(G4)), C4-G4, "")</f>
        <v>-231623.3</v>
      </c>
      <c r="I4" s="17">
        <f>IFERROR(H4/G4, "")</f>
        <v>-0.51333665624065705</v>
      </c>
      <c r="J4" s="18" t="s">
        <v>12</v>
      </c>
      <c r="K4" s="43" t="s">
        <v>13</v>
      </c>
      <c r="L4" s="44" t="s">
        <v>14</v>
      </c>
    </row>
    <row r="5" spans="1:12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699" xr:uid="{6D8FDE12-0D96-411E-9F0E-590AE5E502B9}"/>
    <hyperlink ref="L4" r:id="rId2" display="https://us3.assetplanner.com/service_request?ID=097781" xr:uid="{47FD19ED-8729-4BAF-86A4-5AC0CF2A4D20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J4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60</v>
      </c>
      <c r="E1" s="53"/>
      <c r="F1" s="53"/>
      <c r="G1" s="51" t="s">
        <v>61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681384</v>
      </c>
      <c r="D2" s="6">
        <f>SUM(D4:D90)</f>
        <v>701424.14300000004</v>
      </c>
      <c r="E2" s="6">
        <f>C2-D2</f>
        <v>-20040.14300000004</v>
      </c>
      <c r="F2" s="7">
        <f>IFERROR(E2/D2, 0)</f>
        <v>-2.8570649014572114E-2</v>
      </c>
      <c r="G2" s="6">
        <f>SUM(G4:G90)</f>
        <v>701755.12</v>
      </c>
      <c r="H2" s="8">
        <f>C2-G2</f>
        <v>-20371.119999999995</v>
      </c>
      <c r="I2" s="7">
        <f>IFERROR(H2/G2, 0)</f>
        <v>-2.9028815635858837E-2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56</v>
      </c>
      <c r="K3" s="27" t="s">
        <v>57</v>
      </c>
    </row>
    <row r="4" spans="1:11" ht="77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681384</v>
      </c>
      <c r="D4" s="14">
        <v>701424.14300000004</v>
      </c>
      <c r="E4" s="14">
        <f>IF(AND(ISNUMBER(C4),ISNUMBER(D4)), C4-D4, "")</f>
        <v>-20040.14300000004</v>
      </c>
      <c r="F4" s="15">
        <f>IFERROR(E4/D4, "")</f>
        <v>-2.8570649014572114E-2</v>
      </c>
      <c r="G4" s="16">
        <v>701755.12</v>
      </c>
      <c r="H4" s="16">
        <f>IF(AND(ISNUMBER(C4),ISNUMBER(G4)), C4-G4, "")</f>
        <v>-20371.119999999995</v>
      </c>
      <c r="I4" s="17">
        <f>IFERROR(H4/G4, "")</f>
        <v>-2.9028815635858837E-2</v>
      </c>
      <c r="J4" s="18" t="s">
        <v>16</v>
      </c>
      <c r="K4" s="18" t="s">
        <v>17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70" zoomScaleNormal="70" workbookViewId="0">
      <pane ySplit="2" topLeftCell="I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62</v>
      </c>
      <c r="E1" s="53"/>
      <c r="F1" s="53"/>
      <c r="G1" s="51" t="s">
        <v>63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799664</v>
      </c>
      <c r="D2" s="6">
        <f>SUM(D4:D90)</f>
        <v>805747.81099999999</v>
      </c>
      <c r="E2" s="6">
        <f>C2-D2</f>
        <v>-6083.810999999987</v>
      </c>
      <c r="F2" s="7">
        <f>IFERROR(E2/D2, 0)</f>
        <v>-7.5505150829382611E-3</v>
      </c>
      <c r="G2" s="6">
        <f>SUM(G4:G90)</f>
        <v>783489.13</v>
      </c>
      <c r="H2" s="8">
        <f>C2-G2</f>
        <v>16174.869999999995</v>
      </c>
      <c r="I2" s="7">
        <f>IFERROR(H2/G2, 0)</f>
        <v>2.0644664208678932E-2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56</v>
      </c>
      <c r="K3" s="27" t="s">
        <v>57</v>
      </c>
    </row>
    <row r="4" spans="1:11" ht="73.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45">
        <v>799664</v>
      </c>
      <c r="D4" s="14">
        <v>805747.81099999999</v>
      </c>
      <c r="E4" s="14">
        <f>IF(AND(ISNUMBER(C4),ISNUMBER(D4)), C4-D4, "")</f>
        <v>-6083.810999999987</v>
      </c>
      <c r="F4" s="15">
        <f>IFERROR(E4/D4, "")</f>
        <v>-7.5505150829382611E-3</v>
      </c>
      <c r="G4" s="16">
        <v>783489.13</v>
      </c>
      <c r="H4" s="16">
        <f>IF(AND(ISNUMBER(C4),ISNUMBER(G4)), C4-G4, "")</f>
        <v>16174.869999999995</v>
      </c>
      <c r="I4" s="17">
        <f>IFERROR(H4/G4, "")</f>
        <v>2.0644664208678932E-2</v>
      </c>
      <c r="J4" s="18" t="s">
        <v>19</v>
      </c>
      <c r="K4" s="43" t="s">
        <v>20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9174" xr:uid="{57357E23-1957-458E-9D44-36782D33A96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32"/>
  <sheetViews>
    <sheetView zoomScale="70" zoomScaleNormal="70" workbookViewId="0">
      <pane ySplit="2" topLeftCell="K4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  <col min="12" max="15" width="8.85546875" style="46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64</v>
      </c>
      <c r="E1" s="53"/>
      <c r="F1" s="53"/>
      <c r="G1" s="51" t="s">
        <v>65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748850</v>
      </c>
      <c r="D2" s="6">
        <f>SUM(D4:D90)</f>
        <v>748674.49899999995</v>
      </c>
      <c r="E2" s="6">
        <f>C2-D2</f>
        <v>175.5010000000475</v>
      </c>
      <c r="F2" s="7">
        <f>IFERROR(E2/D2, 0)</f>
        <v>2.3441562419244027E-4</v>
      </c>
      <c r="G2" s="6">
        <f>SUM(G4:G90)</f>
        <v>895247.98</v>
      </c>
      <c r="H2" s="8">
        <f>C2-G2</f>
        <v>-146397.97999999998</v>
      </c>
      <c r="I2" s="7">
        <f>IFERROR(H2/G2, 0)</f>
        <v>-0.16352785291958993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56</v>
      </c>
      <c r="K3" s="27" t="s">
        <v>57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748850</v>
      </c>
      <c r="D4" s="14">
        <v>748674.49899999995</v>
      </c>
      <c r="E4" s="14">
        <f>IF(AND(ISNUMBER(C4),ISNUMBER(D4)), C4-D4, "")</f>
        <v>175.5010000000475</v>
      </c>
      <c r="F4" s="15">
        <f>IFERROR(E4/D4, "")</f>
        <v>2.3441562419244027E-4</v>
      </c>
      <c r="G4" s="16">
        <v>895247.98</v>
      </c>
      <c r="H4" s="16">
        <f>IF(AND(ISNUMBER(C4),ISNUMBER(G4)), C4-G4, "")</f>
        <v>-146397.97999999998</v>
      </c>
      <c r="I4" s="17">
        <f>IFERROR(H4/G4, "")</f>
        <v>-0.16352785291958993</v>
      </c>
      <c r="J4" s="18" t="s">
        <v>22</v>
      </c>
      <c r="K4" s="43" t="s">
        <v>23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9174" xr:uid="{98990AA3-4DAE-48D3-9CD1-6A650B90D821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2"/>
  <sheetViews>
    <sheetView zoomScale="80" zoomScaleNormal="80" workbookViewId="0">
      <pane ySplit="2" topLeftCell="I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6"/>
  </cols>
  <sheetData>
    <row r="1" spans="1:12" ht="19.5" customHeight="1">
      <c r="A1" s="52" t="str" cm="1">
        <f t="array" ref="A1">portfolio</f>
        <v>Walden Renewables Dev't LLC</v>
      </c>
      <c r="B1" s="52"/>
      <c r="C1" s="52"/>
      <c r="D1" s="53" t="s">
        <v>66</v>
      </c>
      <c r="E1" s="53"/>
      <c r="F1" s="53"/>
      <c r="G1" s="51" t="s">
        <v>67</v>
      </c>
      <c r="H1" s="51"/>
      <c r="I1" s="51"/>
      <c r="J1" s="5"/>
      <c r="K1" s="5"/>
    </row>
    <row r="2" spans="1:12" ht="19.5" customHeight="1">
      <c r="A2" s="54" t="s">
        <v>2</v>
      </c>
      <c r="B2" s="54"/>
      <c r="C2" s="6">
        <f>SUM(C4:C90)</f>
        <v>868100</v>
      </c>
      <c r="D2" s="6">
        <f>SUM(D4:D90)</f>
        <v>885732.19799999997</v>
      </c>
      <c r="E2" s="6">
        <f>C2-D2</f>
        <v>-17632.197999999975</v>
      </c>
      <c r="F2" s="7">
        <f>IFERROR(E2/D2, 0)</f>
        <v>-1.9906917734066585E-2</v>
      </c>
      <c r="G2" s="6">
        <f>SUM(G4:G90)</f>
        <v>877072.6</v>
      </c>
      <c r="H2" s="8">
        <f>C2-G2</f>
        <v>-8972.5999999999767</v>
      </c>
      <c r="I2" s="7">
        <f>IFERROR(H2/G2, 0)</f>
        <v>-1.0230167947328393E-2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56</v>
      </c>
      <c r="K3" s="27" t="s">
        <v>57</v>
      </c>
    </row>
    <row r="4" spans="1:12" ht="63.75" customHeight="1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868100</v>
      </c>
      <c r="D4" s="14">
        <v>885732.19799999997</v>
      </c>
      <c r="E4" s="14">
        <f>IF(AND(ISNUMBER(C4),ISNUMBER(D4)), C4-D4, "")</f>
        <v>-17632.197999999975</v>
      </c>
      <c r="F4" s="15">
        <f>IFERROR(E4/D4, "")</f>
        <v>-1.9906917734066585E-2</v>
      </c>
      <c r="G4" s="16">
        <v>877072.6</v>
      </c>
      <c r="H4" s="16">
        <f>IF(AND(ISNUMBER(C4),ISNUMBER(G4)), C4-G4, "")</f>
        <v>-8972.5999999999767</v>
      </c>
      <c r="I4" s="17">
        <f>IFERROR(H4/G4, "")</f>
        <v>-1.0230167947328393E-2</v>
      </c>
      <c r="J4" s="18" t="s">
        <v>25</v>
      </c>
      <c r="K4" s="43" t="s">
        <v>26</v>
      </c>
      <c r="L4" s="47" t="s">
        <v>27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9174" xr:uid="{13CB9469-1580-48BB-AD01-51D4D8140633}"/>
    <hyperlink ref="L4" r:id="rId2" display="https://us3.assetplanner.com/service_request?ID=103744" xr:uid="{01EAD350-72D5-4657-8076-DE3C4C346924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Q332"/>
  <sheetViews>
    <sheetView zoomScale="70" zoomScaleNormal="70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9.140625" style="48"/>
  </cols>
  <sheetData>
    <row r="1" spans="1:17" ht="19.5" customHeight="1">
      <c r="A1" s="52" t="str" cm="1">
        <f t="array" ref="A1">portfolio</f>
        <v>Walden Renewables Dev't LLC</v>
      </c>
      <c r="B1" s="52"/>
      <c r="C1" s="52"/>
      <c r="D1" s="53" t="s">
        <v>68</v>
      </c>
      <c r="E1" s="53"/>
      <c r="F1" s="53"/>
      <c r="G1" s="51" t="s">
        <v>69</v>
      </c>
      <c r="H1" s="51"/>
      <c r="I1" s="51"/>
      <c r="J1" s="5"/>
      <c r="K1" s="5"/>
    </row>
    <row r="2" spans="1:17" ht="19.5" customHeight="1">
      <c r="A2" s="54" t="s">
        <v>2</v>
      </c>
      <c r="B2" s="54"/>
      <c r="C2" s="6">
        <f>SUM(C4:C90)</f>
        <v>926000</v>
      </c>
      <c r="D2" s="6">
        <f>SUM(D4:D90)</f>
        <v>960073.57299999997</v>
      </c>
      <c r="E2" s="6">
        <f>C2-D2</f>
        <v>-34073.572999999975</v>
      </c>
      <c r="F2" s="7">
        <f>IFERROR(E2/D2, 0)</f>
        <v>-3.5490585261635961E-2</v>
      </c>
      <c r="G2" s="6">
        <f>SUM(G4:G90)</f>
        <v>932088.42</v>
      </c>
      <c r="H2" s="8">
        <f>C2-G2</f>
        <v>-6088.4200000000419</v>
      </c>
      <c r="I2" s="7">
        <f>IFERROR(H2/G2, 0)</f>
        <v>-6.5320197841316832E-3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7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56</v>
      </c>
      <c r="K3" s="27" t="s">
        <v>57</v>
      </c>
    </row>
    <row r="4" spans="1:17" ht="129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926000</v>
      </c>
      <c r="D4" s="14">
        <v>960073.57299999997</v>
      </c>
      <c r="E4" s="14">
        <f>IF(AND(ISNUMBER(C4),ISNUMBER(D4)), C4-D4, "")</f>
        <v>-34073.572999999975</v>
      </c>
      <c r="F4" s="15">
        <f>IFERROR(E4/D4, "")</f>
        <v>-3.5490585261635961E-2</v>
      </c>
      <c r="G4" s="16">
        <v>932088.42</v>
      </c>
      <c r="H4" s="16">
        <f>IF(AND(ISNUMBER(C4),ISNUMBER(G4)), C4-G4, "")</f>
        <v>-6088.4200000000419</v>
      </c>
      <c r="I4" s="17">
        <f>IFERROR(H4/G4, "")</f>
        <v>-6.5320197841316832E-3</v>
      </c>
      <c r="J4" s="49" t="s">
        <v>29</v>
      </c>
      <c r="K4" s="43" t="s">
        <v>30</v>
      </c>
      <c r="L4" s="44" t="s">
        <v>31</v>
      </c>
      <c r="M4" s="44" t="s">
        <v>32</v>
      </c>
      <c r="N4" s="44" t="s">
        <v>33</v>
      </c>
      <c r="O4" s="44" t="s">
        <v>34</v>
      </c>
      <c r="P4" s="44" t="s">
        <v>27</v>
      </c>
      <c r="Q4" s="44" t="s">
        <v>35</v>
      </c>
    </row>
    <row r="5" spans="1:17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7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7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7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7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7" ht="14.45">
      <c r="A10" s="23"/>
      <c r="B10" s="34"/>
      <c r="C10" s="23"/>
      <c r="D10" s="23"/>
      <c r="E10" s="23"/>
      <c r="F10" s="23"/>
      <c r="G10" s="23"/>
      <c r="H10" s="23"/>
      <c r="I10" s="23"/>
      <c r="J10" s="23" t="s">
        <v>70</v>
      </c>
      <c r="K10" s="23"/>
    </row>
    <row r="11" spans="1:17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7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7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7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7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7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103827" xr:uid="{24125573-C7EE-4083-B2A4-D3FDE0F2B600}"/>
    <hyperlink ref="L4" r:id="rId2" display="https://us3.assetplanner.com/service_request?ID=104365" xr:uid="{0F3BC671-5F5D-4708-BB60-66BFBC22E45A}"/>
    <hyperlink ref="M4" r:id="rId3" display="https://us3.assetplanner.com/service_request?ID=104443" xr:uid="{AA4121BA-AE3D-4C0E-A5BB-98D41FBD38A0}"/>
    <hyperlink ref="N4" r:id="rId4" display="https://us3.assetplanner.com/service_request?ID=104568" xr:uid="{325E939D-3583-47E3-B006-453D0EC34F1F}"/>
    <hyperlink ref="O4" r:id="rId5" display="https://us3.assetplanner.com/service_request?ID=103827" xr:uid="{2B394CA1-0585-4800-86E8-5C7C4392EA1F}"/>
    <hyperlink ref="P4" r:id="rId6" display="https://us3.assetplanner.com/service_request?ID=103744" xr:uid="{DDF1E588-F559-4E2F-A2B5-2C71491D02FD}"/>
    <hyperlink ref="Q4" r:id="rId7" display="https://us3.assetplanner.com/service_request?ID=105336" xr:uid="{8C21DCD2-07AF-479A-B6F6-36147F3CC33E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zoomScale="70" zoomScaleNormal="70" workbookViewId="0">
      <pane ySplit="2" topLeftCell="F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71</v>
      </c>
      <c r="E1" s="53"/>
      <c r="F1" s="53"/>
      <c r="G1" s="51" t="s">
        <v>72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SUM(C4:C30)</f>
        <v>985740</v>
      </c>
      <c r="D2" s="6">
        <f>SUM(D4:D30)</f>
        <v>1030575</v>
      </c>
      <c r="E2" s="6">
        <f>C2-D2</f>
        <v>-44835</v>
      </c>
      <c r="F2" s="7">
        <f>IFERROR(E2/D2, 0)</f>
        <v>-4.3504839531329595E-2</v>
      </c>
      <c r="G2" s="6">
        <f>SUM(G4:G30)</f>
        <v>897662.9</v>
      </c>
      <c r="H2" s="8">
        <f>C2-G2</f>
        <v>88077.099999999977</v>
      </c>
      <c r="I2" s="7">
        <f>IFERROR(H2/G2, 0)</f>
        <v>9.8118235698501047E-2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56</v>
      </c>
      <c r="K3" s="27" t="s">
        <v>57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985740</v>
      </c>
      <c r="D4" s="14">
        <v>1030575</v>
      </c>
      <c r="E4" s="14">
        <f>IF(AND(ISNUMBER(C4),ISNUMBER(D4)), C4-D4, "")</f>
        <v>-44835</v>
      </c>
      <c r="F4" s="15">
        <f>IFERROR(E4/D4, "")</f>
        <v>-4.3504839531329595E-2</v>
      </c>
      <c r="G4" s="16">
        <v>897662.9</v>
      </c>
      <c r="H4" s="16">
        <f>IF(AND(ISNUMBER(C4),ISNUMBER(G4)), C4-G4, "")</f>
        <v>88077.099999999977</v>
      </c>
      <c r="I4" s="17">
        <f>IFERROR(H4/G4, "")</f>
        <v>9.8118235698501047E-2</v>
      </c>
      <c r="J4" s="18" t="s">
        <v>37</v>
      </c>
      <c r="K4" s="43" t="s">
        <v>38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107227" xr:uid="{F9B133E5-D142-4F61-838F-4D39BDEB42D9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zoomScaleNormal="100" workbookViewId="0">
      <pane ySplit="2" topLeftCell="I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73</v>
      </c>
      <c r="E1" s="53"/>
      <c r="F1" s="53"/>
      <c r="G1" s="51" t="s">
        <v>74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820410</v>
      </c>
      <c r="D2" s="6">
        <f>SUM(D4:D90)</f>
        <v>865136.63</v>
      </c>
      <c r="E2" s="6">
        <f>C2-D2</f>
        <v>-44726.630000000005</v>
      </c>
      <c r="F2" s="7">
        <f>IFERROR(E2/D2, 0)</f>
        <v>-5.1698920666438553E-2</v>
      </c>
      <c r="G2" s="6">
        <f>SUM(G4:G90)</f>
        <v>738211.14</v>
      </c>
      <c r="H2" s="8">
        <f>C2-G2</f>
        <v>82198.859999999986</v>
      </c>
      <c r="I2" s="7">
        <f>IFERROR(H2/G2, 0)</f>
        <v>0.11134871251062398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56</v>
      </c>
      <c r="K3" s="27" t="s">
        <v>57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820410</v>
      </c>
      <c r="D4" s="14">
        <v>865136.63</v>
      </c>
      <c r="E4" s="14">
        <f>IF(AND(ISNUMBER(C4),ISNUMBER(D4)), C4-D4, "")</f>
        <v>-44726.630000000005</v>
      </c>
      <c r="F4" s="15">
        <f>IFERROR(E4/D4, "")</f>
        <v>-5.1698920666438553E-2</v>
      </c>
      <c r="G4" s="14">
        <v>738211.14</v>
      </c>
      <c r="H4" s="16">
        <f>IF(AND(ISNUMBER(C4),ISNUMBER(G4)), C4-G4, "")</f>
        <v>82198.859999999986</v>
      </c>
      <c r="I4" s="17">
        <f>IFERROR(H4/G4, "")</f>
        <v>0.11134871251062398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32"/>
  <sheetViews>
    <sheetView topLeftCell="D1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2" t="str" cm="1">
        <f t="array" ref="A1">portfolio</f>
        <v>Walden Renewables Dev't LLC</v>
      </c>
      <c r="B1" s="52"/>
      <c r="C1" s="52"/>
      <c r="D1" s="53" t="s">
        <v>75</v>
      </c>
      <c r="E1" s="53"/>
      <c r="F1" s="53"/>
      <c r="G1" s="51" t="s">
        <v>76</v>
      </c>
      <c r="H1" s="51"/>
      <c r="I1" s="51"/>
      <c r="J1" s="5"/>
      <c r="K1" s="5"/>
    </row>
    <row r="2" spans="1:12" ht="19.5" customHeight="1">
      <c r="A2" s="54" t="s">
        <v>2</v>
      </c>
      <c r="B2" s="54"/>
      <c r="C2" s="6">
        <f>SUM(C4:C90)</f>
        <v>634550</v>
      </c>
      <c r="D2" s="6">
        <f>SUM(D4:D90)</f>
        <v>681943.01599999995</v>
      </c>
      <c r="E2" s="6">
        <f>C2-D2</f>
        <v>-47393.015999999945</v>
      </c>
      <c r="F2" s="7">
        <f>IFERROR(E2/D2, 0)</f>
        <v>-6.9497032579038762E-2</v>
      </c>
      <c r="G2" s="6">
        <f>SUM(G4:G90)</f>
        <v>562223.76</v>
      </c>
      <c r="H2" s="8">
        <f>C2-G2</f>
        <v>72326.239999999991</v>
      </c>
      <c r="I2" s="7">
        <f>IFERROR(H2/G2, 0)</f>
        <v>0.12864315801950452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56</v>
      </c>
      <c r="K3" s="27" t="s">
        <v>57</v>
      </c>
      <c r="L3" s="27" t="s">
        <v>77</v>
      </c>
    </row>
    <row r="4" spans="1:12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634550</v>
      </c>
      <c r="D4" s="14">
        <v>681943.01599999995</v>
      </c>
      <c r="E4" s="14">
        <f>IF(AND(ISNUMBER(C4),ISNUMBER(D4)), C4-D4, "")</f>
        <v>-47393.015999999945</v>
      </c>
      <c r="F4" s="15">
        <f>IFERROR(E4/D4, "")</f>
        <v>-6.9497032579038762E-2</v>
      </c>
      <c r="G4" s="16">
        <v>562223.76</v>
      </c>
      <c r="H4" s="16">
        <f>IF(AND(ISNUMBER(C4),ISNUMBER(G4)), C4-G4, "")</f>
        <v>72326.239999999991</v>
      </c>
      <c r="I4" s="17">
        <f>IFERROR(H4/G4, "")</f>
        <v>0.12864315801950452</v>
      </c>
      <c r="J4" s="18" t="s">
        <v>41</v>
      </c>
      <c r="K4" s="43" t="s">
        <v>42</v>
      </c>
      <c r="L4" s="18" t="s">
        <v>43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hyperlinks>
    <hyperlink ref="K4" r:id="rId1" display="https://us3.assetplanner.com/service_request?ID=109268" xr:uid="{4616E730-D4F9-40AA-925A-8AEE5BEB3773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M29" sqref="M29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78</v>
      </c>
      <c r="E1" s="53"/>
      <c r="F1" s="53"/>
      <c r="G1" s="51" t="s">
        <v>79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56</v>
      </c>
      <c r="K3" s="27" t="s">
        <v>57</v>
      </c>
    </row>
    <row r="4" spans="1:11" ht="38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J4" activeCellId="3" sqref="B25 C4:D4 G4 J4:K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80</v>
      </c>
      <c r="E1" s="53"/>
      <c r="F1" s="53"/>
      <c r="G1" s="51" t="s">
        <v>81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44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56</v>
      </c>
      <c r="K3" s="27" t="s">
        <v>57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F20" sqref="F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82</v>
      </c>
      <c r="B1" t="s">
        <v>83</v>
      </c>
    </row>
    <row r="3" spans="1:7" ht="13.15">
      <c r="A3" t="s">
        <v>84</v>
      </c>
      <c r="B3" t="s">
        <v>3</v>
      </c>
      <c r="C3" t="s">
        <v>44</v>
      </c>
      <c r="D3" t="s">
        <v>85</v>
      </c>
      <c r="E3" s="2" t="s">
        <v>86</v>
      </c>
    </row>
    <row r="4" spans="1:7" ht="14.45">
      <c r="A4" t="s">
        <v>87</v>
      </c>
      <c r="B4" t="s">
        <v>88</v>
      </c>
      <c r="C4" s="4" t="s">
        <v>89</v>
      </c>
      <c r="D4" t="s">
        <v>90</v>
      </c>
      <c r="E4" t="s">
        <v>91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5F32456F-D0B6-420C-83F0-3DD2F59FE6E8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Grammenos, Alexander</cp:lastModifiedBy>
  <cp:revision/>
  <dcterms:created xsi:type="dcterms:W3CDTF">2021-01-01T16:39:53Z</dcterms:created>
  <dcterms:modified xsi:type="dcterms:W3CDTF">2025-11-19T05:12:40Z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2025-09-24T20:06:06Z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dc8e4636-8069-4a22-bc27-bd0c1ece09f1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