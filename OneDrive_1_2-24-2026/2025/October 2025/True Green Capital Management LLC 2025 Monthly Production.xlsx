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8340226F-F37F-4FD9-B1FF-07628625CE48}" xr6:coauthVersionLast="47" xr6:coauthVersionMax="47" xr10:uidLastSave="{00000000-0000-0000-0000-000000000000}"/>
  <bookViews>
    <workbookView xWindow="-108" yWindow="-108" windowWidth="23256" windowHeight="1389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Jun" sheetId="19" r:id="rId10"/>
    <sheet name="May" sheetId="20"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9" hidden="1">Jun!$A$2:$I$2</definedName>
    <definedName name="_xlnm._FilterDatabase" localSheetId="7" hidden="1">Mar!$A$2:$I$2</definedName>
    <definedName name="_xlnm._FilterDatabase" localSheetId="10"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7" l="1"/>
  <c r="H4" i="27"/>
  <c r="H6" i="26"/>
  <c r="H7" i="26"/>
  <c r="H8" i="26"/>
  <c r="H6" i="19"/>
  <c r="A4" i="19" a="1"/>
  <c r="A4" i="19"/>
  <c r="B4" i="33"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G5" i="30"/>
  <c r="G6" i="30"/>
  <c r="G7" i="30"/>
  <c r="G8" i="30"/>
  <c r="G4" i="30"/>
  <c r="D5" i="30"/>
  <c r="D6" i="30"/>
  <c r="D7" i="30"/>
  <c r="D8" i="30"/>
  <c r="D4" i="30"/>
  <c r="C5" i="30"/>
  <c r="C6" i="30"/>
  <c r="C7" i="30"/>
  <c r="C8" i="30"/>
  <c r="C4" i="30"/>
  <c r="G5" i="29"/>
  <c r="G6" i="29"/>
  <c r="G7" i="29"/>
  <c r="G8" i="29"/>
  <c r="G4" i="29"/>
  <c r="D5" i="29"/>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26" a="1"/>
  <c r="A4" i="26"/>
  <c r="A4" i="27" a="1"/>
  <c r="A4" i="27"/>
  <c r="A4" i="28" a="1"/>
  <c r="A4" i="28"/>
  <c r="A4" i="31" a="1"/>
  <c r="A4" i="31" s="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I7" i="27"/>
  <c r="H6" i="27"/>
  <c r="I6" i="27" s="1"/>
  <c r="E6" i="27"/>
  <c r="F6" i="27" s="1"/>
  <c r="H5" i="27"/>
  <c r="I5" i="27" s="1"/>
  <c r="E5" i="27"/>
  <c r="F5" i="27" s="1"/>
  <c r="I4" i="27"/>
  <c r="E4" i="27"/>
  <c r="F4" i="27" s="1"/>
  <c r="G2" i="27"/>
  <c r="D2" i="27"/>
  <c r="C2" i="27"/>
  <c r="A1" i="27" a="1"/>
  <c r="A1" i="27" s="1"/>
  <c r="H10" i="26"/>
  <c r="E10" i="26"/>
  <c r="F10" i="26" s="1"/>
  <c r="H9" i="26"/>
  <c r="I9" i="26" s="1"/>
  <c r="E9" i="26"/>
  <c r="F9" i="26" s="1"/>
  <c r="E8" i="26"/>
  <c r="F8" i="26" s="1"/>
  <c r="H7" i="29"/>
  <c r="E7" i="26"/>
  <c r="F7" i="26" s="1"/>
  <c r="E6" i="26"/>
  <c r="F6" i="26" s="1"/>
  <c r="H5" i="26"/>
  <c r="E5" i="26"/>
  <c r="F5" i="26" s="1"/>
  <c r="H4" i="26"/>
  <c r="H4" i="29" s="1"/>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H4" i="30" l="1"/>
  <c r="H5" i="30"/>
  <c r="H8" i="30"/>
  <c r="H6" i="30"/>
  <c r="I6" i="30" s="1"/>
  <c r="H7" i="30"/>
  <c r="I8" i="26"/>
  <c r="H8" i="29"/>
  <c r="I6" i="26"/>
  <c r="H6" i="29"/>
  <c r="I5" i="26"/>
  <c r="H5" i="29"/>
  <c r="I5" i="29" s="1"/>
  <c r="E5" i="29"/>
  <c r="F5" i="29" s="1"/>
  <c r="H7" i="18"/>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<sst xmlns="http://schemas.openxmlformats.org/spreadsheetml/2006/main" count="438" uniqueCount="220">
  <si>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</si>
  <si>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</si>
  <si>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</si>
  <si>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</si>
  <si>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</si>
  <si>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</si>
  <si>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</si>
  <si>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</si>
  <si>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</si>
  <si>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</si>
  <si>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</si>
  <si>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</si>
  <si>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</si>
  <si>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</si>
  <si>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</si>
  <si>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</si>
  <si>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</si>
  <si>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</si>
  <si>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</si>
  <si>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</si>
  <si>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</si>
  <si>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</si>
  <si>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</si>
  <si>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</si>
  <si>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</si>
  <si>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</si>
  <si>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</si>
  <si>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</si>
  <si>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</si>
  <si>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</si>
  <si>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</si>
  <si>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</si>
  <si>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</si>
  <si>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</si>
  <si>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</si>
  <si>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</si>
  <si>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</si>
  <si>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</si>
  <si>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</si>
  <si>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</si>
  <si>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</si>
  <si>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</si>
  <si>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</si>
  <si>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</si>
  <si>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</si>
  <si>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</si>
  <si>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</si>
  <si>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</si>
  <si>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</si>
  <si>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</si>
  <si>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</si>
  <si>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</si>
  <si>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</si>
  <si>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</si>
  <si>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</si>
  <si>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</si>
  <si>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</si>
  <si>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</si>
  <si>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</si>
  <si>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</si>
  <si>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</si>
  <si>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</si>
  <si>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</si>
  <si>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</si>
  <si>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</si>
  <si>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</si>
  <si>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</si>
  <si>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</si>
  <si>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</si>
  <si>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</si>
  <si>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</si>
  <si>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</si>
  <si>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</si>
  <si>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</si>
  <si>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</si>
  <si>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</si>
  <si>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</si>
  <si>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</si>
  <si>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</si>
  <si>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</si>
  <si>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</si>
  <si>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</si>
  <si>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</si>
  <si>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</si>
  <si>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</si>
  <si>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</si>
  <si>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</si>
  <si>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</si>
  <si>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</si>
  <si>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</si>
  <si>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</si>
  <si>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</si>
  <si>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</si>
  <si>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</si>
  <si>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June Actual v. Expected</t>
  </si>
  <si>
    <t>June Actual v. Forecasted</t>
  </si>
  <si>
    <t>1. Inverter 73 tripped offline at 12:00 CDT on 06/04 and reporting "Bus Imbalance - Protect0070". Technician discovered permanent power head failure fault later he replaced the powerhead on site and inverter back online at 13:00 CDT on 06/05 and also technician replaced the powerhead for inverter 55.
2.Inverter 78 tripped offline on 6/8/25 at 13:25 CDT and reporting permanent fault of power module - Fault0010 later the technician has replaced the inverter on site and it is back online at 14:15 on 06/13.
3. While performing PM on 06/18 btween 10:45 to 13:30, technician found inverter 30 power grid relay fault was detected. Technician was unable to power cycle reset and later he replaced new powerhead.
4. Inverters 54 &amp; 55 have tripped offline at 17:45 CDT on 06/22 and due to Fault0010 Power Module Protection - Protect0120 and back online at 12:30 CDT on 06/24
5. Inverter 64 was LOTO'd and was offline for whole month.</t>
  </si>
  <si>
    <t>1.SR102470
2.SR102702
3. SR103139
4. SR103277
5.</t>
  </si>
  <si>
    <t>SR102702</t>
  </si>
  <si>
    <t>SR103139</t>
  </si>
  <si>
    <t>SR103277</t>
  </si>
  <si>
    <t>1. The weather station Hukseflux SR15 – POA has been communicating properly from 06/06 at 09:00am
2.11 trackers currently struck  from 06/17</t>
  </si>
  <si>
    <t>1.SR102509
2.SR101583</t>
  </si>
  <si>
    <t>SR101583</t>
  </si>
  <si>
    <t>1. All inverters are offline on 06/02 at 01:00am due to "Loss of Main - GridV.OutLim " and  later back online at 12:00 on 06/06. Again all inverters tripped offline at 11:00 AM on 06/07 due to "Grid Phase Voltage Out of Range - GridV.OutLim", later the site back online at 13:45 on 06/07.
2. Inverter 15 tripped at 12:45pm on 06/08 and back online at 06/09</t>
  </si>
  <si>
    <t>1. SR102342
2.SR100087</t>
  </si>
  <si>
    <t>1. The site has been experiencing a power quality issue affecting generation since 05/10.
2. 4 trackers have struck from 05/19</t>
  </si>
  <si>
    <t>1.SR101462
2.SR101580</t>
  </si>
  <si>
    <t>SR101580</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</si>
  <si>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</si>
  <si>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</si>
  <si>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</si>
  <si>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</si>
  <si>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</si>
  <si>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</si>
  <si>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</si>
  <si>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</si>
  <si>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</si>
  <si>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</si>
  <si>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</si>
  <si>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</si>
  <si>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July Actual v. Expected</t>
  </si>
  <si>
    <t>July Actual v. Forecasted</t>
  </si>
  <si>
    <t>1.  Inverter 33 was tripped offline on 07/30 at 16:00 and reporting “Bus Imbalance - Protect0070”.
2. Inverter 21 was tripped offline at 16:00 on 07/24 and inverter 21 powerhead being RMA'd.
3. Inverter 34 was offline from 13:15 on 07/23 to 10:15 on 07/24.
4. Inverter 52 was offline from 06:00 on 07/20 to 08:15 on 07/24 due to Permanent fault of power module - Fault0010.
5. Inverter 20 was offline from 13:15 on 07/09 to 07:00 on 07/18 due to Permanent fault of power module - Fault0010.
6. Inverter 24 was offline from 06:00 on 07/01 to 10:15 on 07/08 and 14:45 on 07/08 to 11:00 on 07/09
7.  Inverter 45 tripped offline at 10:45 on 07/03 and reporting Internal Communicate Failed - CommErr. and back online at 11:15 on 07/08
8. Inverter 28 was offline from 11:00 on 07/03 to 07:00 on 07/08 due to grid under frequency.
9. Inverter 75 was offline from 11:15 on 07/03 to 08:30 on 07/08.
10. Inverter 64 was LOTO'd and was offline for whole month.
11. Most of the trackers required repair.</t>
  </si>
  <si>
    <t xml:space="preserve">1. SR105393
2. SR105006
3. SR104883
4. SR104670
5. SR104214
6. SR103975
7. SR104000
8. SR103977
9. SR103976
10. SR099221, 	SR103657
11. SR102147
</t>
  </si>
  <si>
    <t>1. Weather station was not communicated from 20:45 on 07/14
2. Inverter 17 was derating to 75kW from 10:30 on 07/29 and reporting External Fan Err - ExtFanerr
3.  8  trackers remained stuck for whole month.(motors need to be replaced)</t>
  </si>
  <si>
    <t>1. SR104941
2. SR105308
3. SR101583</t>
  </si>
  <si>
    <t>1. Site was offline from 16:30 to 19:45 on 07/02
2. Multiple inverters experienced tripping events on 07/22 due to a technician being on site for preventive maintenance.</t>
  </si>
  <si>
    <t>1. SR103941
2. PM9485</t>
  </si>
  <si>
    <t>1. Inverter 2 was tripped offline on 07/18 at 15:15 and back online on 07/21 at 08:00.
2. BPOA was not communicated for whole month.
3. Trackers were not communicating for the entire month, so it is not possible to confirm which tracker was offline.</t>
  </si>
  <si>
    <t>1. SR104630
2. SR099420
3. SR101449</t>
  </si>
  <si>
    <t>1. Site was curtailed from 07/01 at 06:15 to 07/15 at 20:15
2. 4 trackers remained stuck for whole month
3. Weather station was not communicating from 12/18.</t>
  </si>
  <si>
    <t>1. SR101462
2. SR101580, 	SR100415
3. SR105397</t>
  </si>
  <si>
    <t>August Actual v. Expected</t>
  </si>
  <si>
    <t>August Actual v. Forecasted</t>
  </si>
  <si>
    <t>1. Most of the trackers required repair. 
2. Inverter 64 was LOTO'd.
3. Inverter 21 was offline from 06:00 on 08/07 to 09:45 on 08/14 Inverter 21 tripped offline at 15:30 on 08/27 and back online 08/28 at 06:00.
4. Inverter 69 tripped offline at 12:30 on 08/07 and back online at 09:00 on 08/14.
5. Inverter 70 was derated by 50kW from 09:00 on 08/11 to 08:00 on 08/14
6. Inverter 33 was offline from 05:45 to 09:00 on 08/01.</t>
  </si>
  <si>
    <t>1. SR102147
2. SR099221
3. SR105946, SR107054
4. SR105860
5. SR106166
6. 	SR105393</t>
  </si>
  <si>
    <t>SR105946</t>
  </si>
  <si>
    <t>SR107054</t>
  </si>
  <si>
    <t>SR105860</t>
  </si>
  <si>
    <t>SR106166</t>
  </si>
  <si>
    <t>SR105393</t>
  </si>
  <si>
    <t>1.  8  trackers remained stuck for whole month.(motors need to be replaced).
2. Inverter 17 was derated at 75.2kW from 08/01 to 08/21
3.  Inverter 16 was derated at 75.3kW from 08/01 to 08/21
4. Weather station was not communicated for whole month.</t>
  </si>
  <si>
    <t>1. SR101583
2. SR105308
3. SR105629
4. SR104941</t>
  </si>
  <si>
    <t>SR105308</t>
  </si>
  <si>
    <t>SR105629</t>
  </si>
  <si>
    <t>SR104941</t>
  </si>
  <si>
    <t>1. NCU 1 all trackers stuck and reporting Wind stow, NCU 2 was not communicated  from 5/15 
2. 12 Modules being replced.</t>
  </si>
  <si>
    <t>1. SR103137
2. SR105402</t>
  </si>
  <si>
    <t>SR105402</t>
  </si>
  <si>
    <t>1.Hukseflux SR15-D1-POA stopped communicating 03/16/25. Huskseflux SR15-D1-BPOA has intermittent comms. 
2.  Tracker system is not communicated for whole month.</t>
  </si>
  <si>
    <t>1. SR099420
2. SR101449</t>
  </si>
  <si>
    <t>SR101449</t>
  </si>
  <si>
    <t>1. Trackers were not communicated for whole month
2. Weather station is not communicated from 12/18 to end of the month.
3. Inverter 14 was offline from 13:30 on 08/20 to 11:30 on 08/26.
4. All Inverters were tripped offline on  08/25 at 12:30 and back online on 08/26 at 11:00.</t>
  </si>
  <si>
    <t>1. SR101580, SR100415
2. SR105397
3. SR106590
4. SR106873</t>
  </si>
  <si>
    <t>SR105397</t>
  </si>
  <si>
    <t>SR106590</t>
  </si>
  <si>
    <t>SR106873</t>
  </si>
  <si>
    <t>September Actual v. Expected</t>
  </si>
  <si>
    <t>September Actual v. Forecasted</t>
  </si>
  <si>
    <t>1.Inverter 13 tripped offline at 07:30 on 09/04 and offline for whole month
2.Inverter 40 tripped offine at 12:30 on 09/08 and back online at 11:45 on 09/12
3. Inverter 64 was LOTO'd.
4. Most of the trackers required repairs. Whenever the trackers were getting stuck, it was also affecting the weather station.</t>
  </si>
  <si>
    <t>1.SR107451
2.SR107650
3. SR099221
4.SR102147</t>
  </si>
  <si>
    <t>SR107650</t>
  </si>
  <si>
    <t>SR102147</t>
  </si>
  <si>
    <t>1.Weather station was not communicated for whole month.
2.Site tripped offline at 08:00 on 09/15 and back online at 13:45 on 09/15.
3.8 trackers remained stuck for whole month.(motors need to be replaced).</t>
  </si>
  <si>
    <t>1.SR104941
2.SR107935
3.SR101583</t>
  </si>
  <si>
    <t>SR107935</t>
  </si>
  <si>
    <t>1. 12 modules are replaced on 09/22
2. Site tripped offline at 07:00 on 09/23 and later back online at 09:30 on 09/27</t>
  </si>
  <si>
    <t>1.SR105402
2.SR108406</t>
  </si>
  <si>
    <t>SR108406</t>
  </si>
  <si>
    <t>1.Hukseflux SR15-D1-POA stopped communicating 03/16/25. Huskseflux SR15-D1-BPOA has intermittent comms. Further Troubleshooting required need to run a new conduit to install replacement cable.
2.  Tracker system is not communicated for whole month.</t>
  </si>
  <si>
    <t>1. SR099420, SR108512
2. SR101449</t>
  </si>
  <si>
    <t>SR108512</t>
  </si>
  <si>
    <t>1.Weather station is not communicated from 12/18 to end of the month.
2. Trackers were not communicated for whole month</t>
  </si>
  <si>
    <t>1.SR105397
2.SR101580, SR100415</t>
  </si>
  <si>
    <t>October Actual v. Expected</t>
  </si>
  <si>
    <t>October Actual v. Forecasted</t>
  </si>
  <si>
    <t>Status</t>
  </si>
  <si>
    <t>1.Inverter 13 tripped offline at 07:30 on 09/04 and offline for whole month
2. Inverter 64 was being LOTO'd.
3. Most of the trackers required repairs. Whenever the trackers were getting stuck, it was also affecting the weather station.
4.Soltec trackers, 
T01: Motor 14, 22, 24, 55, 77, 127, 138 are stuck.
 T02: All motors are stuck.
T03: Motor 10, 13, 52 are stuck. 
T04: Motor 1, 11, 27, 28, 29, 32, 39, 49, 51, 57, 65, 75, 78, 88, 89, 94, 112, 113 are stuck.
5. Inverter 24 is derating at 50kW on 10/24 and later resolved.
6.Inverter 35 offline on 10/10 and back online on 10/11
7. Meters LV2 and LV3, invs 29-80, Huskeflux L32, Weather stations 3, 4, &amp; 6 stopped communicating. UPS 2 is in battery mode on 10/11. On 10/12 technician confirmed several inverters are showing no communications (13,32,34,39, 42,43,44,45 49,51 52, 59,62, 63, 66, 67, 72,74,77 and 80), tech said bad weather in the area is affecting the inverters and some of them are on standby</t>
  </si>
  <si>
    <t>1.SR107650
2.SR099221
3.SR102147
4.	SR109898
5.SR109945
6.SR109354
7.SR109388</t>
  </si>
  <si>
    <t>1.Pending
2.Closed
3.Closed
4.Pending
5.Closed
6.Closed
7.Closed</t>
  </si>
  <si>
    <t>SR109898</t>
  </si>
  <si>
    <t>SR109945</t>
  </si>
  <si>
    <t>SR109354</t>
  </si>
  <si>
    <t>SR109388</t>
  </si>
  <si>
    <t>1. Inverter 22 started derating by 50 kW at 14:00 on 10/01  looks like a fan fault. no alert reported.
2. Inverter 22 has been derating daily from 10/19 due to a fan error, usually starting around 11:00. Initial event occurred 10/16.</t>
  </si>
  <si>
    <t>1.SR108844
2.SR109883</t>
  </si>
  <si>
    <t>1.Closed
2.Pending</t>
  </si>
  <si>
    <t>SR109883</t>
  </si>
  <si>
    <t>1. Site was producing as expected.</t>
  </si>
  <si>
    <t>1.Hukseflux SR15-D1-POA started communicating on 10/20 at 10:30</t>
  </si>
  <si>
    <t>1.SR108512</t>
  </si>
  <si>
    <t>1.Closed</t>
  </si>
  <si>
    <t>1.Weather station is not communicated from 12/18 to end of the month.
2. 7 trackers are currently stuck.
     Tracker 1 Group F motors 12 and target angle, &amp; 14
     Tracker 2 Group A motors 3, &amp; 7 and target angle
     Tracker 2 Group C motors 12 and target angle, &amp; 13
     Tracker 2 Group D motor 7</t>
  </si>
  <si>
    <t>1.SR105397
2.	SR109931</t>
  </si>
  <si>
    <t>1.Pending
2.Pending</t>
  </si>
  <si>
    <t>SR109931</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</si>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</sst>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79">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3" fillId="0" borderId="0" xfId="0" applyFont="1" applyAlignment="1">
      <alignment horizontal="left" vertical="top"/>
    </xf>
    <xf numFmtId="0" fontId="32" fillId="0" borderId="0" xfId="0" applyFont="1" applyAlignment="1">
      <alignment horizontal="left" vertical="top"/>
    </xf>
    <xf numFmtId="49" fontId="38" fillId="0" borderId="0" xfId="45" applyNumberFormat="1" applyAlignment="1">
      <alignment vertical="top" wrapText="1"/>
    </xf>
    <xf numFmtId="49" fontId="38" fillId="0" borderId="0" xfId="45" applyNumberFormat="1" applyAlignment="1">
      <alignment vertical="center" wrapText="1"/>
    </xf>
    <xf numFmtId="0" fontId="0" fillId="0" borderId="0" xfId="0"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580" TargetMode="External"/><Relationship Id="rId3" Type="http://schemas.openxmlformats.org/officeDocument/2006/relationships/hyperlink" Target="https://us3.assetplanner.com/service_request?ID=103277" TargetMode="External"/><Relationship Id="rId7" Type="http://schemas.openxmlformats.org/officeDocument/2006/relationships/hyperlink" Target="https://us3.assetplanner.com/service_request?ID=101462" TargetMode="External"/><Relationship Id="rId2" Type="http://schemas.openxmlformats.org/officeDocument/2006/relationships/hyperlink" Target="https://us3.assetplanner.com/service_request?ID=103139" TargetMode="External"/><Relationship Id="rId1" Type="http://schemas.openxmlformats.org/officeDocument/2006/relationships/hyperlink" Target="https://us3.assetplanner.com/service_request?ID=102702" TargetMode="External"/><Relationship Id="rId6" Type="http://schemas.openxmlformats.org/officeDocument/2006/relationships/hyperlink" Target="https://us3.assetplanner.com/service_request?ID=100087" TargetMode="External"/><Relationship Id="rId11" Type="http://schemas.openxmlformats.org/officeDocument/2006/relationships/hyperlink" Target="https://us3.assetplanner.com/service_request?ID=102470" TargetMode="External"/><Relationship Id="rId5" Type="http://schemas.openxmlformats.org/officeDocument/2006/relationships/hyperlink" Target="https://us3.assetplanner.com/service_request?ID=102342" TargetMode="External"/><Relationship Id="rId10" Type="http://schemas.openxmlformats.org/officeDocument/2006/relationships/hyperlink" Target="https://us3.assetplanner.com/service_request?ID=102470" TargetMode="External"/><Relationship Id="rId4" Type="http://schemas.openxmlformats.org/officeDocument/2006/relationships/hyperlink" Target="https://us3.assetplanner.com/service_request?ID=101583" TargetMode="External"/><Relationship Id="rId9" Type="http://schemas.openxmlformats.org/officeDocument/2006/relationships/hyperlink" Target="https://us3.assetplanner.com/service_request?ID=102509"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1583" TargetMode="External"/><Relationship Id="rId13" Type="http://schemas.openxmlformats.org/officeDocument/2006/relationships/hyperlink" Target="https://us3.assetplanner.com/service_request?ID=105402" TargetMode="External"/><Relationship Id="rId18"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105946" TargetMode="External"/><Relationship Id="rId7" Type="http://schemas.openxmlformats.org/officeDocument/2006/relationships/hyperlink" Target="https://us3.assetplanner.com/service_request?ID=105393" TargetMode="External"/><Relationship Id="rId12" Type="http://schemas.openxmlformats.org/officeDocument/2006/relationships/hyperlink" Target="https://us3.assetplanner.com/service_request?ID=103137" TargetMode="External"/><Relationship Id="rId17" Type="http://schemas.openxmlformats.org/officeDocument/2006/relationships/hyperlink" Target="https://us3.assetplanner.com/service_request?ID=100415"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1580" TargetMode="External"/><Relationship Id="rId20" Type="http://schemas.openxmlformats.org/officeDocument/2006/relationships/hyperlink" Target="https://us3.assetplanner.com/service_request?ID=106873" TargetMode="External"/><Relationship Id="rId1" Type="http://schemas.openxmlformats.org/officeDocument/2006/relationships/hyperlink" Target="https://us3.assetplanner.com/service_request?ID=102147" TargetMode="External"/><Relationship Id="rId6" Type="http://schemas.openxmlformats.org/officeDocument/2006/relationships/hyperlink" Target="https://us3.assetplanner.com/service_request?ID=106166" TargetMode="External"/><Relationship Id="rId11" Type="http://schemas.openxmlformats.org/officeDocument/2006/relationships/hyperlink" Target="https://us3.assetplanner.com/service_request?ID=104941" TargetMode="External"/><Relationship Id="rId5" Type="http://schemas.openxmlformats.org/officeDocument/2006/relationships/hyperlink" Target="https://us3.assetplanner.com/service_request?ID=105860" TargetMode="External"/><Relationship Id="rId15" Type="http://schemas.openxmlformats.org/officeDocument/2006/relationships/hyperlink" Target="https://us3.assetplanner.com/service_request?ID=101449" TargetMode="External"/><Relationship Id="rId10" Type="http://schemas.openxmlformats.org/officeDocument/2006/relationships/hyperlink" Target="https://us3.assetplanner.com/service_request?ID=105629" TargetMode="External"/><Relationship Id="rId19" Type="http://schemas.openxmlformats.org/officeDocument/2006/relationships/hyperlink" Target="https://us3.assetplanner.com/service_request?ID=106590" TargetMode="External"/><Relationship Id="rId4" Type="http://schemas.openxmlformats.org/officeDocument/2006/relationships/hyperlink" Target="https://us3.assetplanner.com/service_request?ID=107054" TargetMode="External"/><Relationship Id="rId9" Type="http://schemas.openxmlformats.org/officeDocument/2006/relationships/hyperlink" Target="https://us3.assetplanner.com/service_request?ID=105308" TargetMode="External"/><Relationship Id="rId14" Type="http://schemas.openxmlformats.org/officeDocument/2006/relationships/hyperlink" Target="https://us3.assetplanner.com/service_request?ID=0994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5402" TargetMode="External"/><Relationship Id="rId13"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099221" TargetMode="External"/><Relationship Id="rId7" Type="http://schemas.openxmlformats.org/officeDocument/2006/relationships/hyperlink" Target="https://us3.assetplanner.com/service_request?ID=101583" TargetMode="External"/><Relationship Id="rId12" Type="http://schemas.openxmlformats.org/officeDocument/2006/relationships/hyperlink" Target="https://us3.assetplanner.com/service_request?ID=101449" TargetMode="External"/><Relationship Id="rId2" Type="http://schemas.openxmlformats.org/officeDocument/2006/relationships/hyperlink" Target="https://us3.assetplanner.com/service_request?ID=107650" TargetMode="External"/><Relationship Id="rId1" Type="http://schemas.openxmlformats.org/officeDocument/2006/relationships/hyperlink" Target="https://us3.assetplanner.com/service_request?ID=107451" TargetMode="External"/><Relationship Id="rId6" Type="http://schemas.openxmlformats.org/officeDocument/2006/relationships/hyperlink" Target="https://us3.assetplanner.com/service_request?ID=107935" TargetMode="External"/><Relationship Id="rId11" Type="http://schemas.openxmlformats.org/officeDocument/2006/relationships/hyperlink" Target="https://us3.assetplanner.com/service_request?ID=108512" TargetMode="External"/><Relationship Id="rId5" Type="http://schemas.openxmlformats.org/officeDocument/2006/relationships/hyperlink" Target="https://us3.assetplanner.com/service_request?ID=104941" TargetMode="External"/><Relationship Id="rId15" Type="http://schemas.openxmlformats.org/officeDocument/2006/relationships/hyperlink" Target="https://us3.assetplanner.com/service_request?ID=100415" TargetMode="External"/><Relationship Id="rId10" Type="http://schemas.openxmlformats.org/officeDocument/2006/relationships/hyperlink" Target="https://us3.assetplanner.com/service_request?ID=099420" TargetMode="External"/><Relationship Id="rId4" Type="http://schemas.openxmlformats.org/officeDocument/2006/relationships/hyperlink" Target="https://us3.assetplanner.com/service_request?ID=102147" TargetMode="External"/><Relationship Id="rId9" Type="http://schemas.openxmlformats.org/officeDocument/2006/relationships/hyperlink" Target="https://us3.assetplanner.com/service_request?ID=108406" TargetMode="External"/><Relationship Id="rId14" Type="http://schemas.openxmlformats.org/officeDocument/2006/relationships/hyperlink" Target="https://us3.assetplanner.com/service_request?ID=10158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844" TargetMode="External"/><Relationship Id="rId3" Type="http://schemas.openxmlformats.org/officeDocument/2006/relationships/hyperlink" Target="https://us3.assetplanner.com/service_request?ID=102147" TargetMode="External"/><Relationship Id="rId7" Type="http://schemas.openxmlformats.org/officeDocument/2006/relationships/hyperlink" Target="https://us3.assetplanner.com/service_request?ID=109388" TargetMode="External"/><Relationship Id="rId12" Type="http://schemas.openxmlformats.org/officeDocument/2006/relationships/hyperlink" Target="https://us3.assetplanner.com/service_request?ID=109931" TargetMode="External"/><Relationship Id="rId2" Type="http://schemas.openxmlformats.org/officeDocument/2006/relationships/hyperlink" Target="https://us3.assetplanner.com/service_request?ID=099221" TargetMode="External"/><Relationship Id="rId1" Type="http://schemas.openxmlformats.org/officeDocument/2006/relationships/hyperlink" Target="https://us3.assetplanner.com/service_request?ID=107650" TargetMode="External"/><Relationship Id="rId6" Type="http://schemas.openxmlformats.org/officeDocument/2006/relationships/hyperlink" Target="https://us3.assetplanner.com/service_request?ID=109354" TargetMode="External"/><Relationship Id="rId11" Type="http://schemas.openxmlformats.org/officeDocument/2006/relationships/hyperlink" Target="https://us3.assetplanner.com/service_request?ID=105397" TargetMode="External"/><Relationship Id="rId5" Type="http://schemas.openxmlformats.org/officeDocument/2006/relationships/hyperlink" Target="https://us3.assetplanner.com/service_request?ID=109945" TargetMode="External"/><Relationship Id="rId10" Type="http://schemas.openxmlformats.org/officeDocument/2006/relationships/hyperlink" Target="https://us3.assetplanner.com/service_request?ID=108512" TargetMode="External"/><Relationship Id="rId4" Type="http://schemas.openxmlformats.org/officeDocument/2006/relationships/hyperlink" Target="https://us3.assetplanner.com/service_request?ID=109898" TargetMode="External"/><Relationship Id="rId9" Type="http://schemas.openxmlformats.org/officeDocument/2006/relationships/hyperlink" Target="https://us3.assetplanner.com/service_request?ID=10988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E20" sqref="E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0</v>
      </c>
      <c r="E1" s="77"/>
      <c r="F1" s="77"/>
      <c r="G1" s="75" t="s">
        <v>1</v>
      </c>
      <c r="H1" s="75"/>
      <c r="I1" s="75"/>
    </row>
    <row r="2" spans="1:9" ht="19.5" customHeight="1">
      <c r="A2" s="78" t="s">
        <v>2</v>
      </c>
      <c r="B2" s="78"/>
      <c r="C2" s="5">
        <f>SUM(C4:C86)</f>
        <v>37471166.603231169</v>
      </c>
      <c r="D2" s="5">
        <f>SUM(D4:D86)</f>
        <v>31729934.541999999</v>
      </c>
      <c r="E2" s="5">
        <f>C2-D2</f>
        <v>5741232.0612311698</v>
      </c>
      <c r="F2" s="6">
        <f>IFERROR(E2/D2, 0)</f>
        <v>0.18094055799679215</v>
      </c>
      <c r="G2" s="5">
        <f>SUM(G4:G86)</f>
        <v>42359562.870000005</v>
      </c>
      <c r="H2" s="7">
        <f>C2-G2</f>
        <v>-4888396.2667688355</v>
      </c>
      <c r="I2" s="6">
        <f>IFERROR(H2/G2, 0)</f>
        <v>-0.11540242475521172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SUM('1st Qtr'!C4, '2nd Qtr'!C4, '3rd Qtr'!C4, '4th Qtr'!C4)</f>
        <v>16883993</v>
      </c>
      <c r="D4" s="13">
        <f>SUM('1st Qtr'!D4, '2nd Qtr'!D4, '3rd Qtr'!D4, '4th Qtr'!D4)</f>
        <v>17717983.369999997</v>
      </c>
      <c r="E4" s="13">
        <f>IF(AND(ISNUMBER(C4),ISNUMBER(D4)), C4-D4, "")</f>
        <v>-833990.36999999732</v>
      </c>
      <c r="F4" s="14">
        <f>IFERROR(E4/D4, "")</f>
        <v>-4.7070276147346754E-2</v>
      </c>
      <c r="G4" s="15">
        <f>SUM('1st Qtr'!G4, '2nd Qtr'!G4, '3rd Qtr'!G4, '4th Qtr'!G4)</f>
        <v>19236725.670000002</v>
      </c>
      <c r="H4" s="15">
        <f>SUM('1st Qtr'!H4, '2nd Qtr'!H4, '3rd Qtr'!H4, '4th Qtr'!H4)</f>
        <v>988306.32999999961</v>
      </c>
      <c r="I4" s="51">
        <f>IFERROR(H4/G4, "")</f>
        <v>5.1376016217836905E-2</v>
      </c>
    </row>
    <row r="5" spans="1:9" ht="15.6">
      <c r="A5" s="17" t="str">
        <v>Warsaw - Hemings</v>
      </c>
      <c r="B5" s="10" t="str">
        <v>VA</v>
      </c>
      <c r="C5" s="18">
        <f>SUM('1st Qtr'!C5, '2nd Qtr'!C5, '3rd Qtr'!C5, '4th Qtr'!C5)</f>
        <v>8803150.3999999985</v>
      </c>
      <c r="D5" s="18">
        <f>SUM('1st Qtr'!D5, '2nd Qtr'!D5, '3rd Qtr'!D5, '4th Qtr'!D5)</f>
        <v>5911141.5299999993</v>
      </c>
      <c r="E5" s="18">
        <f t="shared" ref="E5:E6" si="0">IF(AND(ISNUMBER(C5),ISNUMBER(D5)), C5-D5, "")</f>
        <v>2892008.8699999992</v>
      </c>
      <c r="F5" s="19">
        <f>IFERROR(E5/D5, "")</f>
        <v>0.48924710317331882</v>
      </c>
      <c r="G5" s="20">
        <f>SUM('1st Qtr'!G5, '2nd Qtr'!G5, '3rd Qtr'!G5, '4th Qtr'!G5)</f>
        <v>9377653.6400000006</v>
      </c>
      <c r="H5" s="52">
        <f>SUM('1st Qtr'!H5, '2nd Qtr'!H5, '3rd Qtr'!H5, '4th Qtr'!H5)</f>
        <v>706847.75999999896</v>
      </c>
      <c r="I5" s="19">
        <f>IFERROR(H5/G5, "")</f>
        <v>7.5375758919583952E-2</v>
      </c>
    </row>
    <row r="6" spans="1:9" ht="15.6">
      <c r="A6" s="12" t="str">
        <v>Mount Jackson - Randolf</v>
      </c>
      <c r="B6" s="9" t="str">
        <v>VA</v>
      </c>
      <c r="C6" s="24">
        <f>SUM('1st Qtr'!C6, '2nd Qtr'!C6, '3rd Qtr'!C6, '4th Qtr'!C6)</f>
        <v>5321686.803231176</v>
      </c>
      <c r="D6" s="13">
        <f>SUM('1st Qtr'!D6, '2nd Qtr'!D6, '3rd Qtr'!D6, '4th Qtr'!D6)</f>
        <v>5455140.3359999992</v>
      </c>
      <c r="E6" s="13">
        <f t="shared" si="0"/>
        <v>-133453.53276882321</v>
      </c>
      <c r="F6" s="14">
        <f t="shared" ref="F6:F8" si="1">IFERROR(E6/D6, "")</f>
        <v>-2.4463812945035704E-2</v>
      </c>
      <c r="G6" s="15">
        <f>SUM('1st Qtr'!G6, '2nd Qtr'!G6, '3rd Qtr'!G6, '4th Qtr'!G6)</f>
        <v>6465262.0599999996</v>
      </c>
      <c r="H6" s="15">
        <f>SUM('1st Qtr'!H6, '2nd Qtr'!H6, '3rd Qtr'!H6, '4th Qtr'!H6)</f>
        <v>-13909.056768824026</v>
      </c>
      <c r="I6" s="16">
        <f t="shared" ref="I6:I8" si="2">IFERROR(H6/G6, "")</f>
        <v>-2.1513523566009988E-3</v>
      </c>
    </row>
    <row r="7" spans="1:9" ht="15.6">
      <c r="A7" s="17" t="str">
        <v>Callands Gretna - Monroe</v>
      </c>
      <c r="B7" s="10" t="str">
        <v>VA</v>
      </c>
      <c r="C7" s="18">
        <f>SUM('1st Qtr'!C7, '2nd Qtr'!C7, '3rd Qtr'!C7, '4th Qtr'!C7)</f>
        <v>4199495</v>
      </c>
      <c r="D7" s="18">
        <f>SUM('1st Qtr'!D7, '2nd Qtr'!D7, '3rd Qtr'!D7, '4th Qtr'!D7)</f>
        <v>2645669.3060000003</v>
      </c>
      <c r="E7" s="18">
        <f t="shared" ref="E7:E8" si="3">IF(AND(ISNUMBER(C7),ISNUMBER(D7)), C7-D7, "")</f>
        <v>1553825.6939999997</v>
      </c>
      <c r="F7" s="19">
        <f t="shared" si="1"/>
        <v>0.58730911322747137</v>
      </c>
      <c r="G7" s="20">
        <f>SUM('1st Qtr'!G7, '2nd Qtr'!G7, '3rd Qtr'!G7, '4th Qtr'!G7)</f>
        <v>4277020.8999999994</v>
      </c>
      <c r="H7" s="20">
        <f>SUM('1st Qtr'!H7, '2nd Qtr'!H7, '3rd Qtr'!H7, '4th Qtr'!H7)</f>
        <v>446263.70000000007</v>
      </c>
      <c r="I7" s="19">
        <f t="shared" si="2"/>
        <v>0.1043398455219146</v>
      </c>
    </row>
    <row r="8" spans="1:9" ht="15.6">
      <c r="A8" s="12" t="str">
        <v>Rockbridge Baths - Small Mouth Bass</v>
      </c>
      <c r="B8" s="9" t="str">
        <v>VA</v>
      </c>
      <c r="C8" s="24">
        <f>SUM('1st Qtr'!C8, '2nd Qtr'!C8, '3rd Qtr'!C8, '4th Qtr'!C8)</f>
        <v>2262841.4</v>
      </c>
      <c r="D8" s="13">
        <f>SUM('1st Qtr'!D8, '2nd Qtr'!D8, '3rd Qtr'!D8, '4th Qtr'!D8)</f>
        <v>0</v>
      </c>
      <c r="E8" s="13">
        <f t="shared" si="3"/>
        <v>2262841.4</v>
      </c>
      <c r="F8" s="14" t="str">
        <f t="shared" si="1"/>
        <v/>
      </c>
      <c r="G8" s="15">
        <f>SUM('1st Qtr'!G8, '2nd Qtr'!G8, '3rd Qtr'!G8, '4th Qtr'!G8)</f>
        <v>3002900.6</v>
      </c>
      <c r="H8" s="15">
        <f>SUM('1st Qtr'!H8, '2nd Qtr'!H8, '3rd Qtr'!H8, '4th Qtr'!H8)</f>
        <v>-131517.70000000001</v>
      </c>
      <c r="I8" s="16">
        <f t="shared" si="2"/>
        <v>-4.3796887582625947E-2</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D6" sqref="D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10</v>
      </c>
      <c r="E1" s="77"/>
      <c r="F1" s="77"/>
      <c r="G1" s="75" t="s">
        <v>11</v>
      </c>
      <c r="H1" s="75"/>
      <c r="I1" s="75"/>
    </row>
    <row r="2" spans="1:9" ht="19.5" customHeight="1">
      <c r="A2" s="78" t="s">
        <v>2</v>
      </c>
      <c r="B2" s="78"/>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6">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6">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6">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6">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H8" activePane="bottomRight" state="frozen"/>
      <selection pane="bottomRight" activeCell="H8" sqref="H8"/>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12</v>
      </c>
      <c r="E1" s="77"/>
      <c r="F1" s="77"/>
      <c r="G1" s="75" t="s">
        <v>13</v>
      </c>
      <c r="H1" s="75"/>
      <c r="I1" s="75"/>
    </row>
    <row r="2" spans="1:9" ht="19.5" customHeight="1">
      <c r="A2" s="78" t="s">
        <v>2</v>
      </c>
      <c r="B2" s="78"/>
      <c r="C2" s="5">
        <f>SUM(C4:C86)</f>
        <v>12798493.305598898</v>
      </c>
      <c r="D2" s="5">
        <f>SUM(D4:D86)</f>
        <v>10929618.500000002</v>
      </c>
      <c r="E2" s="5">
        <f>C2-D2</f>
        <v>1868874.805598896</v>
      </c>
      <c r="F2" s="6">
        <f>IFERROR(E2/D2, 0)</f>
        <v>0.17099176934665156</v>
      </c>
      <c r="G2" s="5">
        <f>SUM(G4:G86)</f>
        <v>15450717.299999999</v>
      </c>
      <c r="H2" s="7">
        <f>C2-G2</f>
        <v>-2652223.994401101</v>
      </c>
      <c r="I2" s="6">
        <f>IFERROR(H2/G2, 0)</f>
        <v>-0.17165701390453253</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SUM(Apr!C4, May!C4, Jun!C4)</f>
        <v>5967940</v>
      </c>
      <c r="D4" s="13">
        <f>SUM(Apr!D4,May!D4,Jun!D4)</f>
        <v>6302907</v>
      </c>
      <c r="E4" s="13">
        <f>IF(AND(ISNUMBER(C4),ISNUMBER(D4)), C4-D4, "")</f>
        <v>-334967</v>
      </c>
      <c r="F4" s="14">
        <f>IFERROR(E4/D4, "")</f>
        <v>-5.314484253059739E-2</v>
      </c>
      <c r="G4" s="15">
        <f>SUM(Apr!G4,May!G4,Jun!G4)</f>
        <v>7143808</v>
      </c>
      <c r="H4" s="15">
        <f>SUM(Apr!H4,May!H4,Jun!G4)</f>
        <v>2165171</v>
      </c>
      <c r="I4" s="16">
        <f>IFERROR(H4/G4, "")</f>
        <v>0.30308359351203168</v>
      </c>
    </row>
    <row r="5" spans="1:9" ht="15.6">
      <c r="A5" s="17" t="str">
        <v>Warsaw - Hemings</v>
      </c>
      <c r="B5" s="10" t="str">
        <v>VA</v>
      </c>
      <c r="C5" s="11">
        <f>SUM(Apr!C5, May!C5, Jun!C5)</f>
        <v>3089302.7</v>
      </c>
      <c r="D5" s="18">
        <f>SUM(Apr!D5,May!D5,Jun!D5)</f>
        <v>2273458.7999999998</v>
      </c>
      <c r="E5" s="18">
        <f t="shared" ref="E5:E6" si="0">IF(AND(ISNUMBER(C5),ISNUMBER(D5)), C5-D5, "")</f>
        <v>815843.90000000037</v>
      </c>
      <c r="F5" s="19">
        <f>IFERROR(E5/D5, "")</f>
        <v>0.35885581036260716</v>
      </c>
      <c r="G5" s="20">
        <f>SUM(Apr!G5,May!G5,Jun!G5)</f>
        <v>3418110</v>
      </c>
      <c r="H5" s="20">
        <f>SUM(Apr!H5,May!H5,Jun!G5)</f>
        <v>952543.7</v>
      </c>
      <c r="I5" s="19">
        <f>IFERROR(H5/G5, "")</f>
        <v>0.27867555461936566</v>
      </c>
    </row>
    <row r="6" spans="1:9" ht="15.6">
      <c r="A6" s="12" t="str">
        <v>Mount Jackson - Randolf</v>
      </c>
      <c r="B6" s="9" t="str">
        <v>VA</v>
      </c>
      <c r="C6" s="24">
        <f>SUM(Apr!C6, May!C6, Jun!C6)</f>
        <v>1591041.6055988981</v>
      </c>
      <c r="D6" s="13">
        <f>SUM(Apr!D6,May!D6,Jun!D6)</f>
        <v>1704180.4</v>
      </c>
      <c r="E6" s="13">
        <f t="shared" si="0"/>
        <v>-113138.79440110177</v>
      </c>
      <c r="F6" s="14">
        <f t="shared" ref="F6:F8" si="1">IFERROR(E6/D6, "")</f>
        <v>-6.6388977599496968E-2</v>
      </c>
      <c r="G6" s="15">
        <f>SUM(Apr!G6,May!G6,Jun!G6)</f>
        <v>2280381.1</v>
      </c>
      <c r="H6" s="15">
        <f>SUM(Apr!H6,May!H6,Jun!G6)</f>
        <v>440326.705598898</v>
      </c>
      <c r="I6" s="16">
        <f t="shared" ref="I6:I8" si="2">IFERROR(H6/G6, "")</f>
        <v>0.19309347266511637</v>
      </c>
    </row>
    <row r="7" spans="1:9" ht="15.6">
      <c r="A7" s="17" t="str">
        <v>Callands Gretna - Monroe</v>
      </c>
      <c r="B7" s="10" t="str">
        <v>VA</v>
      </c>
      <c r="C7" s="11">
        <f>SUM(Apr!C7, May!C7, Jun!C7)</f>
        <v>1442040</v>
      </c>
      <c r="D7" s="18">
        <f>SUM(Apr!D7,May!D7,Jun!D7)</f>
        <v>649072.30000000005</v>
      </c>
      <c r="E7" s="18">
        <f t="shared" ref="E7:E8" si="3">IF(AND(ISNUMBER(C7),ISNUMBER(D7)), C7-D7, "")</f>
        <v>792967.7</v>
      </c>
      <c r="F7" s="19">
        <f t="shared" si="1"/>
        <v>1.2216939468838832</v>
      </c>
      <c r="G7" s="20">
        <f>SUM(Apr!G7,May!G7,Jun!G7)</f>
        <v>1515983.2</v>
      </c>
      <c r="H7" s="20">
        <f>SUM(Apr!H7,May!H7,Jun!G7)</f>
        <v>449846.40000000008</v>
      </c>
      <c r="I7" s="19">
        <f t="shared" si="2"/>
        <v>0.29673574219028293</v>
      </c>
    </row>
    <row r="8" spans="1:9" ht="15.6">
      <c r="A8" s="12" t="str">
        <v>Rockbridge Baths - Small Mouth Bass</v>
      </c>
      <c r="B8" s="9" t="str">
        <v>VA</v>
      </c>
      <c r="C8" s="24">
        <f>SUM(Apr!C8, May!C8, Jun!C8)</f>
        <v>708169</v>
      </c>
      <c r="D8" s="13">
        <f>SUM(Apr!D8,May!D8,Jun!D8)</f>
        <v>0</v>
      </c>
      <c r="E8" s="13">
        <f t="shared" si="3"/>
        <v>708169</v>
      </c>
      <c r="F8" s="14" t="str">
        <f t="shared" si="1"/>
        <v/>
      </c>
      <c r="G8" s="15">
        <f>SUM(Apr!G8,May!G8,Jun!G8)</f>
        <v>1092435</v>
      </c>
      <c r="H8" s="15">
        <f>SUM(Apr!H8,May!H8,Jun!G8)</f>
        <v>224275.5</v>
      </c>
      <c r="I8" s="16">
        <f t="shared" si="2"/>
        <v>0.20529871342459735</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14</v>
      </c>
      <c r="E1" s="77"/>
      <c r="F1" s="77"/>
      <c r="G1" s="75" t="s">
        <v>15</v>
      </c>
      <c r="H1" s="75"/>
      <c r="I1" s="75"/>
    </row>
    <row r="2" spans="1:9" ht="19.5" customHeight="1">
      <c r="A2" s="78" t="s">
        <v>2</v>
      </c>
      <c r="B2" s="78"/>
      <c r="C2" s="5">
        <f>SUM(C4:C86)</f>
        <v>13413442.6</v>
      </c>
      <c r="D2" s="5">
        <f>SUM(D4:D86)</f>
        <v>10001469.951999998</v>
      </c>
      <c r="E2" s="5">
        <f>C2-D2</f>
        <v>3411972.6480000019</v>
      </c>
      <c r="F2" s="6">
        <f>IFERROR(E2/D2, 0)</f>
        <v>0.34114711781118817</v>
      </c>
      <c r="G2" s="5">
        <f>SUM(G4:G86)</f>
        <v>15281198.970000001</v>
      </c>
      <c r="H2" s="7">
        <f>C2-G2</f>
        <v>-1867756.370000001</v>
      </c>
      <c r="I2" s="6">
        <f>IFERROR(H2/G2, 0)</f>
        <v>-0.12222577388507107</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SUM(Jul!C4, Aug!C4, Sep!C4)</f>
        <v>6128755</v>
      </c>
      <c r="D4" s="13">
        <f>SUM(Jul!D4, Aug!D4, Sep!D4)</f>
        <v>6210126.7699999996</v>
      </c>
      <c r="E4" s="13">
        <f>IF(AND(ISNUMBER(C4),ISNUMBER(D4)), C4-D4, "")</f>
        <v>-81371.769999999553</v>
      </c>
      <c r="F4" s="14">
        <f>IFERROR(E4/D4, "")</f>
        <v>-1.3103077121242012E-2</v>
      </c>
      <c r="G4" s="15">
        <f>SUM(Jul!G4,Aug!G4,Sep!G4)</f>
        <v>7003669.0700000003</v>
      </c>
      <c r="H4" s="15">
        <f>SUM(Jul!H4, Aug!H4, Sep!H4)</f>
        <v>-874914.0700000003</v>
      </c>
      <c r="I4" s="16">
        <f>IFERROR(H4/G4, "")</f>
        <v>-0.12492224593358753</v>
      </c>
    </row>
    <row r="5" spans="1:9" ht="15.6">
      <c r="A5" s="17" t="str">
        <v>Warsaw - Hemings</v>
      </c>
      <c r="B5" s="10" t="str">
        <v>VA</v>
      </c>
      <c r="C5" s="11">
        <f>SUM(Jul!C5, Aug!C5, Sep!C5)</f>
        <v>2771456.2</v>
      </c>
      <c r="D5" s="18">
        <f>SUM(Jul!D5, Aug!D5, Sep!D5)</f>
        <v>502250.43</v>
      </c>
      <c r="E5" s="18">
        <f t="shared" ref="E5:E6" si="0">IF(AND(ISNUMBER(C5),ISNUMBER(D5)), C5-D5, "")</f>
        <v>2269205.77</v>
      </c>
      <c r="F5" s="19">
        <f>IFERROR(E5/D5, "")</f>
        <v>4.5180763110546271</v>
      </c>
      <c r="G5" s="52">
        <f>SUM(Jul!G5,Aug!G5,Sep!G5)</f>
        <v>3132778.6399999997</v>
      </c>
      <c r="H5" s="20">
        <f>SUM(Jul!H5, Aug!H5, Sep!H5)</f>
        <v>-361322.43999999994</v>
      </c>
      <c r="I5" s="19">
        <f>IFERROR(H5/G5, "")</f>
        <v>-0.11533609026394535</v>
      </c>
    </row>
    <row r="6" spans="1:9" ht="15.6">
      <c r="A6" s="12" t="str">
        <v>Mount Jackson - Randolf</v>
      </c>
      <c r="B6" s="9" t="str">
        <v>VA</v>
      </c>
      <c r="C6" s="24">
        <f>SUM(Jul!C6, Aug!C6, Sep!C6)</f>
        <v>1949285.5</v>
      </c>
      <c r="D6" s="13">
        <f>SUM(Jul!D6, Aug!D6, Sep!D6)</f>
        <v>1956086.3359999999</v>
      </c>
      <c r="E6" s="13">
        <f t="shared" si="0"/>
        <v>-6800.8359999998938</v>
      </c>
      <c r="F6" s="14">
        <f t="shared" ref="F6:F8" si="1">IFERROR(E6/D6, "")</f>
        <v>-3.4767565596858676E-3</v>
      </c>
      <c r="G6" s="15">
        <f>SUM(Jul!G6,Aug!G6,Sep!G6)</f>
        <v>2220095.2599999998</v>
      </c>
      <c r="H6" s="15">
        <f>SUM(Jul!H6, Aug!H6, Sep!H6)</f>
        <v>-270809.76</v>
      </c>
      <c r="I6" s="16">
        <f t="shared" ref="I6:I8" si="2">IFERROR(H6/G6, "")</f>
        <v>-0.12198114417847099</v>
      </c>
    </row>
    <row r="7" spans="1:9" ht="15.6">
      <c r="A7" s="17" t="str">
        <v>Callands Gretna - Monroe</v>
      </c>
      <c r="B7" s="10" t="str">
        <v>VA</v>
      </c>
      <c r="C7" s="11">
        <f>SUM(Jul!C7, Aug!C7, Sep!C7)</f>
        <v>1389163</v>
      </c>
      <c r="D7" s="18">
        <f>SUM(Jul!D7, Aug!D7, Sep!D7)</f>
        <v>1333006.416</v>
      </c>
      <c r="E7" s="18">
        <f t="shared" ref="E7:E8" si="3">IF(AND(ISNUMBER(C7),ISNUMBER(D7)), C7-D7, "")</f>
        <v>56156.584000000032</v>
      </c>
      <c r="F7" s="19">
        <f t="shared" si="1"/>
        <v>4.2127767222989894E-2</v>
      </c>
      <c r="G7" s="52">
        <f>SUM(Jul!G7,Aug!G7,Sep!G7)</f>
        <v>1394645.4</v>
      </c>
      <c r="H7" s="20">
        <f>SUM(Jul!H7, Aug!H7, Sep!H7)</f>
        <v>-5482.4000000000233</v>
      </c>
      <c r="I7" s="19">
        <f t="shared" si="2"/>
        <v>-3.9310350860512809E-3</v>
      </c>
    </row>
    <row r="8" spans="1:9" ht="15.6">
      <c r="A8" s="12" t="str">
        <v>Rockbridge Baths - Small Mouth Bass</v>
      </c>
      <c r="B8" s="9" t="str">
        <v>VA</v>
      </c>
      <c r="C8" s="24">
        <f>SUM(Jul!C8, Aug!C8, Sep!C8)</f>
        <v>1174782.8999999999</v>
      </c>
      <c r="D8" s="13">
        <f>SUM(Jul!D8, Aug!D8, Sep!D8)</f>
        <v>0</v>
      </c>
      <c r="E8" s="13">
        <f t="shared" si="3"/>
        <v>1174782.8999999999</v>
      </c>
      <c r="F8" s="14" t="str">
        <f t="shared" si="1"/>
        <v/>
      </c>
      <c r="G8" s="15">
        <f>SUM(Jul!G8,Aug!G8,Sep!G8)</f>
        <v>1530010.6</v>
      </c>
      <c r="H8" s="15">
        <f>SUM(Jul!H8, Aug!H8, Sep!H8)</f>
        <v>-355227.7</v>
      </c>
      <c r="I8" s="16">
        <f t="shared" si="2"/>
        <v>-0.2321733587989521</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8" priority="5" stopIfTrue="1" operator="lessThanOrEqual">
      <formula>-0.1</formula>
    </cfRule>
    <cfRule type="expression" dxfId="47"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6" t="str" cm="1">
        <f t="array" ref="A1">portfolio</f>
        <v>True Green Capital Management LLC</v>
      </c>
      <c r="B1" s="76"/>
      <c r="C1" s="76"/>
      <c r="D1" s="77" t="s">
        <v>16</v>
      </c>
      <c r="E1" s="77"/>
      <c r="F1" s="77"/>
      <c r="G1" s="75" t="s">
        <v>17</v>
      </c>
      <c r="H1" s="75"/>
      <c r="I1" s="75"/>
    </row>
    <row r="2" spans="1:9" ht="19.5" customHeight="1">
      <c r="A2" s="78" t="s">
        <v>2</v>
      </c>
      <c r="B2" s="78"/>
      <c r="C2" s="5">
        <f>SUM(C4:C86)</f>
        <v>3409621.5</v>
      </c>
      <c r="D2" s="5">
        <f>SUM(D4:D86)</f>
        <v>2918121.5</v>
      </c>
      <c r="E2" s="5">
        <f>C2-D2</f>
        <v>491500</v>
      </c>
      <c r="F2" s="6">
        <f>IFERROR(E2/D2, 0)</f>
        <v>0.1684302726942658</v>
      </c>
      <c r="G2" s="5">
        <f>SUM(G4:G86)</f>
        <v>3339773.8000000003</v>
      </c>
      <c r="H2" s="7">
        <f>C2-G2</f>
        <v>69847.699999999721</v>
      </c>
      <c r="I2" s="6">
        <f>IFERROR(H2/G2, 0)</f>
        <v>2.0913901414520861E-2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SUM(Oct!C4, Nov!C4, Dec!C4)</f>
        <v>1187198</v>
      </c>
      <c r="D4" s="13">
        <f>SUM(Oct!D4, Nov!D4, Dec!D4)</f>
        <v>1325631</v>
      </c>
      <c r="E4" s="13">
        <f>IF(AND(ISNUMBER(C4),ISNUMBER(D4)), C4-D4, "")</f>
        <v>-138433</v>
      </c>
      <c r="F4" s="14">
        <f>IFERROR(E4/D4, "")</f>
        <v>-0.10442800447485009</v>
      </c>
      <c r="G4" s="15">
        <f>SUM(Oct!G4,Nov!G4,Dec!G4)</f>
        <v>1337272</v>
      </c>
      <c r="H4" s="15">
        <f>SUM(Oct!H4, Nov!H4, Dec!H4)</f>
        <v>-150074</v>
      </c>
      <c r="I4" s="16">
        <f>IFERROR(H4/G4, "")</f>
        <v>-0.11222399033255763</v>
      </c>
    </row>
    <row r="5" spans="1:9" ht="15.6">
      <c r="A5" s="17" t="str">
        <v>Warsaw - Hemings</v>
      </c>
      <c r="B5" s="10" t="str">
        <v>VA</v>
      </c>
      <c r="C5" s="11">
        <f>SUM(Oct!C5, Nov!C5, Dec!C5)</f>
        <v>875509.89999999898</v>
      </c>
      <c r="D5" s="18">
        <f>SUM(Oct!D5, Nov!D5, Dec!D5)</f>
        <v>861665.3</v>
      </c>
      <c r="E5" s="18">
        <f t="shared" ref="E5:E6" si="0">IF(AND(ISNUMBER(C5),ISNUMBER(D5)), C5-D5, "")</f>
        <v>13844.599999998929</v>
      </c>
      <c r="F5" s="19">
        <f>IFERROR(E5/D5, "")</f>
        <v>1.6067259526406516E-2</v>
      </c>
      <c r="G5" s="20">
        <f>SUM(Oct!G5,Nov!G5,Dec!G5)</f>
        <v>723990</v>
      </c>
      <c r="H5" s="20">
        <f>SUM(Oct!H5, Nov!H5, Dec!H5)</f>
        <v>151519.89999999898</v>
      </c>
      <c r="I5" s="19">
        <f>IFERROR(H5/G5, "")</f>
        <v>0.20928452050442545</v>
      </c>
    </row>
    <row r="6" spans="1:9" ht="15.6">
      <c r="A6" s="12" t="str">
        <v>Mount Jackson - Randolf</v>
      </c>
      <c r="B6" s="9" t="str">
        <v>VA</v>
      </c>
      <c r="C6" s="24">
        <f>SUM(Oct!C6, Nov!C6, Dec!C6)</f>
        <v>590677.10000000102</v>
      </c>
      <c r="D6" s="13">
        <f>SUM(Oct!D6, Nov!D6, Dec!D6)</f>
        <v>575691.1</v>
      </c>
      <c r="E6" s="13">
        <f t="shared" si="0"/>
        <v>14986.000000001048</v>
      </c>
      <c r="F6" s="14">
        <f t="shared" ref="F6:F8" si="1">IFERROR(E6/D6, "")</f>
        <v>2.6031321311031294E-2</v>
      </c>
      <c r="G6" s="15">
        <f>SUM(Oct!G6,Nov!G6,Dec!G6)</f>
        <v>536959.19999999995</v>
      </c>
      <c r="H6" s="15">
        <f>SUM(Oct!H6, Nov!H6, Dec!H6)</f>
        <v>53717.900000001071</v>
      </c>
      <c r="I6" s="16">
        <f t="shared" ref="I6:I8" si="2">IFERROR(H6/G6, "")</f>
        <v>0.1000409342087836</v>
      </c>
    </row>
    <row r="7" spans="1:9" ht="15.6">
      <c r="A7" s="17" t="str">
        <v>Callands Gretna - Monroe</v>
      </c>
      <c r="B7" s="10" t="str">
        <v>VA</v>
      </c>
      <c r="C7" s="11">
        <f>SUM(Oct!C7, Nov!C7, Dec!C7)</f>
        <v>376347</v>
      </c>
      <c r="D7" s="18">
        <f>SUM(Oct!D7, Nov!D7, Dec!D7)</f>
        <v>155134.1</v>
      </c>
      <c r="E7" s="18">
        <f t="shared" ref="E7:E8" si="3">IF(AND(ISNUMBER(C7),ISNUMBER(D7)), C7-D7, "")</f>
        <v>221212.9</v>
      </c>
      <c r="F7" s="19">
        <f t="shared" si="1"/>
        <v>1.4259463264362895</v>
      </c>
      <c r="G7" s="20">
        <f>SUM(Oct!G7,Nov!G7,Dec!G7)</f>
        <v>361097.6</v>
      </c>
      <c r="H7" s="20">
        <f>SUM(Oct!H7, Nov!H7, Dec!H7)</f>
        <v>15249.400000000023</v>
      </c>
      <c r="I7" s="19">
        <f t="shared" si="2"/>
        <v>4.2230687769733238E-2</v>
      </c>
    </row>
    <row r="8" spans="1:9" ht="15.6">
      <c r="A8" s="12" t="str">
        <v>Rockbridge Baths - Small Mouth Bass</v>
      </c>
      <c r="B8" s="9" t="str">
        <v>VA</v>
      </c>
      <c r="C8" s="24">
        <f>SUM(Oct!C8, Nov!C8, Dec!C8)</f>
        <v>379889.5</v>
      </c>
      <c r="D8" s="13">
        <f>SUM(Oct!D8, Nov!D8, Dec!D8)</f>
        <v>0</v>
      </c>
      <c r="E8" s="13">
        <f t="shared" si="3"/>
        <v>379889.5</v>
      </c>
      <c r="F8" s="14" t="str">
        <f t="shared" si="1"/>
        <v/>
      </c>
      <c r="G8" s="15">
        <f>SUM(Oct!G8,Nov!G8,Dec!G8)</f>
        <v>380455</v>
      </c>
      <c r="H8" s="15">
        <f>SUM(Oct!H8, Nov!H8, Dec!H8)</f>
        <v>-565.5</v>
      </c>
      <c r="I8" s="16">
        <f t="shared" si="2"/>
        <v>-1.4863781524753256E-3</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bottomRight" activeCell="H13" sqref="H13"/>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6" t="str" cm="1">
        <f t="array" ref="A1">portfolio</f>
        <v>True Green Capital Management LLC</v>
      </c>
      <c r="B1" s="76"/>
      <c r="C1" s="76"/>
      <c r="D1" s="77" t="s">
        <v>18</v>
      </c>
      <c r="E1" s="77"/>
      <c r="F1" s="77"/>
      <c r="G1" s="75" t="s">
        <v>19</v>
      </c>
      <c r="H1" s="75"/>
      <c r="I1" s="75"/>
      <c r="J1" s="4"/>
      <c r="K1" s="4"/>
    </row>
    <row r="2" spans="1:13" ht="19.5" customHeight="1">
      <c r="A2" s="78" t="s">
        <v>2</v>
      </c>
      <c r="B2" s="78"/>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4" t="s">
        <v>6</v>
      </c>
      <c r="E3" s="34" t="s">
        <v>7</v>
      </c>
      <c r="F3" s="35" t="s">
        <v>8</v>
      </c>
      <c r="G3" s="39" t="s">
        <v>9</v>
      </c>
      <c r="H3" s="37" t="s">
        <v>7</v>
      </c>
      <c r="I3" s="38" t="s">
        <v>8</v>
      </c>
      <c r="J3" s="53" t="s">
        <v>20</v>
      </c>
      <c r="K3" s="53" t="s">
        <v>21</v>
      </c>
    </row>
    <row r="4" spans="1:13" ht="57.6">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3" t="s">
        <v>22</v>
      </c>
      <c r="K4" s="61" t="s">
        <v>23</v>
      </c>
      <c r="L4" s="57"/>
      <c r="M4" s="57"/>
    </row>
    <row r="5" spans="1:13" ht="15.6">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2" t="s">
        <v>24</v>
      </c>
      <c r="K5" s="65" t="s">
        <v>25</v>
      </c>
      <c r="L5" s="56"/>
      <c r="M5" s="56"/>
    </row>
    <row r="6" spans="1:13" ht="115.15">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3" t="s">
        <v>26</v>
      </c>
      <c r="K6" s="61" t="s">
        <v>27</v>
      </c>
      <c r="L6" s="57"/>
      <c r="M6" s="57"/>
    </row>
    <row r="7" spans="1:13" ht="27.75" customHeight="1">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4" t="s">
        <v>28</v>
      </c>
      <c r="K7" s="65" t="s">
        <v>29</v>
      </c>
      <c r="L7" s="56"/>
      <c r="M7" s="56"/>
    </row>
    <row r="8" spans="1:13" ht="15.6">
      <c r="A8" s="31" t="str">
        <v>Rockbridge Baths - Small Mouth Bass</v>
      </c>
      <c r="B8" s="28" t="str">
        <v>VA</v>
      </c>
      <c r="C8" s="24">
        <v>0</v>
      </c>
      <c r="D8" s="13">
        <v>0</v>
      </c>
      <c r="E8" s="13">
        <f t="shared" si="0"/>
        <v>0</v>
      </c>
      <c r="F8" s="14" t="str">
        <f t="shared" si="1"/>
        <v/>
      </c>
      <c r="G8" s="15">
        <v>0</v>
      </c>
      <c r="H8" s="15">
        <f t="shared" si="2"/>
        <v>0</v>
      </c>
      <c r="I8" s="16" t="str">
        <f t="shared" si="3"/>
        <v/>
      </c>
      <c r="J8" s="63" t="s">
        <v>30</v>
      </c>
      <c r="K8" s="61" t="s">
        <v>31</v>
      </c>
      <c r="L8" s="57"/>
      <c r="M8" s="57"/>
    </row>
    <row r="9" spans="1:13" ht="14.45">
      <c r="A9" s="21"/>
      <c r="B9" s="32"/>
      <c r="C9" s="21"/>
      <c r="D9" s="21"/>
      <c r="E9" s="21"/>
      <c r="F9" s="21"/>
      <c r="G9" s="21"/>
      <c r="H9" s="21"/>
      <c r="I9" s="21"/>
      <c r="J9" s="21"/>
      <c r="K9" s="21"/>
      <c r="L9" s="57"/>
      <c r="M9" s="57"/>
    </row>
    <row r="10" spans="1:13" ht="14.45">
      <c r="A10" s="21"/>
      <c r="B10" s="32"/>
      <c r="C10" s="21"/>
      <c r="D10" s="21"/>
      <c r="E10" s="21"/>
      <c r="F10" s="22"/>
      <c r="G10" s="21"/>
      <c r="H10" s="21"/>
      <c r="I10" s="22"/>
      <c r="J10" s="21"/>
      <c r="K10" s="21"/>
    </row>
    <row r="11" spans="1:13" ht="14.45">
      <c r="A11" s="21"/>
      <c r="B11" s="32"/>
      <c r="C11" s="21"/>
      <c r="D11" s="21"/>
      <c r="E11" s="21"/>
      <c r="F11" s="22"/>
      <c r="G11" s="21"/>
      <c r="H11" s="21"/>
      <c r="I11" s="22"/>
      <c r="J11" s="21"/>
      <c r="K11" s="21"/>
    </row>
    <row r="12" spans="1:13" ht="14.45">
      <c r="A12" s="21"/>
      <c r="B12" s="32"/>
      <c r="C12" s="21"/>
      <c r="D12" s="21"/>
      <c r="E12" s="21"/>
      <c r="F12" s="22"/>
      <c r="G12" s="21"/>
      <c r="H12" s="21"/>
      <c r="I12" s="22"/>
      <c r="J12" s="21"/>
      <c r="K12" s="21"/>
    </row>
    <row r="13" spans="1:13" ht="14.45">
      <c r="A13" s="21"/>
      <c r="B13" s="32"/>
      <c r="C13" s="21"/>
      <c r="D13" s="21"/>
      <c r="E13" s="21"/>
      <c r="F13" s="22"/>
      <c r="G13" s="21"/>
      <c r="H13" s="21"/>
      <c r="I13" s="22"/>
      <c r="J13" s="21"/>
      <c r="K13" s="21"/>
    </row>
    <row r="14" spans="1:13" ht="14.45">
      <c r="A14" s="21"/>
      <c r="B14" s="32"/>
      <c r="C14" s="21"/>
      <c r="D14" s="21"/>
      <c r="E14" s="21"/>
      <c r="F14" s="22"/>
      <c r="G14" s="21"/>
      <c r="H14" s="21"/>
      <c r="I14" s="22"/>
      <c r="J14" s="21"/>
      <c r="K14" s="21"/>
    </row>
    <row r="15" spans="1:13" ht="14.45">
      <c r="A15" s="21"/>
      <c r="B15" s="32"/>
      <c r="C15" s="21"/>
      <c r="D15" s="21"/>
      <c r="E15" s="21"/>
      <c r="F15" s="22"/>
      <c r="G15" s="21"/>
      <c r="H15" s="21"/>
      <c r="I15" s="22"/>
      <c r="J15" s="21"/>
      <c r="K15" s="21"/>
    </row>
    <row r="16" spans="1:13"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44" priority="4" stopIfTrue="1" operator="lessThanOrEqual">
      <formula>-0.1</formula>
    </cfRule>
    <cfRule type="expression" dxfId="43"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60" zoomScaleNormal="60" workbookViewId="0">
      <pane xSplit="2" ySplit="3" topLeftCell="C4" activePane="bottomRight" state="frozen"/>
      <selection pane="bottomRight" activeCell="E19" sqref="E19"/>
      <selection pane="bottomLeft" activeCell="D18" sqref="D18"/>
      <selection pane="topRight" activeCell="D18" sqref="D18"/>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6" t="str" cm="1">
        <f t="array" ref="A1">portfolio</f>
        <v>True Green Capital Management LLC</v>
      </c>
      <c r="B1" s="76"/>
      <c r="C1" s="76"/>
      <c r="D1" s="77" t="s">
        <v>32</v>
      </c>
      <c r="E1" s="77"/>
      <c r="F1" s="77"/>
      <c r="G1" s="75" t="s">
        <v>33</v>
      </c>
      <c r="H1" s="75"/>
      <c r="I1" s="75"/>
      <c r="J1" s="4"/>
      <c r="K1" s="4"/>
    </row>
    <row r="2" spans="1:14" ht="19.5" customHeight="1">
      <c r="A2" s="78" t="s">
        <v>2</v>
      </c>
      <c r="B2" s="78"/>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327" customHeight="1">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6">
        <v>1113658</v>
      </c>
      <c r="H4" s="15">
        <f t="shared" ref="H4:H8" si="2">IF(AND(ISNUMBER(C4),ISNUMBER(G4)), C4-G4, "")</f>
        <v>-60109</v>
      </c>
      <c r="I4" s="16">
        <f t="shared" ref="I4:I8" si="3">IFERROR(H4/G4, "")</f>
        <v>-5.3974379926332861E-2</v>
      </c>
      <c r="J4" s="63" t="s">
        <v>34</v>
      </c>
      <c r="K4" s="61" t="s">
        <v>35</v>
      </c>
      <c r="L4" s="59"/>
    </row>
    <row r="5" spans="1:14" ht="139.15" customHeight="1">
      <c r="A5" s="29" t="str">
        <v>Warsaw - Hemings</v>
      </c>
      <c r="B5" s="30" t="str">
        <v>VA</v>
      </c>
      <c r="C5" s="48">
        <v>638142.1</v>
      </c>
      <c r="D5" s="58">
        <v>701308.1</v>
      </c>
      <c r="E5" s="18">
        <f t="shared" si="0"/>
        <v>-63166</v>
      </c>
      <c r="F5" s="19">
        <f t="shared" si="1"/>
        <v>-9.0068829947921605E-2</v>
      </c>
      <c r="G5" s="67">
        <v>663175</v>
      </c>
      <c r="H5" s="20">
        <f t="shared" si="2"/>
        <v>-25032.900000000023</v>
      </c>
      <c r="I5" s="19">
        <f t="shared" si="3"/>
        <v>-3.7747050175293131E-2</v>
      </c>
      <c r="J5" s="62" t="s">
        <v>36</v>
      </c>
      <c r="K5" s="65" t="s">
        <v>37</v>
      </c>
      <c r="L5" s="59"/>
      <c r="M5" s="59"/>
      <c r="N5" s="59"/>
    </row>
    <row r="6" spans="1:14" ht="129.6">
      <c r="A6" s="31" t="str">
        <v>Mount Jackson - Randolf</v>
      </c>
      <c r="B6" s="28" t="str">
        <v>VA</v>
      </c>
      <c r="C6" s="43">
        <v>437522.5</v>
      </c>
      <c r="D6" s="13">
        <v>422842.5</v>
      </c>
      <c r="E6" s="13">
        <f t="shared" si="0"/>
        <v>14680</v>
      </c>
      <c r="F6" s="14">
        <f t="shared" si="1"/>
        <v>3.4717418424117727E-2</v>
      </c>
      <c r="G6" s="66">
        <v>449760.2</v>
      </c>
      <c r="H6" s="15">
        <f t="shared" si="2"/>
        <v>-12237.700000000012</v>
      </c>
      <c r="I6" s="16">
        <f t="shared" si="3"/>
        <v>-2.7209388469677867E-2</v>
      </c>
      <c r="J6" s="63" t="s">
        <v>38</v>
      </c>
      <c r="K6" s="61" t="s">
        <v>39</v>
      </c>
      <c r="L6" s="59"/>
    </row>
    <row r="7" spans="1:14" ht="143.25" customHeight="1">
      <c r="A7" s="29" t="str">
        <v>Callands Gretna - Monroe</v>
      </c>
      <c r="B7" s="30" t="str">
        <v>VA</v>
      </c>
      <c r="C7" s="48">
        <v>279299</v>
      </c>
      <c r="D7" s="67">
        <v>99471.79</v>
      </c>
      <c r="E7" s="18">
        <f t="shared" si="0"/>
        <v>179827.21000000002</v>
      </c>
      <c r="F7" s="19">
        <f t="shared" si="1"/>
        <v>1.8078211923199536</v>
      </c>
      <c r="G7" s="68">
        <v>319200</v>
      </c>
      <c r="H7" s="20">
        <f t="shared" si="2"/>
        <v>-39901</v>
      </c>
      <c r="I7" s="19">
        <f t="shared" si="3"/>
        <v>-0.1250031328320802</v>
      </c>
      <c r="J7" s="64" t="s">
        <v>40</v>
      </c>
      <c r="K7" s="65" t="s">
        <v>41</v>
      </c>
      <c r="L7" s="59"/>
      <c r="M7" s="59"/>
      <c r="N7" s="59"/>
    </row>
    <row r="8" spans="1:14" ht="15.6">
      <c r="A8" s="31" t="str">
        <v>Rockbridge Baths - Small Mouth Bass</v>
      </c>
      <c r="B8" s="28" t="str">
        <v>VA</v>
      </c>
      <c r="C8" s="43">
        <v>0</v>
      </c>
      <c r="D8" s="13">
        <v>0</v>
      </c>
      <c r="E8" s="13">
        <f t="shared" si="0"/>
        <v>0</v>
      </c>
      <c r="F8" s="14" t="str">
        <f t="shared" si="1"/>
        <v/>
      </c>
      <c r="G8" s="66">
        <v>0</v>
      </c>
      <c r="H8" s="15">
        <f t="shared" si="2"/>
        <v>0</v>
      </c>
      <c r="I8" s="16" t="str">
        <f t="shared" si="3"/>
        <v/>
      </c>
      <c r="J8" s="63" t="s">
        <v>30</v>
      </c>
      <c r="K8" s="61" t="s">
        <v>31</v>
      </c>
      <c r="L8" s="59"/>
    </row>
    <row r="9" spans="1:14" ht="14.45">
      <c r="A9" s="21"/>
      <c r="B9" s="32"/>
      <c r="C9" s="21"/>
      <c r="D9" s="21"/>
      <c r="E9" s="21"/>
      <c r="F9" s="21"/>
      <c r="G9" s="21"/>
      <c r="H9" s="21"/>
      <c r="I9" s="21"/>
      <c r="J9" s="21"/>
      <c r="K9" s="21"/>
    </row>
    <row r="10" spans="1:14" ht="14.45">
      <c r="A10" s="21"/>
      <c r="B10" s="32"/>
      <c r="C10" s="21"/>
      <c r="D10" s="21"/>
      <c r="E10" s="21"/>
      <c r="F10" s="21"/>
      <c r="G10" s="21"/>
      <c r="H10" s="21"/>
      <c r="I10" s="21"/>
      <c r="J10" s="21"/>
      <c r="K10" s="21"/>
    </row>
    <row r="11" spans="1:14" ht="14.45">
      <c r="A11" s="21"/>
      <c r="B11" s="32"/>
      <c r="C11" s="21"/>
      <c r="D11" s="21"/>
      <c r="E11" s="21"/>
      <c r="F11" s="21"/>
      <c r="G11" s="21"/>
      <c r="H11" s="21"/>
      <c r="I11" s="21"/>
      <c r="J11" s="21"/>
      <c r="K11" s="21"/>
    </row>
    <row r="12" spans="1:14" ht="14.45">
      <c r="A12" s="21"/>
      <c r="B12" s="32"/>
      <c r="C12" s="21"/>
      <c r="D12" s="21"/>
      <c r="E12" s="21"/>
      <c r="F12" s="21"/>
      <c r="G12" s="21"/>
      <c r="H12" s="21"/>
      <c r="I12" s="21"/>
      <c r="J12" s="21"/>
      <c r="K12" s="21"/>
    </row>
    <row r="13" spans="1:14" ht="14.45">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4" activePane="bottomRight" state="frozen"/>
      <selection pane="bottomRight" activeCell="E10" sqref="E10"/>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76" t="str" cm="1">
        <f t="array" ref="A1">portfolio</f>
        <v>True Green Capital Management LLC</v>
      </c>
      <c r="B1" s="76"/>
      <c r="C1" s="76"/>
      <c r="D1" s="77" t="s">
        <v>42</v>
      </c>
      <c r="E1" s="77"/>
      <c r="F1" s="77"/>
      <c r="G1" s="75" t="s">
        <v>43</v>
      </c>
      <c r="H1" s="75"/>
      <c r="I1" s="75"/>
      <c r="J1" s="4"/>
      <c r="K1" s="4"/>
    </row>
    <row r="2" spans="1:17" ht="19.5" customHeight="1">
      <c r="A2" s="78" t="s">
        <v>2</v>
      </c>
      <c r="B2" s="78"/>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313.5" customHeight="1">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0" t="s">
        <v>45</v>
      </c>
      <c r="L4" s="69" t="s">
        <v>46</v>
      </c>
      <c r="M4" s="69" t="s">
        <v>47</v>
      </c>
      <c r="N4" s="69" t="s">
        <v>48</v>
      </c>
      <c r="O4" s="69" t="s">
        <v>49</v>
      </c>
      <c r="P4" s="69" t="s">
        <v>50</v>
      </c>
      <c r="Q4" s="69" t="s">
        <v>51</v>
      </c>
    </row>
    <row r="5" spans="1:17" ht="76.5" customHeight="1">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5" t="s">
        <v>53</v>
      </c>
      <c r="L5" s="56" t="s">
        <v>54</v>
      </c>
      <c r="M5" s="56" t="s">
        <v>55</v>
      </c>
      <c r="N5" s="56" t="s">
        <v>56</v>
      </c>
      <c r="O5" s="57"/>
    </row>
    <row r="6" spans="1:17" ht="286.5" customHeight="1">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0" t="s">
        <v>58</v>
      </c>
      <c r="L6" s="56" t="s">
        <v>59</v>
      </c>
      <c r="M6" s="56" t="s">
        <v>60</v>
      </c>
      <c r="N6" s="56" t="s">
        <v>61</v>
      </c>
      <c r="O6" s="56" t="s">
        <v>62</v>
      </c>
    </row>
    <row r="7" spans="1:17" ht="168.75" customHeight="1">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5" t="s">
        <v>64</v>
      </c>
      <c r="L7" s="57"/>
      <c r="M7" s="57"/>
      <c r="N7" s="57"/>
      <c r="O7" s="57"/>
    </row>
    <row r="8" spans="1:17" ht="38.25" customHeight="1">
      <c r="A8" s="31" t="str">
        <v>Rockbridge Baths - Small Mouth Bass</v>
      </c>
      <c r="B8" s="28" t="str">
        <v>VA</v>
      </c>
      <c r="C8" s="43">
        <v>0</v>
      </c>
      <c r="D8" s="13">
        <v>0</v>
      </c>
      <c r="E8" s="13">
        <f t="shared" si="0"/>
        <v>0</v>
      </c>
      <c r="F8" s="14" t="str">
        <f t="shared" si="1"/>
        <v/>
      </c>
      <c r="G8" s="44">
        <v>0</v>
      </c>
      <c r="H8" s="15">
        <f t="shared" si="2"/>
        <v>0</v>
      </c>
      <c r="I8" s="16" t="str">
        <f t="shared" si="3"/>
        <v/>
      </c>
      <c r="J8" s="40" t="s">
        <v>65</v>
      </c>
      <c r="K8" s="60" t="s">
        <v>66</v>
      </c>
      <c r="L8" s="56" t="s">
        <v>67</v>
      </c>
      <c r="M8" s="57"/>
      <c r="N8" s="57"/>
      <c r="O8" s="57"/>
    </row>
    <row r="9" spans="1:17" ht="14.45">
      <c r="A9" s="21"/>
      <c r="B9" s="32"/>
      <c r="C9" s="21"/>
      <c r="D9" s="21"/>
      <c r="E9" s="21"/>
      <c r="F9" s="21"/>
      <c r="G9" s="21"/>
      <c r="H9" s="21"/>
      <c r="I9" s="21"/>
      <c r="J9" s="21"/>
      <c r="K9" s="21"/>
    </row>
    <row r="10" spans="1:17" ht="14.45">
      <c r="A10" s="21"/>
      <c r="B10" s="32"/>
      <c r="C10" s="21"/>
      <c r="D10" s="21"/>
      <c r="E10" s="21"/>
      <c r="F10" s="21"/>
      <c r="G10" s="21"/>
      <c r="H10" s="21"/>
      <c r="I10" s="21"/>
      <c r="J10" s="21"/>
      <c r="K10" s="21"/>
    </row>
    <row r="11" spans="1:17" ht="14.45">
      <c r="A11" s="21"/>
      <c r="B11" s="32"/>
      <c r="C11" s="21"/>
      <c r="D11" s="21"/>
      <c r="E11" s="21"/>
      <c r="F11" s="21"/>
      <c r="G11" s="21"/>
      <c r="H11" s="21"/>
      <c r="I11" s="21"/>
      <c r="J11" s="21"/>
      <c r="K11" s="21"/>
    </row>
    <row r="12" spans="1:17" ht="14.45">
      <c r="A12" s="21"/>
      <c r="B12" s="32"/>
      <c r="C12" s="21"/>
      <c r="D12" s="21"/>
      <c r="E12" s="21"/>
      <c r="F12" s="21"/>
      <c r="G12" s="21"/>
      <c r="H12" s="21"/>
      <c r="I12" s="21"/>
      <c r="J12" s="21"/>
      <c r="K12" s="21"/>
    </row>
    <row r="13" spans="1:17" ht="14.45">
      <c r="A13" s="21"/>
      <c r="B13" s="32"/>
      <c r="C13" s="21"/>
      <c r="D13" s="21"/>
      <c r="E13" s="21"/>
      <c r="F13" s="21"/>
      <c r="G13" s="21"/>
      <c r="H13" s="21"/>
      <c r="I13" s="21"/>
      <c r="J13" s="21"/>
      <c r="K13" s="21"/>
    </row>
    <row r="14" spans="1:17" ht="14.45">
      <c r="A14" s="21"/>
      <c r="B14" s="32"/>
      <c r="C14" s="21"/>
      <c r="D14" s="21"/>
      <c r="E14" s="21"/>
      <c r="F14" s="21"/>
      <c r="G14" s="21"/>
      <c r="H14" s="21"/>
      <c r="I14" s="21"/>
      <c r="J14" s="21"/>
      <c r="K14" s="21"/>
    </row>
    <row r="15" spans="1:17" ht="14.45">
      <c r="A15" s="21"/>
      <c r="B15" s="32"/>
      <c r="C15" s="21"/>
      <c r="D15" s="21"/>
      <c r="E15" s="21"/>
      <c r="F15" s="21"/>
      <c r="G15" s="21"/>
      <c r="H15" s="21"/>
      <c r="I15" s="21"/>
      <c r="J15" s="21"/>
      <c r="K15" s="2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40" priority="3" stopIfTrue="1" operator="lessThanOrEqual">
      <formula>-0.1</formula>
    </cfRule>
    <cfRule type="expression" dxfId="39"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bottomRight" activeCell="J14" sqref="J1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7"/>
  </cols>
  <sheetData>
    <row r="1" spans="1:18" ht="19.5" customHeight="1">
      <c r="A1" s="76" t="str" cm="1">
        <f t="array" ref="A1">portfolio</f>
        <v>True Green Capital Management LLC</v>
      </c>
      <c r="B1" s="76"/>
      <c r="C1" s="76"/>
      <c r="D1" s="77" t="s">
        <v>68</v>
      </c>
      <c r="E1" s="77"/>
      <c r="F1" s="77"/>
      <c r="G1" s="75" t="s">
        <v>69</v>
      </c>
      <c r="H1" s="75"/>
      <c r="I1" s="75"/>
      <c r="J1" s="4"/>
      <c r="K1" s="4"/>
    </row>
    <row r="2" spans="1:18" ht="19.5" customHeight="1">
      <c r="A2" s="78" t="s">
        <v>2</v>
      </c>
      <c r="B2" s="78"/>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1" t="s">
        <v>71</v>
      </c>
      <c r="L4" s="56" t="s">
        <v>49</v>
      </c>
      <c r="M4" s="56" t="s">
        <v>47</v>
      </c>
      <c r="N4" s="56" t="s">
        <v>48</v>
      </c>
      <c r="O4" s="56" t="s">
        <v>72</v>
      </c>
      <c r="P4" s="56" t="s">
        <v>73</v>
      </c>
      <c r="Q4" s="56" t="s">
        <v>74</v>
      </c>
      <c r="R4" s="56" t="s">
        <v>51</v>
      </c>
    </row>
    <row r="5" spans="1:18" ht="72">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5" t="s">
        <v>76</v>
      </c>
      <c r="L5" s="56" t="s">
        <v>77</v>
      </c>
      <c r="M5" s="56" t="s">
        <v>56</v>
      </c>
      <c r="N5" s="56" t="s">
        <v>78</v>
      </c>
    </row>
    <row r="6" spans="1:18" ht="230.45">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1" t="s">
        <v>80</v>
      </c>
      <c r="L6" s="56" t="s">
        <v>81</v>
      </c>
      <c r="M6" s="56" t="s">
        <v>82</v>
      </c>
      <c r="N6" s="56" t="s">
        <v>83</v>
      </c>
      <c r="O6" s="56" t="s">
        <v>83</v>
      </c>
      <c r="P6" s="56" t="s">
        <v>84</v>
      </c>
      <c r="Q6" s="56" t="s">
        <v>62</v>
      </c>
    </row>
    <row r="7" spans="1:18" ht="100.9">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5" t="s">
        <v>86</v>
      </c>
      <c r="L7" s="56" t="s">
        <v>87</v>
      </c>
      <c r="M7" s="56" t="s">
        <v>88</v>
      </c>
    </row>
    <row r="8" spans="1:18" ht="201.75" customHeight="1">
      <c r="A8" s="31" t="str">
        <v>Rockbridge Baths - Small Mouth Bass</v>
      </c>
      <c r="B8" s="28" t="str">
        <v>VA</v>
      </c>
      <c r="C8" s="24">
        <v>0</v>
      </c>
      <c r="D8" s="13">
        <v>0</v>
      </c>
      <c r="E8" s="13"/>
      <c r="F8" s="14"/>
      <c r="G8" s="15">
        <v>0</v>
      </c>
      <c r="H8" s="15"/>
      <c r="I8" s="16"/>
      <c r="J8" s="46" t="s">
        <v>89</v>
      </c>
      <c r="K8" s="54" t="s">
        <v>90</v>
      </c>
      <c r="L8" s="56" t="s">
        <v>67</v>
      </c>
      <c r="M8" s="56" t="s">
        <v>91</v>
      </c>
      <c r="N8" s="56" t="s">
        <v>92</v>
      </c>
      <c r="O8" s="56" t="s">
        <v>93</v>
      </c>
    </row>
    <row r="9" spans="1:18" ht="14.45">
      <c r="A9" s="21"/>
      <c r="B9" s="32"/>
      <c r="C9" s="21"/>
      <c r="D9" s="21"/>
      <c r="E9" s="21"/>
      <c r="F9" s="21"/>
      <c r="G9" s="21"/>
      <c r="H9" s="21"/>
      <c r="I9" s="21"/>
      <c r="J9" s="21"/>
      <c r="K9" s="21"/>
    </row>
    <row r="10" spans="1:18" ht="14.45">
      <c r="A10" s="21"/>
      <c r="B10" s="32"/>
      <c r="C10" s="21"/>
      <c r="D10" s="21"/>
      <c r="E10" s="21"/>
      <c r="F10" s="21"/>
      <c r="G10" s="21"/>
      <c r="H10" s="21"/>
      <c r="I10" s="21"/>
      <c r="J10" s="21"/>
      <c r="K10" s="21"/>
    </row>
    <row r="11" spans="1:18" ht="14.45">
      <c r="A11" s="21"/>
      <c r="B11" s="32"/>
      <c r="C11" s="21"/>
      <c r="D11" s="21"/>
      <c r="E11" s="21"/>
      <c r="F11" s="21"/>
      <c r="G11" s="21"/>
      <c r="H11" s="21"/>
      <c r="I11" s="21"/>
      <c r="J11" s="21"/>
      <c r="K11" s="21"/>
    </row>
    <row r="12" spans="1:18" ht="14.45">
      <c r="A12" s="21"/>
      <c r="B12" s="32"/>
      <c r="C12" s="21"/>
      <c r="D12" s="21"/>
      <c r="E12" s="21"/>
      <c r="F12" s="21"/>
      <c r="G12" s="21"/>
      <c r="H12" s="21"/>
      <c r="I12" s="21"/>
      <c r="J12" s="21"/>
      <c r="K12" s="21"/>
    </row>
    <row r="13" spans="1:18" ht="14.45">
      <c r="A13" s="21"/>
      <c r="B13" s="32"/>
      <c r="C13" s="21"/>
      <c r="D13" s="21"/>
      <c r="E13" s="21"/>
      <c r="F13" s="21"/>
      <c r="G13" s="21"/>
      <c r="H13" s="21"/>
      <c r="I13" s="21"/>
      <c r="J13" s="21"/>
      <c r="K13" s="21"/>
    </row>
    <row r="14" spans="1:18" ht="14.45">
      <c r="A14" s="21"/>
      <c r="B14" s="32"/>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8" priority="3" stopIfTrue="1" operator="lessThanOrEqual">
      <formula>-0.1</formula>
    </cfRule>
    <cfRule type="expression" dxfId="37"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bottomRight" activeCell="J11" sqref="J11"/>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6" t="str" cm="1">
        <f t="array" ref="A1">portfolio</f>
        <v>True Green Capital Management LLC</v>
      </c>
      <c r="B1" s="76"/>
      <c r="C1" s="76"/>
      <c r="D1" s="77" t="s">
        <v>94</v>
      </c>
      <c r="E1" s="77"/>
      <c r="F1" s="77"/>
      <c r="G1" s="75" t="s">
        <v>95</v>
      </c>
      <c r="H1" s="75"/>
      <c r="I1" s="75"/>
      <c r="J1" s="4"/>
      <c r="K1" s="4"/>
    </row>
    <row r="2" spans="1:14" ht="19.5" customHeight="1">
      <c r="A2" s="78" t="s">
        <v>2</v>
      </c>
      <c r="B2" s="78"/>
      <c r="C2" s="5">
        <f>SUM(C4:C95)</f>
        <v>4506188.5</v>
      </c>
      <c r="D2" s="5">
        <f>SUM(D4:D95)</f>
        <v>3776961.9000000004</v>
      </c>
      <c r="E2" s="5">
        <f>C2-D2</f>
        <v>729226.59999999963</v>
      </c>
      <c r="F2" s="6">
        <f>IFERROR(E2/D2, 0)</f>
        <v>0.193072267951657</v>
      </c>
      <c r="G2" s="5">
        <f>SUM(G4:G95)</f>
        <v>5695287.8999999994</v>
      </c>
      <c r="H2" s="7">
        <f>C2-G2</f>
        <v>-1189099.3999999994</v>
      </c>
      <c r="I2" s="6">
        <f>IFERROR(H2/G2, 0)</f>
        <v>-0.20878653035257438</v>
      </c>
      <c r="J2" s="26"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224.25" customHeight="1">
      <c r="A4" s="47" t="str" cm="1">
        <f t="array" ref="A4:A8">Sites[Site]</f>
        <v>Rochester - 5516 Valleyhigh NW</v>
      </c>
      <c r="B4" s="28" t="str" cm="1">
        <f t="array" ref="B4:B8">Sites[State]</f>
        <v>MN</v>
      </c>
      <c r="C4" s="24">
        <v>1849625</v>
      </c>
      <c r="D4" s="13">
        <v>1871565</v>
      </c>
      <c r="E4" s="13">
        <f t="shared" ref="E4:E12" si="0">IF(AND(ISNUMBER(C4),ISNUMBER(D4)), C4-D4, "")</f>
        <v>-21940</v>
      </c>
      <c r="F4" s="14">
        <f t="shared" ref="F4:F12" si="1">IFERROR(E4/D4, "")</f>
        <v>-1.1722809520374659E-2</v>
      </c>
      <c r="G4" s="15">
        <v>2595332</v>
      </c>
      <c r="H4" s="15">
        <f t="shared" ref="H4:H12" si="2">IF(AND(ISNUMBER(C4),ISNUMBER(G4)), C4-G4, "")</f>
        <v>-745707</v>
      </c>
      <c r="I4" s="16">
        <f t="shared" ref="I4:I12" si="3">IFERROR(H4/G4, "")</f>
        <v>-0.28732624573657628</v>
      </c>
      <c r="J4" s="46" t="s">
        <v>96</v>
      </c>
      <c r="K4" s="61" t="s">
        <v>97</v>
      </c>
      <c r="L4" s="56" t="s">
        <v>98</v>
      </c>
      <c r="M4" s="56" t="s">
        <v>99</v>
      </c>
      <c r="N4" s="56" t="s">
        <v>100</v>
      </c>
    </row>
    <row r="5" spans="1:14" ht="50.25" customHeight="1">
      <c r="A5" s="29" t="str">
        <v>Warsaw - Hemings</v>
      </c>
      <c r="B5" s="30" t="str">
        <v>VA</v>
      </c>
      <c r="C5" s="11">
        <v>1104759</v>
      </c>
      <c r="D5" s="18">
        <v>836321.2</v>
      </c>
      <c r="E5" s="18">
        <f t="shared" si="0"/>
        <v>268437.80000000005</v>
      </c>
      <c r="F5" s="19">
        <f t="shared" si="1"/>
        <v>0.32097452509873009</v>
      </c>
      <c r="G5" s="20">
        <v>1193055</v>
      </c>
      <c r="H5" s="20">
        <f t="shared" si="2"/>
        <v>-88296</v>
      </c>
      <c r="I5" s="19">
        <f t="shared" si="3"/>
        <v>-7.4008323170348389E-2</v>
      </c>
      <c r="J5" s="45" t="s">
        <v>101</v>
      </c>
      <c r="K5" s="55" t="s">
        <v>102</v>
      </c>
      <c r="L5" s="56" t="s">
        <v>103</v>
      </c>
      <c r="M5" s="57"/>
      <c r="N5" s="57"/>
    </row>
    <row r="6" spans="1:14" ht="87.75" customHeight="1">
      <c r="A6" s="47" t="str">
        <v>Mount Jackson - Randolf</v>
      </c>
      <c r="B6" s="28" t="str">
        <v>VA</v>
      </c>
      <c r="C6" s="24">
        <v>518678</v>
      </c>
      <c r="D6" s="13">
        <v>540127.4</v>
      </c>
      <c r="E6" s="13">
        <f t="shared" si="0"/>
        <v>-21449.400000000023</v>
      </c>
      <c r="F6" s="14">
        <f t="shared" si="1"/>
        <v>-3.9711742081590423E-2</v>
      </c>
      <c r="G6" s="15">
        <v>824172.1</v>
      </c>
      <c r="H6" s="15">
        <f>IF(AND(ISNUMBER(C6),ISNUMBER(G6)), C6-G6, "")</f>
        <v>-305494.09999999998</v>
      </c>
      <c r="I6" s="16">
        <f t="shared" si="3"/>
        <v>-0.37066784959112298</v>
      </c>
      <c r="J6" s="46" t="s">
        <v>104</v>
      </c>
      <c r="K6" s="54" t="s">
        <v>105</v>
      </c>
      <c r="L6" s="56" t="s">
        <v>82</v>
      </c>
      <c r="M6" s="57"/>
      <c r="N6" s="57"/>
    </row>
    <row r="7" spans="1:14" ht="61.5" customHeight="1">
      <c r="A7" s="29" t="str">
        <v>Callands Gretna - Monroe</v>
      </c>
      <c r="B7" s="30" t="str">
        <v>VA</v>
      </c>
      <c r="C7" s="11">
        <v>532168</v>
      </c>
      <c r="D7" s="18">
        <v>528948.30000000005</v>
      </c>
      <c r="E7" s="18">
        <f t="shared" si="0"/>
        <v>3219.6999999999534</v>
      </c>
      <c r="F7" s="19">
        <f t="shared" si="1"/>
        <v>6.0869843045151164E-3</v>
      </c>
      <c r="G7" s="20">
        <v>527978.80000000005</v>
      </c>
      <c r="H7" s="20">
        <f t="shared" si="2"/>
        <v>4189.1999999999534</v>
      </c>
      <c r="I7" s="19">
        <f t="shared" si="3"/>
        <v>7.9344094876535824E-3</v>
      </c>
      <c r="J7" s="45"/>
      <c r="K7" s="54" t="s">
        <v>97</v>
      </c>
      <c r="L7" s="57"/>
      <c r="M7" s="57"/>
      <c r="N7" s="57"/>
    </row>
    <row r="8" spans="1:14" ht="54" customHeight="1">
      <c r="A8" s="31" t="str">
        <v>Rockbridge Baths - Small Mouth Bass</v>
      </c>
      <c r="B8" s="28" t="str">
        <v>VA</v>
      </c>
      <c r="C8" s="24">
        <v>500958.5</v>
      </c>
      <c r="D8" s="13">
        <v>0</v>
      </c>
      <c r="E8" s="13">
        <f t="shared" si="0"/>
        <v>500958.5</v>
      </c>
      <c r="F8" s="14" t="str">
        <f t="shared" si="1"/>
        <v/>
      </c>
      <c r="G8" s="15">
        <v>554750</v>
      </c>
      <c r="H8" s="15">
        <f t="shared" si="2"/>
        <v>-53791.5</v>
      </c>
      <c r="I8" s="16">
        <f t="shared" si="3"/>
        <v>-9.696529968454258E-2</v>
      </c>
      <c r="J8" s="46" t="s">
        <v>106</v>
      </c>
      <c r="K8" s="54" t="s">
        <v>107</v>
      </c>
      <c r="L8" s="56" t="s">
        <v>108</v>
      </c>
      <c r="M8" s="57"/>
      <c r="N8" s="57"/>
    </row>
    <row r="9" spans="1:14">
      <c r="A9" s="21"/>
      <c r="B9" s="21"/>
      <c r="C9" s="21"/>
      <c r="D9" s="21"/>
      <c r="E9" s="21" t="str">
        <f t="shared" si="0"/>
        <v/>
      </c>
      <c r="F9" s="21" t="str">
        <f t="shared" si="1"/>
        <v/>
      </c>
      <c r="G9" s="21"/>
      <c r="H9" s="21" t="str">
        <f t="shared" si="2"/>
        <v/>
      </c>
      <c r="I9" s="21" t="str">
        <f t="shared" si="3"/>
        <v/>
      </c>
      <c r="J9" s="21"/>
      <c r="K9" s="21"/>
      <c r="L9" s="21"/>
      <c r="M9" s="21"/>
      <c r="N9" s="21"/>
    </row>
    <row r="10" spans="1:14">
      <c r="A10" s="21"/>
      <c r="B10" s="21"/>
      <c r="C10" s="21"/>
      <c r="D10" s="21"/>
      <c r="E10" s="21" t="str">
        <f t="shared" si="0"/>
        <v/>
      </c>
      <c r="F10" s="21" t="str">
        <f t="shared" si="1"/>
        <v/>
      </c>
      <c r="G10" s="21"/>
      <c r="H10" s="21" t="str">
        <f t="shared" si="2"/>
        <v/>
      </c>
      <c r="I10" s="21" t="str">
        <f t="shared" si="3"/>
        <v/>
      </c>
      <c r="J10" s="21"/>
      <c r="K10" s="21"/>
      <c r="L10" s="21"/>
      <c r="M10" s="21"/>
      <c r="N10" s="21"/>
    </row>
    <row r="11" spans="1:14">
      <c r="A11" s="21"/>
      <c r="B11" s="21"/>
      <c r="C11" s="21"/>
      <c r="D11" s="21"/>
      <c r="E11" s="21" t="str">
        <f t="shared" si="0"/>
        <v/>
      </c>
      <c r="F11" s="21" t="str">
        <f t="shared" si="1"/>
        <v/>
      </c>
      <c r="G11" s="21"/>
      <c r="H11" s="21" t="str">
        <f t="shared" si="2"/>
        <v/>
      </c>
      <c r="I11" s="21" t="str">
        <f t="shared" si="3"/>
        <v/>
      </c>
      <c r="J11" s="21"/>
      <c r="K11" s="21"/>
      <c r="L11" s="21"/>
      <c r="M11" s="21"/>
      <c r="N11" s="21"/>
    </row>
    <row r="12" spans="1:14">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36" priority="19" stopIfTrue="1" operator="lessThanOrEqual">
      <formula>-0.1</formula>
    </cfRule>
    <cfRule type="expression" dxfId="35" priority="20">
      <formula>AND(ISNUMBER(F2), F2&gt;=0.1)</formula>
    </cfRule>
  </conditionalFormatting>
  <conditionalFormatting sqref="F4:F8 I4:I8">
    <cfRule type="cellIs" dxfId="34" priority="1" stopIfTrue="1" operator="lessThanOrEqual">
      <formula>-0.1</formula>
    </cfRule>
    <cfRule type="expression" dxfId="33" priority="2">
      <formula>AND(ISNUMBER(F4), F4&gt;=0.1)</formula>
    </cfRule>
  </conditionalFormatting>
  <conditionalFormatting sqref="F13:F95 I13:I95">
    <cfRule type="cellIs" dxfId="32" priority="17" stopIfTrue="1" operator="lessThanOrEqual">
      <formula>-0.1</formula>
    </cfRule>
    <cfRule type="expression" dxfId="31" priority="18">
      <formula>AND(ISNUMBER(F13), F13&gt;=0.1)</formula>
    </cfRule>
  </conditionalFormatting>
  <hyperlinks>
    <hyperlink ref="L4" r:id="rId1" display="https://us3.assetplanner.com/service_request?ID=102702" xr:uid="{63F39867-354B-45ED-AF03-E2029F702DB2}"/>
    <hyperlink ref="M4" r:id="rId2" display="https://us3.assetplanner.com/service_request?ID=103139" xr:uid="{92D8D7A9-A13B-4586-B6B7-E5620C9DA495}"/>
    <hyperlink ref="N4" r:id="rId3" display="https://us3.assetplanner.com/service_request?ID=103277" xr:uid="{ED76A268-4C0B-4190-BBCD-A37DE7FD3582}"/>
    <hyperlink ref="L5" r:id="rId4" display="https://us3.assetplanner.com/service_request?ID=101583" xr:uid="{0B63C035-68F0-4A3B-A558-620142A10FE0}"/>
    <hyperlink ref="K6" r:id="rId5" display="https://us3.assetplanner.com/service_request?ID=102342" xr:uid="{63125A92-8DF6-4FC7-9649-A18D50E43F9B}"/>
    <hyperlink ref="L6" r:id="rId6" display="https://us3.assetplanner.com/service_request?ID=100087" xr:uid="{C00AA719-44DB-4A34-9221-787EC5AA4507}"/>
    <hyperlink ref="K8" r:id="rId7" display="https://us3.assetplanner.com/service_request?ID=101462" xr:uid="{F5830540-16B4-4528-B23E-21A88E6638D4}"/>
    <hyperlink ref="L8" r:id="rId8" display="https://us3.assetplanner.com/service_request?ID=101580" xr:uid="{97FFAD89-30EC-4CA6-AD7D-7815A6D85531}"/>
    <hyperlink ref="K5" r:id="rId9" display="https://us3.assetplanner.com/service_request?ID=102509" xr:uid="{ED61AE28-4074-4FB1-ACEB-EF215CCDBC03}"/>
    <hyperlink ref="K4" r:id="rId10" display="https://us3.assetplanner.com/service_request?ID=102470" xr:uid="{F5DFD828-7582-44BB-BF4E-D73BC8DF5F7A}"/>
    <hyperlink ref="K7" r:id="rId11" display="https://us3.assetplanner.com/service_request?ID=102470" xr:uid="{2E9B4666-3836-4825-A1CE-8D576F6A6B6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60" zoomScaleNormal="60" workbookViewId="0">
      <pane xSplit="2" ySplit="3" topLeftCell="C4" activePane="bottomRight" state="frozen"/>
      <selection pane="bottomRight" activeCell="J8" sqref="J8"/>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6" t="str" cm="1">
        <f t="array" ref="A1">portfolio</f>
        <v>True Green Capital Management LLC</v>
      </c>
      <c r="B1" s="76"/>
      <c r="C1" s="76"/>
      <c r="D1" s="77" t="s">
        <v>109</v>
      </c>
      <c r="E1" s="77"/>
      <c r="F1" s="77"/>
      <c r="G1" s="75" t="s">
        <v>110</v>
      </c>
      <c r="H1" s="75"/>
      <c r="I1" s="75"/>
      <c r="J1" s="4"/>
      <c r="K1" s="4"/>
    </row>
    <row r="2" spans="1:11" ht="19.5" customHeight="1">
      <c r="A2" s="78" t="s">
        <v>2</v>
      </c>
      <c r="B2" s="78"/>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277.5" customHeight="1">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111</v>
      </c>
      <c r="K4" s="61" t="s">
        <v>112</v>
      </c>
    </row>
    <row r="5" spans="1:11" ht="28.9">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113</v>
      </c>
      <c r="K5" s="55" t="s">
        <v>114</v>
      </c>
    </row>
    <row r="6" spans="1:11" ht="86.45">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115</v>
      </c>
      <c r="K6" s="61" t="s">
        <v>116</v>
      </c>
    </row>
    <row r="7" spans="1:11" ht="61.5" customHeight="1">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117</v>
      </c>
      <c r="K7" s="55" t="s">
        <v>118</v>
      </c>
    </row>
    <row r="8" spans="1:11" ht="37.5" customHeight="1">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119</v>
      </c>
      <c r="K8" s="61" t="s">
        <v>120</v>
      </c>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1"/>
      <c r="G13" s="21"/>
      <c r="H13" s="21"/>
      <c r="I13" s="21"/>
      <c r="J13" s="21"/>
      <c r="K13" s="21"/>
    </row>
    <row r="14" spans="1:11" ht="14.45">
      <c r="A14" s="21"/>
      <c r="B14" s="32"/>
      <c r="C14" s="21"/>
      <c r="D14" s="21"/>
      <c r="E14" s="21"/>
      <c r="F14" s="21"/>
      <c r="G14" s="21"/>
      <c r="H14" s="21"/>
      <c r="I14" s="21"/>
      <c r="J14" s="21"/>
      <c r="K14" s="21"/>
    </row>
    <row r="15" spans="1:11" ht="14.45">
      <c r="A15" s="21"/>
      <c r="B15" s="32"/>
      <c r="C15" s="21"/>
      <c r="D15" s="21"/>
      <c r="E15" s="21"/>
      <c r="F15" s="21"/>
      <c r="G15" s="21"/>
      <c r="H15" s="21"/>
      <c r="I15" s="21"/>
      <c r="J15" s="21"/>
      <c r="K15" s="21"/>
    </row>
    <row r="16" spans="1:11"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60" zoomScaleNormal="60" workbookViewId="0">
      <pane xSplit="2" ySplit="3" topLeftCell="C4" activePane="bottomRight" state="frozen"/>
      <selection pane="bottomRight" activeCell="C7" sqref="C7"/>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2" customWidth="1"/>
  </cols>
  <sheetData>
    <row r="1" spans="1:15" ht="19.5" customHeight="1">
      <c r="A1" s="76" t="str" cm="1">
        <f t="array" ref="A1">portfolio</f>
        <v>True Green Capital Management LLC</v>
      </c>
      <c r="B1" s="76"/>
      <c r="C1" s="76"/>
      <c r="D1" s="77" t="s">
        <v>121</v>
      </c>
      <c r="E1" s="77"/>
      <c r="F1" s="77"/>
      <c r="G1" s="75" t="s">
        <v>122</v>
      </c>
      <c r="H1" s="75"/>
      <c r="I1" s="75"/>
      <c r="J1" s="4"/>
      <c r="K1" s="4"/>
    </row>
    <row r="2" spans="1:15" ht="19.5" customHeight="1">
      <c r="A2" s="78" t="s">
        <v>2</v>
      </c>
      <c r="B2" s="78"/>
      <c r="C2" s="5">
        <f>SUM(C4:C95)</f>
        <v>5342949.3</v>
      </c>
      <c r="D2" s="5">
        <f>SUM(D4:D95)</f>
        <v>4565154.682</v>
      </c>
      <c r="E2" s="5">
        <f>C2-D2</f>
        <v>777794.61799999978</v>
      </c>
      <c r="F2" s="6">
        <f>IFERROR(E2/D2, 0)</f>
        <v>0.17037639952634573</v>
      </c>
      <c r="G2" s="5">
        <f>SUM(G4:G95)</f>
        <v>5781982.9100000011</v>
      </c>
      <c r="H2" s="7">
        <f>C2-G2</f>
        <v>-439033.61000000127</v>
      </c>
      <c r="I2" s="6">
        <f>IFERROR(H2/G2, 0)</f>
        <v>-7.5931322667987827E-2</v>
      </c>
      <c r="J2" s="26"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267.75" customHeight="1">
      <c r="A4" s="47" t="str" cm="1">
        <f t="array" ref="A4:A8">Sites[Site]</f>
        <v>Rochester - 5516 Valleyhigh NW</v>
      </c>
      <c r="B4" s="28" t="str" cm="1">
        <f t="array" ref="B4:B8">Sites[State]</f>
        <v>MN</v>
      </c>
      <c r="C4" s="24">
        <v>2543098</v>
      </c>
      <c r="D4" s="13">
        <v>2734391.06</v>
      </c>
      <c r="E4" s="13">
        <f t="shared" ref="E4:E12" si="0">IF(AND(ISNUMBER(C4),ISNUMBER(D4)), C4-D4, "")</f>
        <v>-191293.06000000006</v>
      </c>
      <c r="F4" s="14">
        <f t="shared" ref="F4:F12" si="1">IFERROR(E4/D4, "")</f>
        <v>-6.9958193909542721E-2</v>
      </c>
      <c r="G4" s="15">
        <v>2729078.1</v>
      </c>
      <c r="H4" s="15">
        <f t="shared" ref="H4:H12" si="2">IF(AND(ISNUMBER(C4),ISNUMBER(G4)), C4-G4, "")</f>
        <v>-185980.10000000009</v>
      </c>
      <c r="I4" s="16">
        <f t="shared" ref="I4:I12" si="3">IFERROR(H4/G4, "")</f>
        <v>-6.8147591672074195E-2</v>
      </c>
      <c r="J4" s="46" t="s">
        <v>123</v>
      </c>
      <c r="K4" s="61" t="s">
        <v>124</v>
      </c>
      <c r="L4" s="56"/>
      <c r="M4" s="56"/>
      <c r="N4" s="56"/>
    </row>
    <row r="5" spans="1:15" ht="70.5" customHeight="1">
      <c r="A5" s="29" t="str">
        <v>Warsaw - Hemings</v>
      </c>
      <c r="B5" s="30" t="str">
        <v>VA</v>
      </c>
      <c r="C5" s="11">
        <v>1224675.8999999999</v>
      </c>
      <c r="D5" s="18">
        <v>502250.43</v>
      </c>
      <c r="E5" s="18">
        <f t="shared" si="0"/>
        <v>722425.47</v>
      </c>
      <c r="F5" s="19">
        <f t="shared" si="1"/>
        <v>1.4383770064666743</v>
      </c>
      <c r="G5" s="20">
        <v>1149768.47</v>
      </c>
      <c r="H5" s="20">
        <f t="shared" si="2"/>
        <v>74907.429999999935</v>
      </c>
      <c r="I5" s="19">
        <f t="shared" si="3"/>
        <v>6.5150012332482854E-2</v>
      </c>
      <c r="J5" s="45" t="s">
        <v>125</v>
      </c>
      <c r="K5" s="55" t="s">
        <v>126</v>
      </c>
      <c r="L5" s="56"/>
      <c r="M5" s="57"/>
      <c r="N5" s="57"/>
    </row>
    <row r="6" spans="1:15" ht="87.75" customHeight="1">
      <c r="A6" s="47" t="str">
        <v>Mount Jackson - Randolf</v>
      </c>
      <c r="B6" s="28" t="str">
        <v>VA</v>
      </c>
      <c r="C6" s="24">
        <v>745429.4</v>
      </c>
      <c r="D6" s="13">
        <v>781103.02</v>
      </c>
      <c r="E6" s="13">
        <f t="shared" si="0"/>
        <v>-35673.619999999995</v>
      </c>
      <c r="F6" s="14">
        <f t="shared" si="1"/>
        <v>-4.5670825853419431E-2</v>
      </c>
      <c r="G6" s="15">
        <v>830093.65</v>
      </c>
      <c r="H6" s="15">
        <f t="shared" si="2"/>
        <v>-84664.25</v>
      </c>
      <c r="I6" s="16">
        <f t="shared" si="3"/>
        <v>-0.10199361240746752</v>
      </c>
      <c r="J6" s="46" t="s">
        <v>127</v>
      </c>
      <c r="K6" s="54" t="s">
        <v>128</v>
      </c>
      <c r="L6" s="56"/>
      <c r="M6" s="57"/>
      <c r="N6" s="57"/>
    </row>
    <row r="7" spans="1:15" ht="61.5" customHeight="1">
      <c r="A7" s="29" t="str">
        <v>Callands Gretna - Monroe</v>
      </c>
      <c r="B7" s="30" t="str">
        <v>VA</v>
      </c>
      <c r="C7" s="11">
        <v>537642</v>
      </c>
      <c r="D7" s="18">
        <v>547410.17200000002</v>
      </c>
      <c r="E7" s="18">
        <f t="shared" si="0"/>
        <v>-9768.1720000000205</v>
      </c>
      <c r="F7" s="19">
        <f t="shared" si="1"/>
        <v>-1.7844337755565164E-2</v>
      </c>
      <c r="G7" s="20">
        <v>512383.36</v>
      </c>
      <c r="H7" s="20">
        <f t="shared" si="2"/>
        <v>25258.640000000014</v>
      </c>
      <c r="I7" s="19">
        <f t="shared" si="3"/>
        <v>4.929637059251888E-2</v>
      </c>
      <c r="J7" s="45" t="s">
        <v>129</v>
      </c>
      <c r="K7" s="55" t="s">
        <v>130</v>
      </c>
      <c r="L7" s="57"/>
      <c r="M7" s="70"/>
      <c r="N7" s="21"/>
    </row>
    <row r="8" spans="1:15" ht="54" customHeight="1">
      <c r="A8" s="31" t="str">
        <v>Rockbridge Baths - Small Mouth Bass</v>
      </c>
      <c r="B8" s="28" t="str">
        <v>VA</v>
      </c>
      <c r="C8" s="24">
        <v>292104</v>
      </c>
      <c r="D8" s="13">
        <v>0</v>
      </c>
      <c r="E8" s="13">
        <f t="shared" si="0"/>
        <v>292104</v>
      </c>
      <c r="F8" s="14" t="str">
        <f t="shared" si="1"/>
        <v/>
      </c>
      <c r="G8" s="15">
        <v>560659.32999999996</v>
      </c>
      <c r="H8" s="15">
        <f t="shared" si="2"/>
        <v>-268555.32999999996</v>
      </c>
      <c r="I8" s="16">
        <f t="shared" si="3"/>
        <v>-0.47899912768775288</v>
      </c>
      <c r="J8" s="46" t="s">
        <v>131</v>
      </c>
      <c r="K8" s="54" t="s">
        <v>132</v>
      </c>
      <c r="L8" s="56"/>
      <c r="M8" s="57"/>
      <c r="N8" s="57"/>
    </row>
    <row r="9" spans="1:15">
      <c r="A9" s="21"/>
      <c r="B9" s="21"/>
      <c r="C9" s="21"/>
      <c r="D9" s="21"/>
      <c r="E9" s="21" t="str">
        <f t="shared" si="0"/>
        <v/>
      </c>
      <c r="F9" s="21" t="str">
        <f t="shared" si="1"/>
        <v/>
      </c>
      <c r="G9" s="21"/>
      <c r="H9" s="21" t="str">
        <f t="shared" si="2"/>
        <v/>
      </c>
      <c r="I9" s="21" t="str">
        <f t="shared" si="3"/>
        <v/>
      </c>
      <c r="J9" s="21"/>
      <c r="K9" s="21"/>
      <c r="L9" s="21"/>
      <c r="M9" s="21"/>
      <c r="N9" s="21"/>
      <c r="O9" s="21"/>
    </row>
    <row r="10" spans="1: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c r="A14" s="21"/>
      <c r="B14" s="21"/>
      <c r="C14" s="21"/>
      <c r="D14" s="21"/>
      <c r="E14" s="21"/>
      <c r="F14" s="21"/>
      <c r="G14" s="21"/>
      <c r="H14" s="21"/>
      <c r="I14" s="21"/>
      <c r="J14" s="21"/>
      <c r="K14" s="21"/>
      <c r="L14" s="21"/>
      <c r="M14" s="21"/>
      <c r="N14" s="21"/>
      <c r="O14" s="21"/>
    </row>
    <row r="15" spans="1:15" ht="14.45">
      <c r="A15" s="21"/>
      <c r="B15" s="32"/>
      <c r="C15" s="21"/>
      <c r="D15" s="21"/>
      <c r="E15" s="21"/>
      <c r="F15" s="21"/>
      <c r="G15" s="21"/>
      <c r="H15" s="21"/>
      <c r="I15" s="21"/>
      <c r="J15" s="21"/>
      <c r="K15" s="21"/>
    </row>
    <row r="16" spans="1:15"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8" priority="13" stopIfTrue="1" operator="lessThanOrEqual">
      <formula>-0.1</formula>
    </cfRule>
    <cfRule type="expression" dxfId="27" priority="14">
      <formula>AND(ISNUMBER(A9), A9&gt;=0.1)</formula>
    </cfRule>
  </conditionalFormatting>
  <conditionalFormatting sqref="F2 I2">
    <cfRule type="cellIs" dxfId="26" priority="15" stopIfTrue="1" operator="lessThanOrEqual">
      <formula>-0.1</formula>
    </cfRule>
    <cfRule type="expression" dxfId="25" priority="16">
      <formula>AND(ISNUMBER(F2), F2&gt;=0.1)</formula>
    </cfRule>
  </conditionalFormatting>
  <conditionalFormatting sqref="F4:F8 I4:I8">
    <cfRule type="cellIs" dxfId="24" priority="3" stopIfTrue="1" operator="lessThanOrEqual">
      <formula>-0.1</formula>
    </cfRule>
    <cfRule type="expression" dxfId="23" priority="4">
      <formula>AND(ISNUMBER(F4), F4&gt;=0.1)</formula>
    </cfRule>
  </conditionalFormatting>
  <conditionalFormatting sqref="N7">
    <cfRule type="cellIs" dxfId="22" priority="1" stopIfTrue="1" operator="lessThanOrEqual">
      <formula>-0.1</formula>
    </cfRule>
    <cfRule type="expression" dxfId="21" priority="2">
      <formula>AND(ISNUMBER(N7), N7&gt;=0.1)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S337"/>
  <sheetViews>
    <sheetView zoomScale="60" zoomScaleNormal="60" workbookViewId="0">
      <pane xSplit="2" ySplit="3" topLeftCell="D4" activePane="bottomRight" state="frozen"/>
      <selection pane="bottomRight" activeCell="J24" sqref="J2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9" width="8.85546875" style="57"/>
  </cols>
  <sheetData>
    <row r="1" spans="1:17" ht="19.5" customHeight="1">
      <c r="A1" s="76" t="str" cm="1">
        <f t="array" ref="A1">portfolio</f>
        <v>True Green Capital Management LLC</v>
      </c>
      <c r="B1" s="76"/>
      <c r="C1" s="76"/>
      <c r="D1" s="77" t="s">
        <v>133</v>
      </c>
      <c r="E1" s="77"/>
      <c r="F1" s="77"/>
      <c r="G1" s="75" t="s">
        <v>134</v>
      </c>
      <c r="H1" s="75"/>
      <c r="I1" s="75"/>
      <c r="J1" s="4"/>
      <c r="K1" s="4"/>
    </row>
    <row r="2" spans="1:17" ht="19.5" customHeight="1">
      <c r="A2" s="78" t="s">
        <v>2</v>
      </c>
      <c r="B2" s="78"/>
      <c r="C2" s="5">
        <f>SUM(C4:C95)</f>
        <v>4554624.5999999996</v>
      </c>
      <c r="D2" s="5">
        <f>SUM(D4:D95)</f>
        <v>3387580.9699999997</v>
      </c>
      <c r="E2" s="5">
        <f>C2-D2</f>
        <v>1167043.6299999999</v>
      </c>
      <c r="F2" s="6">
        <f>IFERROR(E2/D2, 0)</f>
        <v>0.34450649012826401</v>
      </c>
      <c r="G2" s="5">
        <f>SUM(G4:G95)</f>
        <v>5239527.66</v>
      </c>
      <c r="H2" s="7">
        <f>C2-G2</f>
        <v>-684903.06000000052</v>
      </c>
      <c r="I2" s="6">
        <f>IFERROR(H2/G2, 0)</f>
        <v>-0.1307184739625939</v>
      </c>
      <c r="J2" s="26" t="str">
        <f ca="1">IF(AND(TODAY()&gt;DATE(2024, 8,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100.9">
      <c r="A4" s="47" t="str" cm="1">
        <f t="array" ref="A4:A8">Sites[Site]</f>
        <v>Rochester - 5516 Valleyhigh NW</v>
      </c>
      <c r="B4" s="28" t="str" cm="1">
        <f t="array" ref="B4:B8">Sites[State]</f>
        <v>MN</v>
      </c>
      <c r="C4" s="24">
        <v>2164221</v>
      </c>
      <c r="D4" s="13">
        <v>2244634.71</v>
      </c>
      <c r="E4" s="13">
        <f t="shared" ref="E4:E12" si="0">IF(AND(ISNUMBER(C4),ISNUMBER(D4)), C4-D4, "")</f>
        <v>-80413.709999999963</v>
      </c>
      <c r="F4" s="14">
        <f t="shared" ref="F4:F12" si="1">IFERROR(E4/D4, "")</f>
        <v>-3.582485365736858E-2</v>
      </c>
      <c r="G4" s="15">
        <v>2394063.9700000002</v>
      </c>
      <c r="H4" s="15">
        <f>IF(AND(ISNUMBER(C4),ISNUMBER(G4)), C4-G4, "")</f>
        <v>-229842.9700000002</v>
      </c>
      <c r="I4" s="16">
        <f t="shared" ref="I4:I8" si="2">IFERROR(H4/G4, "")</f>
        <v>-9.6005358620388156E-2</v>
      </c>
      <c r="J4" s="46" t="s">
        <v>135</v>
      </c>
      <c r="K4" s="54" t="s">
        <v>136</v>
      </c>
      <c r="L4" s="56" t="s">
        <v>49</v>
      </c>
      <c r="M4" s="56" t="s">
        <v>137</v>
      </c>
      <c r="N4" s="56" t="s">
        <v>138</v>
      </c>
      <c r="O4" s="56" t="s">
        <v>139</v>
      </c>
      <c r="P4" s="56" t="s">
        <v>140</v>
      </c>
      <c r="Q4" s="56" t="s">
        <v>141</v>
      </c>
    </row>
    <row r="5" spans="1:17" ht="57.6">
      <c r="A5" s="29" t="str">
        <v>Warsaw - Hemings</v>
      </c>
      <c r="B5" s="30" t="str">
        <v>VA</v>
      </c>
      <c r="C5" s="11">
        <v>790338.5</v>
      </c>
      <c r="D5" s="18">
        <v>0</v>
      </c>
      <c r="E5" s="18">
        <f t="shared" si="0"/>
        <v>790338.5</v>
      </c>
      <c r="F5" s="19" t="str">
        <f t="shared" si="1"/>
        <v/>
      </c>
      <c r="G5" s="20">
        <v>1079860.17</v>
      </c>
      <c r="H5" s="20">
        <f t="shared" ref="H5:H12" si="3">IF(AND(ISNUMBER(C5),ISNUMBER(G5)), C5-G5, "")</f>
        <v>-289521.66999999993</v>
      </c>
      <c r="I5" s="19">
        <f t="shared" si="2"/>
        <v>-0.26811033321101191</v>
      </c>
      <c r="J5" s="45" t="s">
        <v>142</v>
      </c>
      <c r="K5" s="55" t="s">
        <v>143</v>
      </c>
      <c r="L5" s="56" t="s">
        <v>144</v>
      </c>
      <c r="M5" s="56" t="s">
        <v>145</v>
      </c>
      <c r="N5" s="56" t="s">
        <v>146</v>
      </c>
    </row>
    <row r="6" spans="1:17" ht="43.15">
      <c r="A6" s="47" t="str">
        <v>Mount Jackson - Randolf</v>
      </c>
      <c r="B6" s="28" t="str">
        <v>VA</v>
      </c>
      <c r="C6" s="24">
        <v>690534.5</v>
      </c>
      <c r="D6" s="13">
        <v>702387.51599999995</v>
      </c>
      <c r="E6" s="13">
        <f t="shared" si="0"/>
        <v>-11853.015999999945</v>
      </c>
      <c r="F6" s="14">
        <f t="shared" si="1"/>
        <v>-1.6875322710035105E-2</v>
      </c>
      <c r="G6" s="15">
        <v>760750.11</v>
      </c>
      <c r="H6" s="15">
        <f t="shared" si="3"/>
        <v>-70215.609999999986</v>
      </c>
      <c r="I6" s="16">
        <f t="shared" si="2"/>
        <v>-9.2297863749240844E-2</v>
      </c>
      <c r="J6" s="46" t="s">
        <v>147</v>
      </c>
      <c r="K6" s="54" t="s">
        <v>148</v>
      </c>
      <c r="L6" s="56" t="s">
        <v>149</v>
      </c>
    </row>
    <row r="7" spans="1:17" ht="43.15">
      <c r="A7" s="29" t="str">
        <v>Callands Gretna - Monroe</v>
      </c>
      <c r="B7" s="30" t="str">
        <v>VA</v>
      </c>
      <c r="C7" s="11">
        <v>447651</v>
      </c>
      <c r="D7" s="18">
        <v>440558.74400000001</v>
      </c>
      <c r="E7" s="18">
        <f>IF(AND(ISNUMBER(C7),ISNUMBER(D7)), C7-D7, "")</f>
        <v>7092.2559999999939</v>
      </c>
      <c r="F7" s="19">
        <f t="shared" si="1"/>
        <v>1.6098320817802207E-2</v>
      </c>
      <c r="G7" s="20">
        <v>476302.14</v>
      </c>
      <c r="H7" s="20">
        <f t="shared" si="3"/>
        <v>-28651.140000000014</v>
      </c>
      <c r="I7" s="19">
        <f t="shared" si="2"/>
        <v>-6.0153288414786489E-2</v>
      </c>
      <c r="J7" s="45" t="s">
        <v>150</v>
      </c>
      <c r="K7" s="55" t="s">
        <v>151</v>
      </c>
      <c r="L7" s="56" t="s">
        <v>152</v>
      </c>
    </row>
    <row r="8" spans="1:17" ht="72">
      <c r="A8" s="31" t="str">
        <v>Rockbridge Baths - Small Mouth Bass</v>
      </c>
      <c r="B8" s="28" t="str">
        <v>VA</v>
      </c>
      <c r="C8" s="24">
        <v>461879.6</v>
      </c>
      <c r="D8" s="13">
        <v>0</v>
      </c>
      <c r="E8" s="13">
        <f t="shared" si="0"/>
        <v>461879.6</v>
      </c>
      <c r="F8" s="14" t="str">
        <f t="shared" si="1"/>
        <v/>
      </c>
      <c r="G8" s="15">
        <v>528551.27</v>
      </c>
      <c r="H8" s="15">
        <f t="shared" si="3"/>
        <v>-66671.670000000042</v>
      </c>
      <c r="I8" s="16">
        <f t="shared" si="2"/>
        <v>-0.12614040261411166</v>
      </c>
      <c r="J8" s="46" t="s">
        <v>153</v>
      </c>
      <c r="K8" s="54" t="s">
        <v>154</v>
      </c>
      <c r="L8" s="56" t="s">
        <v>93</v>
      </c>
      <c r="M8" s="56" t="s">
        <v>155</v>
      </c>
      <c r="N8" s="56" t="s">
        <v>156</v>
      </c>
      <c r="O8" s="56" t="s">
        <v>157</v>
      </c>
    </row>
    <row r="9" spans="1:17">
      <c r="A9" s="21"/>
      <c r="B9" s="21"/>
      <c r="C9" s="21"/>
      <c r="D9" s="21"/>
      <c r="E9" s="21" t="str">
        <f t="shared" si="0"/>
        <v/>
      </c>
      <c r="F9" s="21" t="str">
        <f t="shared" si="1"/>
        <v/>
      </c>
      <c r="G9" s="21"/>
      <c r="H9" s="21" t="str">
        <f t="shared" si="3"/>
        <v/>
      </c>
      <c r="I9" s="21" t="str">
        <f t="shared" ref="I9:I12" si="4">IFERROR(H9/G9, "")</f>
        <v/>
      </c>
      <c r="J9" s="21"/>
      <c r="K9" s="21"/>
      <c r="L9" s="71"/>
    </row>
    <row r="10" spans="1:17">
      <c r="A10" s="21"/>
      <c r="B10" s="21"/>
      <c r="C10" s="21"/>
      <c r="D10" s="21"/>
      <c r="E10" s="21" t="str">
        <f t="shared" si="0"/>
        <v/>
      </c>
      <c r="F10" s="21" t="str">
        <f t="shared" si="1"/>
        <v/>
      </c>
      <c r="G10" s="21"/>
      <c r="H10" s="21" t="str">
        <f t="shared" si="3"/>
        <v/>
      </c>
      <c r="I10" s="21" t="str">
        <f t="shared" si="4"/>
        <v/>
      </c>
      <c r="J10" s="21"/>
      <c r="K10" s="21"/>
      <c r="L10" s="71"/>
    </row>
    <row r="11" spans="1:17">
      <c r="A11" s="21"/>
      <c r="B11" s="21"/>
      <c r="C11" s="21"/>
      <c r="D11" s="21"/>
      <c r="E11" s="21" t="str">
        <f t="shared" si="0"/>
        <v/>
      </c>
      <c r="F11" s="21" t="str">
        <f t="shared" si="1"/>
        <v/>
      </c>
      <c r="G11" s="21"/>
      <c r="H11" s="21" t="str">
        <f t="shared" si="3"/>
        <v/>
      </c>
      <c r="I11" s="21" t="str">
        <f t="shared" si="4"/>
        <v/>
      </c>
      <c r="J11" s="21"/>
      <c r="K11" s="21"/>
      <c r="L11" s="71"/>
    </row>
    <row r="12" spans="1:17">
      <c r="A12" s="21"/>
      <c r="B12" s="21"/>
      <c r="C12" s="21"/>
      <c r="D12" s="21"/>
      <c r="E12" s="21" t="str">
        <f t="shared" si="0"/>
        <v/>
      </c>
      <c r="F12" s="21" t="str">
        <f t="shared" si="1"/>
        <v/>
      </c>
      <c r="G12" s="21"/>
      <c r="H12" s="21" t="str">
        <f t="shared" si="3"/>
        <v/>
      </c>
      <c r="I12" s="21" t="str">
        <f t="shared" si="4"/>
        <v/>
      </c>
      <c r="J12" s="21"/>
      <c r="K12" s="21"/>
      <c r="L12" s="71"/>
    </row>
    <row r="13" spans="1:17" ht="12.75" customHeight="1">
      <c r="A13" s="21"/>
      <c r="B13" s="21"/>
      <c r="C13" s="21"/>
      <c r="D13" s="21"/>
      <c r="E13" s="21"/>
      <c r="F13" s="21"/>
      <c r="G13" s="21"/>
      <c r="H13" s="21"/>
      <c r="I13" s="21"/>
      <c r="J13" s="21"/>
      <c r="K13" s="21"/>
      <c r="L13" s="71"/>
    </row>
    <row r="14" spans="1:17">
      <c r="A14" s="21"/>
      <c r="B14" s="21"/>
      <c r="C14" s="21"/>
      <c r="D14" s="21"/>
      <c r="E14" s="21"/>
      <c r="F14" s="21"/>
      <c r="G14" s="21"/>
      <c r="H14" s="21"/>
      <c r="I14" s="21"/>
      <c r="J14" s="21"/>
      <c r="K14" s="21"/>
      <c r="L14" s="71"/>
    </row>
    <row r="15" spans="1:17">
      <c r="A15" s="21"/>
      <c r="B15" s="21"/>
      <c r="C15" s="21"/>
      <c r="D15" s="21"/>
      <c r="E15" s="21"/>
      <c r="F15" s="21"/>
      <c r="G15" s="21"/>
      <c r="H15" s="21"/>
      <c r="I15" s="21"/>
      <c r="J15" s="21"/>
      <c r="K15" s="21"/>
      <c r="L15" s="7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5 I4:I95">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147" xr:uid="{0255A83B-57DF-40E2-A113-DDB519D00FFA}"/>
    <hyperlink ref="L4" r:id="rId2" display="https://us3.assetplanner.com/service_request?ID=099221" xr:uid="{F60D5355-63FB-46C6-9766-0B8E89F03B84}"/>
    <hyperlink ref="M4" r:id="rId3" display="https://us3.assetplanner.com/service_request?ID=105946" xr:uid="{56D41EB8-FB4B-44BB-A670-FF469F149BD0}"/>
    <hyperlink ref="N4" r:id="rId4" display="https://us3.assetplanner.com/service_request?ID=107054" xr:uid="{CD6BF34F-F8D7-46CE-A690-35AB84157536}"/>
    <hyperlink ref="O4" r:id="rId5" display="https://us3.assetplanner.com/service_request?ID=105860" xr:uid="{5DB95137-7F2D-4A56-9359-324F2896A0C9}"/>
    <hyperlink ref="P4" r:id="rId6" display="https://us3.assetplanner.com/service_request?ID=106166" xr:uid="{2759D571-7291-4686-8BF4-95745832E56E}"/>
    <hyperlink ref="Q4" r:id="rId7" display="https://us3.assetplanner.com/service_request?ID=105393" xr:uid="{E2FA669B-457F-48B0-86C5-02C79E8987E1}"/>
    <hyperlink ref="K5" r:id="rId8" display="https://us3.assetplanner.com/service_request?ID=101583" xr:uid="{BA948C3A-CD92-4DA4-8BD3-8E458F9CAED6}"/>
    <hyperlink ref="L5" r:id="rId9" display="https://us3.assetplanner.com/service_request?ID=105308" xr:uid="{F7788721-BFB9-4D8A-9C72-CBBF5B8562A4}"/>
    <hyperlink ref="M5" r:id="rId10" display="https://us3.assetplanner.com/service_request?ID=105629" xr:uid="{9A48E778-B113-4E05-AADA-56CC0469A837}"/>
    <hyperlink ref="N5" r:id="rId11" display="https://us3.assetplanner.com/service_request?ID=104941" xr:uid="{9DC9BCB5-AEAF-4BF3-9F68-C91014D404ED}"/>
    <hyperlink ref="K6" r:id="rId12" display="https://us3.assetplanner.com/service_request?ID=103137" xr:uid="{0A8E18CE-60BC-4C3D-A1FC-A3BF2E2DFA41}"/>
    <hyperlink ref="L6" r:id="rId13" display="https://us3.assetplanner.com/service_request?ID=105402" xr:uid="{32826E88-6F48-40F2-904A-143EB367DDEE}"/>
    <hyperlink ref="K7" r:id="rId14" display="https://us3.assetplanner.com/service_request?ID=099420" xr:uid="{DA255E4D-AE6B-420A-8D3E-6E22EE538045}"/>
    <hyperlink ref="L7" r:id="rId15" display="https://us3.assetplanner.com/service_request?ID=101449" xr:uid="{B10CE8E4-9ADE-47CF-9AF0-B1B81563729E}"/>
    <hyperlink ref="K8" r:id="rId16" display="https://us3.assetplanner.com/service_request?ID=101580" xr:uid="{737C7A57-A911-4020-B83E-D0EEF188DC1A}"/>
    <hyperlink ref="L8" r:id="rId17" display="https://us3.assetplanner.com/service_request?ID=100415" xr:uid="{5EA81E41-D2C8-4017-B3B4-43F23A1E9C3B}"/>
    <hyperlink ref="M8" r:id="rId18" display="https://us3.assetplanner.com/service_request?ID=105397" xr:uid="{34BE1A8E-C920-42AC-B3AE-A4E6293E379B}"/>
    <hyperlink ref="N8" r:id="rId19" display="https://us3.assetplanner.com/service_request?ID=106590" xr:uid="{4C0DB83A-5FE7-4244-B152-172BAF51C047}"/>
    <hyperlink ref="O8" r:id="rId20" display="https://us3.assetplanner.com/service_request?ID=106873" xr:uid="{4E60054B-14F4-464C-BC36-382B6A40545A}"/>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O337"/>
  <sheetViews>
    <sheetView zoomScale="70" zoomScaleNormal="70" workbookViewId="0">
      <pane xSplit="2" ySplit="3" topLeftCell="C4" activePane="bottomRight" state="frozen"/>
      <selection pane="bottomRight" activeCell="J15" sqref="J15"/>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7"/>
  </cols>
  <sheetData>
    <row r="1" spans="1:14" ht="19.5" customHeight="1">
      <c r="A1" s="76" t="str" cm="1">
        <f t="array" ref="A1">portfolio</f>
        <v>True Green Capital Management LLC</v>
      </c>
      <c r="B1" s="76"/>
      <c r="C1" s="76"/>
      <c r="D1" s="77" t="s">
        <v>158</v>
      </c>
      <c r="E1" s="77"/>
      <c r="F1" s="77"/>
      <c r="G1" s="75" t="s">
        <v>159</v>
      </c>
      <c r="H1" s="75"/>
      <c r="I1" s="75"/>
      <c r="J1" s="4"/>
      <c r="K1" s="4"/>
    </row>
    <row r="2" spans="1:14" ht="19.5" customHeight="1">
      <c r="A2" s="78" t="s">
        <v>2</v>
      </c>
      <c r="B2" s="78"/>
      <c r="C2" s="5">
        <f>SUM(C4:C95)</f>
        <v>3515868.6999999997</v>
      </c>
      <c r="D2" s="5">
        <f>SUM(D4:D95)</f>
        <v>2048734.3</v>
      </c>
      <c r="E2" s="5">
        <f>C2-D2</f>
        <v>1467134.3999999997</v>
      </c>
      <c r="F2" s="6">
        <f>IFERROR(E2/D2, 0)</f>
        <v>0.71611745847179875</v>
      </c>
      <c r="G2" s="5">
        <f>SUM(G4:G95)</f>
        <v>4259688.4000000004</v>
      </c>
      <c r="H2" s="7">
        <f>C2-G2</f>
        <v>-743819.70000000065</v>
      </c>
      <c r="I2" s="6">
        <f>IFERROR(H2/G2, 0)</f>
        <v>-0.17461833593274112</v>
      </c>
      <c r="J2" s="26" t="str">
        <f ca="1">IF(AND(TODAY()&gt;DATE(2024, 9,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90.75" customHeight="1">
      <c r="A4" s="29" t="str" cm="1">
        <f t="array" ref="A4:A8">Sites[Site]</f>
        <v>Rochester - 5516 Valleyhigh NW</v>
      </c>
      <c r="B4" s="30" t="str" cm="1">
        <f t="array" ref="B4:B8">Sites[State]</f>
        <v>MN</v>
      </c>
      <c r="C4" s="11">
        <v>1421436</v>
      </c>
      <c r="D4" s="18">
        <v>1231101</v>
      </c>
      <c r="E4" s="18">
        <f t="shared" ref="E4:E12" si="0">IF(AND(ISNUMBER(C4),ISNUMBER(D4)), C4-D4, "")</f>
        <v>190335</v>
      </c>
      <c r="F4" s="19">
        <f t="shared" ref="F4:F12" si="1">IFERROR(E4/D4, "")</f>
        <v>0.15460551165176536</v>
      </c>
      <c r="G4" s="49">
        <v>1880527</v>
      </c>
      <c r="H4" s="20">
        <f t="shared" ref="H4:H12" si="2">IF(AND(ISNUMBER(C4),ISNUMBER(G4)), C4-G4, "")</f>
        <v>-459091</v>
      </c>
      <c r="I4" s="19">
        <f t="shared" ref="I4:I12" si="3">IFERROR(H4/G4, "")</f>
        <v>-0.24412890641825402</v>
      </c>
      <c r="J4" s="50" t="s">
        <v>160</v>
      </c>
      <c r="K4" s="72" t="s">
        <v>161</v>
      </c>
      <c r="L4" s="56" t="s">
        <v>162</v>
      </c>
      <c r="M4" s="56" t="s">
        <v>49</v>
      </c>
      <c r="N4" s="56" t="s">
        <v>163</v>
      </c>
    </row>
    <row r="5" spans="1:14" ht="45" customHeight="1">
      <c r="A5" s="31" t="str">
        <v>Warsaw - Hemings</v>
      </c>
      <c r="B5" s="28" t="str">
        <v>VA</v>
      </c>
      <c r="C5" s="24">
        <v>756441.8</v>
      </c>
      <c r="D5" s="13">
        <v>0</v>
      </c>
      <c r="E5" s="13">
        <f t="shared" si="0"/>
        <v>756441.8</v>
      </c>
      <c r="F5" s="14" t="str">
        <f t="shared" si="1"/>
        <v/>
      </c>
      <c r="G5" s="15">
        <v>903150</v>
      </c>
      <c r="H5" s="15">
        <f t="shared" si="2"/>
        <v>-146708.19999999995</v>
      </c>
      <c r="I5" s="16">
        <f t="shared" si="3"/>
        <v>-0.16244056911919388</v>
      </c>
      <c r="J5" s="40" t="s">
        <v>164</v>
      </c>
      <c r="K5" s="60" t="s">
        <v>165</v>
      </c>
      <c r="L5" s="56" t="s">
        <v>166</v>
      </c>
      <c r="M5" s="56" t="s">
        <v>103</v>
      </c>
    </row>
    <row r="6" spans="1:14" ht="34.5" customHeight="1">
      <c r="A6" s="29" t="str">
        <v>Mount Jackson - Randolf</v>
      </c>
      <c r="B6" s="30" t="str">
        <v>VA</v>
      </c>
      <c r="C6" s="11">
        <v>513321.6</v>
      </c>
      <c r="D6" s="18">
        <v>472595.8</v>
      </c>
      <c r="E6" s="18">
        <f t="shared" si="0"/>
        <v>40725.799999999988</v>
      </c>
      <c r="F6" s="19">
        <f t="shared" si="1"/>
        <v>8.6174697278308413E-2</v>
      </c>
      <c r="G6" s="20">
        <v>629251.5</v>
      </c>
      <c r="H6" s="20">
        <f t="shared" si="2"/>
        <v>-115929.90000000002</v>
      </c>
      <c r="I6" s="19">
        <f t="shared" si="3"/>
        <v>-0.1842346025396841</v>
      </c>
      <c r="J6" s="50" t="s">
        <v>167</v>
      </c>
      <c r="K6" s="73" t="s">
        <v>168</v>
      </c>
      <c r="L6" s="56" t="s">
        <v>169</v>
      </c>
      <c r="M6" s="71"/>
    </row>
    <row r="7" spans="1:14" ht="57.6">
      <c r="A7" s="31" t="str">
        <v>Callands Gretna - Monroe</v>
      </c>
      <c r="B7" s="28" t="str">
        <v>VA</v>
      </c>
      <c r="C7" s="24">
        <v>403870</v>
      </c>
      <c r="D7" s="13">
        <v>345037.5</v>
      </c>
      <c r="E7" s="13">
        <f t="shared" si="0"/>
        <v>58832.5</v>
      </c>
      <c r="F7" s="14">
        <f t="shared" si="1"/>
        <v>0.17051045176248958</v>
      </c>
      <c r="G7" s="15">
        <v>405959.9</v>
      </c>
      <c r="H7" s="15">
        <f t="shared" si="2"/>
        <v>-2089.9000000000233</v>
      </c>
      <c r="I7" s="16">
        <f t="shared" si="3"/>
        <v>-5.1480454103965028E-3</v>
      </c>
      <c r="J7" s="40" t="s">
        <v>170</v>
      </c>
      <c r="K7" s="60" t="s">
        <v>171</v>
      </c>
      <c r="L7" s="56" t="s">
        <v>172</v>
      </c>
      <c r="M7" s="56" t="s">
        <v>152</v>
      </c>
    </row>
    <row r="8" spans="1:14" ht="39.6">
      <c r="A8" s="29" t="str">
        <v>Rockbridge Baths - Small Mouth Bass</v>
      </c>
      <c r="B8" s="30" t="str">
        <v>VA</v>
      </c>
      <c r="C8" s="11">
        <v>420799.3</v>
      </c>
      <c r="D8" s="18">
        <v>0</v>
      </c>
      <c r="E8" s="18">
        <f t="shared" si="0"/>
        <v>420799.3</v>
      </c>
      <c r="F8" s="19" t="str">
        <f t="shared" si="1"/>
        <v/>
      </c>
      <c r="G8" s="20">
        <v>440800</v>
      </c>
      <c r="H8" s="20">
        <f t="shared" si="2"/>
        <v>-20000.700000000012</v>
      </c>
      <c r="I8" s="19">
        <f t="shared" si="3"/>
        <v>-4.5373638838475526E-2</v>
      </c>
      <c r="J8" s="41" t="s">
        <v>173</v>
      </c>
      <c r="K8" s="72" t="s">
        <v>174</v>
      </c>
      <c r="L8" s="56" t="s">
        <v>108</v>
      </c>
      <c r="M8" s="56" t="s">
        <v>93</v>
      </c>
    </row>
    <row r="9" spans="1:14">
      <c r="A9" s="21"/>
      <c r="B9" s="21"/>
      <c r="C9" s="21"/>
      <c r="D9" s="21"/>
      <c r="E9" s="21" t="str">
        <f t="shared" si="0"/>
        <v/>
      </c>
      <c r="F9" s="21" t="str">
        <f t="shared" si="1"/>
        <v/>
      </c>
      <c r="G9" s="21"/>
      <c r="H9" s="21" t="str">
        <f t="shared" si="2"/>
        <v/>
      </c>
      <c r="I9" s="21" t="str">
        <f t="shared" si="3"/>
        <v/>
      </c>
      <c r="J9" s="21"/>
      <c r="K9" s="21"/>
      <c r="L9" s="71"/>
      <c r="M9" s="71"/>
    </row>
    <row r="10" spans="1:14">
      <c r="A10" s="21"/>
      <c r="B10" s="21"/>
      <c r="C10" s="21"/>
      <c r="D10" s="21"/>
      <c r="E10" s="21" t="str">
        <f t="shared" si="0"/>
        <v/>
      </c>
      <c r="F10" s="21" t="str">
        <f t="shared" si="1"/>
        <v/>
      </c>
      <c r="G10" s="21"/>
      <c r="H10" s="21" t="str">
        <f t="shared" si="2"/>
        <v/>
      </c>
      <c r="I10" s="21" t="str">
        <f t="shared" si="3"/>
        <v/>
      </c>
      <c r="J10" s="21"/>
      <c r="K10" s="21"/>
      <c r="L10" s="71"/>
      <c r="M10" s="71"/>
    </row>
    <row r="11" spans="1:14">
      <c r="A11" s="21"/>
      <c r="B11" s="21"/>
      <c r="C11" s="21"/>
      <c r="D11" s="21"/>
      <c r="E11" s="21" t="str">
        <f t="shared" si="0"/>
        <v/>
      </c>
      <c r="F11" s="21" t="str">
        <f t="shared" si="1"/>
        <v/>
      </c>
      <c r="G11" s="21"/>
      <c r="H11" s="21" t="str">
        <f t="shared" si="2"/>
        <v/>
      </c>
      <c r="I11" s="21" t="str">
        <f t="shared" si="3"/>
        <v/>
      </c>
      <c r="J11" s="21"/>
      <c r="K11" s="21"/>
      <c r="L11" s="71"/>
      <c r="M11" s="71"/>
    </row>
    <row r="12" spans="1:14">
      <c r="A12" s="21"/>
      <c r="B12" s="21"/>
      <c r="C12" s="21"/>
      <c r="D12" s="21"/>
      <c r="E12" s="21" t="str">
        <f t="shared" si="0"/>
        <v/>
      </c>
      <c r="F12" s="21" t="str">
        <f t="shared" si="1"/>
        <v/>
      </c>
      <c r="G12" s="21"/>
      <c r="H12" s="21" t="str">
        <f t="shared" si="2"/>
        <v/>
      </c>
      <c r="I12" s="21" t="str">
        <f t="shared" si="3"/>
        <v/>
      </c>
      <c r="J12" s="21"/>
      <c r="K12" s="21"/>
      <c r="L12" s="71"/>
      <c r="M12" s="7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hyperlinks>
    <hyperlink ref="K4" r:id="rId1" display="https://us3.assetplanner.com/service_request?ID=107451" xr:uid="{8F63755C-0E34-49AA-99C0-8626F3CCFEF6}"/>
    <hyperlink ref="L4" r:id="rId2" display="https://us3.assetplanner.com/service_request?ID=107650" xr:uid="{177290BD-F0BC-4418-94B9-5302E682F041}"/>
    <hyperlink ref="M4" r:id="rId3" display="https://us3.assetplanner.com/service_request?ID=099221" xr:uid="{B9E95D0D-406D-4C8F-BCCB-EADA5FE8D2A9}"/>
    <hyperlink ref="N4" r:id="rId4" display="https://us3.assetplanner.com/service_request?ID=102147" xr:uid="{826F1E1C-55AC-4757-8EEE-E429B2EB92A7}"/>
    <hyperlink ref="K5" r:id="rId5" display="https://us3.assetplanner.com/service_request?ID=104941" xr:uid="{0CF89D99-741B-4A0C-87BD-72FC20D5597E}"/>
    <hyperlink ref="L5" r:id="rId6" display="https://us3.assetplanner.com/service_request?ID=107935" xr:uid="{ED2F836C-07F8-452B-8EE3-52212191842A}"/>
    <hyperlink ref="M5" r:id="rId7" display="https://us3.assetplanner.com/service_request?ID=101583" xr:uid="{4B2C0EA7-A84A-4976-B66B-06E5F23D378A}"/>
    <hyperlink ref="K6" r:id="rId8" display="https://us3.assetplanner.com/service_request?ID=105402" xr:uid="{B0292592-B965-4C54-8B97-2F45507E8E29}"/>
    <hyperlink ref="L6" r:id="rId9" display="https://us3.assetplanner.com/service_request?ID=108406" xr:uid="{0BEEFB94-8C1F-42BE-B20E-FC86636F8B7D}"/>
    <hyperlink ref="K7" r:id="rId10" display="https://us3.assetplanner.com/service_request?ID=099420" xr:uid="{DDC4BBC7-6146-4ED4-90C0-933D4A763FF0}"/>
    <hyperlink ref="L7" r:id="rId11" display="https://us3.assetplanner.com/service_request?ID=108512" xr:uid="{ED4EB52A-A9CE-497A-9DB6-E4FD66DE6569}"/>
    <hyperlink ref="M7" r:id="rId12" display="https://us3.assetplanner.com/service_request?ID=101449" xr:uid="{BCEF1F0D-7473-4543-83AC-FF32D3B2B884}"/>
    <hyperlink ref="K8" r:id="rId13" display="https://us3.assetplanner.com/service_request?ID=105397" xr:uid="{1B8170F0-F5D0-4CBD-A427-127C620C6FCB}"/>
    <hyperlink ref="L8" r:id="rId14" display="https://us3.assetplanner.com/service_request?ID=101580" xr:uid="{8B1D2C4D-75A6-4052-8D70-C4D0ED34FC15}"/>
    <hyperlink ref="M8" r:id="rId15" display="https://us3.assetplanner.com/service_request?ID=100415" xr:uid="{FE3ECB99-7CB2-47F6-A755-C8D15FD0421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R337"/>
  <sheetViews>
    <sheetView tabSelected="1" zoomScale="70" zoomScaleNormal="70" workbookViewId="0">
      <pane xSplit="2" ySplit="3" topLeftCell="C4" activePane="bottomRight" state="frozen"/>
      <selection pane="bottomRight" activeCell="L8" sqref="L8"/>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 min="12" max="12" width="23.5703125" style="57" customWidth="1"/>
  </cols>
  <sheetData>
    <row r="1" spans="1:18" ht="19.5" customHeight="1">
      <c r="A1" s="76" t="str" cm="1">
        <f t="array" ref="A1">portfolio</f>
        <v>True Green Capital Management LLC</v>
      </c>
      <c r="B1" s="76"/>
      <c r="C1" s="76"/>
      <c r="D1" s="77" t="s">
        <v>175</v>
      </c>
      <c r="E1" s="77"/>
      <c r="F1" s="77"/>
      <c r="G1" s="75" t="s">
        <v>176</v>
      </c>
      <c r="H1" s="75"/>
      <c r="I1" s="75"/>
      <c r="J1" s="4"/>
      <c r="K1" s="4"/>
    </row>
    <row r="2" spans="1:18" ht="19.5" customHeight="1">
      <c r="A2" s="78" t="s">
        <v>2</v>
      </c>
      <c r="B2" s="78"/>
      <c r="C2" s="5">
        <f>SUM(C4:C95)</f>
        <v>3409621.5</v>
      </c>
      <c r="D2" s="5">
        <f>SUM(D4:D95)</f>
        <v>2918121.5</v>
      </c>
      <c r="E2" s="5">
        <f>C2-D2</f>
        <v>491500</v>
      </c>
      <c r="F2" s="6">
        <f>IFERROR(E2/D2, 0)</f>
        <v>0.1684302726942658</v>
      </c>
      <c r="G2" s="5">
        <f>SUM(G4:G95)</f>
        <v>3339773.8000000003</v>
      </c>
      <c r="H2" s="7">
        <f>C2-G2</f>
        <v>69847.699999999721</v>
      </c>
      <c r="I2" s="6">
        <f>IFERROR(H2/G2, 0)</f>
        <v>2.0913901414520861E-2</v>
      </c>
      <c r="J2" s="26" t="str">
        <f ca="1">IF(AND(TODAY()&gt;DATE(2024, 10,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c r="L3" s="53" t="s">
        <v>177</v>
      </c>
    </row>
    <row r="4" spans="1:18" ht="253.9" customHeight="1">
      <c r="A4" s="29" t="str" cm="1">
        <f t="array" ref="A4:A8">Sites[Site]</f>
        <v>Rochester - 5516 Valleyhigh NW</v>
      </c>
      <c r="B4" s="30" t="str" cm="1">
        <f t="array" ref="B4:B8">Sites[State]</f>
        <v>MN</v>
      </c>
      <c r="C4" s="11">
        <v>1187198</v>
      </c>
      <c r="D4" s="18">
        <v>1325631</v>
      </c>
      <c r="E4" s="18">
        <f t="shared" ref="E4:E12" si="0">IF(AND(ISNUMBER(C4),ISNUMBER(D4)), C4-D4, "")</f>
        <v>-138433</v>
      </c>
      <c r="F4" s="19">
        <f t="shared" ref="F4:F12" si="1">IFERROR(E4/D4, "")</f>
        <v>-0.10442800447485009</v>
      </c>
      <c r="G4" s="20">
        <v>1337272</v>
      </c>
      <c r="H4" s="20">
        <f t="shared" ref="H4:H11" si="2">IF(AND(ISNUMBER(C4),ISNUMBER(G4)), C4-G4, "")</f>
        <v>-150074</v>
      </c>
      <c r="I4" s="19">
        <f t="shared" ref="I4:I11" si="3">IFERROR(H4/G4, "")</f>
        <v>-0.11222399033255763</v>
      </c>
      <c r="J4" s="50" t="s">
        <v>178</v>
      </c>
      <c r="K4" s="55" t="s">
        <v>179</v>
      </c>
      <c r="L4" s="74" t="s">
        <v>180</v>
      </c>
      <c r="M4" s="59" t="s">
        <v>49</v>
      </c>
      <c r="N4" s="59" t="s">
        <v>163</v>
      </c>
      <c r="O4" s="59" t="s">
        <v>181</v>
      </c>
      <c r="P4" s="59" t="s">
        <v>182</v>
      </c>
      <c r="Q4" s="59" t="s">
        <v>183</v>
      </c>
      <c r="R4" s="59" t="s">
        <v>184</v>
      </c>
    </row>
    <row r="5" spans="1:18" ht="66.400000000000006" customHeight="1">
      <c r="A5" s="31" t="str">
        <v>Warsaw - Hemings</v>
      </c>
      <c r="B5" s="28" t="str">
        <v>VA</v>
      </c>
      <c r="C5" s="24">
        <v>875509.89999999898</v>
      </c>
      <c r="D5" s="13">
        <v>861665.3</v>
      </c>
      <c r="E5" s="13">
        <f t="shared" si="0"/>
        <v>13844.599999998929</v>
      </c>
      <c r="F5" s="14">
        <f t="shared" si="1"/>
        <v>1.6067259526406516E-2</v>
      </c>
      <c r="G5" s="15">
        <v>723990</v>
      </c>
      <c r="H5" s="15">
        <f t="shared" si="2"/>
        <v>151519.89999999898</v>
      </c>
      <c r="I5" s="16">
        <f t="shared" si="3"/>
        <v>0.20928452050442545</v>
      </c>
      <c r="J5" s="46" t="s">
        <v>185</v>
      </c>
      <c r="K5" s="54" t="s">
        <v>186</v>
      </c>
      <c r="L5" s="46" t="s">
        <v>187</v>
      </c>
      <c r="M5" s="59" t="s">
        <v>188</v>
      </c>
    </row>
    <row r="6" spans="1:18" ht="15.6">
      <c r="A6" s="29" t="str">
        <v>Mount Jackson - Randolf</v>
      </c>
      <c r="B6" s="30" t="str">
        <v>VA</v>
      </c>
      <c r="C6" s="11">
        <v>590677.10000000102</v>
      </c>
      <c r="D6" s="18">
        <v>575691.1</v>
      </c>
      <c r="E6" s="18">
        <f t="shared" si="0"/>
        <v>14986.000000001048</v>
      </c>
      <c r="F6" s="19">
        <f t="shared" si="1"/>
        <v>2.6031321311031294E-2</v>
      </c>
      <c r="G6" s="20">
        <v>536959.19999999995</v>
      </c>
      <c r="H6" s="20">
        <f t="shared" si="2"/>
        <v>53717.900000001071</v>
      </c>
      <c r="I6" s="19">
        <f t="shared" si="3"/>
        <v>0.1000409342087836</v>
      </c>
      <c r="J6" s="45" t="s">
        <v>189</v>
      </c>
      <c r="K6" s="45"/>
    </row>
    <row r="7" spans="1:18" ht="15.6">
      <c r="A7" s="31" t="str">
        <v>Callands Gretna - Monroe</v>
      </c>
      <c r="B7" s="28" t="str">
        <v>VA</v>
      </c>
      <c r="C7" s="24">
        <v>376347</v>
      </c>
      <c r="D7" s="13">
        <v>155134.1</v>
      </c>
      <c r="E7" s="13">
        <f t="shared" si="0"/>
        <v>221212.9</v>
      </c>
      <c r="F7" s="14">
        <f t="shared" si="1"/>
        <v>1.4259463264362895</v>
      </c>
      <c r="G7" s="15">
        <v>361097.6</v>
      </c>
      <c r="H7" s="15">
        <f t="shared" si="2"/>
        <v>15249.400000000023</v>
      </c>
      <c r="I7" s="16">
        <f t="shared" si="3"/>
        <v>4.2230687769733238E-2</v>
      </c>
      <c r="J7" s="46" t="s">
        <v>190</v>
      </c>
      <c r="K7" s="54" t="s">
        <v>191</v>
      </c>
      <c r="L7" s="46" t="s">
        <v>192</v>
      </c>
    </row>
    <row r="8" spans="1:18" ht="86.45">
      <c r="A8" s="29" t="str">
        <v>Rockbridge Baths - Small Mouth Bass</v>
      </c>
      <c r="B8" s="30" t="str">
        <v>VA</v>
      </c>
      <c r="C8" s="11">
        <v>379889.5</v>
      </c>
      <c r="D8" s="18">
        <v>0</v>
      </c>
      <c r="E8" s="18">
        <f t="shared" si="0"/>
        <v>379889.5</v>
      </c>
      <c r="F8" s="19" t="str">
        <f t="shared" si="1"/>
        <v/>
      </c>
      <c r="G8" s="20">
        <v>380455</v>
      </c>
      <c r="H8" s="20">
        <f t="shared" si="2"/>
        <v>-565.5</v>
      </c>
      <c r="I8" s="19">
        <f t="shared" si="3"/>
        <v>-1.4863781524753256E-3</v>
      </c>
      <c r="J8" s="45" t="s">
        <v>193</v>
      </c>
      <c r="K8" s="55" t="s">
        <v>194</v>
      </c>
      <c r="L8" s="74" t="s">
        <v>195</v>
      </c>
      <c r="M8" s="59" t="s">
        <v>196</v>
      </c>
    </row>
    <row r="9" spans="1:18">
      <c r="A9" s="21"/>
      <c r="B9" s="21"/>
      <c r="C9" s="21"/>
      <c r="D9" s="21"/>
      <c r="E9" s="21" t="str">
        <f t="shared" si="0"/>
        <v/>
      </c>
      <c r="F9" s="21" t="str">
        <f t="shared" si="1"/>
        <v/>
      </c>
      <c r="G9" s="21"/>
      <c r="H9" s="21" t="str">
        <f t="shared" si="2"/>
        <v/>
      </c>
      <c r="I9" s="21" t="str">
        <f t="shared" si="3"/>
        <v/>
      </c>
      <c r="J9" s="21"/>
      <c r="K9" s="21"/>
    </row>
    <row r="10" spans="1:18">
      <c r="A10" s="21"/>
      <c r="B10" s="21"/>
      <c r="C10" s="21"/>
      <c r="D10" s="21"/>
      <c r="E10" s="21" t="str">
        <f t="shared" si="0"/>
        <v/>
      </c>
      <c r="F10" s="21" t="str">
        <f t="shared" si="1"/>
        <v/>
      </c>
      <c r="G10" s="21"/>
      <c r="H10" s="21" t="str">
        <f t="shared" si="2"/>
        <v/>
      </c>
      <c r="I10" s="21" t="str">
        <f t="shared" si="3"/>
        <v/>
      </c>
      <c r="J10" s="21"/>
      <c r="K10" s="21"/>
    </row>
    <row r="11" spans="1:18">
      <c r="A11" s="21"/>
      <c r="B11" s="21"/>
      <c r="C11" s="21"/>
      <c r="D11" s="21"/>
      <c r="E11" s="21" t="str">
        <f t="shared" si="0"/>
        <v/>
      </c>
      <c r="F11" s="21" t="str">
        <f t="shared" si="1"/>
        <v/>
      </c>
      <c r="G11" s="21"/>
      <c r="H11" s="21" t="str">
        <f t="shared" si="2"/>
        <v/>
      </c>
      <c r="I11" s="21" t="str">
        <f t="shared" si="3"/>
        <v/>
      </c>
      <c r="J11" s="21"/>
      <c r="K11" s="21"/>
    </row>
    <row r="12" spans="1:18">
      <c r="A12" s="21"/>
      <c r="B12" s="21"/>
      <c r="C12" s="21"/>
      <c r="D12" s="21"/>
      <c r="E12" s="21" t="str">
        <f t="shared" si="0"/>
        <v/>
      </c>
      <c r="F12" s="21" t="str">
        <f t="shared" si="1"/>
        <v/>
      </c>
      <c r="G12" s="21"/>
      <c r="H12" s="21" t="str">
        <f>IF(AND(ISNUMBER(C12),ISNUMBER(G12)), C12-G12, "")</f>
        <v/>
      </c>
      <c r="I12" s="21" t="str">
        <f>IFERROR(H12/G12, "")</f>
        <v/>
      </c>
      <c r="J12" s="21"/>
      <c r="K12" s="21"/>
    </row>
    <row r="13" spans="1:18" ht="12.75" customHeight="1">
      <c r="A13" s="21"/>
      <c r="B13" s="21"/>
      <c r="C13" s="21"/>
      <c r="D13" s="21"/>
      <c r="E13" s="21"/>
      <c r="F13" s="21"/>
      <c r="G13" s="21"/>
      <c r="H13" s="21"/>
      <c r="I13" s="21"/>
      <c r="J13" s="21"/>
      <c r="K13" s="21"/>
    </row>
    <row r="14" spans="1:18">
      <c r="A14" s="21"/>
      <c r="B14" s="21"/>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hyperlinks>
    <hyperlink ref="K4" r:id="rId1" display="https://us3.assetplanner.com/service_request?ID=107650" xr:uid="{8996EE0E-C912-4D1C-BED2-C2672628E41E}"/>
    <hyperlink ref="M4" r:id="rId2" display="https://us3.assetplanner.com/service_request?ID=099221" xr:uid="{6570B289-5338-4691-9156-9BF6F3AB7B1A}"/>
    <hyperlink ref="N4" r:id="rId3" display="https://us3.assetplanner.com/service_request?ID=102147" xr:uid="{CBCB0FB6-51FE-446E-9F2A-200122579921}"/>
    <hyperlink ref="O4" r:id="rId4" display="https://us3.assetplanner.com/service_request?ID=109898" xr:uid="{7E56DB8F-BEA6-482A-9436-56E2ACBE943D}"/>
    <hyperlink ref="P4" r:id="rId5" display="https://us3.assetplanner.com/service_request?ID=109945" xr:uid="{E0CEF222-50B9-4161-B3E6-36B84A17C786}"/>
    <hyperlink ref="Q4" r:id="rId6" display="https://us3.assetplanner.com/service_request?ID=109354" xr:uid="{2F85DA53-1ABD-4E5F-B6F0-204CA059BE6A}"/>
    <hyperlink ref="R4" r:id="rId7" display="https://us3.assetplanner.com/service_request?ID=109388" xr:uid="{81CE8221-AE8D-4833-BD92-EC252D907094}"/>
    <hyperlink ref="K5" r:id="rId8" display="https://us3.assetplanner.com/service_request?ID=108844" xr:uid="{85530B75-CAD8-43DF-9269-15D5AFD2228F}"/>
    <hyperlink ref="M5" r:id="rId9" display="https://us3.assetplanner.com/service_request?ID=109883" xr:uid="{278D53B5-9117-4015-B744-D9CE48B4F3E4}"/>
    <hyperlink ref="K7" r:id="rId10" display="https://us3.assetplanner.com/service_request?ID=108512" xr:uid="{991805A3-941C-4E3A-A2D1-E2D7791F4D63}"/>
    <hyperlink ref="K8" r:id="rId11" display="https://us3.assetplanner.com/service_request?ID=105397" xr:uid="{F08167D1-46A2-4EDF-89BE-D1C12BA9C2A5}"/>
    <hyperlink ref="M8" r:id="rId12" display="https://us3.assetplanner.com/service_request?ID=109931" xr:uid="{EE355158-3B6E-4BFC-9478-1A2BA8D1C80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6" t="str" cm="1">
        <f t="array" ref="A1">portfolio</f>
        <v>True Green Capital Management LLC</v>
      </c>
      <c r="B1" s="76"/>
      <c r="C1" s="76"/>
      <c r="D1" s="77" t="s">
        <v>197</v>
      </c>
      <c r="E1" s="77"/>
      <c r="F1" s="77"/>
      <c r="G1" s="75" t="s">
        <v>198</v>
      </c>
      <c r="H1" s="75"/>
      <c r="I1" s="75"/>
      <c r="J1" s="4"/>
      <c r="K1" s="4"/>
    </row>
    <row r="2" spans="1:12" ht="19.5" customHeight="1">
      <c r="A2" s="78" t="s">
        <v>2</v>
      </c>
      <c r="B2" s="78"/>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22.5" customHeight="1">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9"/>
    </row>
    <row r="5" spans="1:12" ht="15.6">
      <c r="A5" s="31" t="str">
        <v>Warsaw - Hemings</v>
      </c>
      <c r="B5" s="28" t="str">
        <v>VA</v>
      </c>
      <c r="C5" s="24"/>
      <c r="D5" s="13"/>
      <c r="E5" s="13" t="str">
        <f t="shared" si="0"/>
        <v/>
      </c>
      <c r="F5" s="14" t="str">
        <f t="shared" si="1"/>
        <v/>
      </c>
      <c r="G5" s="15"/>
      <c r="H5" s="15" t="str">
        <f t="shared" si="2"/>
        <v/>
      </c>
      <c r="I5" s="16" t="str">
        <f t="shared" si="3"/>
        <v/>
      </c>
      <c r="J5" s="46"/>
      <c r="K5" s="46"/>
      <c r="L5" s="29"/>
    </row>
    <row r="6" spans="1:12" ht="15.6">
      <c r="A6" s="29" t="str">
        <v>Mount Jackson - Randolf</v>
      </c>
      <c r="B6" s="30" t="str">
        <v>VA</v>
      </c>
      <c r="C6" s="11"/>
      <c r="D6" s="18"/>
      <c r="E6" s="18" t="str">
        <f t="shared" si="0"/>
        <v/>
      </c>
      <c r="F6" s="19" t="str">
        <f t="shared" si="1"/>
        <v/>
      </c>
      <c r="G6" s="20"/>
      <c r="H6" s="20" t="str">
        <f t="shared" si="2"/>
        <v/>
      </c>
      <c r="I6" s="19" t="str">
        <f t="shared" si="3"/>
        <v/>
      </c>
      <c r="J6" s="45"/>
      <c r="K6" s="45"/>
      <c r="L6" s="29"/>
    </row>
    <row r="7" spans="1:12" ht="15.6">
      <c r="A7" s="31" t="str">
        <v>Callands Gretna - Monroe</v>
      </c>
      <c r="B7" s="28" t="str">
        <v>VA</v>
      </c>
      <c r="C7" s="24"/>
      <c r="D7" s="13"/>
      <c r="E7" s="13" t="str">
        <f t="shared" si="0"/>
        <v/>
      </c>
      <c r="F7" s="14" t="str">
        <f t="shared" si="1"/>
        <v/>
      </c>
      <c r="G7" s="15"/>
      <c r="H7" s="15" t="str">
        <f t="shared" si="2"/>
        <v/>
      </c>
      <c r="I7" s="16" t="str">
        <f t="shared" si="3"/>
        <v/>
      </c>
      <c r="J7" s="46"/>
      <c r="K7" s="46"/>
      <c r="L7" s="29"/>
    </row>
    <row r="8" spans="1:12" ht="15.6">
      <c r="A8" s="29" t="str">
        <v>Rockbridge Baths - Small Mouth Bass</v>
      </c>
      <c r="B8" s="30" t="str">
        <v>VA</v>
      </c>
      <c r="C8" s="11"/>
      <c r="D8" s="18"/>
      <c r="E8" s="18" t="str">
        <f t="shared" si="0"/>
        <v/>
      </c>
      <c r="F8" s="19" t="str">
        <f t="shared" si="1"/>
        <v/>
      </c>
      <c r="G8" s="20"/>
      <c r="H8" s="20" t="str">
        <f t="shared" si="2"/>
        <v/>
      </c>
      <c r="I8" s="19" t="str">
        <f t="shared" si="3"/>
        <v/>
      </c>
      <c r="J8" s="41"/>
      <c r="K8" s="41"/>
      <c r="L8" s="29"/>
    </row>
    <row r="9" spans="1:12" ht="15.6">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6">
      <c r="A10" s="29"/>
      <c r="B10" s="29"/>
      <c r="C10" s="29"/>
      <c r="D10" s="29"/>
      <c r="E10" s="29" t="str">
        <f t="shared" si="4"/>
        <v/>
      </c>
      <c r="F10" s="29" t="str">
        <f t="shared" si="5"/>
        <v/>
      </c>
      <c r="G10" s="29"/>
      <c r="H10" s="29" t="str">
        <f t="shared" si="6"/>
        <v/>
      </c>
      <c r="I10" s="29" t="str">
        <f t="shared" si="7"/>
        <v/>
      </c>
      <c r="J10" s="29"/>
      <c r="K10" s="29"/>
      <c r="L10" s="29"/>
    </row>
    <row r="11" spans="1:12" ht="15.6">
      <c r="A11" s="29"/>
      <c r="B11" s="29"/>
      <c r="C11" s="29"/>
      <c r="D11" s="29"/>
      <c r="E11" s="29" t="str">
        <f t="shared" si="4"/>
        <v/>
      </c>
      <c r="F11" s="29" t="str">
        <f t="shared" si="5"/>
        <v/>
      </c>
      <c r="G11" s="29"/>
      <c r="H11" s="29" t="str">
        <f t="shared" si="6"/>
        <v/>
      </c>
      <c r="I11" s="29" t="str">
        <f t="shared" si="7"/>
        <v/>
      </c>
      <c r="J11" s="29"/>
      <c r="K11" s="29"/>
      <c r="L11" s="29"/>
    </row>
    <row r="12" spans="1:12" ht="15.6">
      <c r="A12" s="29"/>
      <c r="B12" s="29"/>
      <c r="C12" s="29"/>
      <c r="D12" s="29"/>
      <c r="E12" s="29" t="str">
        <f t="shared" si="4"/>
        <v/>
      </c>
      <c r="F12" s="29" t="str">
        <f t="shared" si="5"/>
        <v/>
      </c>
      <c r="G12" s="29"/>
      <c r="H12" s="29" t="str">
        <f t="shared" si="6"/>
        <v/>
      </c>
      <c r="I12" s="29" t="str">
        <f t="shared" si="7"/>
        <v/>
      </c>
      <c r="J12" s="29"/>
      <c r="K12" s="29"/>
      <c r="L12" s="29"/>
    </row>
    <row r="13" spans="1:12" ht="12.75" customHeight="1">
      <c r="A13" s="29"/>
      <c r="B13" s="29"/>
      <c r="C13" s="29"/>
      <c r="D13" s="29"/>
      <c r="E13" s="29"/>
      <c r="F13" s="29"/>
      <c r="G13" s="29"/>
      <c r="H13" s="29"/>
      <c r="I13" s="29"/>
      <c r="J13" s="29"/>
      <c r="K13" s="29"/>
      <c r="L13" s="29"/>
    </row>
    <row r="14" spans="1:12" ht="15.6">
      <c r="A14" s="29"/>
      <c r="B14" s="29"/>
      <c r="C14" s="29"/>
      <c r="D14" s="29"/>
      <c r="E14" s="29"/>
      <c r="F14" s="29"/>
      <c r="G14" s="29"/>
      <c r="H14" s="29"/>
      <c r="I14" s="29"/>
      <c r="J14" s="29"/>
      <c r="K14" s="29"/>
      <c r="L14" s="29"/>
    </row>
    <row r="15" spans="1:12" ht="15.6">
      <c r="A15" s="29"/>
      <c r="B15" s="29"/>
      <c r="C15" s="29"/>
      <c r="D15" s="29"/>
      <c r="E15" s="29"/>
      <c r="F15" s="29"/>
      <c r="G15" s="29"/>
      <c r="H15" s="29"/>
      <c r="I15" s="29"/>
      <c r="J15" s="29"/>
      <c r="K15" s="29"/>
      <c r="L15" s="29"/>
    </row>
    <row r="16" spans="1:12" ht="15.6">
      <c r="A16" s="29"/>
      <c r="B16" s="29"/>
      <c r="C16" s="29"/>
      <c r="D16" s="29"/>
      <c r="E16" s="29"/>
      <c r="F16" s="29"/>
      <c r="G16" s="29"/>
      <c r="H16" s="29"/>
      <c r="I16" s="29"/>
      <c r="J16" s="29"/>
      <c r="K16" s="29"/>
      <c r="L16" s="29"/>
    </row>
    <row r="17" spans="1:12" ht="15.6">
      <c r="A17" s="29"/>
      <c r="B17" s="29"/>
      <c r="C17" s="29"/>
      <c r="D17" s="29"/>
      <c r="E17" s="29"/>
      <c r="F17" s="29"/>
      <c r="G17" s="29"/>
      <c r="H17" s="29"/>
      <c r="I17" s="29"/>
      <c r="J17" s="29"/>
      <c r="K17" s="29"/>
      <c r="L17" s="29"/>
    </row>
    <row r="18" spans="1:12" ht="15.6">
      <c r="A18" s="29"/>
      <c r="B18" s="29"/>
      <c r="C18" s="29"/>
      <c r="D18" s="29"/>
      <c r="E18" s="29"/>
      <c r="F18" s="29"/>
      <c r="G18" s="29"/>
      <c r="H18" s="29"/>
      <c r="I18" s="29"/>
      <c r="J18" s="29"/>
      <c r="K18" s="29"/>
      <c r="L18" s="29"/>
    </row>
    <row r="19" spans="1:12" ht="14.45">
      <c r="A19" s="21"/>
      <c r="B19" s="32"/>
      <c r="C19" s="21"/>
      <c r="D19" s="21"/>
      <c r="E19" s="21"/>
      <c r="F19" s="21"/>
      <c r="G19" s="21"/>
      <c r="H19" s="21"/>
      <c r="I19" s="21"/>
      <c r="J19" s="21"/>
      <c r="K19" s="21"/>
    </row>
    <row r="20" spans="1:12" ht="14.45">
      <c r="A20" s="21"/>
      <c r="B20" s="32"/>
      <c r="C20" s="21"/>
      <c r="D20" s="21"/>
      <c r="E20" s="21"/>
      <c r="F20" s="21"/>
      <c r="G20" s="21"/>
      <c r="H20" s="21"/>
      <c r="I20" s="21"/>
      <c r="J20" s="21"/>
      <c r="K20" s="21"/>
    </row>
    <row r="21" spans="1:12" ht="14.45">
      <c r="A21" s="21"/>
      <c r="B21" s="32"/>
      <c r="C21" s="21"/>
      <c r="D21" s="21"/>
      <c r="E21" s="21"/>
      <c r="F21" s="21"/>
      <c r="G21" s="21"/>
      <c r="H21" s="21"/>
      <c r="I21" s="21"/>
      <c r="J21" s="21"/>
      <c r="K21" s="21"/>
    </row>
    <row r="22" spans="1:12" ht="14.45">
      <c r="A22" s="21"/>
      <c r="B22" s="32"/>
      <c r="C22" s="21"/>
      <c r="D22" s="21"/>
      <c r="E22" s="21"/>
      <c r="F22" s="21"/>
      <c r="G22" s="21"/>
      <c r="H22" s="21"/>
      <c r="I22" s="21"/>
      <c r="J22" s="21"/>
      <c r="K22" s="21"/>
    </row>
    <row r="23" spans="1:12" ht="14.45">
      <c r="A23" s="21"/>
      <c r="B23" s="32"/>
      <c r="C23" s="21"/>
      <c r="D23" s="21"/>
      <c r="E23" s="21"/>
      <c r="F23" s="21"/>
      <c r="G23" s="21"/>
      <c r="H23" s="21"/>
      <c r="I23" s="21"/>
      <c r="J23" s="21"/>
      <c r="K23" s="21"/>
    </row>
    <row r="24" spans="1:12" ht="14.45">
      <c r="A24" s="21"/>
      <c r="B24" s="32"/>
      <c r="C24" s="21"/>
      <c r="D24" s="21"/>
      <c r="E24" s="21"/>
      <c r="F24" s="21"/>
      <c r="G24" s="21"/>
      <c r="H24" s="21"/>
      <c r="I24" s="21"/>
      <c r="J24" s="21"/>
      <c r="K24" s="21"/>
    </row>
    <row r="25" spans="1:12" ht="14.45">
      <c r="A25" s="21"/>
      <c r="B25" s="32"/>
      <c r="C25" s="21"/>
      <c r="D25" s="21"/>
      <c r="E25" s="21"/>
      <c r="F25" s="21"/>
      <c r="G25" s="21"/>
      <c r="H25" s="21"/>
      <c r="I25" s="21"/>
      <c r="J25" s="21"/>
      <c r="K25" s="21"/>
    </row>
    <row r="26" spans="1:12" ht="14.45">
      <c r="A26" s="21"/>
      <c r="B26" s="32"/>
      <c r="C26" s="21"/>
      <c r="D26" s="21"/>
      <c r="E26" s="21"/>
      <c r="F26" s="21"/>
      <c r="G26" s="21"/>
      <c r="H26" s="21"/>
      <c r="I26" s="21"/>
      <c r="J26" s="21"/>
      <c r="K26" s="21"/>
    </row>
    <row r="27" spans="1:12" ht="14.45">
      <c r="A27" s="21"/>
      <c r="B27" s="32"/>
      <c r="C27" s="21"/>
      <c r="D27" s="21"/>
      <c r="E27" s="21"/>
      <c r="F27" s="21"/>
      <c r="G27" s="21"/>
      <c r="H27" s="21"/>
      <c r="I27" s="21"/>
      <c r="J27" s="21"/>
      <c r="K27" s="21"/>
    </row>
    <row r="28" spans="1:12" ht="14.45">
      <c r="A28" s="21"/>
      <c r="B28" s="32"/>
      <c r="C28" s="21"/>
      <c r="D28" s="21"/>
      <c r="E28" s="21"/>
      <c r="F28" s="22"/>
      <c r="G28" s="21"/>
      <c r="H28" s="21"/>
      <c r="I28" s="22"/>
      <c r="J28" s="21"/>
      <c r="K28" s="21"/>
    </row>
    <row r="29" spans="1:12" ht="14.45">
      <c r="A29" s="21"/>
      <c r="B29" s="32"/>
      <c r="C29" s="21"/>
      <c r="D29" s="21"/>
      <c r="E29" s="21"/>
      <c r="F29" s="22"/>
      <c r="G29" s="21"/>
      <c r="H29" s="21"/>
      <c r="I29" s="22"/>
      <c r="J29" s="21"/>
      <c r="K29" s="21"/>
    </row>
    <row r="30" spans="1:12" ht="14.45">
      <c r="A30" s="21"/>
      <c r="B30" s="32"/>
      <c r="C30" s="21"/>
      <c r="D30" s="21"/>
      <c r="E30" s="21"/>
      <c r="F30" s="22"/>
      <c r="G30" s="21"/>
      <c r="H30" s="21"/>
      <c r="I30" s="22"/>
      <c r="J30" s="21"/>
      <c r="K30" s="21"/>
    </row>
    <row r="31" spans="1:12" ht="14.45">
      <c r="A31" s="21"/>
      <c r="B31" s="32"/>
      <c r="C31" s="21"/>
      <c r="D31" s="21"/>
      <c r="E31" s="21"/>
      <c r="F31" s="22"/>
      <c r="G31" s="21"/>
      <c r="H31" s="21"/>
      <c r="I31" s="22"/>
      <c r="J31" s="21"/>
      <c r="K31" s="21"/>
    </row>
    <row r="32" spans="1:12"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bottomRight" activeCell="F23" sqref="F23"/>
      <selection pane="bottomLeft" activeCell="G27" sqref="G27"/>
      <selection pane="topRight" activeCell="G27" sqref="G27"/>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6" t="str" cm="1">
        <f t="array" ref="A1">portfolio</f>
        <v>True Green Capital Management LLC</v>
      </c>
      <c r="B1" s="76"/>
      <c r="C1" s="76"/>
      <c r="D1" s="77" t="s">
        <v>199</v>
      </c>
      <c r="E1" s="77"/>
      <c r="F1" s="77"/>
      <c r="G1" s="75" t="s">
        <v>200</v>
      </c>
      <c r="H1" s="75"/>
      <c r="I1" s="75"/>
      <c r="J1" s="4"/>
      <c r="K1" s="4"/>
    </row>
    <row r="2" spans="1:14" ht="19.5" customHeight="1">
      <c r="A2" s="78" t="s">
        <v>2</v>
      </c>
      <c r="B2" s="78"/>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6">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1"/>
      <c r="M4" s="21"/>
      <c r="N4" s="21"/>
    </row>
    <row r="5" spans="1:14" ht="15.6">
      <c r="A5" s="31"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5.6">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15.6">
      <c r="A7" s="31"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15.6">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c r="A10" s="21"/>
      <c r="B10" s="21"/>
      <c r="C10" s="21"/>
      <c r="D10" s="21"/>
      <c r="E10" s="21" t="str">
        <f t="shared" si="4"/>
        <v/>
      </c>
      <c r="F10" s="21" t="str">
        <f t="shared" si="5"/>
        <v/>
      </c>
      <c r="G10" s="21"/>
      <c r="H10" s="21" t="str">
        <f t="shared" si="6"/>
        <v/>
      </c>
      <c r="I10" s="21" t="str">
        <f t="shared" si="7"/>
        <v/>
      </c>
      <c r="J10" s="21"/>
      <c r="K10" s="21"/>
      <c r="L10" s="21"/>
      <c r="M10" s="21"/>
      <c r="N10" s="21"/>
    </row>
    <row r="11" spans="1:14">
      <c r="A11" s="21"/>
      <c r="B11" s="21"/>
      <c r="C11" s="21"/>
      <c r="D11" s="21"/>
      <c r="E11" s="21" t="str">
        <f t="shared" si="4"/>
        <v/>
      </c>
      <c r="F11" s="21" t="str">
        <f t="shared" si="5"/>
        <v/>
      </c>
      <c r="G11" s="21"/>
      <c r="H11" s="21" t="str">
        <f t="shared" si="6"/>
        <v/>
      </c>
      <c r="I11" s="21" t="str">
        <f t="shared" si="7"/>
        <v/>
      </c>
      <c r="J11" s="21"/>
      <c r="K11" s="21"/>
      <c r="L11" s="21"/>
      <c r="M11" s="21"/>
      <c r="N11" s="21"/>
    </row>
    <row r="12" spans="1:14">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c r="A14" s="21"/>
      <c r="B14" s="21"/>
      <c r="C14" s="21"/>
      <c r="D14" s="21"/>
      <c r="E14" s="21"/>
      <c r="F14" s="21"/>
      <c r="G14" s="21"/>
      <c r="H14" s="21"/>
      <c r="I14" s="21"/>
      <c r="J14" s="21"/>
      <c r="K14" s="21"/>
      <c r="L14" s="21"/>
      <c r="M14" s="21"/>
      <c r="N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1" sqref="B11"/>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201</v>
      </c>
      <c r="B1" s="42" t="s">
        <v>202</v>
      </c>
    </row>
    <row r="3" spans="1:5" ht="13.15">
      <c r="A3" t="s">
        <v>203</v>
      </c>
      <c r="B3" t="s">
        <v>3</v>
      </c>
      <c r="C3" t="s">
        <v>4</v>
      </c>
      <c r="D3" t="s">
        <v>204</v>
      </c>
      <c r="E3" s="2" t="s">
        <v>205</v>
      </c>
    </row>
    <row r="4" spans="1:5" ht="12.75" customHeight="1">
      <c r="A4" s="42" t="s">
        <v>206</v>
      </c>
      <c r="B4" s="42" t="s">
        <v>207</v>
      </c>
      <c r="C4" t="s">
        <v>208</v>
      </c>
      <c r="D4" t="s">
        <v>209</v>
      </c>
      <c r="E4" s="42" t="s">
        <v>210</v>
      </c>
    </row>
    <row r="5" spans="1:5" ht="12.75" customHeight="1">
      <c r="A5" s="3" t="s">
        <v>211</v>
      </c>
      <c r="B5" s="3" t="s">
        <v>212</v>
      </c>
      <c r="C5" s="3" t="s">
        <v>213</v>
      </c>
      <c r="D5" t="s">
        <v>209</v>
      </c>
      <c r="E5" s="42" t="s">
        <v>210</v>
      </c>
    </row>
    <row r="6" spans="1:5" ht="12.75" customHeight="1">
      <c r="A6" s="3" t="s">
        <v>214</v>
      </c>
      <c r="B6" s="3" t="s">
        <v>215</v>
      </c>
      <c r="C6" s="3" t="s">
        <v>213</v>
      </c>
      <c r="D6" t="s">
        <v>209</v>
      </c>
      <c r="E6" s="42" t="s">
        <v>210</v>
      </c>
    </row>
    <row r="7" spans="1:5" ht="12.75" customHeight="1">
      <c r="A7" s="3" t="s">
        <v>216</v>
      </c>
      <c r="B7" s="3" t="s">
        <v>217</v>
      </c>
      <c r="C7" s="3" t="s">
        <v>213</v>
      </c>
      <c r="D7" t="s">
        <v>209</v>
      </c>
      <c r="E7" s="42" t="s">
        <v>210</v>
      </c>
    </row>
    <row r="8" spans="1:5" ht="12.75" customHeight="1">
      <c r="A8" s="3" t="s">
        <v>218</v>
      </c>
      <c r="B8" s="3" t="s">
        <v>219</v>
      </c>
      <c r="C8" s="3" t="s">
        <v>213</v>
      </c>
      <c r="D8" t="s">
        <v>209</v>
      </c>
      <c r="E8" s="42" t="s">
        <v>210</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4C716BA3-6C53-4B9E-82CF-2705B5F770F3}"/>
</file>

<file path=customXml/itemProps14.xml><?xml version="1.0" encoding="utf-8"?>
<ds:datastoreItem xmlns:ds="http://schemas.openxmlformats.org/officeDocument/2006/customXml" ds:itemID="{14966E4F-347B-477B-B74C-9DAC05405806}"/>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CB52044A-5C0B-44A2-99D0-C1C315EC302D}"/>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2025-11-07T18:08:44Z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