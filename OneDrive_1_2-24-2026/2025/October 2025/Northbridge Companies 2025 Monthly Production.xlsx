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350E6C81-12E8-4E12-8CE8-C98F32CEDB2B}" xr6:coauthVersionLast="47" xr6:coauthVersionMax="47" xr10:uidLastSave="{00000000-0000-0000-0000-000000000000}"/>
  <bookViews>
    <workbookView xWindow="-108" yWindow="-108" windowWidth="23256" windowHeight="1389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7" l="1"/>
  <c r="H5" i="4"/>
  <c r="G5" i="30"/>
  <c r="G4" i="30"/>
  <c r="G4" i="29"/>
  <c r="G5" i="29"/>
  <c r="A4" i="20" a="1"/>
  <c r="A4" i="20" s="1"/>
  <c r="G5" i="18"/>
  <c r="G4" i="18"/>
  <c r="G4" i="1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34"/>
  <c r="B4" i="34" a="1"/>
  <c r="B4" i="34" s="1"/>
  <c r="A4" i="34" a="1"/>
  <c r="A4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F4" i="33"/>
  <c r="G2" i="33"/>
  <c r="D2" i="33"/>
  <c r="C2" i="33"/>
  <c r="J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J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F5" i="27"/>
  <c r="H4" i="27"/>
  <c r="I4" i="27" s="1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I5" i="4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5" i="29" l="1"/>
  <c r="F5" i="29" s="1"/>
  <c r="H2" i="28"/>
  <c r="I2" i="28" s="1"/>
  <c r="D4" i="34"/>
  <c r="D2" i="30"/>
  <c r="D5" i="34"/>
  <c r="C5" i="34"/>
  <c r="H2" i="32"/>
  <c r="I2" i="32" s="1"/>
  <c r="H2" i="20"/>
  <c r="I2" i="20" s="1"/>
  <c r="D2" i="18"/>
  <c r="E4" i="18"/>
  <c r="F4" i="18" s="1"/>
  <c r="E5" i="18"/>
  <c r="F5" i="18" s="1"/>
  <c r="H2" i="4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C2" i="29"/>
  <c r="E2" i="29" s="1"/>
  <c r="F2" i="29" s="1"/>
  <c r="C2" i="30"/>
  <c r="E4" i="29"/>
  <c r="F4" i="29" s="1"/>
  <c r="C2" i="18"/>
  <c r="H4" i="1"/>
  <c r="I4" i="1" s="1"/>
  <c r="H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D2" i="34"/>
  <c r="I5" i="1"/>
  <c r="H5" i="34"/>
  <c r="I5" i="34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<sst xmlns="http://schemas.openxmlformats.org/spreadsheetml/2006/main" count="291" uniqueCount="80">
  <si>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</si>
  <si>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</si>
  <si>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</si>
  <si>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</si>
  <si>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</si>
  <si>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</si>
  <si>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</si>
  <si>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</si>
  <si>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</si>
  <si>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</si>
  <si>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</si>
  <si>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</si>
  <si>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</si>
  <si>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</si>
  <si>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</si>
  <si>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</si>
  <si>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</si>
  <si>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</si>
  <si>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</si>
  <si>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</si>
  <si>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</si>
  <si>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</si>
  <si>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</si>
  <si>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1.The POA irradiance sensor has intermittent communication issues and has been showing bad data since 11/03/2024.</t>
  </si>
  <si>
    <t xml:space="preserve">1.SR094280
</t>
  </si>
  <si>
    <t>February Actual v. Expected</t>
  </si>
  <si>
    <t>February Actual v. Forecasted</t>
  </si>
  <si>
    <t xml:space="preserve">1.  Inverter 2.3 has tripped offline at 09:00AM on 02/12 reporting Insulation Resistance Low and back online at 06:30AM on 02/14 and On 02/28 started late for production at 01:15PM.
2.The POA irradiance sensor has intermittent communication issues and has been showing bad data since 11/03/2024.
</t>
  </si>
  <si>
    <t xml:space="preserve">1.SR096732
2.SR094280
</t>
  </si>
  <si>
    <t>SR094280</t>
  </si>
  <si>
    <t>March Actual v. Expected</t>
  </si>
  <si>
    <t>March Actual v. Forecasted</t>
  </si>
  <si>
    <t>1.The POA irradiance sensor has intermittent communication issues and has been
 showing bad data since 11/03/2024.</t>
  </si>
  <si>
    <t>1.SR094280</t>
  </si>
  <si>
    <t>April Actual v. Expected</t>
  </si>
  <si>
    <t>April Actual v. Forecasted</t>
  </si>
  <si>
    <t>1.Site tripped offline at 12:15 on 04/23,meter voltages were abnormal,techician checked in and found that site is running and producing without communication due to faulty step down transformer.</t>
  </si>
  <si>
    <t>1.SR100216</t>
  </si>
  <si>
    <t>1.Inverter 2.3 didn't start for production reporting "Insulation resistance low"
and was back online at 12:44 on 04/22.
2.The POA irradiance sensor has intermittent communication issues and has been
 showing bad data since 11/03/2024.</t>
  </si>
  <si>
    <t>1.SR098622
2.SR094280</t>
  </si>
  <si>
    <t>May Actual v. Expected</t>
  </si>
  <si>
    <t>May Actual v. Forecasted</t>
  </si>
  <si>
    <t>1.Site was not communicated for whole month due to a damaged transformer affecting communications.</t>
  </si>
  <si>
    <t>1. SR094280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</si>
  <si>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</si>
  <si>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</si>
  <si>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</si>
  <si>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</si>
  <si>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</si>
  <si>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</si>
  <si>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</si>
  <si>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</si>
  <si>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1.	SR100216</t>
  </si>
  <si>
    <t>1.	SR094280</t>
  </si>
  <si>
    <t>October Actual v. Expected</t>
  </si>
  <si>
    <t>October Actual v. Forecasted</t>
  </si>
  <si>
    <t>Status</t>
  </si>
  <si>
    <t>1.Site was not communicated for whole month. Transformer that connects to DAS needs to be replaced. Remains without communication.</t>
  </si>
  <si>
    <t>1.SR106124</t>
  </si>
  <si>
    <t>1.Closed</t>
  </si>
  <si>
    <t>1.The POA irradiance sensor has intermittent communication issues and has been
 showing bad data since 11/03/2024.
2.Site stopped communicating at 13:30 on 10/08 and later back online at 09:00 on 10/22</t>
  </si>
  <si>
    <t>1.SR094280
2.SR109266</t>
  </si>
  <si>
    <t>1.Pending
2.Closed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</si>
  <si>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</si>
  <si>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</si>
  <si>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</si>
  <si>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</si>
  <si>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</si>
  <si>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</si>
  <si>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</si>
  <si>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</si>
  <si>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</si>
  <si>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</si>
  <si>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</si>
  <si>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</si>
  <si>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</si>
  <si>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</si>
  <si>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</si>
  <si>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</si>
  <si>
    <t>SR109266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</si>
</sst>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49" fontId="35" fillId="0" borderId="0" xfId="45" applyNumberFormat="1" applyAlignment="1">
      <alignment horizontal="left" vertical="top" wrapText="1"/>
    </xf>
    <xf numFmtId="164" fontId="28" fillId="0" borderId="0" xfId="1" applyNumberFormat="1" applyFont="1" applyAlignment="1">
      <alignment horizontal="center" vertical="center"/>
    </xf>
    <xf numFmtId="49" fontId="23" fillId="0" borderId="0" xfId="0" applyNumberFormat="1" applyFont="1" applyAlignment="1">
      <alignment horizontal="left" vertical="center" wrapText="1"/>
    </xf>
    <xf numFmtId="3" fontId="30" fillId="4" borderId="0" xfId="1" applyNumberFormat="1" applyFont="1" applyFill="1" applyBorder="1" applyAlignment="1">
      <alignment horizontal="right" vertical="center"/>
    </xf>
    <xf numFmtId="49" fontId="35" fillId="0" borderId="0" xfId="45" applyNumberFormat="1" applyAlignment="1">
      <alignment horizontal="left" vertical="top"/>
    </xf>
    <xf numFmtId="0" fontId="35" fillId="0" borderId="0" xfId="45" applyAlignment="1">
      <alignment vertical="top"/>
    </xf>
    <xf numFmtId="49" fontId="35" fillId="38" borderId="0" xfId="45" applyNumberFormat="1" applyFill="1" applyBorder="1" applyAlignment="1">
      <alignment horizontal="left" vertical="top" wrapText="1"/>
    </xf>
    <xf numFmtId="0" fontId="0" fillId="0" borderId="0" xfId="0" applyAlignment="1">
      <alignment vertical="top"/>
    </xf>
    <xf numFmtId="49" fontId="23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35" fillId="0" borderId="0" xfId="45"/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4280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09673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4280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280" TargetMode="External"/><Relationship Id="rId2" Type="http://schemas.openxmlformats.org/officeDocument/2006/relationships/hyperlink" Target="https://us3.assetplanner.com/service_request?ID=098622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9266" TargetMode="External"/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612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J13" sqref="J13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5" t="str" cm="1">
        <f t="array" ref="A1">portfolio</f>
        <v>Northbridge Companies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 x14ac:dyDescent="0.25">
      <c r="A2" s="57" t="s">
        <v>2</v>
      </c>
      <c r="B2" s="57"/>
      <c r="C2" s="6">
        <f>SUM(C4:C90)</f>
        <v>329198.52500000002</v>
      </c>
      <c r="D2" s="6">
        <f>SUM(D4:D90)</f>
        <v>164792.07799999998</v>
      </c>
      <c r="E2" s="6">
        <f>C2-D2</f>
        <v>164406.44700000004</v>
      </c>
      <c r="F2" s="7">
        <f>IFERROR(E2/D2, 0)</f>
        <v>0.99765989357813711</v>
      </c>
      <c r="G2" s="6">
        <f>SUM(G4:G90)</f>
        <v>247508.40099999995</v>
      </c>
      <c r="H2" s="8">
        <f>C2-G2</f>
        <v>81690.124000000069</v>
      </c>
      <c r="I2" s="7">
        <f>IFERROR(H2/G2, 0)</f>
        <v>0.33004990404345946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80923.399999999994</v>
      </c>
      <c r="D4" s="14">
        <f>SUM('1st Qtr'!D4, '2nd Qtr'!D4, '3rd Qtr'!D4, '4th Qtr'!D4)</f>
        <v>0</v>
      </c>
      <c r="E4" s="14">
        <f>IF(AND(ISNUMBER(C4),ISNUMBER(D4)), C4-D4, "")</f>
        <v>80923.399999999994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>
        <f>IFERROR(H4/G4, 0)</f>
        <v>0</v>
      </c>
    </row>
    <row r="5" spans="1:9" ht="15.6" x14ac:dyDescent="0.25">
      <c r="A5" s="19" t="str">
        <v>MA: North Dartmouth - 293 Cross St (Array 2)</v>
      </c>
      <c r="B5" s="11" t="str">
        <v>MA</v>
      </c>
      <c r="C5" s="20">
        <f>SUM('1st Qtr'!C5, '2nd Qtr'!C5, '3rd Qtr'!C5, '4th Qtr'!C5)</f>
        <v>248275.125</v>
      </c>
      <c r="D5" s="20">
        <f>SUM('1st Qtr'!D5, '2nd Qtr'!D5, '3rd Qtr'!D5, '4th Qtr'!D5)</f>
        <v>164792.07799999998</v>
      </c>
      <c r="E5" s="20">
        <f t="shared" ref="E5" si="0">IF(AND(ISNUMBER(C5),ISNUMBER(D5)), C5-D5, "")</f>
        <v>83483.04700000002</v>
      </c>
      <c r="F5" s="21">
        <f>IFERROR(E5/D5, "")</f>
        <v>0.50659623941388754</v>
      </c>
      <c r="G5" s="22">
        <f>SUM('1st Qtr'!G5,'2nd Qtr'!G5,'3rd Qtr'!G5,'4th Qtr'!G5)</f>
        <v>247508.40099999995</v>
      </c>
      <c r="H5" s="22">
        <f>SUM('1st Qtr'!H5, '2nd Qtr'!H5, '3rd Qtr'!H5, '4th Qtr'!H5)</f>
        <v>766.72400000000016</v>
      </c>
      <c r="I5" s="21">
        <f>IFERROR(H5/G5, "")</f>
        <v>3.0977695985357698E-3</v>
      </c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I13" sqref="I13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5" t="str" cm="1">
        <f t="array" ref="A1">portfolio</f>
        <v>Northbridge Companies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 x14ac:dyDescent="0.25">
      <c r="A2" s="57" t="s">
        <v>2</v>
      </c>
      <c r="B2" s="57"/>
      <c r="C2" s="6">
        <f>SUM(C4:C90)</f>
        <v>118219.08499999999</v>
      </c>
      <c r="D2" s="6">
        <f>SUM(D4:D90)</f>
        <v>79193.592999999993</v>
      </c>
      <c r="E2" s="6">
        <f>C2-D2</f>
        <v>39025.491999999998</v>
      </c>
      <c r="F2" s="7">
        <f>IFERROR(E2/D2, 0)</f>
        <v>0.49278597575437699</v>
      </c>
      <c r="G2" s="6">
        <f>SUM(G4:G90)</f>
        <v>51994.464999999997</v>
      </c>
      <c r="H2" s="8">
        <f>C2-G2</f>
        <v>66224.62</v>
      </c>
      <c r="I2" s="7">
        <f>IFERROR(H2/G2, 0)</f>
        <v>1.2736859586881026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62466.959999999992</v>
      </c>
      <c r="D4" s="14">
        <f>SUM(Jan!D4, Feb!D4, Mar!D4)</f>
        <v>0</v>
      </c>
      <c r="E4" s="14">
        <f>IF(AND(ISNUMBER(C4),ISNUMBER(D4)), C4-D4, "")</f>
        <v>62466.959999999992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>
        <f>IFERROR(H4/G4, 0)</f>
        <v>0</v>
      </c>
    </row>
    <row r="5" spans="1:9" ht="15.6" x14ac:dyDescent="0.25">
      <c r="A5" s="19" t="str">
        <v>MA: North Dartmouth - 293 Cross St (Array 2)</v>
      </c>
      <c r="B5" s="11" t="str">
        <v>MA</v>
      </c>
      <c r="C5" s="12">
        <f>SUM(Jan!C5, Feb!C5, Mar!C5)</f>
        <v>55752.125</v>
      </c>
      <c r="D5" s="20">
        <f>SUM(Jan!D5, Feb!D5, Mar!D5)</f>
        <v>79193.592999999993</v>
      </c>
      <c r="E5" s="20">
        <f t="shared" ref="E5" si="0">IF(AND(ISNUMBER(C5),ISNUMBER(D5)), C5-D5, "")</f>
        <v>-23441.467999999993</v>
      </c>
      <c r="F5" s="21">
        <f>IFERROR(E5/D5, "")</f>
        <v>-0.29600207683467517</v>
      </c>
      <c r="G5" s="22">
        <f>SUM(Jan!G5, Feb!G5, Mar!G5)</f>
        <v>51994.464999999997</v>
      </c>
      <c r="H5" s="22">
        <f>SUM(Jan!H5, Feb!H5, Mar!H5)</f>
        <v>3757.6600000000017</v>
      </c>
      <c r="I5" s="21">
        <f>IFERROR(H5/G5, "")</f>
        <v>7.2270384934242551E-2</v>
      </c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activeCell="E24" sqref="E24"/>
      <selection pane="bottomLeft" activeCell="E5" sqref="E5"/>
    </sheetView>
  </sheetViews>
  <sheetFormatPr defaultRowHeight="13.2" x14ac:dyDescent="0.25"/>
  <cols>
    <col min="1" max="1" width="40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5" t="str" cm="1">
        <f t="array" ref="A1">portfolio</f>
        <v>Northbridge Companies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 x14ac:dyDescent="0.25">
      <c r="A2" s="57" t="s">
        <v>2</v>
      </c>
      <c r="B2" s="57"/>
      <c r="C2" s="6">
        <f>SUM(C4:C90)</f>
        <v>106640.815</v>
      </c>
      <c r="D2" s="6">
        <f>SUM(D4:D90)</f>
        <v>34396.06</v>
      </c>
      <c r="E2" s="6">
        <f>C2-D2</f>
        <v>72244.755000000005</v>
      </c>
      <c r="F2" s="7">
        <f>IFERROR(E2/D2, 0)</f>
        <v>2.1003787933850564</v>
      </c>
      <c r="G2" s="6">
        <f>SUM(G4:G90)</f>
        <v>89142.737999999998</v>
      </c>
      <c r="H2" s="8">
        <f>C2-G2</f>
        <v>17498.077000000005</v>
      </c>
      <c r="I2" s="7">
        <f>IFERROR(H2/G2, 0)</f>
        <v>0.19629279280158532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18456.439999999999</v>
      </c>
      <c r="D4" s="14">
        <f>SUM(Apr!D4, May!D4, Jun!D4)</f>
        <v>0</v>
      </c>
      <c r="E4" s="14">
        <f>IF(AND(ISNUMBER(C4),ISNUMBER(D4)), C4-D4, "")</f>
        <v>18456.439999999999</v>
      </c>
      <c r="F4" s="15" t="str">
        <f>IFERROR(E4/D4, "")</f>
        <v/>
      </c>
      <c r="G4" s="16">
        <f>SUM(Apr!G4, May!G4, Jun!G4)</f>
        <v>0</v>
      </c>
      <c r="H4" s="16">
        <f>SUM(Apr!H4, May!H4, Jun!H4)</f>
        <v>0</v>
      </c>
      <c r="I4" s="17" t="str">
        <f>IFERROR(H4/G4, "")</f>
        <v/>
      </c>
    </row>
    <row r="5" spans="1:9" ht="15.6" x14ac:dyDescent="0.25">
      <c r="A5" s="19" t="str">
        <v>MA: North Dartmouth - 293 Cross St (Array 2)</v>
      </c>
      <c r="B5" s="11" t="str">
        <v>MA</v>
      </c>
      <c r="C5" s="12">
        <f>SUM(Apr!C5, May!C5, Jun!C5)</f>
        <v>88184.375</v>
      </c>
      <c r="D5" s="20">
        <f>SUM(Apr!D5, May!D5, Jun!D5)</f>
        <v>34396.06</v>
      </c>
      <c r="E5" s="20">
        <f t="shared" ref="E5" si="0">IF(AND(ISNUMBER(C5),ISNUMBER(D5)), C5-D5, "")</f>
        <v>53788.315000000002</v>
      </c>
      <c r="F5" s="21">
        <f>IFERROR(E5/D5, "")</f>
        <v>1.5637929169794449</v>
      </c>
      <c r="G5" s="12">
        <f>SUM(Apr!G5, May!G5, Jun!G5)</f>
        <v>89142.737999999998</v>
      </c>
      <c r="H5" s="22">
        <f>SUM(Apr!H5, May!H5, Jun!H5)</f>
        <v>-958.36300000000119</v>
      </c>
      <c r="I5" s="21">
        <f>IFERROR(H5/G5, "")</f>
        <v>-1.0750881356145929E-2</v>
      </c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activeCell="E24" sqref="E24"/>
      <selection pane="bottomLef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5" t="str" cm="1">
        <f t="array" ref="A1">portfolio</f>
        <v>Northbridge Companies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 x14ac:dyDescent="0.25">
      <c r="A2" s="57" t="s">
        <v>2</v>
      </c>
      <c r="B2" s="57"/>
      <c r="C2" s="6">
        <f>SUM(C4:C90)</f>
        <v>92112.5</v>
      </c>
      <c r="D2" s="6">
        <f>SUM(D4:D90)</f>
        <v>44172.071000000004</v>
      </c>
      <c r="E2" s="6">
        <f>C2-D2</f>
        <v>47940.428999999996</v>
      </c>
      <c r="F2" s="7">
        <f>IFERROR(E2/D2, 0)</f>
        <v>1.0853108743758018</v>
      </c>
      <c r="G2" s="6">
        <f>SUM(G4:G90)</f>
        <v>84996.659</v>
      </c>
      <c r="H2" s="8">
        <f>C2-G2</f>
        <v>7115.8410000000003</v>
      </c>
      <c r="I2" s="7">
        <f>IFERROR(H2/G2, 0)</f>
        <v>8.3719067122391244E-2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5.6" x14ac:dyDescent="0.25">
      <c r="A5" s="19" t="str">
        <v>MA: North Dartmouth - 293 Cross St (Array 2)</v>
      </c>
      <c r="B5" s="11" t="str">
        <v>MA</v>
      </c>
      <c r="C5" s="12">
        <f>SUM(Jul!C5, Aug!C5, Sep!C5)</f>
        <v>92112.5</v>
      </c>
      <c r="D5" s="20">
        <f>SUM(Jul!D5, Aug!D5, Sep!D5)</f>
        <v>44172.071000000004</v>
      </c>
      <c r="E5" s="20">
        <f t="shared" ref="E5" si="0">IF(AND(ISNUMBER(C5),ISNUMBER(D5)), C5-D5, "")</f>
        <v>47940.428999999996</v>
      </c>
      <c r="F5" s="21">
        <f>IFERROR(E5/D5, "")</f>
        <v>1.0853108743758018</v>
      </c>
      <c r="G5" s="20">
        <f>SUM(Jul!G5, Aug!G5, Sep!G5)</f>
        <v>84996.659</v>
      </c>
      <c r="H5" s="22">
        <f>SUM(Jul!H5, Aug!H5, Sep!H5)</f>
        <v>7115.8410000000003</v>
      </c>
      <c r="I5" s="21">
        <f>IFERROR(H5/G5, "")</f>
        <v>8.3719067122391244E-2</v>
      </c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activeCell="E24" sqref="E24"/>
      <selection pane="bottomLeft" activeCell="G5" sqref="G5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5" t="str" cm="1">
        <f t="array" ref="A1">portfolio</f>
        <v>Northbridge Companies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 x14ac:dyDescent="0.25">
      <c r="A2" s="57" t="s">
        <v>2</v>
      </c>
      <c r="B2" s="57"/>
      <c r="C2" s="6">
        <f>SUM(C4:C90)</f>
        <v>12226.125</v>
      </c>
      <c r="D2" s="6">
        <f>SUM(D4:D90)</f>
        <v>7030.3540000000003</v>
      </c>
      <c r="E2" s="6">
        <f>C2-D2</f>
        <v>5195.7709999999997</v>
      </c>
      <c r="F2" s="7">
        <f>IFERROR(E2/D2, 0)</f>
        <v>0.73904827552069208</v>
      </c>
      <c r="G2" s="6">
        <f>SUM(G4:G90)</f>
        <v>21374.539000000001</v>
      </c>
      <c r="H2" s="8">
        <f>C2-G2</f>
        <v>-9148.4140000000007</v>
      </c>
      <c r="I2" s="7">
        <f>IFERROR(H2/G2, 0)</f>
        <v>-0.42800520750412441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 x14ac:dyDescent="0.25">
      <c r="A5" s="19" t="str">
        <v>MA: North Dartmouth - 293 Cross St (Array 2)</v>
      </c>
      <c r="B5" s="11" t="str">
        <v>MA</v>
      </c>
      <c r="C5" s="12">
        <f>SUM(Oct!C5, Nov!C5, Dec!C5)</f>
        <v>12226.125</v>
      </c>
      <c r="D5" s="20">
        <f>SUM(Oct!D5, Nov!D5, Dec!D5)</f>
        <v>7030.3540000000003</v>
      </c>
      <c r="E5" s="20">
        <f t="shared" ref="E5" si="0">IF(AND(ISNUMBER(C5),ISNUMBER(D5)), C5-D5, "")</f>
        <v>5195.7709999999997</v>
      </c>
      <c r="F5" s="21">
        <f>IFERROR(E5/D5, "")</f>
        <v>0.73904827552069208</v>
      </c>
      <c r="G5" s="20">
        <f>SUM(Oct!G5,Nov!G5,Dec!G5)</f>
        <v>21374.539000000001</v>
      </c>
      <c r="H5" s="22">
        <f>SUM(Oct!H5, Nov!H5, Dec!H5)</f>
        <v>-9148.4140000000007</v>
      </c>
      <c r="I5" s="21">
        <f>IFERROR(H5/G5, "")</f>
        <v>-0.42800520750412441</v>
      </c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zoomScale="70" zoomScaleNormal="70" workbookViewId="0">
      <pane ySplit="3" topLeftCell="A4" activePane="bottomLeft" state="frozen"/>
      <selection activeCell="F18" sqref="F18"/>
      <selection pane="bottomLeft" activeCell="G18" sqref="G18"/>
    </sheetView>
  </sheetViews>
  <sheetFormatPr defaultRowHeight="13.8" x14ac:dyDescent="0.25"/>
  <cols>
    <col min="1" max="1" width="40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Northbridge Companies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5"/>
      <c r="K1" s="5"/>
    </row>
    <row r="2" spans="1:11" ht="19.5" customHeight="1" x14ac:dyDescent="0.25">
      <c r="A2" s="57" t="s">
        <v>2</v>
      </c>
      <c r="B2" s="57"/>
      <c r="C2" s="6">
        <f>SUM(C4:C89)</f>
        <v>32240.375</v>
      </c>
      <c r="D2" s="6">
        <f>SUM(D4:D89)</f>
        <v>23990.492999999999</v>
      </c>
      <c r="E2" s="6">
        <f>C2-D2</f>
        <v>8249.8820000000014</v>
      </c>
      <c r="F2" s="7">
        <f>IFERROR(E2/D2, 0)</f>
        <v>0.34388130331460892</v>
      </c>
      <c r="G2" s="6">
        <f>SUM(G4:G89)</f>
        <v>13578.087</v>
      </c>
      <c r="H2" s="8">
        <f>C2-G2</f>
        <v>18662.288</v>
      </c>
      <c r="I2" s="7">
        <f>IFERROR(H2/G2, 0)</f>
        <v>1.3744416278964777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17790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8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8.8" x14ac:dyDescent="0.25">
      <c r="A5" s="31" t="str">
        <v>MA: North Dartmouth - 293 Cross St (Array 2)</v>
      </c>
      <c r="B5" s="32" t="str">
        <v>MA</v>
      </c>
      <c r="C5" s="12">
        <v>14450.375</v>
      </c>
      <c r="D5" s="20">
        <v>23990.492999999999</v>
      </c>
      <c r="E5" s="20">
        <f t="shared" ref="E5" si="0">IF(AND(ISNUMBER(C5),ISNUMBER(D5)), C5-D5, "")</f>
        <v>-9540.1179999999986</v>
      </c>
      <c r="F5" s="21">
        <f>IFERROR(E5/D5, "")</f>
        <v>-0.39766244070098933</v>
      </c>
      <c r="G5" s="22">
        <v>13578.087</v>
      </c>
      <c r="H5" s="22">
        <f t="shared" ref="H5" si="1">IF(AND(ISNUMBER(C5),ISNUMBER(G5)), C5-G5, "")</f>
        <v>872.28800000000047</v>
      </c>
      <c r="I5" s="21">
        <f t="shared" ref="I5" si="2">IFERROR(H5/G5, "")</f>
        <v>6.4242333990053274E-2</v>
      </c>
      <c r="J5" s="42" t="s">
        <v>23</v>
      </c>
      <c r="K5" s="45" t="s">
        <v>24</v>
      </c>
    </row>
    <row r="6" spans="1:11" ht="14.4" x14ac:dyDescent="0.3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hyperlinks>
    <hyperlink ref="K5" r:id="rId1" display="https://us3.assetplanner.com/service_request?ID=094280" xr:uid="{235A1286-4A4C-457B-B9A0-CBA82E0D96BE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2"/>
  <sheetViews>
    <sheetView zoomScale="70" zoomScaleNormal="70" workbookViewId="0">
      <pane ySplit="2" topLeftCell="A3" activePane="bottomLeft" state="frozen"/>
      <selection activeCell="F18" sqref="F18"/>
      <selection pane="bottomLeft" activeCell="F18" sqref="F18"/>
    </sheetView>
  </sheetViews>
  <sheetFormatPr defaultRowHeight="13.8" x14ac:dyDescent="0.25"/>
  <cols>
    <col min="1" max="1" width="44.4414062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55" t="str" cm="1">
        <f t="array" ref="A1">portfolio</f>
        <v>Northbridge Companies</v>
      </c>
      <c r="B1" s="55"/>
      <c r="C1" s="55"/>
      <c r="D1" s="56" t="s">
        <v>25</v>
      </c>
      <c r="E1" s="56"/>
      <c r="F1" s="56"/>
      <c r="G1" s="54" t="s">
        <v>26</v>
      </c>
      <c r="H1" s="54"/>
      <c r="I1" s="54"/>
      <c r="J1" s="5"/>
      <c r="K1" s="5"/>
    </row>
    <row r="2" spans="1:12" ht="19.5" customHeight="1" x14ac:dyDescent="0.25">
      <c r="A2" s="57" t="s">
        <v>2</v>
      </c>
      <c r="B2" s="57"/>
      <c r="C2" s="6">
        <f>SUM(C4:C90)</f>
        <v>35400.509999999995</v>
      </c>
      <c r="D2" s="6">
        <f>SUM(D4:D90)</f>
        <v>31450.165000000001</v>
      </c>
      <c r="E2" s="6">
        <f>C2-D2</f>
        <v>3950.3449999999939</v>
      </c>
      <c r="F2" s="7">
        <f>IFERROR(E2/D2, 0)</f>
        <v>0.12560649522824424</v>
      </c>
      <c r="G2" s="6">
        <f>SUM(G4:G90)</f>
        <v>16170.201999999999</v>
      </c>
      <c r="H2" s="8">
        <f>C2-G2</f>
        <v>19230.307999999997</v>
      </c>
      <c r="I2" s="7">
        <f>IFERROR(H2/G2, 0)</f>
        <v>1.1892435233647667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15.6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19120.259999999998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8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2" ht="86.4" x14ac:dyDescent="0.25">
      <c r="A5" s="31" t="str">
        <v>MA: North Dartmouth - 293 Cross St (Array 2)</v>
      </c>
      <c r="B5" s="32" t="str">
        <v>MA</v>
      </c>
      <c r="C5" s="12">
        <v>16280.25</v>
      </c>
      <c r="D5" s="20">
        <v>31450.165000000001</v>
      </c>
      <c r="E5" s="20">
        <f t="shared" ref="E5" si="0">IF(AND(ISNUMBER(C5),ISNUMBER(D5)), C5-D5, "")</f>
        <v>-15169.915000000001</v>
      </c>
      <c r="F5" s="21">
        <f>IFERROR(E5/D5, "")</f>
        <v>-0.48234770787371067</v>
      </c>
      <c r="G5" s="22">
        <v>16170.201999999999</v>
      </c>
      <c r="H5" s="22">
        <f t="shared" ref="H5" si="1">IF(AND(ISNUMBER(C5),ISNUMBER(G5)), C5-G5, "")</f>
        <v>110.04800000000068</v>
      </c>
      <c r="I5" s="21">
        <f t="shared" ref="I5" si="2">IFERROR(H5/G5, "")</f>
        <v>6.8056045310999017E-3</v>
      </c>
      <c r="J5" s="42" t="s">
        <v>27</v>
      </c>
      <c r="K5" s="45" t="s">
        <v>28</v>
      </c>
      <c r="L5" s="50" t="s">
        <v>29</v>
      </c>
    </row>
    <row r="6" spans="1:12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hyperlinks>
    <hyperlink ref="K5" r:id="rId1" display="https://us3.assetplanner.com/service_request?ID=096732" xr:uid="{077622B4-EF97-4475-9009-F0CF7350FB74}"/>
    <hyperlink ref="L5" r:id="rId2" display="https://us3.assetplanner.com/service_request?ID=094280" xr:uid="{16DFE7D3-6FEE-47C1-A313-BFDC5A5F7A12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zoomScale="70" zoomScaleNormal="70" workbookViewId="0">
      <pane ySplit="2" topLeftCell="A3" activePane="bottomLeft" state="frozen"/>
      <selection activeCell="F18" sqref="F18"/>
      <selection pane="bottomLeft" activeCell="D15" sqref="D15"/>
    </sheetView>
  </sheetViews>
  <sheetFormatPr defaultRowHeight="13.8" x14ac:dyDescent="0.25"/>
  <cols>
    <col min="1" max="1" width="46.44140625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Northbridge Companies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5"/>
      <c r="K1" s="5"/>
    </row>
    <row r="2" spans="1:11" ht="19.5" customHeight="1" x14ac:dyDescent="0.25">
      <c r="A2" s="57" t="s">
        <v>2</v>
      </c>
      <c r="B2" s="57"/>
      <c r="C2" s="6">
        <f>SUM(C4:C90)</f>
        <v>50578.2</v>
      </c>
      <c r="D2" s="6">
        <f>SUM(D4:D90)</f>
        <v>23752.935000000001</v>
      </c>
      <c r="E2" s="6">
        <f>C2-D2</f>
        <v>26825.264999999996</v>
      </c>
      <c r="F2" s="7">
        <f>IFERROR(E2/D2, 0)</f>
        <v>1.1293452788044929</v>
      </c>
      <c r="G2" s="6">
        <f>SUM(G4:G90)</f>
        <v>22246.175999999999</v>
      </c>
      <c r="H2" s="8">
        <f>C2-G2</f>
        <v>28332.023999999998</v>
      </c>
      <c r="I2" s="7">
        <f>IFERROR(H2/G2, 0)</f>
        <v>1.2735682752847051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25556.7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8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8.8" x14ac:dyDescent="0.25">
      <c r="A5" s="31" t="str">
        <v>MA: North Dartmouth - 293 Cross St (Array 2)</v>
      </c>
      <c r="B5" s="32" t="str">
        <v>MA</v>
      </c>
      <c r="C5" s="12">
        <v>25021.5</v>
      </c>
      <c r="D5" s="20">
        <v>23752.935000000001</v>
      </c>
      <c r="E5" s="20">
        <f t="shared" ref="E5" si="0">IF(AND(ISNUMBER(C5),ISNUMBER(D5)), C5-D5, "")</f>
        <v>1268.5649999999987</v>
      </c>
      <c r="F5" s="21">
        <f>IFERROR(E5/D5, "")</f>
        <v>5.3406663218671657E-2</v>
      </c>
      <c r="G5" s="22">
        <v>22246.175999999999</v>
      </c>
      <c r="H5" s="46">
        <f>IF(AND(ISNUMBER(C5),ISNUMBER(G5)), C5-G5, "")</f>
        <v>2775.3240000000005</v>
      </c>
      <c r="I5" s="21">
        <f t="shared" ref="I5" si="1">IFERROR(H5/G5, "")</f>
        <v>0.12475510397831972</v>
      </c>
      <c r="J5" s="42" t="s">
        <v>32</v>
      </c>
      <c r="K5" s="49" t="s">
        <v>33</v>
      </c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hyperlinks>
    <hyperlink ref="K5" r:id="rId1" display="https://us3.assetplanner.com/service_request?ID=094280" xr:uid="{8F01B93B-95FA-4DBD-86B6-0303DEB3BEF3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2"/>
  <sheetViews>
    <sheetView topLeftCell="B1" workbookViewId="0">
      <pane ySplit="2" topLeftCell="A3" activePane="bottomLeft" state="frozen"/>
      <selection activeCell="F18" sqref="F18"/>
      <selection pane="bottomLeft" activeCell="J11" sqref="J11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2" width="8.88671875" style="52"/>
  </cols>
  <sheetData>
    <row r="1" spans="1:12" ht="19.5" customHeight="1" x14ac:dyDescent="0.25">
      <c r="A1" s="55" t="str" cm="1">
        <f t="array" ref="A1">portfolio</f>
        <v>Northbridge Companies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5"/>
      <c r="K1" s="5"/>
    </row>
    <row r="2" spans="1:12" ht="19.5" customHeight="1" x14ac:dyDescent="0.25">
      <c r="A2" s="57" t="s">
        <v>2</v>
      </c>
      <c r="B2" s="57"/>
      <c r="C2" s="6">
        <f>SUM(C4:C90)</f>
        <v>46001.065000000002</v>
      </c>
      <c r="D2" s="6">
        <f>SUM(D4:D90)</f>
        <v>13297.438</v>
      </c>
      <c r="E2" s="6">
        <f>C2-D2</f>
        <v>32703.627</v>
      </c>
      <c r="F2" s="7">
        <f>IFERROR(E2/D2, 0)</f>
        <v>2.459393080080539</v>
      </c>
      <c r="G2" s="6">
        <f>SUM(G4:G90)</f>
        <v>26440.769</v>
      </c>
      <c r="H2" s="8">
        <f>C2-G2</f>
        <v>19560.296000000002</v>
      </c>
      <c r="I2" s="7">
        <f>IFERROR(H2/G2, 0)</f>
        <v>0.7397778786237269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43.2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18456.439999999999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8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36</v>
      </c>
      <c r="K4" s="51" t="s">
        <v>37</v>
      </c>
    </row>
    <row r="5" spans="1:12" ht="57.6" x14ac:dyDescent="0.25">
      <c r="A5" s="31" t="str">
        <v>MA: North Dartmouth - 293 Cross St (Array 2)</v>
      </c>
      <c r="B5" s="32" t="str">
        <v>MA</v>
      </c>
      <c r="C5" s="12">
        <v>27544.625</v>
      </c>
      <c r="D5" s="20">
        <v>13297.438</v>
      </c>
      <c r="E5" s="20">
        <f t="shared" ref="E5" si="0">IF(AND(ISNUMBER(C5),ISNUMBER(D5)), C5-D5, "")</f>
        <v>14247.187</v>
      </c>
      <c r="F5" s="21">
        <f>IFERROR(E5/D5, "")</f>
        <v>1.0714234576615436</v>
      </c>
      <c r="G5" s="22">
        <v>26440.769</v>
      </c>
      <c r="H5" s="22">
        <f t="shared" ref="H5" si="1">IF(AND(ISNUMBER(C5),ISNUMBER(G5)), C5-G5, "")</f>
        <v>1103.8559999999998</v>
      </c>
      <c r="I5" s="21">
        <f t="shared" ref="I5" si="2">IFERROR(H5/G5, "")</f>
        <v>4.1748256262894613E-2</v>
      </c>
      <c r="J5" s="42" t="s">
        <v>38</v>
      </c>
      <c r="K5" s="45" t="s">
        <v>39</v>
      </c>
      <c r="L5" s="50" t="s">
        <v>29</v>
      </c>
    </row>
    <row r="6" spans="1:12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hyperlinks>
    <hyperlink ref="K4" r:id="rId1" display="https://us3.assetplanner.com/service_request?ID=100216" xr:uid="{A3CC9481-13B3-4E47-86D9-6E7013E1F660}"/>
    <hyperlink ref="K5" r:id="rId2" display="https://us3.assetplanner.com/service_request?ID=098622" xr:uid="{847F17A3-9F59-421B-AC7C-AD61EC9D2E2A}"/>
    <hyperlink ref="L5" r:id="rId3" display="https://us3.assetplanner.com/service_request?ID=094280" xr:uid="{95DFD69E-F5A2-4BC9-9B02-E5D473467DA2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70" zoomScaleNormal="70" workbookViewId="0">
      <pane ySplit="2" topLeftCell="A3" activePane="bottomLeft" state="frozen"/>
      <selection activeCell="F18" sqref="F18"/>
      <selection pane="bottomLeft" activeCell="K4" sqref="K4"/>
    </sheetView>
  </sheetViews>
  <sheetFormatPr defaultRowHeight="13.8" x14ac:dyDescent="0.25"/>
  <cols>
    <col min="1" max="1" width="56.109375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Northbridge Companies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5"/>
      <c r="K1" s="5"/>
    </row>
    <row r="2" spans="1:11" ht="19.5" customHeight="1" x14ac:dyDescent="0.25">
      <c r="A2" s="57" t="s">
        <v>2</v>
      </c>
      <c r="B2" s="57"/>
      <c r="C2" s="6">
        <f>SUM(C4:C90)</f>
        <v>29245.125</v>
      </c>
      <c r="D2" s="6">
        <f>SUM(D4:D90)</f>
        <v>13831.293</v>
      </c>
      <c r="E2" s="6">
        <f>C2-D2</f>
        <v>15413.832</v>
      </c>
      <c r="F2" s="7">
        <f>IFERROR(E2/D2, 0)</f>
        <v>1.1144172854989045</v>
      </c>
      <c r="G2" s="6">
        <f>SUM(G4:G90)</f>
        <v>30978.309000000001</v>
      </c>
      <c r="H2" s="8">
        <f>C2-G2</f>
        <v>-1733.1840000000011</v>
      </c>
      <c r="I2" s="7">
        <f>IFERROR(H2/G2, 0)</f>
        <v>-5.5948308863469631E-2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1" t="s">
        <v>37</v>
      </c>
    </row>
    <row r="5" spans="1:11" ht="28.8" x14ac:dyDescent="0.25">
      <c r="A5" s="31" t="str">
        <v>MA: North Dartmouth - 293 Cross St (Array 2)</v>
      </c>
      <c r="B5" s="32" t="str">
        <v>MA</v>
      </c>
      <c r="C5" s="12">
        <v>29245.125</v>
      </c>
      <c r="D5" s="20">
        <v>13831.293</v>
      </c>
      <c r="E5" s="20">
        <f t="shared" ref="E5" si="0">IF(AND(ISNUMBER(C5),ISNUMBER(D5)), C5-D5, "")</f>
        <v>15413.832</v>
      </c>
      <c r="F5" s="21">
        <f>IFERROR(E5/D5, "")</f>
        <v>1.1144172854989045</v>
      </c>
      <c r="G5" s="22">
        <v>30978.309000000001</v>
      </c>
      <c r="H5" s="22">
        <f t="shared" ref="H5" si="1">IF(AND(ISNUMBER(C5),ISNUMBER(G5)), C5-G5, "")</f>
        <v>-1733.1840000000011</v>
      </c>
      <c r="I5" s="21">
        <f t="shared" ref="I5" si="2">IFERROR(H5/G5, "")</f>
        <v>-5.5948308863469631E-2</v>
      </c>
      <c r="J5" s="42" t="s">
        <v>32</v>
      </c>
      <c r="K5" s="49" t="s">
        <v>43</v>
      </c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hyperlinks>
    <hyperlink ref="K4" r:id="rId1" display="https://us3.assetplanner.com/service_request?ID=100216" xr:uid="{95494AA4-0AB1-4B46-A6D7-9C249285F2FD}"/>
    <hyperlink ref="K5" r:id="rId2" display="https://us3.assetplanner.com/service_request?ID=094280" xr:uid="{31A6E779-93FD-405A-98B1-FB3815E99510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C1" workbookViewId="0">
      <pane ySplit="2" topLeftCell="A3" activePane="bottomLeft" state="frozen"/>
      <selection activeCell="F18" sqref="F18"/>
      <selection pane="bottomLeft" activeCell="J4" sqref="J4"/>
    </sheetView>
  </sheetViews>
  <sheetFormatPr defaultRowHeight="13.8" x14ac:dyDescent="0.25"/>
  <cols>
    <col min="1" max="1" width="47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Northbridge Companies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5"/>
      <c r="K1" s="5"/>
    </row>
    <row r="2" spans="1:11" ht="19.5" customHeight="1" x14ac:dyDescent="0.25">
      <c r="A2" s="57" t="s">
        <v>2</v>
      </c>
      <c r="B2" s="57"/>
      <c r="C2" s="6">
        <f>SUM(C4:C90)</f>
        <v>31394.625</v>
      </c>
      <c r="D2" s="6">
        <f>SUM(D4:D90)</f>
        <v>7267.3289999999997</v>
      </c>
      <c r="E2" s="6">
        <f>C2-D2</f>
        <v>24127.296000000002</v>
      </c>
      <c r="F2" s="7">
        <f>IFERROR(E2/D2, 0)</f>
        <v>3.3199674873670921</v>
      </c>
      <c r="G2" s="6">
        <f>SUM(G4:G90)</f>
        <v>31723.66</v>
      </c>
      <c r="H2" s="8">
        <f>C2-G2</f>
        <v>-329.03499999999985</v>
      </c>
      <c r="I2" s="7">
        <f>IFERROR(H2/G2, 0)</f>
        <v>-1.0371911689886975E-2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1" t="s">
        <v>37</v>
      </c>
    </row>
    <row r="5" spans="1:11" ht="28.8" x14ac:dyDescent="0.25">
      <c r="A5" s="31" t="str">
        <v>MA: North Dartmouth - 293 Cross St (Array 2)</v>
      </c>
      <c r="B5" s="32" t="str">
        <v>MA</v>
      </c>
      <c r="C5" s="12">
        <v>31394.625</v>
      </c>
      <c r="D5" s="20">
        <v>7267.3289999999997</v>
      </c>
      <c r="E5" s="20">
        <f t="shared" ref="E5" si="0">IF(AND(ISNUMBER(C5),ISNUMBER(D5)), C5-D5, "")</f>
        <v>24127.296000000002</v>
      </c>
      <c r="F5" s="21">
        <f>IFERROR(E5/D5, "")</f>
        <v>3.3199674873670921</v>
      </c>
      <c r="G5" s="22">
        <v>31723.66</v>
      </c>
      <c r="H5" s="22">
        <f t="shared" ref="H5" si="1">IF(AND(ISNUMBER(C5),ISNUMBER(G5)), C5-G5, "")</f>
        <v>-329.03499999999985</v>
      </c>
      <c r="I5" s="21">
        <f t="shared" ref="I5" si="2">IFERROR(H5/G5, "")</f>
        <v>-1.0371911689886975E-2</v>
      </c>
      <c r="J5" s="42" t="s">
        <v>32</v>
      </c>
      <c r="K5" s="49" t="s">
        <v>33</v>
      </c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hyperlinks>
    <hyperlink ref="K4" r:id="rId1" display="https://us3.assetplanner.com/service_request?ID=100216" xr:uid="{8716BE45-57DE-4E6C-B016-3A98E5BAD8E8}"/>
    <hyperlink ref="K5" r:id="rId2" display="https://us3.assetplanner.com/service_request?ID=094280" xr:uid="{9A9FBA6D-6B94-4F7F-9207-34339E9D103A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opLeftCell="C1" workbookViewId="0">
      <pane ySplit="2" topLeftCell="A3" activePane="bottomLeft" state="frozen"/>
      <selection activeCell="F18" sqref="F18"/>
      <selection pane="bottomLeft" activeCell="J4" sqref="J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Northbridge Companies</v>
      </c>
      <c r="B1" s="55"/>
      <c r="C1" s="55"/>
      <c r="D1" s="56" t="s">
        <v>46</v>
      </c>
      <c r="E1" s="56"/>
      <c r="F1" s="56"/>
      <c r="G1" s="54" t="s">
        <v>47</v>
      </c>
      <c r="H1" s="54"/>
      <c r="I1" s="54"/>
      <c r="J1" s="5"/>
      <c r="K1" s="5"/>
    </row>
    <row r="2" spans="1:11" ht="19.5" customHeight="1" x14ac:dyDescent="0.25">
      <c r="A2" s="57" t="s">
        <v>2</v>
      </c>
      <c r="B2" s="57"/>
      <c r="C2" s="6">
        <f>SUM(C4:C90)</f>
        <v>32655.625</v>
      </c>
      <c r="D2" s="6">
        <f>SUM(D4:D90)</f>
        <v>12807.285</v>
      </c>
      <c r="E2" s="6">
        <f>C2-D2</f>
        <v>19848.34</v>
      </c>
      <c r="F2" s="7">
        <f>IFERROR(E2/D2, 0)</f>
        <v>1.5497695257035351</v>
      </c>
      <c r="G2" s="6">
        <f>SUM(G4:G90)</f>
        <v>30863.213</v>
      </c>
      <c r="H2" s="8">
        <f>C2-G2</f>
        <v>1792.4120000000003</v>
      </c>
      <c r="I2" s="7">
        <f>IFERROR(H2/G2, 0)</f>
        <v>5.8076001354752022E-2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1" t="s">
        <v>37</v>
      </c>
    </row>
    <row r="5" spans="1:11" ht="28.8" x14ac:dyDescent="0.25">
      <c r="A5" s="31" t="str">
        <v>MA: North Dartmouth - 293 Cross St (Array 2)</v>
      </c>
      <c r="B5" s="32" t="str">
        <v>MA</v>
      </c>
      <c r="C5" s="12">
        <v>32655.625</v>
      </c>
      <c r="D5" s="20">
        <v>12807.285</v>
      </c>
      <c r="E5" s="20">
        <f t="shared" ref="E5" si="0">IF(AND(ISNUMBER(C5),ISNUMBER(D5)), C5-D5, "")</f>
        <v>19848.34</v>
      </c>
      <c r="F5" s="21">
        <f>IFERROR(E5/D5, "")</f>
        <v>1.5497695257035351</v>
      </c>
      <c r="G5" s="22">
        <v>30863.213</v>
      </c>
      <c r="H5" s="22">
        <f t="shared" ref="H5" si="1">IF(AND(ISNUMBER(C5),ISNUMBER(G5)), C5-G5, "")</f>
        <v>1792.4120000000003</v>
      </c>
      <c r="I5" s="21">
        <f t="shared" ref="I5" si="2">IFERROR(H5/G5, "")</f>
        <v>5.8076001354752022E-2</v>
      </c>
      <c r="J5" s="43" t="s">
        <v>32</v>
      </c>
      <c r="K5" s="49" t="s">
        <v>33</v>
      </c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hyperlinks>
    <hyperlink ref="K4" r:id="rId1" display="https://us3.assetplanner.com/service_request?ID=100216" xr:uid="{9635BA9B-428C-4796-B051-1E1A5448BFEE}"/>
    <hyperlink ref="K5" r:id="rId2" display="https://us3.assetplanner.com/service_request?ID=094280" xr:uid="{E5157812-88F0-4C64-BD92-B374D2001C14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zoomScale="60" zoomScaleNormal="60" workbookViewId="0">
      <pane ySplit="2" topLeftCell="A3" activePane="bottomLeft" state="frozen"/>
      <selection activeCell="F18" sqref="F18"/>
      <selection pane="bottomLeft" activeCell="J5" sqref="J5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Northbridge Companies</v>
      </c>
      <c r="B1" s="55"/>
      <c r="C1" s="55"/>
      <c r="D1" s="56" t="s">
        <v>48</v>
      </c>
      <c r="E1" s="56"/>
      <c r="F1" s="56"/>
      <c r="G1" s="54" t="s">
        <v>49</v>
      </c>
      <c r="H1" s="54"/>
      <c r="I1" s="54"/>
      <c r="J1" s="5"/>
      <c r="K1" s="5"/>
    </row>
    <row r="2" spans="1:11" ht="19.5" customHeight="1" x14ac:dyDescent="0.25">
      <c r="A2" s="57" t="s">
        <v>2</v>
      </c>
      <c r="B2" s="57"/>
      <c r="C2" s="6">
        <f>SUM(C4:C90)</f>
        <v>34330.125</v>
      </c>
      <c r="D2" s="6">
        <f>SUM(D4:D90)</f>
        <v>14682.458000000001</v>
      </c>
      <c r="E2" s="6">
        <f>C2-D2</f>
        <v>19647.667000000001</v>
      </c>
      <c r="F2" s="7">
        <f>IFERROR(E2/D2, 0)</f>
        <v>1.3381728726893005</v>
      </c>
      <c r="G2" s="6">
        <f>SUM(G4:G90)</f>
        <v>29110</v>
      </c>
      <c r="H2" s="8">
        <f>C2-G2</f>
        <v>5220.125</v>
      </c>
      <c r="I2" s="7">
        <f>IFERROR(H2/G2, 0)</f>
        <v>0.17932411542425283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1" t="s">
        <v>37</v>
      </c>
    </row>
    <row r="5" spans="1:11" ht="28.8" x14ac:dyDescent="0.25">
      <c r="A5" s="31" t="str">
        <v>MA: North Dartmouth - 293 Cross St (Array 2)</v>
      </c>
      <c r="B5" s="32" t="str">
        <v>MA</v>
      </c>
      <c r="C5" s="12">
        <v>34330.125</v>
      </c>
      <c r="D5" s="20">
        <v>14682.458000000001</v>
      </c>
      <c r="E5" s="20">
        <f>IF(AND(ISNUMBER(C5),ISNUMBER(D5)), C5-D5, "")</f>
        <v>19647.667000000001</v>
      </c>
      <c r="F5" s="21">
        <f>IFERROR(E5/D5, "")</f>
        <v>1.3381728726893005</v>
      </c>
      <c r="G5" s="22">
        <v>29110</v>
      </c>
      <c r="H5" s="22">
        <f t="shared" ref="H5" si="0">IF(AND(ISNUMBER(C5),ISNUMBER(G5)), C5-G5, "")</f>
        <v>5220.125</v>
      </c>
      <c r="I5" s="21">
        <f t="shared" ref="I5" si="1">IFERROR(H5/G5, "")</f>
        <v>0.17932411542425283</v>
      </c>
      <c r="J5" s="43" t="s">
        <v>32</v>
      </c>
      <c r="K5" s="49" t="s">
        <v>33</v>
      </c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hyperlinks>
    <hyperlink ref="K4" r:id="rId1" display="https://us3.assetplanner.com/service_request?ID=100216" xr:uid="{726A4759-6CB4-44F8-B414-872E2EB9DC13}"/>
    <hyperlink ref="K5" r:id="rId2" display="https://us3.assetplanner.com/service_request?ID=094280" xr:uid="{C04032DD-D005-4AF7-9123-A8CCE4C59BBF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zoomScale="80" zoomScaleNormal="80" workbookViewId="0">
      <pane ySplit="2" topLeftCell="A3" activePane="bottomLeft" state="frozen"/>
      <selection activeCell="F18" sqref="F18"/>
      <selection pane="bottomLeft" activeCell="J4" sqref="J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Northbridge Companies</v>
      </c>
      <c r="B1" s="55"/>
      <c r="C1" s="55"/>
      <c r="D1" s="56" t="s">
        <v>50</v>
      </c>
      <c r="E1" s="56"/>
      <c r="F1" s="56"/>
      <c r="G1" s="54" t="s">
        <v>51</v>
      </c>
      <c r="H1" s="54"/>
      <c r="I1" s="54"/>
      <c r="J1" s="5"/>
      <c r="K1" s="5"/>
    </row>
    <row r="2" spans="1:11" ht="19.5" customHeight="1" x14ac:dyDescent="0.25">
      <c r="A2" s="57" t="s">
        <v>2</v>
      </c>
      <c r="B2" s="57"/>
      <c r="C2" s="6">
        <f>SUM(C4:C90)</f>
        <v>25126.75</v>
      </c>
      <c r="D2" s="6">
        <f>SUM(D4:D90)</f>
        <v>16682.328000000001</v>
      </c>
      <c r="E2" s="6">
        <f>C2-D2</f>
        <v>8444.4219999999987</v>
      </c>
      <c r="F2" s="7">
        <f>IFERROR(E2/D2, 0)</f>
        <v>0.50618966369681728</v>
      </c>
      <c r="G2" s="6">
        <f>SUM(G4:G90)</f>
        <v>25023.446</v>
      </c>
      <c r="H2" s="8">
        <f>C2-G2</f>
        <v>103.30400000000009</v>
      </c>
      <c r="I2" s="7">
        <f>IFERROR(H2/G2, 0)</f>
        <v>4.1282883260762761E-3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1" t="s">
        <v>52</v>
      </c>
    </row>
    <row r="5" spans="1:11" ht="28.8" x14ac:dyDescent="0.25">
      <c r="A5" s="31" t="str">
        <v>MA: North Dartmouth - 293 Cross St (Array 2)</v>
      </c>
      <c r="B5" s="32" t="str">
        <v>MA</v>
      </c>
      <c r="C5" s="12">
        <v>25126.75</v>
      </c>
      <c r="D5" s="20">
        <v>16682.328000000001</v>
      </c>
      <c r="E5" s="20">
        <f t="shared" ref="E5" si="0">IF(AND(ISNUMBER(C5),ISNUMBER(D5)), C5-D5, "")</f>
        <v>8444.4219999999987</v>
      </c>
      <c r="F5" s="21">
        <f>IFERROR(E5/D5, "")</f>
        <v>0.50618966369681728</v>
      </c>
      <c r="G5" s="22">
        <v>25023.446</v>
      </c>
      <c r="H5" s="22">
        <f t="shared" ref="H5" si="1">IF(AND(ISNUMBER(C5),ISNUMBER(G5)), C5-G5, "")</f>
        <v>103.30400000000009</v>
      </c>
      <c r="I5" s="21">
        <f t="shared" ref="I5" si="2">IFERROR(H5/G5, "")</f>
        <v>4.1282883260762761E-3</v>
      </c>
      <c r="J5" s="43" t="s">
        <v>32</v>
      </c>
      <c r="K5" s="49" t="s">
        <v>53</v>
      </c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hyperlinks>
    <hyperlink ref="K4" r:id="rId1" display="https://us3.assetplanner.com/service_request?ID=100216" xr:uid="{5DF6436B-4F90-44DC-B483-D52C9FC71FB3}"/>
    <hyperlink ref="K5" r:id="rId2" display="https://us3.assetplanner.com/service_request?ID=094280" xr:uid="{2C34ACF0-728C-4E3E-BC50-DF7BD2193D8E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M332"/>
  <sheetViews>
    <sheetView tabSelected="1" topLeftCell="C1" zoomScale="80" zoomScaleNormal="80" workbookViewId="0">
      <pane ySplit="2" topLeftCell="A3" activePane="bottomLeft" state="frozen"/>
      <selection activeCell="F18" sqref="F18"/>
      <selection pane="bottomLeft" activeCell="K11" sqref="K11"/>
    </sheetView>
  </sheetViews>
  <sheetFormatPr defaultRowHeight="13.8" x14ac:dyDescent="0.25"/>
  <cols>
    <col min="1" max="1" width="40.33203125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2" width="11.6640625" customWidth="1"/>
  </cols>
  <sheetData>
    <row r="1" spans="1:13" ht="19.5" customHeight="1" x14ac:dyDescent="0.25">
      <c r="A1" s="55" t="str" cm="1">
        <f t="array" ref="A1">portfolio</f>
        <v>Northbridge Companies</v>
      </c>
      <c r="B1" s="55"/>
      <c r="C1" s="55"/>
      <c r="D1" s="56" t="s">
        <v>54</v>
      </c>
      <c r="E1" s="56"/>
      <c r="F1" s="56"/>
      <c r="G1" s="54" t="s">
        <v>55</v>
      </c>
      <c r="H1" s="54"/>
      <c r="I1" s="54"/>
      <c r="J1" s="5"/>
      <c r="K1" s="5"/>
    </row>
    <row r="2" spans="1:13" ht="19.5" customHeight="1" x14ac:dyDescent="0.25">
      <c r="A2" s="57" t="s">
        <v>2</v>
      </c>
      <c r="B2" s="57"/>
      <c r="C2" s="6">
        <f>SUM(C4:C90)</f>
        <v>12226.125</v>
      </c>
      <c r="D2" s="6">
        <f>SUM(D4:D90)</f>
        <v>7030.3540000000003</v>
      </c>
      <c r="E2" s="6">
        <f>C2-D2</f>
        <v>5195.7709999999997</v>
      </c>
      <c r="F2" s="7">
        <f>IFERROR(E2/D2, 0)</f>
        <v>0.73904827552069208</v>
      </c>
      <c r="G2" s="6">
        <f>SUM(G4:G90)</f>
        <v>21374.539000000001</v>
      </c>
      <c r="H2" s="8">
        <f>C2-G2</f>
        <v>-9148.4140000000007</v>
      </c>
      <c r="I2" s="7">
        <f>IFERROR(H2/G2, 0)</f>
        <v>-0.42800520750412441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3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  <c r="L3" s="27" t="s">
        <v>56</v>
      </c>
    </row>
    <row r="4" spans="1:13" ht="28.8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57</v>
      </c>
      <c r="K4" s="51" t="s">
        <v>58</v>
      </c>
      <c r="L4" s="18" t="s">
        <v>59</v>
      </c>
    </row>
    <row r="5" spans="1:13" ht="64.5" customHeight="1" x14ac:dyDescent="0.25">
      <c r="A5" s="31" t="str">
        <v>MA: North Dartmouth - 293 Cross St (Array 2)</v>
      </c>
      <c r="B5" s="32" t="str">
        <v>MA</v>
      </c>
      <c r="C5" s="12">
        <v>12226.125</v>
      </c>
      <c r="D5" s="20">
        <v>7030.3540000000003</v>
      </c>
      <c r="E5" s="20">
        <f t="shared" ref="E5" si="0">IF(AND(ISNUMBER(C5),ISNUMBER(D5)), C5-D5, "")</f>
        <v>5195.7709999999997</v>
      </c>
      <c r="F5" s="21">
        <f>IFERROR(E5/D5, "")</f>
        <v>0.73904827552069208</v>
      </c>
      <c r="G5" s="22">
        <v>21374.539000000001</v>
      </c>
      <c r="H5" s="22">
        <f t="shared" ref="H5" si="1">IF(AND(ISNUMBER(C5),ISNUMBER(G5)), C5-G5, "")</f>
        <v>-9148.4140000000007</v>
      </c>
      <c r="I5" s="21">
        <f t="shared" ref="I5" si="2">IFERROR(H5/G5, "")</f>
        <v>-0.42800520750412441</v>
      </c>
      <c r="J5" s="43" t="s">
        <v>60</v>
      </c>
      <c r="K5" s="45" t="s">
        <v>61</v>
      </c>
      <c r="L5" s="53" t="s">
        <v>62</v>
      </c>
      <c r="M5" s="58" t="s">
        <v>79</v>
      </c>
    </row>
    <row r="6" spans="1:13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3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3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3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3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3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3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3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3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3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3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hyperlinks>
    <hyperlink ref="K4" r:id="rId1" display="https://us3.assetplanner.com/service_request?ID=106124" xr:uid="{2F719BBB-F7CF-4A0E-A03B-ACCA5BFC329D}"/>
    <hyperlink ref="K5" r:id="rId2" display="https://us3.assetplanner.com/service_request?ID=094280" xr:uid="{CBFC3ED4-4C02-401E-9268-F743C8665582}"/>
    <hyperlink ref="M5" r:id="rId3" display="https://us3.assetplanner.com/service_request?ID=109266" xr:uid="{151E25F1-4F4C-4C4D-BC25-77A2D0F75DA2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topLeftCell="B1" workbookViewId="0">
      <pane ySplit="2" topLeftCell="A3" activePane="bottomLeft" state="frozen"/>
      <selection activeCell="F18" sqref="F18"/>
      <selection pane="bottomLeft" activeCell="F18" sqref="F18"/>
    </sheetView>
  </sheetViews>
  <sheetFormatPr defaultRowHeight="13.8" x14ac:dyDescent="0.25"/>
  <cols>
    <col min="1" max="1" width="41.5546875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Northbridge Companies</v>
      </c>
      <c r="B1" s="55"/>
      <c r="C1" s="55"/>
      <c r="D1" s="56" t="s">
        <v>63</v>
      </c>
      <c r="E1" s="56"/>
      <c r="F1" s="56"/>
      <c r="G1" s="54" t="s">
        <v>64</v>
      </c>
      <c r="H1" s="54"/>
      <c r="I1" s="54"/>
      <c r="J1" s="5"/>
      <c r="K1" s="5"/>
    </row>
    <row r="2" spans="1:11" ht="19.5" customHeight="1" x14ac:dyDescent="0.25">
      <c r="A2" s="57" t="s">
        <v>2</v>
      </c>
      <c r="B2" s="5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3"/>
      <c r="K5" s="47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activeCell="J16" sqref="J16"/>
      <selection pane="bottomLeft" activeCell="H15" sqref="H15"/>
    </sheetView>
  </sheetViews>
  <sheetFormatPr defaultRowHeight="13.8" x14ac:dyDescent="0.25"/>
  <cols>
    <col min="1" max="1" width="40.5546875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7.88671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Northbridge Companies</v>
      </c>
      <c r="B1" s="55"/>
      <c r="C1" s="55"/>
      <c r="D1" s="56" t="s">
        <v>65</v>
      </c>
      <c r="E1" s="56"/>
      <c r="F1" s="56"/>
      <c r="G1" s="54" t="s">
        <v>66</v>
      </c>
      <c r="H1" s="54"/>
      <c r="I1" s="54"/>
      <c r="J1" s="5"/>
      <c r="K1" s="5"/>
    </row>
    <row r="2" spans="1:11" ht="19.5" customHeight="1" x14ac:dyDescent="0.25">
      <c r="A2" s="57" t="s">
        <v>2</v>
      </c>
      <c r="B2" s="57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>
        <v>0</v>
      </c>
      <c r="E4" s="14"/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2"/>
      <c r="K5" s="44"/>
    </row>
    <row r="6" spans="1:11" ht="15.6" x14ac:dyDescent="0.25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" x14ac:dyDescent="0.3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B19" sqref="B19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18.33203125" customWidth="1"/>
    <col min="6" max="14" width="9.109375" customWidth="1"/>
  </cols>
  <sheetData>
    <row r="1" spans="1:7" ht="12.75" customHeight="1" x14ac:dyDescent="0.25">
      <c r="A1" t="s">
        <v>67</v>
      </c>
      <c r="B1" t="s">
        <v>68</v>
      </c>
    </row>
    <row r="3" spans="1:7" ht="13.2" x14ac:dyDescent="0.25">
      <c r="A3" t="s">
        <v>69</v>
      </c>
      <c r="B3" t="s">
        <v>3</v>
      </c>
      <c r="C3" t="s">
        <v>4</v>
      </c>
      <c r="D3" t="s">
        <v>70</v>
      </c>
      <c r="E3" s="2" t="s">
        <v>71</v>
      </c>
    </row>
    <row r="4" spans="1:7" ht="14.4" x14ac:dyDescent="0.3">
      <c r="A4" t="s">
        <v>72</v>
      </c>
      <c r="B4" t="s">
        <v>73</v>
      </c>
      <c r="C4" s="4" t="s">
        <v>74</v>
      </c>
      <c r="E4" t="s">
        <v>75</v>
      </c>
      <c r="G4" s="3"/>
    </row>
    <row r="5" spans="1:7" ht="14.4" x14ac:dyDescent="0.3">
      <c r="A5" t="s">
        <v>76</v>
      </c>
      <c r="B5" t="s">
        <v>77</v>
      </c>
      <c r="C5" s="4" t="s">
        <v>74</v>
      </c>
      <c r="E5" t="s">
        <v>78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3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4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5.xml><?xml version="1.0" encoding="utf-8"?>
<ds:datastoreItem xmlns:ds="http://schemas.openxmlformats.org/officeDocument/2006/customXml" ds:itemID="{AA7F152B-E797-4816-8C4B-BC0BD83F4CDD}"/>
</file>

<file path=customXml/itemProps6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7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8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9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0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1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2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3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5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6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7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8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9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20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2025-11-17T11:11:34Z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