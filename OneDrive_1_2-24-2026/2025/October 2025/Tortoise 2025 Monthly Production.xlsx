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 documentId="13_ncr:1_{044857AF-3083-4D9F-825C-455E69419775}" xr6:coauthVersionLast="47" xr6:coauthVersionMax="47" xr10:uidLastSave="{99209318-080F-4B66-B7E0-EBBF28A28A50}"/>
  <bookViews>
    <workbookView xWindow="-108" yWindow="-108" windowWidth="23256" windowHeight="13896" tabRatio="866" firstSheet="14" activeTab="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1" l="1"/>
  <c r="H5" i="28"/>
  <c r="H6" i="28"/>
  <c r="E6" i="28"/>
  <c r="E7" i="28"/>
  <c r="E8" i="28"/>
  <c r="E9" i="28"/>
  <c r="E10" i="28"/>
  <c r="E11" i="28"/>
  <c r="E12" i="28"/>
  <c r="E13" i="28"/>
  <c r="E6" i="27"/>
  <c r="H4" i="19"/>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I6" i="3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F13" i="28"/>
  <c r="H12" i="28"/>
  <c r="I12" i="28" s="1"/>
  <c r="F12" i="28"/>
  <c r="H11" i="28"/>
  <c r="I11" i="28" s="1"/>
  <c r="F11" i="28"/>
  <c r="H10" i="28"/>
  <c r="I10" i="28" s="1"/>
  <c r="F10" i="28"/>
  <c r="H9" i="28"/>
  <c r="I9" i="28" s="1"/>
  <c r="F9" i="28"/>
  <c r="H8" i="28"/>
  <c r="I8" i="28" s="1"/>
  <c r="F8" i="28"/>
  <c r="H7" i="28"/>
  <c r="I7" i="28" s="1"/>
  <c r="F7" i="28"/>
  <c r="I6" i="28"/>
  <c r="F6" i="28"/>
  <c r="I5" i="28"/>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F6" i="27"/>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<sst xmlns="http://schemas.openxmlformats.org/spreadsheetml/2006/main" count="435" uniqueCount="202">
  <si>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</si>
  <si>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</si>
  <si>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</si>
  <si>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</si>
  <si>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</si>
  <si>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</si>
  <si>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</si>
  <si>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</si>
  <si>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</si>
  <si>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</si>
  <si>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</si>
  <si>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</si>
  <si>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</si>
  <si>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</si>
  <si>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</si>
  <si>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</si>
  <si>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</si>
  <si>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</si>
  <si>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</si>
  <si>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</si>
  <si>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</si>
  <si>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</si>
  <si>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</si>
  <si>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</si>
  <si>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</si>
  <si>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</si>
  <si>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</si>
  <si>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</si>
  <si>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</si>
  <si>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</si>
  <si>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</si>
  <si>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</si>
  <si>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</si>
  <si>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</si>
  <si>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</si>
  <si>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</si>
  <si>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</si>
  <si>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</si>
  <si>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</si>
  <si>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</si>
  <si>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</si>
  <si>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</si>
  <si>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</si>
  <si>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</si>
  <si>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</si>
  <si>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</si>
  <si>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</si>
  <si>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</si>
  <si>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</si>
  <si>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</si>
  <si>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</si>
  <si>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</si>
  <si>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</si>
  <si>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</si>
  <si>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</si>
  <si>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</si>
  <si>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</si>
  <si>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</si>
  <si>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</si>
  <si>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</si>
  <si>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</si>
  <si>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</si>
  <si>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</si>
  <si>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</si>
  <si>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</si>
  <si>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</si>
  <si>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</si>
  <si>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</si>
  <si>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</si>
  <si>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</si>
  <si>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</si>
  <si>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</si>
  <si>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</si>
  <si>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</si>
  <si>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</si>
  <si>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</si>
  <si>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</si>
  <si>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</si>
  <si>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</si>
  <si>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</si>
  <si>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</si>
  <si>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</si>
  <si>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</si>
  <si>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</si>
  <si>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</si>
  <si>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</si>
  <si>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</si>
  <si>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</si>
  <si>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</si>
  <si>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</si>
  <si>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</si>
  <si>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</si>
  <si>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</si>
  <si>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</si>
  <si>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</si>
  <si>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</si>
  <si>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</si>
  <si>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</si>
  <si>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</si>
  <si>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</si>
  <si>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</si>
  <si>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</si>
  <si>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</si>
  <si>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</si>
  <si>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</si>
  <si>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</si>
  <si>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</si>
  <si>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</si>
  <si>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</si>
  <si>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</si>
  <si>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</si>
  <si>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</si>
  <si>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</si>
  <si>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</si>
  <si>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</si>
  <si>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</si>
  <si>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</si>
  <si>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</si>
  <si>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</si>
  <si>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</si>
  <si>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</si>
  <si>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</si>
  <si>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</si>
  <si>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</si>
  <si>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</si>
  <si>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</si>
  <si>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</si>
  <si>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</si>
  <si>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</si>
  <si>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</si>
  <si>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</si>
  <si>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</si>
  <si>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</si>
  <si>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</si>
  <si>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</si>
  <si>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</si>
  <si>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</si>
  <si>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</si>
  <si>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</si>
  <si>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</si>
  <si>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</si>
  <si>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</si>
  <si>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</si>
  <si>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</si>
  <si>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</si>
  <si>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</si>
  <si>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1. Inverter 2 was underproducing by 20 kW since 06/09.</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</si>
  <si>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</si>
  <si>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for whole month. About 30 strings were down and needed connector replacements across the entire site.</t>
  </si>
  <si>
    <t>September Actual v. Expected</t>
  </si>
  <si>
    <t>September Actual v. Forecasted</t>
  </si>
  <si>
    <t>1. Inverter 2 was underperforming by 20kW for whole month.</t>
  </si>
  <si>
    <t>1. Few modules need to be replaced.</t>
  </si>
  <si>
    <t>1. SR106365</t>
  </si>
  <si>
    <t>1. Inverter 3 was offline from 09/01 to 09/26.
2. Inverter 2 was offline for whole month.</t>
  </si>
  <si>
    <t>1. SR107074
2. SR107072</t>
  </si>
  <si>
    <t>SR107072</t>
  </si>
  <si>
    <t>October Actual v. Expected</t>
  </si>
  <si>
    <t>October Actual v. Forecasted</t>
  </si>
  <si>
    <t>Status</t>
  </si>
  <si>
    <t>1. Inverter 1 was offline from 09:35 on 10/12 to 10/16.</t>
  </si>
  <si>
    <t>1. SR109398</t>
  </si>
  <si>
    <t>1. Closed</t>
  </si>
  <si>
    <t>1. Site was not communicated from 09/30 to 13:00 on 10/09 due to that expected value is showing low.</t>
  </si>
  <si>
    <t>1. SR108885</t>
  </si>
  <si>
    <t xml:space="preserve">1. Inverter 1 was offline for whole month.
2. Inverter 3 was offline on 10/16, 10/20, 10/21, 10/22, 10/26, 10/28, 10/30, 10/31 based on meter power </t>
  </si>
  <si>
    <t>1. SR107072
2. SR109606</t>
  </si>
  <si>
    <t>1. Work in progress
2. New</t>
  </si>
  <si>
    <t>SR109606</t>
  </si>
  <si>
    <t>November Actual v. Expected</t>
  </si>
  <si>
    <t>November Actual v. Forecasted</t>
  </si>
  <si>
    <t>December Actual v. Expected</t>
  </si>
  <si>
    <t>December Actual v. Forecasted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</si>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</sst>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8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49" fontId="39" fillId="0" borderId="0" xfId="45" applyNumberFormat="1" applyAlignment="1">
      <alignment vertical="top" wrapText="1"/>
    </xf>
    <xf numFmtId="0" fontId="39" fillId="0" borderId="0" xfId="45"/>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096263" TargetMode="External"/><Relationship Id="rId1" Type="http://schemas.openxmlformats.org/officeDocument/2006/relationships/hyperlink" Target="https://us3.assetplanner.com/service_request?ID=10273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7074" TargetMode="External"/><Relationship Id="rId2" Type="http://schemas.openxmlformats.org/officeDocument/2006/relationships/hyperlink" Target="https://us3.assetplanner.com/service_request?ID=106365" TargetMode="External"/><Relationship Id="rId1" Type="http://schemas.openxmlformats.org/officeDocument/2006/relationships/hyperlink" Target="https://us3.assetplanner.com/service_request?ID=102730" TargetMode="External"/><Relationship Id="rId4" Type="http://schemas.openxmlformats.org/officeDocument/2006/relationships/hyperlink" Target="https://us3.assetplanner.com/service_request?ID=107072"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6365" TargetMode="External"/><Relationship Id="rId2" Type="http://schemas.openxmlformats.org/officeDocument/2006/relationships/hyperlink" Target="https://us3.assetplanner.com/service_request?ID=108885" TargetMode="External"/><Relationship Id="rId1" Type="http://schemas.openxmlformats.org/officeDocument/2006/relationships/hyperlink" Target="https://us3.assetplanner.com/service_request?ID=109398" TargetMode="External"/><Relationship Id="rId5" Type="http://schemas.openxmlformats.org/officeDocument/2006/relationships/hyperlink" Target="https://us3.assetplanner.com/service_request?ID=109606" TargetMode="External"/><Relationship Id="rId4" Type="http://schemas.openxmlformats.org/officeDocument/2006/relationships/hyperlink" Target="https://us3.assetplanner.com/service_request?ID=10707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D4" activePane="bottomRight" state="frozen"/>
      <selection pane="bottomRight" sqref="A1:C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0</v>
      </c>
      <c r="E1" s="78"/>
      <c r="F1" s="78"/>
      <c r="G1" s="76" t="s">
        <v>1</v>
      </c>
      <c r="H1" s="76"/>
      <c r="I1" s="76"/>
    </row>
    <row r="2" spans="1:9" ht="19.5" customHeight="1">
      <c r="A2" s="79" t="s">
        <v>2</v>
      </c>
      <c r="B2" s="79"/>
      <c r="C2" s="6">
        <f>SUM(C4:C91)</f>
        <v>11512258.942886416</v>
      </c>
      <c r="D2" s="6">
        <f>SUM(D4:D91)</f>
        <v>14928178.371365817</v>
      </c>
      <c r="E2" s="6">
        <f>C2-D2</f>
        <v>-3415919.4284794014</v>
      </c>
      <c r="F2" s="7">
        <f>IFERROR(E2/D2, 0)</f>
        <v>-0.22882359411189634</v>
      </c>
      <c r="G2" s="6">
        <f>SUM(G4:G91)</f>
        <v>13525011.172899999</v>
      </c>
      <c r="H2" s="8">
        <f>C2-G2</f>
        <v>-2012752.2300135829</v>
      </c>
      <c r="I2" s="7">
        <f>IFERROR(H2/G2, 0)</f>
        <v>-0.1488170474895078</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823319.06801399216</v>
      </c>
      <c r="D4" s="14">
        <f>SUM('1st Qtr'!D4, '2nd Qtr'!D4, '3rd Qtr'!D4, '4th Qtr'!D4)</f>
        <v>1068002.1611253396</v>
      </c>
      <c r="E4" s="14">
        <f>IF(AND(ISNUMBER(C4),ISNUMBER(D4)), C4-D4, "")</f>
        <v>-244683.09311134741</v>
      </c>
      <c r="F4" s="15">
        <f>IFERROR(E4/D4, "")</f>
        <v>-0.22910355617026854</v>
      </c>
      <c r="G4" s="16">
        <f>SUM('1st Qtr'!G4, '2nd Qtr'!G4, '3rd Qtr'!G4, '4th Qtr'!G4)</f>
        <v>1115715.8459000001</v>
      </c>
      <c r="H4" s="16">
        <f>SUM('1st Qtr'!H4, '2nd Qtr'!H4, '3rd Qtr'!H4, '4th Qtr'!H4)</f>
        <v>-292396.7778860078</v>
      </c>
      <c r="I4" s="56">
        <f>IFERROR(H4/G4, "")</f>
        <v>-0.26207100935287325</v>
      </c>
    </row>
    <row r="5" spans="1:9" ht="15.6">
      <c r="A5" s="18" t="str">
        <v>San Luis Valley</v>
      </c>
      <c r="B5" s="11" t="str">
        <v>CO</v>
      </c>
      <c r="C5" s="19">
        <f>SUM('1st Qtr'!C5, '2nd Qtr'!C5, '3rd Qtr'!C5, '4th Qtr'!C5)</f>
        <v>2160720.0129999998</v>
      </c>
      <c r="D5" s="19">
        <f>SUM('1st Qtr'!D5, '2nd Qtr'!D5, '3rd Qtr'!D5, '4th Qtr'!D5)</f>
        <v>1982810.54</v>
      </c>
      <c r="E5" s="19">
        <f t="shared" ref="E5:E6" si="0">IF(AND(ISNUMBER(C5),ISNUMBER(D5)), C5-D5, "")</f>
        <v>177909.47299999977</v>
      </c>
      <c r="F5" s="20">
        <f>IFERROR(E5/D5, "")</f>
        <v>8.9725906439855702E-2</v>
      </c>
      <c r="G5" s="21">
        <f>SUM('1st Qtr'!G5, '2nd Qtr'!G5, '3rd Qtr'!G5, '4th Qtr'!G5)</f>
        <v>980122.85600000003</v>
      </c>
      <c r="H5" s="57">
        <f>SUM('1st Qtr'!H5, '2nd Qtr'!H5, '3rd Qtr'!H5, '4th Qtr'!H5)</f>
        <v>1180597.1570000001</v>
      </c>
      <c r="I5" s="20">
        <f>IFERROR(H5/G5, "")</f>
        <v>1.2045399714665976</v>
      </c>
    </row>
    <row r="6" spans="1:9" ht="15.6">
      <c r="A6" s="13" t="str">
        <v>Golden NREL 2</v>
      </c>
      <c r="B6" s="10" t="str">
        <v>CO</v>
      </c>
      <c r="C6" s="25">
        <f>SUM('1st Qtr'!C6, '2nd Qtr'!C6, '3rd Qtr'!C6, '4th Qtr'!C6)</f>
        <v>106622.24</v>
      </c>
      <c r="D6" s="14">
        <f>SUM('1st Qtr'!D6, '2nd Qtr'!D6, '3rd Qtr'!D6, '4th Qtr'!D6)</f>
        <v>106712.79824047899</v>
      </c>
      <c r="E6" s="14">
        <f t="shared" si="0"/>
        <v>-90.558240478989319</v>
      </c>
      <c r="F6" s="15">
        <f t="shared" ref="F6:F13" si="1">IFERROR(E6/D6, "")</f>
        <v>-8.486164918561584E-4</v>
      </c>
      <c r="G6" s="16">
        <f>SUM('1st Qtr'!G6, '2nd Qtr'!G6, '3rd Qtr'!G6, '4th Qtr'!G6)</f>
        <v>123316.99100000001</v>
      </c>
      <c r="H6" s="16">
        <f>SUM('1st Qtr'!H6, '2nd Qtr'!H6, '3rd Qtr'!H6, '4th Qtr'!H6)</f>
        <v>-16694.751000000004</v>
      </c>
      <c r="I6" s="17">
        <f t="shared" ref="I6:I13" si="2">IFERROR(H6/G6, "")</f>
        <v>-0.1353807846316977</v>
      </c>
    </row>
    <row r="7" spans="1:9" ht="15.6">
      <c r="A7" s="18" t="str">
        <v>Golden NREL Wind 3</v>
      </c>
      <c r="B7" s="11" t="str">
        <v>CO</v>
      </c>
      <c r="C7" s="19">
        <f>SUM('1st Qtr'!C7, '2nd Qtr'!C7, '3rd Qtr'!C7, '4th Qtr'!C7)</f>
        <v>631602.71864124993</v>
      </c>
      <c r="D7" s="19">
        <f>SUM('1st Qtr'!D7, '2nd Qtr'!D7, '3rd Qtr'!D7, '4th Qtr'!D7)</f>
        <v>1219569.3339999998</v>
      </c>
      <c r="E7" s="19">
        <f t="shared" ref="E7:E13" si="3">IF(AND(ISNUMBER(C7),ISNUMBER(D7)), C7-D7, "")</f>
        <v>-587966.61535874987</v>
      </c>
      <c r="F7" s="20">
        <f t="shared" si="1"/>
        <v>-0.48211003586840762</v>
      </c>
      <c r="G7" s="21">
        <f>SUM('1st Qtr'!G7, '2nd Qtr'!G7, '3rd Qtr'!G7, '4th Qtr'!G7)</f>
        <v>607636.6</v>
      </c>
      <c r="H7" s="21">
        <f>SUM('1st Qtr'!H7, '2nd Qtr'!H7, '3rd Qtr'!H7, '4th Qtr'!H7)</f>
        <v>23966.118641249923</v>
      </c>
      <c r="I7" s="20">
        <f t="shared" si="2"/>
        <v>3.944153239164646E-2</v>
      </c>
    </row>
    <row r="8" spans="1:9" ht="15.6">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10</v>
      </c>
      <c r="E1" s="78"/>
      <c r="F1" s="78"/>
      <c r="G1" s="76" t="s">
        <v>11</v>
      </c>
      <c r="H1" s="76"/>
      <c r="I1" s="76"/>
    </row>
    <row r="2" spans="1:9" ht="19.5" customHeight="1">
      <c r="A2" s="79" t="s">
        <v>2</v>
      </c>
      <c r="B2" s="79"/>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tabSelected="1" workbookViewId="0">
      <pane xSplit="2" ySplit="3" topLeftCell="C4" activePane="bottomRight" state="frozen"/>
      <selection pane="bottomRight" activeCell="A9" sqref="A9:XFD13"/>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12</v>
      </c>
      <c r="E1" s="78"/>
      <c r="F1" s="78"/>
      <c r="G1" s="76" t="s">
        <v>13</v>
      </c>
      <c r="H1" s="76"/>
      <c r="I1" s="76"/>
    </row>
    <row r="2" spans="1:9" ht="19.5" customHeight="1">
      <c r="A2" s="79" t="s">
        <v>2</v>
      </c>
      <c r="B2" s="79"/>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hidden="1"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hidden="1">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hidden="1">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hidden="1">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hidden="1">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A8" sqref="A8:XFD13"/>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14</v>
      </c>
      <c r="E1" s="78"/>
      <c r="F1" s="78"/>
      <c r="G1" s="76" t="s">
        <v>15</v>
      </c>
      <c r="H1" s="76"/>
      <c r="I1" s="76"/>
    </row>
    <row r="2" spans="1:9" ht="19.5" customHeight="1">
      <c r="A2" s="79" t="s">
        <v>2</v>
      </c>
      <c r="B2" s="79"/>
      <c r="C2" s="6">
        <f>SUM(C4:C91)</f>
        <v>1194242.564</v>
      </c>
      <c r="D2" s="6">
        <f>SUM(D4:D91)</f>
        <v>1373129.753317046</v>
      </c>
      <c r="E2" s="6">
        <f>C2-D2</f>
        <v>-178887.18931704597</v>
      </c>
      <c r="F2" s="7">
        <f>IFERROR(E2/D2, 0)</f>
        <v>-0.13027697410598763</v>
      </c>
      <c r="G2" s="6">
        <f>SUM(G4:G91)</f>
        <v>1649012.8819000002</v>
      </c>
      <c r="H2" s="8">
        <f>C2-G2</f>
        <v>-454770.31790000014</v>
      </c>
      <c r="I2" s="7">
        <f>IFERROR(H2/G2, 0)</f>
        <v>-0.2757833628176462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319437</v>
      </c>
      <c r="D4" s="14">
        <f>SUM(Jul!D4, Aug!D4, Sep!D4)</f>
        <v>328424.588317046</v>
      </c>
      <c r="E4" s="14">
        <f>IF(AND(ISNUMBER(C4),ISNUMBER(D4)), C4-D4, "")</f>
        <v>-8987.5883170460002</v>
      </c>
      <c r="F4" s="15">
        <f>IFERROR(E4/D4, "")</f>
        <v>-2.736575955868991E-2</v>
      </c>
      <c r="G4" s="16">
        <f>SUM(Jul!G4,Aug!G4,Sep!G4)</f>
        <v>368930.92590000003</v>
      </c>
      <c r="H4" s="16">
        <f>SUM(Jul!H4, Aug!H4, Sep!H4)</f>
        <v>-49493.925900000017</v>
      </c>
      <c r="I4" s="17">
        <f>IFERROR(H4/G4, "")</f>
        <v>-0.1341549933209327</v>
      </c>
    </row>
    <row r="5" spans="1:9" ht="15.6">
      <c r="A5" s="18" t="str">
        <v>San Luis Valley</v>
      </c>
      <c r="B5" s="11" t="str">
        <v>CO</v>
      </c>
      <c r="C5" s="12">
        <f>SUM(Jul!C5, Aug!C5, Sep!C5)</f>
        <v>693812.75</v>
      </c>
      <c r="D5" s="19">
        <f>SUM(Jul!D5, Aug!D5, Sep!D5)</f>
        <v>610051.39300000004</v>
      </c>
      <c r="E5" s="19">
        <f t="shared" ref="E5:E6" si="0">IF(AND(ISNUMBER(C5),ISNUMBER(D5)), C5-D5, "")</f>
        <v>83761.35699999996</v>
      </c>
      <c r="F5" s="20">
        <f>IFERROR(E5/D5, "")</f>
        <v>0.13730213218282078</v>
      </c>
      <c r="G5" s="57">
        <f>SUM(Jul!G5,Aug!G5,Sep!G5)</f>
        <v>762465</v>
      </c>
      <c r="H5" s="21">
        <f>SUM(Jul!H5, Aug!H5, Sep!H5)</f>
        <v>-68652.25</v>
      </c>
      <c r="I5" s="20">
        <f>IFERROR(H5/G5, "")</f>
        <v>-9.0039870682588716E-2</v>
      </c>
    </row>
    <row r="6" spans="1:9" ht="15.6">
      <c r="A6" s="13" t="str">
        <v>Golden NREL 2</v>
      </c>
      <c r="B6" s="10" t="str">
        <v>CO</v>
      </c>
      <c r="C6" s="25">
        <f>SUM(Jul!C6, Aug!C6, Sep!C6)</f>
        <v>35422.000999999997</v>
      </c>
      <c r="D6" s="14">
        <f>SUM(Jul!D6, Aug!D6, Sep!D6)</f>
        <v>37606.173999999999</v>
      </c>
      <c r="E6" s="14">
        <f t="shared" si="0"/>
        <v>-2184.1730000000025</v>
      </c>
      <c r="F6" s="15">
        <f t="shared" ref="F6:F13" si="1">IFERROR(E6/D6, "")</f>
        <v>-5.8080170559227921E-2</v>
      </c>
      <c r="G6" s="16">
        <f>SUM(Jul!G6,Aug!G6,Sep!G6)</f>
        <v>41957.955999999998</v>
      </c>
      <c r="H6" s="16">
        <f>SUM(Jul!H6, Aug!H6, Sep!H6)</f>
        <v>-6535.9550000000017</v>
      </c>
      <c r="I6" s="17">
        <f t="shared" ref="I6:I13" si="2">IFERROR(H6/G6, "")</f>
        <v>-0.15577391329549042</v>
      </c>
    </row>
    <row r="7" spans="1:9" ht="15.6">
      <c r="A7" s="18" t="str">
        <v>Golden NREL Wind 3</v>
      </c>
      <c r="B7" s="11" t="str">
        <v>CO</v>
      </c>
      <c r="C7" s="12">
        <f>SUM(Jul!C7, Aug!C7, Sep!C7)</f>
        <v>145570.81299999999</v>
      </c>
      <c r="D7" s="19">
        <f>SUM(Jul!D7, Aug!D7, Sep!D7)</f>
        <v>397047.598</v>
      </c>
      <c r="E7" s="19">
        <f t="shared" ref="E7:E13" si="3">IF(AND(ISNUMBER(C7),ISNUMBER(D7)), C7-D7, "")</f>
        <v>-251476.785</v>
      </c>
      <c r="F7" s="20">
        <f t="shared" si="1"/>
        <v>-0.63336684635981599</v>
      </c>
      <c r="G7" s="57">
        <f>SUM(Jul!G7,Aug!G7,Sep!G7)</f>
        <v>475659</v>
      </c>
      <c r="H7" s="21">
        <f>SUM(Jul!H7, Aug!H7, Sep!H7)</f>
        <v>-330088.18700000003</v>
      </c>
      <c r="I7" s="20">
        <f t="shared" si="2"/>
        <v>-0.69395972114476978</v>
      </c>
    </row>
    <row r="8" spans="1:9" ht="15.6" hidden="1">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hidden="1"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hidden="1">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hidden="1">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hidden="1">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hidden="1">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A8" sqref="A8:XFD13"/>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7" t="str" cm="1">
        <f t="array" ref="A1">portfolio</f>
        <v>Tortoise</v>
      </c>
      <c r="B1" s="77"/>
      <c r="C1" s="77"/>
      <c r="D1" s="78" t="s">
        <v>16</v>
      </c>
      <c r="E1" s="78"/>
      <c r="F1" s="78"/>
      <c r="G1" s="76" t="s">
        <v>17</v>
      </c>
      <c r="H1" s="76"/>
      <c r="I1" s="76"/>
    </row>
    <row r="2" spans="1:9" ht="19.5" customHeight="1">
      <c r="A2" s="79" t="s">
        <v>2</v>
      </c>
      <c r="B2" s="79"/>
      <c r="C2" s="6">
        <f>SUM(C4:C91)</f>
        <v>336582.12600000075</v>
      </c>
      <c r="D2" s="6">
        <f>SUM(D4:D91)</f>
        <v>346016.94489598146</v>
      </c>
      <c r="E2" s="6">
        <f>C2-D2</f>
        <v>-9434.8188959807158</v>
      </c>
      <c r="F2" s="7">
        <f>IFERROR(E2/D2, 0)</f>
        <v>-2.72669273431594E-2</v>
      </c>
      <c r="G2" s="6">
        <f>SUM(G4:G91)</f>
        <v>474957.19900000014</v>
      </c>
      <c r="H2" s="8">
        <f>C2-G2</f>
        <v>-138375.07299999939</v>
      </c>
      <c r="I2" s="7">
        <f>IFERROR(H2/G2, 0)</f>
        <v>-0.29134219523641613</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85038.000000000728</v>
      </c>
      <c r="D4" s="14">
        <f>SUM(Oct!D4, Nov!D4, Dec!D4)</f>
        <v>98864.174895981429</v>
      </c>
      <c r="E4" s="14">
        <f>IF(AND(ISNUMBER(C4),ISNUMBER(D4)), C4-D4, "")</f>
        <v>-13826.174895980701</v>
      </c>
      <c r="F4" s="15">
        <f>IFERROR(E4/D4, "")</f>
        <v>-0.1398502026697509</v>
      </c>
      <c r="G4" s="16">
        <f>SUM(Oct!G4,Nov!G4,Dec!G4)</f>
        <v>114062.17000000016</v>
      </c>
      <c r="H4" s="16">
        <f>SUM(Oct!H4, Nov!H4, Dec!H4)</f>
        <v>-29024.169999999431</v>
      </c>
      <c r="I4" s="17">
        <f>IFERROR(H4/G4, "")</f>
        <v>-0.25445921290116952</v>
      </c>
    </row>
    <row r="5" spans="1:9" ht="15.6">
      <c r="A5" s="18" t="str">
        <v>San Luis Valley</v>
      </c>
      <c r="B5" s="11" t="str">
        <v>CO</v>
      </c>
      <c r="C5" s="12">
        <f>SUM(Oct!C5, Nov!C5, Dec!C5)</f>
        <v>206910.13800000001</v>
      </c>
      <c r="D5" s="19">
        <f>SUM(Oct!D5, Nov!D5, Dec!D5)</f>
        <v>136830.24400000001</v>
      </c>
      <c r="E5" s="19">
        <f t="shared" ref="E5:E6" si="0">IF(AND(ISNUMBER(C5),ISNUMBER(D5)), C5-D5, "")</f>
        <v>70079.894</v>
      </c>
      <c r="F5" s="20">
        <f>IFERROR(E5/D5, "")</f>
        <v>0.51216669612896393</v>
      </c>
      <c r="G5" s="21">
        <f>SUM(Oct!G5,Nov!G5,Dec!G5)</f>
        <v>217657.856</v>
      </c>
      <c r="H5" s="21">
        <f>SUM(Oct!H5, Nov!H5, Dec!H5)</f>
        <v>-10747.717999999993</v>
      </c>
      <c r="I5" s="20">
        <f>IFERROR(H5/G5, "")</f>
        <v>-4.9378957403678522E-2</v>
      </c>
    </row>
    <row r="6" spans="1:9" ht="15.6">
      <c r="A6" s="13" t="str">
        <v>Golden NREL 2</v>
      </c>
      <c r="B6" s="10" t="str">
        <v>CO</v>
      </c>
      <c r="C6" s="25">
        <f>SUM(Oct!C6, Nov!C6, Dec!C6)</f>
        <v>9698.4879999999994</v>
      </c>
      <c r="D6" s="14">
        <f>SUM(Oct!D6, Nov!D6, Dec!D6)</f>
        <v>10573.856</v>
      </c>
      <c r="E6" s="14">
        <f t="shared" si="0"/>
        <v>-875.36800000000039</v>
      </c>
      <c r="F6" s="15">
        <f t="shared" ref="F6:F13" si="1">IFERROR(E6/D6, "")</f>
        <v>-8.2786071609070561E-2</v>
      </c>
      <c r="G6" s="16">
        <f>SUM(Oct!G6,Nov!G6,Dec!G6)</f>
        <v>11259.573</v>
      </c>
      <c r="H6" s="16">
        <f>SUM(Oct!H6, Nov!H6, Dec!H6)</f>
        <v>-1561.0850000000009</v>
      </c>
      <c r="I6" s="17">
        <f t="shared" ref="I6:I13" si="2">IFERROR(H6/G6, "")</f>
        <v>-0.13864513334564293</v>
      </c>
    </row>
    <row r="7" spans="1:9" ht="15.6">
      <c r="A7" s="18" t="str">
        <v>Golden NREL Wind 3</v>
      </c>
      <c r="B7" s="11" t="str">
        <v>CO</v>
      </c>
      <c r="C7" s="12">
        <f>SUM(Oct!C7, Nov!C7, Dec!C7)</f>
        <v>34935.5</v>
      </c>
      <c r="D7" s="19">
        <f>SUM(Oct!D7, Nov!D7, Dec!D7)</f>
        <v>99748.67</v>
      </c>
      <c r="E7" s="19">
        <f t="shared" ref="E7:E13" si="3">IF(AND(ISNUMBER(C7),ISNUMBER(D7)), C7-D7, "")</f>
        <v>-64813.17</v>
      </c>
      <c r="F7" s="20">
        <f t="shared" si="1"/>
        <v>-0.64976475375561393</v>
      </c>
      <c r="G7" s="21">
        <f>SUM(Oct!G7,Nov!G7,Dec!G7)</f>
        <v>131977.60000000001</v>
      </c>
      <c r="H7" s="21">
        <f>SUM(Oct!H7, Nov!H7, Dec!H7)</f>
        <v>-97042.1</v>
      </c>
      <c r="I7" s="20">
        <f t="shared" si="2"/>
        <v>-0.73529220110079285</v>
      </c>
    </row>
    <row r="8" spans="1:9" ht="15.6" hidden="1">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hidden="1"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hidden="1">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hidden="1">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hidden="1">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hidden="1">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7" t="str" cm="1">
        <f t="array" ref="A1">portfolio</f>
        <v>Tortoise</v>
      </c>
      <c r="B1" s="77"/>
      <c r="C1" s="77"/>
      <c r="D1" s="78" t="s">
        <v>18</v>
      </c>
      <c r="E1" s="78"/>
      <c r="F1" s="78"/>
      <c r="G1" s="76" t="s">
        <v>19</v>
      </c>
      <c r="H1" s="76"/>
      <c r="I1" s="76"/>
      <c r="J1" s="5"/>
      <c r="K1" s="5"/>
    </row>
    <row r="2" spans="1:13" ht="19.5" customHeight="1">
      <c r="A2" s="79" t="s">
        <v>2</v>
      </c>
      <c r="B2" s="79"/>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7" t="str" cm="1">
        <f t="array" ref="A1">portfolio</f>
        <v>Tortoise</v>
      </c>
      <c r="B1" s="77"/>
      <c r="C1" s="77"/>
      <c r="D1" s="78" t="s">
        <v>45</v>
      </c>
      <c r="E1" s="78"/>
      <c r="F1" s="78"/>
      <c r="G1" s="76" t="s">
        <v>46</v>
      </c>
      <c r="H1" s="76"/>
      <c r="I1" s="76"/>
      <c r="J1" s="5"/>
      <c r="K1" s="5"/>
    </row>
    <row r="2" spans="1:21" ht="19.5" customHeight="1">
      <c r="A2" s="79" t="s">
        <v>2</v>
      </c>
      <c r="B2" s="79"/>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7" t="str" cm="1">
        <f t="array" ref="A1">portfolio</f>
        <v>Tortoise</v>
      </c>
      <c r="B1" s="77"/>
      <c r="C1" s="77"/>
      <c r="D1" s="78" t="s">
        <v>73</v>
      </c>
      <c r="E1" s="78"/>
      <c r="F1" s="78"/>
      <c r="G1" s="76" t="s">
        <v>74</v>
      </c>
      <c r="H1" s="76"/>
      <c r="I1" s="76"/>
      <c r="J1" s="5"/>
      <c r="K1" s="5"/>
    </row>
    <row r="2" spans="1:16" ht="19.5" customHeight="1">
      <c r="A2" s="79" t="s">
        <v>2</v>
      </c>
      <c r="B2" s="79"/>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7" t="str" cm="1">
        <f t="array" ref="A1">portfolio</f>
        <v>Tortoise</v>
      </c>
      <c r="B1" s="77"/>
      <c r="C1" s="77"/>
      <c r="D1" s="78" t="s">
        <v>99</v>
      </c>
      <c r="E1" s="78"/>
      <c r="F1" s="78"/>
      <c r="G1" s="76" t="s">
        <v>100</v>
      </c>
      <c r="H1" s="76"/>
      <c r="I1" s="76"/>
      <c r="J1" s="5"/>
      <c r="K1" s="5"/>
    </row>
    <row r="2" spans="1:13" ht="19.5" customHeight="1">
      <c r="A2" s="79" t="s">
        <v>2</v>
      </c>
      <c r="B2" s="79"/>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7" t="str" cm="1">
        <f t="array" ref="A1">portfolio</f>
        <v>Tortoise</v>
      </c>
      <c r="B1" s="77"/>
      <c r="C1" s="77"/>
      <c r="D1" s="78" t="s">
        <v>111</v>
      </c>
      <c r="E1" s="78"/>
      <c r="F1" s="78"/>
      <c r="G1" s="76" t="s">
        <v>112</v>
      </c>
      <c r="H1" s="76"/>
      <c r="I1" s="76"/>
      <c r="J1" s="5"/>
      <c r="K1" s="5"/>
    </row>
    <row r="2" spans="1:17" ht="19.5" customHeight="1">
      <c r="A2" s="79" t="s">
        <v>2</v>
      </c>
      <c r="B2" s="79"/>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1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 min="12" max="14" width="8.85546875" style="62"/>
  </cols>
  <sheetData>
    <row r="1" spans="1:14" ht="19.5" customHeight="1">
      <c r="A1" s="77" t="str" cm="1">
        <f t="array" ref="A1">portfolio</f>
        <v>Tortoise</v>
      </c>
      <c r="B1" s="77"/>
      <c r="C1" s="77"/>
      <c r="D1" s="78" t="s">
        <v>128</v>
      </c>
      <c r="E1" s="78"/>
      <c r="F1" s="78"/>
      <c r="G1" s="76" t="s">
        <v>129</v>
      </c>
      <c r="H1" s="76"/>
      <c r="I1" s="76"/>
      <c r="J1" s="5"/>
      <c r="K1" s="5"/>
    </row>
    <row r="2" spans="1:14" ht="19.5" customHeight="1">
      <c r="A2" s="79" t="s">
        <v>2</v>
      </c>
      <c r="B2" s="79"/>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8.9">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 customHeight="1">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899999999999999" customHeight="1">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c r="A14" s="22"/>
      <c r="B14" s="22"/>
      <c r="C14" s="22"/>
      <c r="D14" s="22"/>
      <c r="E14" s="22" t="str">
        <f t="shared" si="0"/>
        <v/>
      </c>
      <c r="F14" s="22" t="str">
        <f t="shared" si="3"/>
        <v/>
      </c>
      <c r="G14" s="22"/>
      <c r="H14" s="22" t="str">
        <f t="shared" si="1"/>
        <v/>
      </c>
      <c r="I14" s="22" t="str">
        <f t="shared" si="2"/>
        <v/>
      </c>
      <c r="J14" s="22"/>
      <c r="K14" s="22"/>
      <c r="L14" s="72"/>
      <c r="M14" s="72"/>
      <c r="N14" s="72"/>
    </row>
    <row r="15" spans="1:14">
      <c r="A15" s="22"/>
      <c r="B15" s="22"/>
      <c r="C15" s="22"/>
      <c r="D15" s="22"/>
      <c r="E15" s="22" t="str">
        <f t="shared" si="0"/>
        <v/>
      </c>
      <c r="F15" s="22" t="str">
        <f t="shared" si="3"/>
        <v/>
      </c>
      <c r="G15" s="22"/>
      <c r="H15" s="22" t="str">
        <f t="shared" si="1"/>
        <v/>
      </c>
      <c r="I15" s="22" t="str">
        <f t="shared" si="2"/>
        <v/>
      </c>
      <c r="J15" s="22"/>
      <c r="K15" s="22"/>
      <c r="L15" s="72"/>
      <c r="M15" s="72"/>
      <c r="N15" s="72"/>
    </row>
    <row r="16" spans="1:14">
      <c r="A16" s="22"/>
      <c r="B16" s="22"/>
      <c r="C16" s="22"/>
      <c r="D16" s="22"/>
      <c r="E16" s="22" t="str">
        <f t="shared" si="0"/>
        <v/>
      </c>
      <c r="F16" s="22" t="str">
        <f t="shared" si="3"/>
        <v/>
      </c>
      <c r="G16" s="22"/>
      <c r="H16" s="22" t="str">
        <f t="shared" si="1"/>
        <v/>
      </c>
      <c r="I16" s="22" t="str">
        <f t="shared" si="2"/>
        <v/>
      </c>
      <c r="J16" s="22"/>
      <c r="K16" s="22"/>
      <c r="L16" s="72"/>
      <c r="M16" s="72"/>
      <c r="N16" s="72"/>
    </row>
    <row r="17" spans="1:14">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7 I4:I7 F18:F100 I18:I100">
    <cfRule type="cellIs" dxfId="28" priority="1" stopIfTrue="1" operator="lessThanOrEqual">
      <formula>-0.1</formula>
    </cfRule>
    <cfRule type="expression" dxfId="27"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bottomRight" activeCell="I6" sqref="I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7" t="str" cm="1">
        <f t="array" ref="A1">portfolio</f>
        <v>Tortoise</v>
      </c>
      <c r="B1" s="77"/>
      <c r="C1" s="77"/>
      <c r="D1" s="78" t="s">
        <v>136</v>
      </c>
      <c r="E1" s="78"/>
      <c r="F1" s="78"/>
      <c r="G1" s="76" t="s">
        <v>137</v>
      </c>
      <c r="H1" s="76"/>
      <c r="I1" s="76"/>
      <c r="J1" s="5"/>
      <c r="K1" s="5"/>
    </row>
    <row r="2" spans="1:15" ht="19.5" customHeight="1">
      <c r="A2" s="79" t="s">
        <v>2</v>
      </c>
      <c r="B2" s="79"/>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9">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1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7 I4:I7 A8:K19 F20:F100 I20:I100">
    <cfRule type="cellIs" dxfId="24" priority="1" stopIfTrue="1" operator="lessThanOrEqual">
      <formula>-0.1</formula>
    </cfRule>
    <cfRule type="expression" dxfId="23"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J4" activePane="bottomRight" state="frozen"/>
      <selection pane="bottomRight" activeCell="J20" sqref="J20"/>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7" t="str" cm="1">
        <f t="array" ref="A1">portfolio</f>
        <v>Tortoise</v>
      </c>
      <c r="B1" s="77"/>
      <c r="C1" s="77"/>
      <c r="D1" s="78" t="s">
        <v>144</v>
      </c>
      <c r="E1" s="78"/>
      <c r="F1" s="78"/>
      <c r="G1" s="76" t="s">
        <v>145</v>
      </c>
      <c r="H1" s="76"/>
      <c r="I1" s="76"/>
      <c r="J1" s="5"/>
      <c r="K1" s="5"/>
    </row>
    <row r="2" spans="1:12" ht="19.5" customHeight="1">
      <c r="A2" s="79" t="s">
        <v>2</v>
      </c>
      <c r="B2" s="79"/>
      <c r="C2" s="6">
        <f>SUM(C4:C100)</f>
        <v>426349.53499999997</v>
      </c>
      <c r="D2" s="6">
        <f>SUM(D4:D100)</f>
        <v>467620.47699999996</v>
      </c>
      <c r="E2" s="6">
        <f>C2-D2</f>
        <v>-41270.941999999981</v>
      </c>
      <c r="F2" s="7">
        <f>IFERROR(E2/D2, 0)</f>
        <v>-8.8257345496869644E-2</v>
      </c>
      <c r="G2" s="6">
        <f>SUM(G4:G100)</f>
        <v>545877.45589999994</v>
      </c>
      <c r="H2" s="8">
        <f>C2-G2</f>
        <v>-119527.92089999997</v>
      </c>
      <c r="I2" s="7">
        <f>IFERROR(H2/G2, 0)</f>
        <v>-0.21896475043639915</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v>109827</v>
      </c>
      <c r="D4" s="14">
        <v>112493.967</v>
      </c>
      <c r="E4" s="14">
        <f>IF(AND(ISNUMBER(C4),ISNUMBER(D4)), C4-D4, "")</f>
        <v>-2666.9670000000042</v>
      </c>
      <c r="F4" s="15">
        <f>IFERROR(E4/D4, "")</f>
        <v>-2.3707644695292896E-2</v>
      </c>
      <c r="G4" s="16">
        <v>112409.4559</v>
      </c>
      <c r="H4" s="16">
        <f>IF(AND(ISNUMBER(C4),ISNUMBER(G4)), C4-G4, "")</f>
        <v>-2582.4559000000008</v>
      </c>
      <c r="I4" s="17">
        <f t="shared" ref="I4:I13" si="0">IFERROR(H4/G4, "")</f>
        <v>-2.2973653589226213E-2</v>
      </c>
      <c r="J4" s="41" t="s">
        <v>146</v>
      </c>
      <c r="K4" s="68" t="s">
        <v>139</v>
      </c>
    </row>
    <row r="5" spans="1:12" ht="15.6">
      <c r="A5" s="30" t="str">
        <v>San Luis Valley</v>
      </c>
      <c r="B5" s="31" t="str">
        <v>CO</v>
      </c>
      <c r="C5" s="12">
        <v>239326.5</v>
      </c>
      <c r="D5" s="19">
        <v>209732.226</v>
      </c>
      <c r="E5" s="19">
        <f>IF(AND(ISNUMBER(C5),ISNUMBER(D5)), C5-D5, "")</f>
        <v>29594.274000000005</v>
      </c>
      <c r="F5" s="20">
        <f>IFERROR(E5/D5, "")</f>
        <v>0.1411050393371594</v>
      </c>
      <c r="G5" s="21">
        <v>258456</v>
      </c>
      <c r="H5" s="21">
        <f t="shared" ref="H5:H17" si="1">IF(AND(ISNUMBER(C5),ISNUMBER(G5)), C5-G5, "")</f>
        <v>-19129.5</v>
      </c>
      <c r="I5" s="53">
        <f t="shared" si="0"/>
        <v>-7.4014532454266882E-2</v>
      </c>
      <c r="J5" s="42"/>
      <c r="K5" s="42"/>
    </row>
    <row r="6" spans="1:12" ht="72">
      <c r="A6" s="32" t="str">
        <v>Golden NREL 2</v>
      </c>
      <c r="B6" s="29" t="str">
        <v>CO</v>
      </c>
      <c r="C6" s="25">
        <v>11968.99</v>
      </c>
      <c r="D6" s="14">
        <v>12742.894</v>
      </c>
      <c r="E6" s="14">
        <f t="shared" ref="E6:E17" si="2">IF(AND(ISNUMBER(C6),ISNUMBER(D6)), C6-D6, "")</f>
        <v>-773.90400000000045</v>
      </c>
      <c r="F6" s="15">
        <f t="shared" ref="F6:F17" si="3">IFERROR(E6/D6, "")</f>
        <v>-6.073220102121233E-2</v>
      </c>
      <c r="G6" s="16">
        <v>13987</v>
      </c>
      <c r="H6" s="16">
        <f t="shared" si="1"/>
        <v>-2018.0100000000002</v>
      </c>
      <c r="I6" s="17">
        <f t="shared" si="0"/>
        <v>-0.14427754343318797</v>
      </c>
      <c r="J6" s="41" t="s">
        <v>147</v>
      </c>
      <c r="K6" s="41"/>
    </row>
    <row r="7" spans="1:12" ht="28.9">
      <c r="A7" s="30" t="str">
        <v>Golden NREL Wind 3</v>
      </c>
      <c r="B7" s="31" t="str">
        <v>CO</v>
      </c>
      <c r="C7" s="12">
        <v>65227.044999999998</v>
      </c>
      <c r="D7" s="19">
        <v>132651.39000000001</v>
      </c>
      <c r="E7" s="19">
        <f t="shared" si="2"/>
        <v>-67424.345000000016</v>
      </c>
      <c r="F7" s="20">
        <f t="shared" si="3"/>
        <v>-0.50828223511265136</v>
      </c>
      <c r="G7" s="21">
        <v>161025</v>
      </c>
      <c r="H7" s="21">
        <f t="shared" si="1"/>
        <v>-95797.955000000002</v>
      </c>
      <c r="I7" s="53">
        <f t="shared" si="0"/>
        <v>-0.5949259742276044</v>
      </c>
      <c r="J7" s="48" t="s">
        <v>148</v>
      </c>
      <c r="K7" s="60" t="s">
        <v>29</v>
      </c>
    </row>
    <row r="8" spans="1:12" ht="15.6" hidden="1">
      <c r="A8" s="32" t="str">
        <v>Pratt Solar Farm</v>
      </c>
      <c r="B8" s="29" t="str">
        <v>KS</v>
      </c>
      <c r="C8" s="46"/>
      <c r="D8" s="14"/>
      <c r="E8" s="14" t="str">
        <f t="shared" si="2"/>
        <v/>
      </c>
      <c r="F8" s="15" t="str">
        <f t="shared" si="3"/>
        <v/>
      </c>
      <c r="G8" s="16"/>
      <c r="H8" s="16" t="str">
        <f t="shared" si="1"/>
        <v/>
      </c>
      <c r="I8" s="17" t="str">
        <f t="shared" si="0"/>
        <v/>
      </c>
      <c r="J8" s="41"/>
      <c r="K8" s="41"/>
    </row>
    <row r="9" spans="1:12" ht="15.6" hidden="1">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hidden="1">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hidden="1">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hidden="1">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hidden="1">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730" xr:uid="{DCA78FB1-E379-4850-9AA5-64B1622BE11F}"/>
    <hyperlink ref="K7" r:id="rId2" display="https://us3.assetplanner.com/service_request?ID=096263" xr:uid="{75C7C7E1-3B05-4BCB-913C-E516CBFBDF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L1" sqref="L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2"/>
  </cols>
  <sheetData>
    <row r="1" spans="1:13" ht="19.5" customHeight="1">
      <c r="A1" s="77" t="str" cm="1">
        <f t="array" ref="A1">portfolio</f>
        <v>Tortoise</v>
      </c>
      <c r="B1" s="77"/>
      <c r="C1" s="77"/>
      <c r="D1" s="78" t="s">
        <v>149</v>
      </c>
      <c r="E1" s="78"/>
      <c r="F1" s="78"/>
      <c r="G1" s="76" t="s">
        <v>150</v>
      </c>
      <c r="H1" s="76"/>
      <c r="I1" s="76"/>
      <c r="J1" s="5"/>
      <c r="K1" s="5"/>
    </row>
    <row r="2" spans="1:13" ht="19.5" customHeight="1">
      <c r="A2" s="79" t="s">
        <v>2</v>
      </c>
      <c r="B2" s="79"/>
      <c r="C2" s="6">
        <f>SUM(C4:C100)</f>
        <v>359243.30900000001</v>
      </c>
      <c r="D2" s="6">
        <f>SUM(D4:D100)</f>
        <v>418249.9498</v>
      </c>
      <c r="E2" s="6">
        <f>C2-D2</f>
        <v>-59006.640799999994</v>
      </c>
      <c r="F2" s="7">
        <f>IFERROR(E2/D2, 0)</f>
        <v>-0.14107985148167015</v>
      </c>
      <c r="G2" s="6">
        <f>SUM(G4:G100)</f>
        <v>517607.91600000003</v>
      </c>
      <c r="H2" s="8">
        <f>C2-G2</f>
        <v>-158364.60700000002</v>
      </c>
      <c r="I2" s="7">
        <f>IFERROR(H2/G2, 0)</f>
        <v>-0.30595476248473757</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v>97692</v>
      </c>
      <c r="D4" s="14">
        <v>101109.44779999999</v>
      </c>
      <c r="E4" s="14">
        <f>IF(AND(ISNUMBER(C4),ISNUMBER(D4)), C4-D4, "")</f>
        <v>-3417.4477999999945</v>
      </c>
      <c r="F4" s="15">
        <f>IFERROR(E4/D4, "")</f>
        <v>-3.3799490298472332E-2</v>
      </c>
      <c r="G4" s="16">
        <v>122140.96</v>
      </c>
      <c r="H4" s="16">
        <f>IF(AND(ISNUMBER(C4),ISNUMBER(G4)), C4-G4, "")</f>
        <v>-24448.960000000006</v>
      </c>
      <c r="I4" s="17">
        <f>IFERROR(H4/G4, "")</f>
        <v>-0.20017003305033795</v>
      </c>
      <c r="J4" s="41" t="s">
        <v>151</v>
      </c>
      <c r="K4" s="68" t="s">
        <v>139</v>
      </c>
    </row>
    <row r="5" spans="1:13" ht="47.25" customHeight="1">
      <c r="A5" s="30" t="str">
        <v>San Luis Valley</v>
      </c>
      <c r="B5" s="31" t="str">
        <v>CO</v>
      </c>
      <c r="C5" s="12">
        <v>213057.5</v>
      </c>
      <c r="D5" s="19">
        <v>189784.182</v>
      </c>
      <c r="E5" s="19">
        <f t="shared" ref="E5:E17" si="0">IF(AND(ISNUMBER(C5),ISNUMBER(D5)), C5-D5, "")</f>
        <v>23273.317999999999</v>
      </c>
      <c r="F5" s="20">
        <f>IFERROR(E5/D5, "")</f>
        <v>0.12263044135048093</v>
      </c>
      <c r="G5" s="21">
        <v>235469</v>
      </c>
      <c r="H5" s="21">
        <f t="shared" ref="H5:H17" si="1">IF(AND(ISNUMBER(C5),ISNUMBER(G5)), C5-G5, "")</f>
        <v>-22411.5</v>
      </c>
      <c r="I5" s="20">
        <f t="shared" ref="I5:I17" si="2">IFERROR(H5/G5, "")</f>
        <v>-9.5178133852014485E-2</v>
      </c>
      <c r="J5" s="55"/>
      <c r="K5" s="55"/>
    </row>
    <row r="6" spans="1:13" ht="15.6">
      <c r="A6" s="32" t="str">
        <v>Golden NREL 2</v>
      </c>
      <c r="B6" s="29" t="str">
        <v>CO</v>
      </c>
      <c r="C6" s="25">
        <v>10692.120999999999</v>
      </c>
      <c r="D6" s="14">
        <v>11453.912</v>
      </c>
      <c r="E6" s="14">
        <f t="shared" si="0"/>
        <v>-761.79100000000108</v>
      </c>
      <c r="F6" s="15">
        <f t="shared" ref="F6:F17" si="3">IFERROR(E6/D6, "")</f>
        <v>-6.6509241558692006E-2</v>
      </c>
      <c r="G6" s="16">
        <v>12847.956</v>
      </c>
      <c r="H6" s="16">
        <f t="shared" si="1"/>
        <v>-2155.8350000000009</v>
      </c>
      <c r="I6" s="17">
        <f t="shared" si="2"/>
        <v>-0.16779595135599787</v>
      </c>
      <c r="J6" s="41" t="s">
        <v>152</v>
      </c>
      <c r="K6" s="68" t="s">
        <v>153</v>
      </c>
    </row>
    <row r="7" spans="1:13" ht="28.9">
      <c r="A7" s="30" t="str">
        <v>Golden NREL Wind 3</v>
      </c>
      <c r="B7" s="31" t="str">
        <v>CO</v>
      </c>
      <c r="C7" s="12">
        <v>37801.688000000002</v>
      </c>
      <c r="D7" s="19">
        <v>115902.408</v>
      </c>
      <c r="E7" s="19">
        <f t="shared" si="0"/>
        <v>-78100.72</v>
      </c>
      <c r="F7" s="20">
        <f t="shared" si="3"/>
        <v>-0.673848985087523</v>
      </c>
      <c r="G7" s="21">
        <v>147150</v>
      </c>
      <c r="H7" s="21">
        <f t="shared" si="1"/>
        <v>-109348.31200000001</v>
      </c>
      <c r="I7" s="20">
        <f t="shared" si="2"/>
        <v>-0.74310779476724431</v>
      </c>
      <c r="J7" s="48" t="s">
        <v>154</v>
      </c>
      <c r="K7" s="60" t="s">
        <v>155</v>
      </c>
      <c r="L7" s="61" t="s">
        <v>156</v>
      </c>
    </row>
    <row r="8" spans="1:13" ht="15.6" hidden="1">
      <c r="A8" s="32" t="str">
        <v>Pratt Solar Farm</v>
      </c>
      <c r="B8" s="29" t="str">
        <v>KS</v>
      </c>
      <c r="C8" s="25"/>
      <c r="D8" s="14"/>
      <c r="E8" s="14" t="str">
        <f t="shared" si="0"/>
        <v/>
      </c>
      <c r="F8" s="15" t="str">
        <f t="shared" si="3"/>
        <v/>
      </c>
      <c r="G8" s="16"/>
      <c r="H8" s="16" t="str">
        <f t="shared" si="1"/>
        <v/>
      </c>
      <c r="I8" s="17" t="str">
        <f t="shared" si="2"/>
        <v/>
      </c>
      <c r="J8" s="41"/>
      <c r="K8" s="41"/>
    </row>
    <row r="9" spans="1:13" ht="96.75" hidden="1" customHeight="1">
      <c r="A9" s="30" t="str">
        <v>Rochester - 5516 Valleyhigh NW</v>
      </c>
      <c r="B9" s="31" t="str">
        <v>MN</v>
      </c>
      <c r="C9" s="12"/>
      <c r="D9" s="19"/>
      <c r="E9" s="19" t="str">
        <f t="shared" si="0"/>
        <v/>
      </c>
      <c r="F9" s="20" t="str">
        <f t="shared" si="3"/>
        <v/>
      </c>
      <c r="G9" s="54"/>
      <c r="H9" s="21" t="str">
        <f t="shared" si="1"/>
        <v/>
      </c>
      <c r="I9" s="20" t="str">
        <f t="shared" si="2"/>
        <v/>
      </c>
      <c r="J9" s="55"/>
      <c r="K9" s="55"/>
      <c r="L9" s="72"/>
      <c r="M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41"/>
      <c r="K10" s="41"/>
      <c r="L10" s="72"/>
      <c r="M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2"/>
      <c r="K11" s="42"/>
      <c r="L11" s="72"/>
      <c r="M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41"/>
      <c r="K12" s="41"/>
      <c r="L12" s="72"/>
      <c r="M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2"/>
      <c r="K13" s="55"/>
      <c r="L13" s="72"/>
      <c r="M13" s="22"/>
    </row>
    <row r="14" spans="1:13">
      <c r="A14" s="22"/>
      <c r="B14" s="22"/>
      <c r="C14" s="22"/>
      <c r="D14" s="22"/>
      <c r="E14" s="22" t="str">
        <f t="shared" si="0"/>
        <v/>
      </c>
      <c r="F14" s="22" t="str">
        <f t="shared" si="3"/>
        <v/>
      </c>
      <c r="G14" s="22"/>
      <c r="H14" s="22" t="str">
        <f t="shared" si="1"/>
        <v/>
      </c>
      <c r="I14" s="22" t="str">
        <f t="shared" si="2"/>
        <v/>
      </c>
      <c r="J14" s="22"/>
      <c r="K14" s="22"/>
      <c r="L14" s="72"/>
      <c r="M14" s="22"/>
    </row>
    <row r="15" spans="1:13">
      <c r="A15" s="22"/>
      <c r="B15" s="22"/>
      <c r="C15" s="22"/>
      <c r="D15" s="22"/>
      <c r="E15" s="22" t="str">
        <f t="shared" si="0"/>
        <v/>
      </c>
      <c r="F15" s="22" t="str">
        <f t="shared" si="3"/>
        <v/>
      </c>
      <c r="G15" s="22"/>
      <c r="H15" s="22" t="str">
        <f t="shared" si="1"/>
        <v/>
      </c>
      <c r="I15" s="22" t="str">
        <f t="shared" si="2"/>
        <v/>
      </c>
      <c r="J15" s="22"/>
      <c r="K15" s="22"/>
      <c r="L15" s="72"/>
      <c r="M15" s="22"/>
    </row>
    <row r="16" spans="1:13">
      <c r="A16" s="22"/>
      <c r="B16" s="22"/>
      <c r="C16" s="22"/>
      <c r="D16" s="22"/>
      <c r="E16" s="22" t="str">
        <f t="shared" si="0"/>
        <v/>
      </c>
      <c r="F16" s="22" t="str">
        <f t="shared" si="3"/>
        <v/>
      </c>
      <c r="G16" s="22"/>
      <c r="H16" s="22" t="str">
        <f t="shared" si="1"/>
        <v/>
      </c>
      <c r="I16" s="22" t="str">
        <f t="shared" si="2"/>
        <v/>
      </c>
      <c r="J16" s="22"/>
      <c r="K16" s="22"/>
      <c r="L16" s="72"/>
      <c r="M16" s="22"/>
    </row>
    <row r="17" spans="1:13">
      <c r="A17" s="22"/>
      <c r="B17" s="22"/>
      <c r="C17" s="22"/>
      <c r="D17" s="22"/>
      <c r="E17" s="22" t="str">
        <f t="shared" si="0"/>
        <v/>
      </c>
      <c r="F17" s="22" t="str">
        <f t="shared" si="3"/>
        <v/>
      </c>
      <c r="G17" s="22"/>
      <c r="H17" s="22" t="str">
        <f t="shared" si="1"/>
        <v/>
      </c>
      <c r="I17" s="22" t="str">
        <f t="shared" si="2"/>
        <v/>
      </c>
      <c r="J17" s="22"/>
      <c r="K17" s="22"/>
      <c r="L17" s="7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hyperlinks>
    <hyperlink ref="K4" r:id="rId1" display="https://us3.assetplanner.com/service_request?ID=102730" xr:uid="{209836DB-5DF9-4B40-8927-B932FE29D1D9}"/>
    <hyperlink ref="K6" r:id="rId2" display="https://us3.assetplanner.com/service_request?ID=106365" xr:uid="{3139D0E4-49F0-4665-A08B-59A6BE13DAE0}"/>
    <hyperlink ref="K7" r:id="rId3" display="https://us3.assetplanner.com/service_request?ID=107074" xr:uid="{B4CDB689-3321-4CE2-98FF-1C7C936A7913}"/>
    <hyperlink ref="L7" r:id="rId4" display="https://us3.assetplanner.com/service_request?ID=107072" xr:uid="{DA8878D3-2837-43B8-BAFC-9AAC03D96CB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96" zoomScaleNormal="96" workbookViewId="0">
      <pane xSplit="2" ySplit="3" topLeftCell="C4" activePane="bottomRight" state="frozen"/>
      <selection pane="bottomRight" activeCell="L21" sqref="L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3" ht="19.5" customHeight="1">
      <c r="A1" s="77" t="str" cm="1">
        <f t="array" ref="A1">portfolio</f>
        <v>Tortoise</v>
      </c>
      <c r="B1" s="77"/>
      <c r="C1" s="77"/>
      <c r="D1" s="78" t="s">
        <v>157</v>
      </c>
      <c r="E1" s="78"/>
      <c r="F1" s="78"/>
      <c r="G1" s="76" t="s">
        <v>158</v>
      </c>
      <c r="H1" s="76"/>
      <c r="I1" s="76"/>
      <c r="J1" s="5"/>
      <c r="K1" s="5"/>
    </row>
    <row r="2" spans="1:13" ht="19.5" customHeight="1">
      <c r="A2" s="79" t="s">
        <v>2</v>
      </c>
      <c r="B2" s="79"/>
      <c r="C2" s="6">
        <f>SUM(C4:C100)</f>
        <v>336582.12600000075</v>
      </c>
      <c r="D2" s="6">
        <f>SUM(D4:D100)</f>
        <v>346016.94489598146</v>
      </c>
      <c r="E2" s="6">
        <f>C2-D2</f>
        <v>-9434.8188959807158</v>
      </c>
      <c r="F2" s="7">
        <f>IFERROR(E2/D2, 0)</f>
        <v>-2.72669273431594E-2</v>
      </c>
      <c r="G2" s="6">
        <f>SUM(G4:G100)</f>
        <v>474957.19900000014</v>
      </c>
      <c r="H2" s="8">
        <f>C2-G2</f>
        <v>-138375.07299999939</v>
      </c>
      <c r="I2" s="7">
        <f>IFERROR(H2/G2, 0)</f>
        <v>-0.29134219523641613</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c r="L3" s="26" t="s">
        <v>159</v>
      </c>
    </row>
    <row r="4" spans="1:13" ht="15.6">
      <c r="A4" s="32" t="str" cm="1">
        <f t="array" ref="A4:A13">Sites[Site]</f>
        <v>Alamosa School District</v>
      </c>
      <c r="B4" s="29" t="str" cm="1">
        <f t="array" ref="B4:B13">Sites[State]</f>
        <v>CO</v>
      </c>
      <c r="C4" s="25">
        <v>85038.000000000728</v>
      </c>
      <c r="D4" s="14">
        <v>98864.174895981429</v>
      </c>
      <c r="E4" s="14">
        <f>IF(AND(ISNUMBER(C4),ISNUMBER(D4)), C4-D4, "")</f>
        <v>-13826.174895980701</v>
      </c>
      <c r="F4" s="15">
        <f>IFERROR(E4/D4, "")</f>
        <v>-0.1398502026697509</v>
      </c>
      <c r="G4" s="16">
        <v>114062.17000000016</v>
      </c>
      <c r="H4" s="16">
        <f>IF(AND(ISNUMBER(C4),ISNUMBER(G4)), C4-G4, "")</f>
        <v>-29024.169999999431</v>
      </c>
      <c r="I4" s="17">
        <f>IFERROR(H4/G4, "")</f>
        <v>-0.25445921290116952</v>
      </c>
      <c r="J4" s="41" t="s">
        <v>160</v>
      </c>
      <c r="K4" s="68" t="s">
        <v>161</v>
      </c>
      <c r="L4" s="41" t="s">
        <v>162</v>
      </c>
    </row>
    <row r="5" spans="1:13" ht="28.9">
      <c r="A5" s="30" t="str">
        <v>San Luis Valley</v>
      </c>
      <c r="B5" s="31" t="str">
        <v>CO</v>
      </c>
      <c r="C5" s="12">
        <v>206910.13800000001</v>
      </c>
      <c r="D5" s="19">
        <v>136830.24400000001</v>
      </c>
      <c r="E5" s="19">
        <f t="shared" ref="E5:E17" si="0">IF(AND(ISNUMBER(C5),ISNUMBER(D5)), C5-D5, "")</f>
        <v>70079.894</v>
      </c>
      <c r="F5" s="20">
        <f>IFERROR(E5/D5, "")</f>
        <v>0.51216669612896393</v>
      </c>
      <c r="G5" s="21">
        <v>217657.856</v>
      </c>
      <c r="H5" s="21">
        <f t="shared" ref="H5:H16" si="1">IF(AND(ISNUMBER(C5),ISNUMBER(G5)), C5-G5, "")</f>
        <v>-10747.717999999993</v>
      </c>
      <c r="I5" s="20">
        <f t="shared" ref="I5:I16" si="2">IFERROR(H5/G5, "")</f>
        <v>-4.9378957403678522E-2</v>
      </c>
      <c r="J5" s="55" t="s">
        <v>163</v>
      </c>
      <c r="K5" s="74" t="s">
        <v>164</v>
      </c>
      <c r="L5" s="55" t="s">
        <v>162</v>
      </c>
    </row>
    <row r="6" spans="1:13" ht="15.6">
      <c r="A6" s="32" t="str">
        <v>Golden NREL 2</v>
      </c>
      <c r="B6" s="29" t="str">
        <v>CO</v>
      </c>
      <c r="C6" s="25">
        <v>9698.4879999999994</v>
      </c>
      <c r="D6" s="14">
        <v>10573.856</v>
      </c>
      <c r="E6" s="14">
        <f t="shared" si="0"/>
        <v>-875.36800000000039</v>
      </c>
      <c r="F6" s="15">
        <f t="shared" ref="F6:F17" si="3">IFERROR(E6/D6, "")</f>
        <v>-8.2786071609070561E-2</v>
      </c>
      <c r="G6" s="16">
        <v>11259.573</v>
      </c>
      <c r="H6" s="16">
        <f>IF(AND(ISNUMBER(C6),ISNUMBER(G6)), C6-G6, "")</f>
        <v>-1561.0850000000009</v>
      </c>
      <c r="I6" s="17">
        <f t="shared" si="2"/>
        <v>-0.13864513334564293</v>
      </c>
      <c r="J6" s="41" t="s">
        <v>152</v>
      </c>
      <c r="K6" s="68" t="s">
        <v>153</v>
      </c>
      <c r="L6" s="41" t="s">
        <v>162</v>
      </c>
    </row>
    <row r="7" spans="1:13" ht="57.6">
      <c r="A7" s="30" t="str">
        <v>Golden NREL Wind 3</v>
      </c>
      <c r="B7" s="31" t="str">
        <v>CO</v>
      </c>
      <c r="C7" s="12">
        <v>34935.5</v>
      </c>
      <c r="D7" s="19">
        <v>99748.67</v>
      </c>
      <c r="E7" s="19">
        <f t="shared" si="0"/>
        <v>-64813.17</v>
      </c>
      <c r="F7" s="20">
        <f t="shared" si="3"/>
        <v>-0.64976475375561393</v>
      </c>
      <c r="G7" s="21">
        <v>131977.60000000001</v>
      </c>
      <c r="H7" s="21">
        <f t="shared" si="1"/>
        <v>-97042.1</v>
      </c>
      <c r="I7" s="20">
        <f t="shared" si="2"/>
        <v>-0.73529220110079285</v>
      </c>
      <c r="J7" s="55" t="s">
        <v>165</v>
      </c>
      <c r="K7" s="74" t="s">
        <v>166</v>
      </c>
      <c r="L7" s="55" t="s">
        <v>167</v>
      </c>
      <c r="M7" s="75" t="s">
        <v>168</v>
      </c>
    </row>
    <row r="8" spans="1:13" ht="15.6" hidden="1">
      <c r="A8" s="32" t="str">
        <v>Pratt Solar Farm</v>
      </c>
      <c r="B8" s="29" t="str">
        <v>KS</v>
      </c>
      <c r="C8" s="25"/>
      <c r="D8" s="14"/>
      <c r="E8" s="14" t="str">
        <f t="shared" si="0"/>
        <v/>
      </c>
      <c r="F8" s="15" t="str">
        <f t="shared" si="3"/>
        <v/>
      </c>
      <c r="G8" s="16"/>
      <c r="H8" s="16" t="str">
        <f t="shared" si="1"/>
        <v/>
      </c>
      <c r="I8" s="17" t="str">
        <f t="shared" si="2"/>
        <v/>
      </c>
      <c r="J8" s="50"/>
      <c r="K8" s="50"/>
    </row>
    <row r="9" spans="1:13" ht="100.5" hidden="1"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3" ht="15.6" hidden="1">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3" ht="15.6" hidden="1">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3" ht="15.6" hidden="1">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3" ht="15.6" hidden="1">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3" hidden="1">
      <c r="A14" s="22"/>
      <c r="B14" s="22"/>
      <c r="C14" s="22"/>
      <c r="D14" s="22"/>
      <c r="E14" s="22" t="str">
        <f t="shared" si="0"/>
        <v/>
      </c>
      <c r="F14" s="22" t="str">
        <f t="shared" si="3"/>
        <v/>
      </c>
      <c r="G14" s="22"/>
      <c r="H14" s="22" t="str">
        <f t="shared" si="1"/>
        <v/>
      </c>
      <c r="I14" s="22" t="str">
        <f t="shared" si="2"/>
        <v/>
      </c>
      <c r="J14" s="22"/>
      <c r="K14" s="22"/>
      <c r="L14" s="22"/>
    </row>
    <row r="15" spans="1:13">
      <c r="A15" s="22"/>
      <c r="B15" s="22"/>
      <c r="C15" s="22"/>
      <c r="D15" s="22"/>
      <c r="E15" s="22" t="str">
        <f t="shared" si="0"/>
        <v/>
      </c>
      <c r="F15" s="22" t="str">
        <f t="shared" si="3"/>
        <v/>
      </c>
      <c r="G15" s="22"/>
      <c r="H15" s="22" t="str">
        <f t="shared" si="1"/>
        <v/>
      </c>
      <c r="I15" s="22" t="str">
        <f t="shared" si="2"/>
        <v/>
      </c>
      <c r="J15" s="22"/>
      <c r="K15" s="22"/>
      <c r="L15" s="22"/>
    </row>
    <row r="16" spans="1:13">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9398" xr:uid="{3566BB95-F85F-4497-958F-8D5B71CB0C74}"/>
    <hyperlink ref="K5" r:id="rId2" display="https://us3.assetplanner.com/service_request?ID=108885" xr:uid="{C1A65D98-98C7-44D8-B411-136C7AC9FCD0}"/>
    <hyperlink ref="K6" r:id="rId3" display="https://us3.assetplanner.com/service_request?ID=106365" xr:uid="{18DC96D8-0FA1-4DCD-8BF0-1EADC8F56B2B}"/>
    <hyperlink ref="K7" r:id="rId4" display="https://us3.assetplanner.com/service_request?ID=107072" xr:uid="{F772887E-EAE5-444D-B6A4-1ABE1297C618}"/>
    <hyperlink ref="M7" r:id="rId5" display="https://us3.assetplanner.com/service_request?ID=109606" xr:uid="{AF904C21-E29F-4BEC-95E1-1ADF8DC2365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7" t="str" cm="1">
        <f t="array" ref="A1">portfolio</f>
        <v>Tortoise</v>
      </c>
      <c r="B1" s="77"/>
      <c r="C1" s="77"/>
      <c r="D1" s="78" t="s">
        <v>169</v>
      </c>
      <c r="E1" s="78"/>
      <c r="F1" s="78"/>
      <c r="G1" s="76" t="s">
        <v>170</v>
      </c>
      <c r="H1" s="76"/>
      <c r="I1" s="76"/>
      <c r="J1" s="5"/>
      <c r="K1" s="5"/>
    </row>
    <row r="2" spans="1:12" ht="19.5" customHeight="1">
      <c r="A2" s="79" t="s">
        <v>2</v>
      </c>
      <c r="B2" s="79"/>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7" t="str" cm="1">
        <f t="array" ref="A1">portfolio</f>
        <v>Tortoise</v>
      </c>
      <c r="B1" s="77"/>
      <c r="C1" s="77"/>
      <c r="D1" s="78" t="s">
        <v>171</v>
      </c>
      <c r="E1" s="78"/>
      <c r="F1" s="78"/>
      <c r="G1" s="76" t="s">
        <v>172</v>
      </c>
      <c r="H1" s="76"/>
      <c r="I1" s="76"/>
      <c r="J1" s="5"/>
      <c r="K1" s="5"/>
    </row>
    <row r="2" spans="1:14" ht="19.5" customHeight="1">
      <c r="A2" s="79" t="s">
        <v>2</v>
      </c>
      <c r="B2" s="79"/>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173</v>
      </c>
      <c r="B1" s="43" t="s">
        <v>174</v>
      </c>
    </row>
    <row r="3" spans="1:7" ht="13.15">
      <c r="A3" t="s">
        <v>175</v>
      </c>
      <c r="B3" t="s">
        <v>3</v>
      </c>
      <c r="C3" t="s">
        <v>4</v>
      </c>
      <c r="D3" t="s">
        <v>176</v>
      </c>
      <c r="E3" s="2" t="s">
        <v>177</v>
      </c>
    </row>
    <row r="4" spans="1:7" ht="14.45">
      <c r="A4" s="3" t="s">
        <v>178</v>
      </c>
      <c r="B4" t="s">
        <v>179</v>
      </c>
      <c r="C4" s="4" t="s">
        <v>180</v>
      </c>
      <c r="G4" s="3"/>
    </row>
    <row r="5" spans="1:7" ht="14.45">
      <c r="A5" s="3" t="s">
        <v>181</v>
      </c>
      <c r="B5" t="s">
        <v>182</v>
      </c>
      <c r="C5" s="4" t="s">
        <v>180</v>
      </c>
      <c r="G5" s="3"/>
    </row>
    <row r="6" spans="1:7" ht="14.45">
      <c r="A6" s="43" t="s">
        <v>183</v>
      </c>
      <c r="B6" t="s">
        <v>184</v>
      </c>
      <c r="C6" t="s">
        <v>180</v>
      </c>
      <c r="G6" s="3"/>
    </row>
    <row r="7" spans="1:7" ht="12.75" customHeight="1">
      <c r="A7" s="43" t="s">
        <v>185</v>
      </c>
      <c r="B7" t="s">
        <v>186</v>
      </c>
      <c r="C7" t="s">
        <v>180</v>
      </c>
    </row>
    <row r="8" spans="1:7" ht="12.75" customHeight="1">
      <c r="A8" s="4" t="s">
        <v>187</v>
      </c>
      <c r="B8" s="4" t="s">
        <v>188</v>
      </c>
      <c r="C8" s="4" t="s">
        <v>189</v>
      </c>
    </row>
    <row r="9" spans="1:7" ht="12.75" customHeight="1">
      <c r="A9" s="43" t="s">
        <v>190</v>
      </c>
      <c r="B9" t="s">
        <v>191</v>
      </c>
      <c r="C9" t="s">
        <v>192</v>
      </c>
    </row>
    <row r="10" spans="1:7" ht="12.75" customHeight="1">
      <c r="A10" s="4" t="s">
        <v>193</v>
      </c>
      <c r="B10" s="4" t="s">
        <v>194</v>
      </c>
      <c r="C10" s="4" t="s">
        <v>195</v>
      </c>
    </row>
    <row r="11" spans="1:7" ht="12.75" customHeight="1">
      <c r="A11" s="4" t="s">
        <v>196</v>
      </c>
      <c r="B11" s="4" t="s">
        <v>197</v>
      </c>
      <c r="C11" s="4" t="s">
        <v>195</v>
      </c>
    </row>
    <row r="12" spans="1:7" ht="12.75" customHeight="1">
      <c r="A12" s="4" t="s">
        <v>198</v>
      </c>
      <c r="B12" s="4" t="s">
        <v>199</v>
      </c>
      <c r="C12" s="4" t="s">
        <v>195</v>
      </c>
    </row>
    <row r="13" spans="1:7" ht="12.75" customHeight="1">
      <c r="A13" s="4" t="s">
        <v>200</v>
      </c>
      <c r="B13" s="4" t="s">
        <v>201</v>
      </c>
      <c r="C13" s="4" t="s">
        <v>195</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C002C490-99F9-4436-B0CE-A36A1082E3DA}"/>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2025-11-10T11:42:55Z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