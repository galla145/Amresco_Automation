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5" documentId="13_ncr:1_{CB65A26C-74D6-486E-9B66-35D59C50FBCD}" xr6:coauthVersionLast="47" xr6:coauthVersionMax="47" xr10:uidLastSave="{E1E1202D-4898-4B3B-84AB-66930769825C}"/>
  <bookViews>
    <workbookView xWindow="-108" yWindow="-108" windowWidth="23256" windowHeight="13896" tabRatio="866" firstSheet="1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30" l="1"/>
  <c r="D2" i="30"/>
  <c r="C2" i="30"/>
  <c r="G2" i="29"/>
  <c r="D2" i="29"/>
  <c r="C2" i="29"/>
  <c r="G2" i="18"/>
  <c r="C2" i="18"/>
  <c r="D2" i="18"/>
  <c r="G2" i="1"/>
  <c r="D2" i="1"/>
  <c r="C2" i="1"/>
  <c r="G2" i="34"/>
  <c r="D2" i="34"/>
  <c r="C2" i="34"/>
  <c r="I37" i="31"/>
  <c r="I38" i="31"/>
  <c r="I39" i="31"/>
  <c r="I40" i="31"/>
  <c r="I41" i="31"/>
  <c r="I42" i="31"/>
  <c r="I43" i="31"/>
  <c r="I44" i="31"/>
  <c r="I56" i="31"/>
  <c r="I57" i="31"/>
  <c r="I58" i="31"/>
  <c r="I59" i="31"/>
  <c r="H13" i="31"/>
  <c r="I13" i="31" s="1"/>
  <c r="H14" i="31"/>
  <c r="I14" i="31"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H29" i="31"/>
  <c r="I29" i="31" s="1"/>
  <c r="H30" i="31"/>
  <c r="I30" i="31" s="1"/>
  <c r="H31" i="31"/>
  <c r="I31" i="31" s="1"/>
  <c r="H32" i="31"/>
  <c r="I32" i="31" s="1"/>
  <c r="H33" i="31"/>
  <c r="I33" i="31" s="1"/>
  <c r="H34" i="31"/>
  <c r="I34" i="31" s="1"/>
  <c r="H35" i="31"/>
  <c r="H35" i="30" s="1"/>
  <c r="I35" i="30" s="1"/>
  <c r="H36" i="31"/>
  <c r="H36" i="30" s="1"/>
  <c r="H37" i="31"/>
  <c r="H38" i="31"/>
  <c r="H38" i="30" s="1"/>
  <c r="H39" i="31"/>
  <c r="H39" i="30" s="1"/>
  <c r="H40" i="31"/>
  <c r="H40" i="30" s="1"/>
  <c r="H41" i="31"/>
  <c r="H42" i="31"/>
  <c r="H42" i="30" s="1"/>
  <c r="I42" i="30" s="1"/>
  <c r="H43" i="31"/>
  <c r="H44" i="31"/>
  <c r="H45" i="31"/>
  <c r="I45" i="31" s="1"/>
  <c r="H46" i="31"/>
  <c r="I46" i="31" s="1"/>
  <c r="H47" i="31"/>
  <c r="I47" i="31" s="1"/>
  <c r="H48" i="31"/>
  <c r="I48" i="31" s="1"/>
  <c r="H49" i="31"/>
  <c r="I49" i="31" s="1"/>
  <c r="H50" i="31"/>
  <c r="I50" i="31" s="1"/>
  <c r="H51" i="31"/>
  <c r="H51" i="30" s="1"/>
  <c r="I51" i="30" s="1"/>
  <c r="H52" i="31"/>
  <c r="I52" i="31" s="1"/>
  <c r="H53" i="31"/>
  <c r="I53" i="31" s="1"/>
  <c r="H54" i="31"/>
  <c r="I54" i="31" s="1"/>
  <c r="H55" i="31"/>
  <c r="I55" i="31" s="1"/>
  <c r="H56" i="31"/>
  <c r="H56" i="30" s="1"/>
  <c r="I56" i="30" s="1"/>
  <c r="H57" i="31"/>
  <c r="H57" i="30" s="1"/>
  <c r="H58" i="31"/>
  <c r="H59" i="31"/>
  <c r="H60" i="31"/>
  <c r="I60" i="31" s="1"/>
  <c r="H61" i="31"/>
  <c r="I61" i="31" s="1"/>
  <c r="H62" i="31"/>
  <c r="I62" i="31" s="1"/>
  <c r="H63" i="31"/>
  <c r="I63" i="31" s="1"/>
  <c r="H64" i="31"/>
  <c r="H64" i="30" s="1"/>
  <c r="I64" i="30" s="1"/>
  <c r="H65" i="31"/>
  <c r="I65" i="31" s="1"/>
  <c r="H66" i="31"/>
  <c r="I66" i="31" s="1"/>
  <c r="H67" i="31"/>
  <c r="H67" i="30" s="1"/>
  <c r="I67" i="30" s="1"/>
  <c r="H68" i="31"/>
  <c r="H68" i="30" s="1"/>
  <c r="I68" i="30" s="1"/>
  <c r="H69" i="31"/>
  <c r="H69" i="30" s="1"/>
  <c r="H70" i="31"/>
  <c r="H70" i="30" s="1"/>
  <c r="H71" i="31"/>
  <c r="H71" i="30" s="1"/>
  <c r="H72" i="31"/>
  <c r="I72" i="31" s="1"/>
  <c r="H73" i="31"/>
  <c r="H73" i="30" s="1"/>
  <c r="H74" i="31"/>
  <c r="I74" i="31" s="1"/>
  <c r="H75" i="31"/>
  <c r="I75" i="31" s="1"/>
  <c r="H76" i="31"/>
  <c r="I76" i="31" s="1"/>
  <c r="H77" i="31"/>
  <c r="I77" i="31" s="1"/>
  <c r="H78" i="31"/>
  <c r="I78" i="31" s="1"/>
  <c r="H79" i="31"/>
  <c r="H79" i="30" s="1"/>
  <c r="H80" i="31"/>
  <c r="I80" i="31" s="1"/>
  <c r="H81" i="31"/>
  <c r="I81" i="31" s="1"/>
  <c r="H82" i="31"/>
  <c r="H82" i="30" s="1"/>
  <c r="I82" i="30" s="1"/>
  <c r="H83" i="31"/>
  <c r="I83" i="31" s="1"/>
  <c r="H84" i="31"/>
  <c r="I84" i="31" s="1"/>
  <c r="H85" i="31"/>
  <c r="H85" i="30" s="1"/>
  <c r="F28" i="31"/>
  <c r="F30" i="31"/>
  <c r="F45" i="31"/>
  <c r="F46" i="31"/>
  <c r="F49" i="31"/>
  <c r="F50" i="31"/>
  <c r="F51" i="31"/>
  <c r="F60" i="31"/>
  <c r="F62" i="31"/>
  <c r="F63" i="31"/>
  <c r="F64" i="31"/>
  <c r="F65" i="31"/>
  <c r="F78" i="31"/>
  <c r="F79" i="31"/>
  <c r="F80" i="31"/>
  <c r="F81" i="31"/>
  <c r="F82" i="31"/>
  <c r="F83" i="31"/>
  <c r="E6" i="31"/>
  <c r="F6" i="31" s="1"/>
  <c r="E7" i="31"/>
  <c r="F7" i="31" s="1"/>
  <c r="E8" i="31"/>
  <c r="F8" i="31" s="1"/>
  <c r="E9" i="31"/>
  <c r="F9" i="31" s="1"/>
  <c r="E10" i="31"/>
  <c r="F10" i="31" s="1"/>
  <c r="E11" i="31"/>
  <c r="F11" i="31" s="1"/>
  <c r="E12" i="31"/>
  <c r="F12" i="31" s="1"/>
  <c r="E13" i="31"/>
  <c r="F13" i="31" s="1"/>
  <c r="E14" i="31"/>
  <c r="F14"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E29" i="31"/>
  <c r="F29" i="31" s="1"/>
  <c r="E30" i="3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E46" i="31"/>
  <c r="E47" i="31"/>
  <c r="F47" i="31" s="1"/>
  <c r="E48" i="31"/>
  <c r="F48" i="31" s="1"/>
  <c r="E49" i="31"/>
  <c r="E50" i="31"/>
  <c r="E51" i="31"/>
  <c r="E52" i="31"/>
  <c r="F52" i="31" s="1"/>
  <c r="E53" i="31"/>
  <c r="F53" i="31" s="1"/>
  <c r="E54" i="31"/>
  <c r="F54" i="31" s="1"/>
  <c r="E55" i="31"/>
  <c r="F55" i="31" s="1"/>
  <c r="E56" i="31"/>
  <c r="F56" i="31" s="1"/>
  <c r="E57" i="31"/>
  <c r="F57" i="31" s="1"/>
  <c r="E58" i="31"/>
  <c r="F58" i="31" s="1"/>
  <c r="E59" i="31"/>
  <c r="F59" i="31" s="1"/>
  <c r="E60" i="31"/>
  <c r="E61" i="31"/>
  <c r="F61" i="31" s="1"/>
  <c r="E62" i="31"/>
  <c r="E63" i="31"/>
  <c r="E64" i="31"/>
  <c r="E65" i="31"/>
  <c r="E66" i="31"/>
  <c r="F66" i="31" s="1"/>
  <c r="E67" i="31"/>
  <c r="F67" i="31" s="1"/>
  <c r="E68" i="31"/>
  <c r="F68" i="31" s="1"/>
  <c r="E69" i="31"/>
  <c r="F69" i="31" s="1"/>
  <c r="E70" i="31"/>
  <c r="F70" i="31" s="1"/>
  <c r="E71" i="31"/>
  <c r="F71" i="31" s="1"/>
  <c r="E72" i="31"/>
  <c r="F72" i="31" s="1"/>
  <c r="E73" i="31"/>
  <c r="F73" i="31" s="1"/>
  <c r="E74" i="31"/>
  <c r="F74" i="31" s="1"/>
  <c r="E75" i="31"/>
  <c r="F75" i="31" s="1"/>
  <c r="E76" i="31"/>
  <c r="F76" i="31" s="1"/>
  <c r="E77" i="31"/>
  <c r="F77" i="31" s="1"/>
  <c r="E78" i="31"/>
  <c r="E79" i="31"/>
  <c r="E80" i="31"/>
  <c r="E81" i="31"/>
  <c r="E82" i="31"/>
  <c r="E83" i="31"/>
  <c r="E84" i="31"/>
  <c r="F84" i="31" s="1"/>
  <c r="E85" i="31"/>
  <c r="F85" i="31" s="1"/>
  <c r="H12" i="28"/>
  <c r="E13" i="28"/>
  <c r="F13" i="28" s="1"/>
  <c r="H13" i="28"/>
  <c r="I13" i="28"/>
  <c r="E14" i="28"/>
  <c r="F14" i="28"/>
  <c r="H14" i="28"/>
  <c r="I14" i="28"/>
  <c r="E15" i="28"/>
  <c r="F15" i="28"/>
  <c r="H15" i="28"/>
  <c r="H15" i="29" s="1"/>
  <c r="I15" i="28"/>
  <c r="E16" i="28"/>
  <c r="F16" i="28"/>
  <c r="H16" i="28"/>
  <c r="H16" i="29" s="1"/>
  <c r="E17" i="28"/>
  <c r="F17" i="28"/>
  <c r="H17" i="28"/>
  <c r="I17" i="28"/>
  <c r="E18" i="28"/>
  <c r="F18" i="28"/>
  <c r="H18" i="28"/>
  <c r="I18" i="28"/>
  <c r="E19" i="28"/>
  <c r="F19" i="28"/>
  <c r="H19" i="28"/>
  <c r="I19" i="28"/>
  <c r="E20" i="28"/>
  <c r="F20" i="28"/>
  <c r="H20" i="28"/>
  <c r="I20" i="28"/>
  <c r="E21" i="28"/>
  <c r="F21" i="28"/>
  <c r="H21" i="28"/>
  <c r="I21" i="28"/>
  <c r="E22" i="28"/>
  <c r="F22" i="28"/>
  <c r="H22" i="28"/>
  <c r="I22" i="28"/>
  <c r="E23" i="28"/>
  <c r="F23" i="28"/>
  <c r="H23" i="28"/>
  <c r="I23" i="28"/>
  <c r="E24" i="28"/>
  <c r="F24" i="28"/>
  <c r="H24" i="28"/>
  <c r="I24" i="28"/>
  <c r="E25" i="28"/>
  <c r="F25" i="28" s="1"/>
  <c r="H25" i="28"/>
  <c r="I25" i="28" s="1"/>
  <c r="E26" i="28"/>
  <c r="F26" i="28"/>
  <c r="H26" i="28"/>
  <c r="H26" i="29" s="1"/>
  <c r="E27" i="28"/>
  <c r="F27" i="28"/>
  <c r="H27" i="28"/>
  <c r="H27" i="29" s="1"/>
  <c r="I27" i="28"/>
  <c r="E28" i="28"/>
  <c r="F28" i="28"/>
  <c r="H28" i="28"/>
  <c r="I28" i="28" s="1"/>
  <c r="E29" i="28"/>
  <c r="F29" i="28"/>
  <c r="H29" i="28"/>
  <c r="I29" i="28"/>
  <c r="E30" i="28"/>
  <c r="F30" i="28"/>
  <c r="H30" i="28"/>
  <c r="I30" i="28"/>
  <c r="E31" i="28"/>
  <c r="F31" i="28"/>
  <c r="H31" i="28"/>
  <c r="I31" i="28"/>
  <c r="E32" i="28"/>
  <c r="F32" i="28"/>
  <c r="H32" i="28"/>
  <c r="H32" i="29" s="1"/>
  <c r="I32" i="28"/>
  <c r="E33" i="28"/>
  <c r="F33" i="28"/>
  <c r="H33" i="28"/>
  <c r="I33" i="28"/>
  <c r="E34" i="28"/>
  <c r="F34" i="28"/>
  <c r="H34" i="28"/>
  <c r="I34" i="28"/>
  <c r="E35" i="28"/>
  <c r="F35" i="28"/>
  <c r="H35" i="28"/>
  <c r="I35" i="28"/>
  <c r="E36" i="28"/>
  <c r="F36" i="28"/>
  <c r="H36" i="28"/>
  <c r="H36" i="29" s="1"/>
  <c r="E37" i="28"/>
  <c r="F37" i="28"/>
  <c r="H37" i="28"/>
  <c r="H37" i="29" s="1"/>
  <c r="I37" i="28"/>
  <c r="E38" i="28"/>
  <c r="F38" i="28" s="1"/>
  <c r="H38" i="28"/>
  <c r="I38" i="28" s="1"/>
  <c r="E39" i="28"/>
  <c r="F39" i="28"/>
  <c r="H39" i="28"/>
  <c r="I39" i="28"/>
  <c r="E40" i="28"/>
  <c r="F40" i="28"/>
  <c r="H40" i="28"/>
  <c r="H40" i="29" s="1"/>
  <c r="I40" i="28"/>
  <c r="E41" i="28"/>
  <c r="F41" i="28"/>
  <c r="H41" i="28"/>
  <c r="I41" i="28"/>
  <c r="E42" i="28"/>
  <c r="F42" i="28"/>
  <c r="H42" i="28"/>
  <c r="H42" i="29" s="1"/>
  <c r="I42" i="28"/>
  <c r="E43" i="28"/>
  <c r="F43" i="28"/>
  <c r="H43" i="28"/>
  <c r="H43" i="29" s="1"/>
  <c r="I43" i="28"/>
  <c r="E44" i="28"/>
  <c r="F44" i="28"/>
  <c r="H44" i="28"/>
  <c r="H44" i="29" s="1"/>
  <c r="I44" i="28"/>
  <c r="E45" i="28"/>
  <c r="F45" i="28"/>
  <c r="H45" i="28"/>
  <c r="I45" i="28" s="1"/>
  <c r="E46" i="28"/>
  <c r="F46" i="28"/>
  <c r="H46" i="28"/>
  <c r="H46" i="29" s="1"/>
  <c r="I46" i="28"/>
  <c r="E47" i="28"/>
  <c r="F47" i="28" s="1"/>
  <c r="H47" i="28"/>
  <c r="I47" i="28" s="1"/>
  <c r="E48" i="28"/>
  <c r="F48" i="28"/>
  <c r="H48" i="28"/>
  <c r="I48" i="28"/>
  <c r="E49" i="28"/>
  <c r="F49" i="28"/>
  <c r="H49" i="28"/>
  <c r="I49" i="28"/>
  <c r="E50" i="28"/>
  <c r="F50" i="28"/>
  <c r="H50" i="28"/>
  <c r="H50" i="29" s="1"/>
  <c r="I50" i="28"/>
  <c r="E51" i="28"/>
  <c r="F51" i="28" s="1"/>
  <c r="H51" i="28"/>
  <c r="I51" i="28" s="1"/>
  <c r="E52" i="28"/>
  <c r="F52" i="28" s="1"/>
  <c r="H52" i="28"/>
  <c r="H52" i="29" s="1"/>
  <c r="E53" i="28"/>
  <c r="F53" i="28"/>
  <c r="H53" i="28"/>
  <c r="I53" i="28"/>
  <c r="E54" i="28"/>
  <c r="F54" i="28"/>
  <c r="H54" i="28"/>
  <c r="H54" i="29" s="1"/>
  <c r="I54" i="28"/>
  <c r="E55" i="28"/>
  <c r="F55" i="28" s="1"/>
  <c r="H55" i="28"/>
  <c r="I55" i="28" s="1"/>
  <c r="E56" i="28"/>
  <c r="F56" i="28" s="1"/>
  <c r="H56" i="28"/>
  <c r="I56" i="28" s="1"/>
  <c r="E57" i="28"/>
  <c r="F57" i="28"/>
  <c r="H57" i="28"/>
  <c r="I57" i="28" s="1"/>
  <c r="E58" i="28"/>
  <c r="F58" i="28" s="1"/>
  <c r="H58" i="28"/>
  <c r="I58" i="28" s="1"/>
  <c r="E59" i="28"/>
  <c r="F59" i="28"/>
  <c r="H59" i="28"/>
  <c r="I59" i="28"/>
  <c r="E60" i="28"/>
  <c r="F60" i="28"/>
  <c r="H60" i="28"/>
  <c r="H60" i="29" s="1"/>
  <c r="I60" i="28"/>
  <c r="E61" i="28"/>
  <c r="F61" i="28"/>
  <c r="H61" i="28"/>
  <c r="I61" i="28"/>
  <c r="E62" i="28"/>
  <c r="F62" i="28"/>
  <c r="H62" i="28"/>
  <c r="H62" i="29" s="1"/>
  <c r="I62" i="28"/>
  <c r="E63" i="28"/>
  <c r="F63" i="28"/>
  <c r="H63" i="28"/>
  <c r="H63" i="29" s="1"/>
  <c r="I63" i="28"/>
  <c r="E64" i="28"/>
  <c r="F64" i="28"/>
  <c r="H64" i="28"/>
  <c r="I64" i="28"/>
  <c r="E65" i="28"/>
  <c r="F65" i="28"/>
  <c r="H65" i="28"/>
  <c r="I65" i="28"/>
  <c r="E66" i="28"/>
  <c r="F66" i="28"/>
  <c r="H66" i="28"/>
  <c r="H66" i="29" s="1"/>
  <c r="I66" i="28"/>
  <c r="E67" i="28"/>
  <c r="F67" i="28"/>
  <c r="H67" i="28"/>
  <c r="I67" i="28"/>
  <c r="E68" i="28"/>
  <c r="F68" i="28"/>
  <c r="H68" i="28"/>
  <c r="I68" i="28"/>
  <c r="E69" i="28"/>
  <c r="F69" i="28"/>
  <c r="H69" i="28"/>
  <c r="H69" i="29" s="1"/>
  <c r="I69" i="28"/>
  <c r="E70" i="28"/>
  <c r="F70" i="28" s="1"/>
  <c r="H70" i="28"/>
  <c r="I70" i="28" s="1"/>
  <c r="E71" i="28"/>
  <c r="F71" i="28"/>
  <c r="H71" i="28"/>
  <c r="I71" i="28"/>
  <c r="E72" i="28"/>
  <c r="F72" i="28"/>
  <c r="H72" i="28"/>
  <c r="H72" i="29" s="1"/>
  <c r="I72" i="28"/>
  <c r="E73" i="28"/>
  <c r="F73" i="28"/>
  <c r="H73" i="28"/>
  <c r="H73" i="29" s="1"/>
  <c r="I73" i="28"/>
  <c r="E74" i="28"/>
  <c r="F74" i="28" s="1"/>
  <c r="H74" i="28"/>
  <c r="H74" i="29" s="1"/>
  <c r="E75" i="28"/>
  <c r="F75" i="28" s="1"/>
  <c r="H75" i="28"/>
  <c r="I75" i="28"/>
  <c r="E76" i="28"/>
  <c r="F76" i="28"/>
  <c r="H76" i="28"/>
  <c r="I76" i="28" s="1"/>
  <c r="E77" i="28"/>
  <c r="F77" i="28"/>
  <c r="H77" i="28"/>
  <c r="I77" i="28"/>
  <c r="E78" i="28"/>
  <c r="F78" i="28" s="1"/>
  <c r="H78" i="28"/>
  <c r="I78" i="28" s="1"/>
  <c r="E79" i="28"/>
  <c r="F79" i="28" s="1"/>
  <c r="H79" i="28"/>
  <c r="H79" i="29" s="1"/>
  <c r="I79" i="28"/>
  <c r="E80" i="28"/>
  <c r="F80" i="28" s="1"/>
  <c r="H80" i="28"/>
  <c r="H80" i="29" s="1"/>
  <c r="I80" i="28"/>
  <c r="E81" i="28"/>
  <c r="F81" i="28" s="1"/>
  <c r="H81" i="28"/>
  <c r="I81" i="28" s="1"/>
  <c r="E82" i="28"/>
  <c r="F82" i="28"/>
  <c r="H82" i="28"/>
  <c r="H82" i="29" s="1"/>
  <c r="I82" i="28"/>
  <c r="E83" i="28"/>
  <c r="F83" i="28"/>
  <c r="H83" i="28"/>
  <c r="I83" i="28"/>
  <c r="E84" i="28"/>
  <c r="F84" i="28"/>
  <c r="H84" i="28"/>
  <c r="I84" i="28"/>
  <c r="E85" i="28"/>
  <c r="F85" i="28"/>
  <c r="H85" i="28"/>
  <c r="I85" i="28" s="1"/>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F85" i="26"/>
  <c r="E85" i="26"/>
  <c r="C25" i="30"/>
  <c r="D25" i="30"/>
  <c r="G25" i="30"/>
  <c r="C26" i="30"/>
  <c r="E26" i="30" s="1"/>
  <c r="F26" i="30" s="1"/>
  <c r="D26" i="30"/>
  <c r="G26" i="30"/>
  <c r="C27" i="30"/>
  <c r="D27" i="30"/>
  <c r="E27" i="30"/>
  <c r="F27" i="30"/>
  <c r="G27" i="30"/>
  <c r="H27" i="30"/>
  <c r="I27" i="30"/>
  <c r="C28" i="30"/>
  <c r="D28" i="30"/>
  <c r="G28" i="30"/>
  <c r="H28" i="30"/>
  <c r="I28" i="30"/>
  <c r="C29" i="30"/>
  <c r="D29" i="30"/>
  <c r="E29" i="30"/>
  <c r="F29" i="30"/>
  <c r="G29" i="30"/>
  <c r="C30" i="30"/>
  <c r="D30" i="30"/>
  <c r="G30" i="30"/>
  <c r="H30" i="30"/>
  <c r="C31" i="30"/>
  <c r="D31" i="30"/>
  <c r="E31" i="30"/>
  <c r="F31" i="30"/>
  <c r="G31" i="30"/>
  <c r="C32" i="30"/>
  <c r="D32" i="30"/>
  <c r="E32" i="30"/>
  <c r="F32" i="30"/>
  <c r="G32" i="30"/>
  <c r="C33" i="30"/>
  <c r="D33" i="30"/>
  <c r="G33" i="30"/>
  <c r="C34" i="30"/>
  <c r="D34" i="30"/>
  <c r="G34" i="30"/>
  <c r="H34" i="30"/>
  <c r="I34" i="30"/>
  <c r="C35" i="30"/>
  <c r="E35" i="30" s="1"/>
  <c r="F35" i="30" s="1"/>
  <c r="D35" i="30"/>
  <c r="G35" i="30"/>
  <c r="C36" i="30"/>
  <c r="D36" i="30"/>
  <c r="E36" i="30"/>
  <c r="F36" i="30"/>
  <c r="G36" i="30"/>
  <c r="C37" i="30"/>
  <c r="D37" i="30"/>
  <c r="E37" i="30" s="1"/>
  <c r="F37" i="30" s="1"/>
  <c r="G37" i="30"/>
  <c r="H37" i="30"/>
  <c r="I37" i="30"/>
  <c r="C38" i="30"/>
  <c r="D38" i="30"/>
  <c r="G38" i="30"/>
  <c r="C39" i="30"/>
  <c r="D39" i="30"/>
  <c r="E39" i="30"/>
  <c r="F39" i="30"/>
  <c r="G39" i="30"/>
  <c r="C40" i="30"/>
  <c r="D40" i="30"/>
  <c r="E40" i="30"/>
  <c r="F40" i="30" s="1"/>
  <c r="G40" i="30"/>
  <c r="C41" i="30"/>
  <c r="D41" i="30"/>
  <c r="G41" i="30"/>
  <c r="H41" i="30"/>
  <c r="C42" i="30"/>
  <c r="D42" i="30"/>
  <c r="G42" i="30"/>
  <c r="C43" i="30"/>
  <c r="D43" i="30"/>
  <c r="E43" i="30"/>
  <c r="F43" i="30" s="1"/>
  <c r="G43" i="30"/>
  <c r="H43" i="30"/>
  <c r="I43" i="30" s="1"/>
  <c r="C44" i="30"/>
  <c r="D44" i="30"/>
  <c r="G44" i="30"/>
  <c r="H44" i="30"/>
  <c r="C45" i="30"/>
  <c r="D45" i="30"/>
  <c r="G45" i="30"/>
  <c r="H45" i="30"/>
  <c r="I45" i="30"/>
  <c r="C46" i="30"/>
  <c r="E46" i="30" s="1"/>
  <c r="F46" i="30" s="1"/>
  <c r="D46" i="30"/>
  <c r="G46" i="30"/>
  <c r="C47" i="30"/>
  <c r="D47" i="30"/>
  <c r="G47" i="30"/>
  <c r="C48" i="30"/>
  <c r="D48" i="30"/>
  <c r="E48" i="30"/>
  <c r="F48" i="30"/>
  <c r="G48" i="30"/>
  <c r="H48" i="30"/>
  <c r="I48" i="30"/>
  <c r="C49" i="30"/>
  <c r="E49" i="30" s="1"/>
  <c r="F49" i="30" s="1"/>
  <c r="D49" i="30"/>
  <c r="G49" i="30"/>
  <c r="C50" i="30"/>
  <c r="D50" i="30"/>
  <c r="G50" i="30"/>
  <c r="C51" i="30"/>
  <c r="D51" i="30"/>
  <c r="E51" i="30"/>
  <c r="F51" i="30"/>
  <c r="G51" i="30"/>
  <c r="C52" i="30"/>
  <c r="D52" i="30"/>
  <c r="G52" i="30"/>
  <c r="C53" i="30"/>
  <c r="E53" i="30" s="1"/>
  <c r="F53" i="30" s="1"/>
  <c r="D53" i="30"/>
  <c r="G53" i="30"/>
  <c r="H53" i="30"/>
  <c r="I53" i="30"/>
  <c r="C54" i="30"/>
  <c r="D54" i="30"/>
  <c r="G54" i="30"/>
  <c r="C55" i="30"/>
  <c r="D55" i="30"/>
  <c r="G55" i="30"/>
  <c r="C56" i="30"/>
  <c r="D56" i="30"/>
  <c r="E56" i="30"/>
  <c r="F56" i="30"/>
  <c r="G56" i="30"/>
  <c r="C57" i="30"/>
  <c r="D57" i="30"/>
  <c r="G57" i="30"/>
  <c r="C58" i="30"/>
  <c r="D58" i="30"/>
  <c r="E58" i="30"/>
  <c r="F58" i="30" s="1"/>
  <c r="G58" i="30"/>
  <c r="H58" i="30"/>
  <c r="I58" i="30"/>
  <c r="C59" i="30"/>
  <c r="D59" i="30"/>
  <c r="E59" i="30"/>
  <c r="F59" i="30" s="1"/>
  <c r="G59" i="30"/>
  <c r="H59" i="30"/>
  <c r="I59" i="30" s="1"/>
  <c r="C60" i="30"/>
  <c r="E60" i="30" s="1"/>
  <c r="F60" i="30" s="1"/>
  <c r="D60" i="30"/>
  <c r="G60" i="30"/>
  <c r="C61" i="30"/>
  <c r="D61" i="30"/>
  <c r="E61" i="30"/>
  <c r="F61" i="30"/>
  <c r="G61" i="30"/>
  <c r="H61" i="30"/>
  <c r="I61" i="30"/>
  <c r="C62" i="30"/>
  <c r="D62" i="30"/>
  <c r="G62" i="30"/>
  <c r="H62" i="30"/>
  <c r="C63" i="30"/>
  <c r="E63" i="30" s="1"/>
  <c r="F63" i="30" s="1"/>
  <c r="D63" i="30"/>
  <c r="G63" i="30"/>
  <c r="C64" i="30"/>
  <c r="D64" i="30"/>
  <c r="E64" i="30"/>
  <c r="F64" i="30"/>
  <c r="G64" i="30"/>
  <c r="C65" i="30"/>
  <c r="D65" i="30"/>
  <c r="G65" i="30"/>
  <c r="C66" i="30"/>
  <c r="E66" i="30" s="1"/>
  <c r="F66" i="30" s="1"/>
  <c r="D66" i="30"/>
  <c r="G66" i="30"/>
  <c r="C67" i="30"/>
  <c r="D67" i="30"/>
  <c r="E67" i="30"/>
  <c r="F67" i="30"/>
  <c r="G67" i="30"/>
  <c r="C68" i="30"/>
  <c r="D68" i="30"/>
  <c r="E68" i="30" s="1"/>
  <c r="F68" i="30" s="1"/>
  <c r="G68" i="30"/>
  <c r="C69" i="30"/>
  <c r="D69" i="30"/>
  <c r="G69" i="30"/>
  <c r="C70" i="30"/>
  <c r="E70" i="30" s="1"/>
  <c r="F70" i="30" s="1"/>
  <c r="D70" i="30"/>
  <c r="G70" i="30"/>
  <c r="C71" i="30"/>
  <c r="D71" i="30"/>
  <c r="G71" i="30"/>
  <c r="C72" i="30"/>
  <c r="D72" i="30"/>
  <c r="E72" i="30"/>
  <c r="F72" i="30"/>
  <c r="G72" i="30"/>
  <c r="H72" i="30"/>
  <c r="I72" i="30"/>
  <c r="C73" i="30"/>
  <c r="D73" i="30"/>
  <c r="G73" i="30"/>
  <c r="C74" i="30"/>
  <c r="E74" i="30" s="1"/>
  <c r="F74" i="30" s="1"/>
  <c r="D74" i="30"/>
  <c r="G74" i="30"/>
  <c r="C75" i="30"/>
  <c r="D75" i="30"/>
  <c r="G75" i="30"/>
  <c r="H75" i="30"/>
  <c r="C76" i="30"/>
  <c r="D76" i="30"/>
  <c r="G76" i="30"/>
  <c r="H76" i="30"/>
  <c r="I76" i="30" s="1"/>
  <c r="C77" i="30"/>
  <c r="E77" i="30" s="1"/>
  <c r="F77" i="30" s="1"/>
  <c r="D77" i="30"/>
  <c r="G77" i="30"/>
  <c r="C78" i="30"/>
  <c r="D78" i="30"/>
  <c r="E78" i="30"/>
  <c r="F78" i="30"/>
  <c r="G78" i="30"/>
  <c r="H78" i="30"/>
  <c r="I78" i="30" s="1"/>
  <c r="C79" i="30"/>
  <c r="D79" i="30"/>
  <c r="G79" i="30"/>
  <c r="C80" i="30"/>
  <c r="D80" i="30"/>
  <c r="E80" i="30"/>
  <c r="F80" i="30" s="1"/>
  <c r="G80" i="30"/>
  <c r="C81" i="30"/>
  <c r="D81" i="30"/>
  <c r="G81" i="30"/>
  <c r="C82" i="30"/>
  <c r="D82" i="30"/>
  <c r="G82" i="30"/>
  <c r="C83" i="30"/>
  <c r="D83" i="30"/>
  <c r="G83" i="30"/>
  <c r="C84" i="30"/>
  <c r="E84" i="30" s="1"/>
  <c r="F84" i="30" s="1"/>
  <c r="D84" i="30"/>
  <c r="G84" i="30"/>
  <c r="C85" i="30"/>
  <c r="D85" i="30"/>
  <c r="E85" i="30"/>
  <c r="F85" i="30" s="1"/>
  <c r="G85" i="30"/>
  <c r="C47" i="29"/>
  <c r="D47" i="29"/>
  <c r="G47" i="29"/>
  <c r="H47" i="29"/>
  <c r="I47" i="29"/>
  <c r="C48" i="29"/>
  <c r="D48" i="29"/>
  <c r="E48" i="29"/>
  <c r="F48" i="29"/>
  <c r="G48" i="29"/>
  <c r="H48" i="29"/>
  <c r="I48" i="29"/>
  <c r="C49" i="29"/>
  <c r="C49" i="34" s="1"/>
  <c r="D49" i="29"/>
  <c r="E49" i="29"/>
  <c r="F49" i="29" s="1"/>
  <c r="G49" i="29"/>
  <c r="H49" i="29"/>
  <c r="I49" i="29"/>
  <c r="C50" i="29"/>
  <c r="D50" i="29"/>
  <c r="D50" i="34" s="1"/>
  <c r="E50" i="29"/>
  <c r="F50" i="29"/>
  <c r="G50" i="29"/>
  <c r="C51" i="29"/>
  <c r="D51" i="29"/>
  <c r="G51" i="29"/>
  <c r="C52" i="29"/>
  <c r="D52" i="29"/>
  <c r="G52" i="29"/>
  <c r="C53" i="29"/>
  <c r="D53" i="29"/>
  <c r="D53" i="34" s="1"/>
  <c r="E53" i="29"/>
  <c r="F53" i="29"/>
  <c r="G53" i="29"/>
  <c r="G53" i="34" s="1"/>
  <c r="H53" i="29"/>
  <c r="H53" i="34" s="1"/>
  <c r="I53" i="34" s="1"/>
  <c r="I53" i="29"/>
  <c r="C54" i="29"/>
  <c r="D54" i="29"/>
  <c r="E54" i="29"/>
  <c r="F54" i="29" s="1"/>
  <c r="G54" i="29"/>
  <c r="C55" i="29"/>
  <c r="D55" i="29"/>
  <c r="D55" i="34" s="1"/>
  <c r="G55" i="29"/>
  <c r="H55" i="29"/>
  <c r="C56" i="29"/>
  <c r="D56" i="29"/>
  <c r="G56" i="29"/>
  <c r="C57" i="29"/>
  <c r="C57" i="34" s="1"/>
  <c r="D57" i="29"/>
  <c r="D57" i="34" s="1"/>
  <c r="E57" i="29"/>
  <c r="F57" i="29" s="1"/>
  <c r="G57" i="29"/>
  <c r="G57" i="34" s="1"/>
  <c r="C58" i="29"/>
  <c r="D58" i="29"/>
  <c r="E58" i="29"/>
  <c r="F58" i="29" s="1"/>
  <c r="G58" i="29"/>
  <c r="C59" i="29"/>
  <c r="D59" i="29"/>
  <c r="G59" i="29"/>
  <c r="H59" i="29"/>
  <c r="I59" i="29"/>
  <c r="C60" i="29"/>
  <c r="D60" i="29"/>
  <c r="G60" i="29"/>
  <c r="C61" i="29"/>
  <c r="C61" i="34" s="1"/>
  <c r="D61" i="29"/>
  <c r="D61" i="34" s="1"/>
  <c r="E61" i="29"/>
  <c r="F61" i="29"/>
  <c r="G61" i="29"/>
  <c r="G61" i="34" s="1"/>
  <c r="H61" i="29"/>
  <c r="I61" i="29"/>
  <c r="C62" i="29"/>
  <c r="D62" i="29"/>
  <c r="E62" i="29"/>
  <c r="F62" i="29" s="1"/>
  <c r="G62" i="29"/>
  <c r="C63" i="29"/>
  <c r="D63" i="29"/>
  <c r="E63" i="29"/>
  <c r="F63" i="29" s="1"/>
  <c r="G63" i="29"/>
  <c r="C64" i="29"/>
  <c r="D64" i="29"/>
  <c r="G64" i="29"/>
  <c r="H64" i="29"/>
  <c r="C65" i="29"/>
  <c r="D65" i="29"/>
  <c r="G65" i="29"/>
  <c r="H65" i="29"/>
  <c r="C66" i="29"/>
  <c r="D66" i="29"/>
  <c r="E66" i="29"/>
  <c r="F66" i="29" s="1"/>
  <c r="G66" i="29"/>
  <c r="C67" i="29"/>
  <c r="D67" i="29"/>
  <c r="E67" i="29"/>
  <c r="F67" i="29"/>
  <c r="G67" i="29"/>
  <c r="H67" i="29"/>
  <c r="I67" i="29"/>
  <c r="C68" i="29"/>
  <c r="D68" i="29"/>
  <c r="E68" i="29" s="1"/>
  <c r="F68" i="29" s="1"/>
  <c r="G68" i="29"/>
  <c r="H68" i="29"/>
  <c r="C69" i="29"/>
  <c r="D69" i="29"/>
  <c r="E69" i="29"/>
  <c r="F69" i="29"/>
  <c r="G69" i="29"/>
  <c r="C70" i="29"/>
  <c r="D70" i="29"/>
  <c r="G70" i="29"/>
  <c r="H70" i="29"/>
  <c r="I70" i="29"/>
  <c r="C71" i="29"/>
  <c r="C71" i="34" s="1"/>
  <c r="D71" i="29"/>
  <c r="D71" i="34" s="1"/>
  <c r="G71" i="29"/>
  <c r="G71" i="34" s="1"/>
  <c r="H71" i="29"/>
  <c r="C72" i="29"/>
  <c r="D72" i="29"/>
  <c r="G72" i="29"/>
  <c r="C73" i="29"/>
  <c r="D73" i="29"/>
  <c r="G73" i="29"/>
  <c r="G73" i="34" s="1"/>
  <c r="C74" i="29"/>
  <c r="D74" i="29"/>
  <c r="D74" i="34" s="1"/>
  <c r="G74" i="29"/>
  <c r="C75" i="29"/>
  <c r="D75" i="29"/>
  <c r="G75" i="29"/>
  <c r="H75" i="29"/>
  <c r="I75" i="29"/>
  <c r="C76" i="29"/>
  <c r="D76" i="29"/>
  <c r="G76" i="29"/>
  <c r="C77" i="29"/>
  <c r="D77" i="29"/>
  <c r="G77" i="29"/>
  <c r="H77" i="29"/>
  <c r="I77" i="29"/>
  <c r="C78" i="29"/>
  <c r="D78" i="29"/>
  <c r="G78" i="29"/>
  <c r="H78" i="29"/>
  <c r="C79" i="29"/>
  <c r="D79" i="29"/>
  <c r="E79" i="29"/>
  <c r="F79" i="29"/>
  <c r="G79" i="29"/>
  <c r="C80" i="29"/>
  <c r="D80" i="29"/>
  <c r="G80" i="29"/>
  <c r="C81" i="29"/>
  <c r="D81" i="29"/>
  <c r="E81" i="29"/>
  <c r="F81" i="29" s="1"/>
  <c r="G81" i="29"/>
  <c r="H81" i="29"/>
  <c r="C82" i="29"/>
  <c r="D82" i="29"/>
  <c r="G82" i="29"/>
  <c r="C83" i="29"/>
  <c r="D83" i="29"/>
  <c r="E83" i="29"/>
  <c r="F83" i="29"/>
  <c r="G83" i="29"/>
  <c r="H83" i="29"/>
  <c r="I83" i="29"/>
  <c r="C84" i="29"/>
  <c r="D84" i="29"/>
  <c r="E84" i="29"/>
  <c r="F84" i="29"/>
  <c r="G84" i="29"/>
  <c r="G84" i="34" s="1"/>
  <c r="H84" i="29"/>
  <c r="I84" i="29"/>
  <c r="C85" i="29"/>
  <c r="C85" i="34" s="1"/>
  <c r="D85" i="29"/>
  <c r="G85" i="29"/>
  <c r="H7" i="26"/>
  <c r="I7" i="26"/>
  <c r="G7" i="29"/>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9" i="29"/>
  <c r="H30" i="29"/>
  <c r="H31" i="29"/>
  <c r="H33" i="29"/>
  <c r="H34" i="29"/>
  <c r="H35" i="29"/>
  <c r="H38" i="29"/>
  <c r="H39" i="29"/>
  <c r="H41" i="29"/>
  <c r="H45" i="29"/>
  <c r="G25" i="29"/>
  <c r="G26" i="29"/>
  <c r="G27" i="29"/>
  <c r="G28" i="29"/>
  <c r="G29" i="29"/>
  <c r="G30" i="29"/>
  <c r="G31" i="29"/>
  <c r="G32" i="29"/>
  <c r="G33" i="29"/>
  <c r="G34" i="29"/>
  <c r="G35" i="29"/>
  <c r="G36" i="29"/>
  <c r="G37" i="29"/>
  <c r="G38" i="29"/>
  <c r="G39" i="29"/>
  <c r="I39" i="29" s="1"/>
  <c r="G40" i="29"/>
  <c r="G41" i="29"/>
  <c r="I41" i="29" s="1"/>
  <c r="G42" i="29"/>
  <c r="G43" i="29"/>
  <c r="G44" i="29"/>
  <c r="G44" i="34" s="1"/>
  <c r="G45" i="29"/>
  <c r="G46" i="29"/>
  <c r="D25" i="29"/>
  <c r="D25" i="34" s="1"/>
  <c r="D26" i="29"/>
  <c r="D27" i="29"/>
  <c r="D28" i="29"/>
  <c r="D29" i="29"/>
  <c r="D29" i="34" s="1"/>
  <c r="D30" i="29"/>
  <c r="D31" i="29"/>
  <c r="D32" i="29"/>
  <c r="D32" i="34" s="1"/>
  <c r="D33" i="29"/>
  <c r="D34" i="29"/>
  <c r="D35" i="29"/>
  <c r="D35" i="34" s="1"/>
  <c r="D36" i="29"/>
  <c r="D37" i="29"/>
  <c r="D38" i="29"/>
  <c r="D39" i="29"/>
  <c r="D40" i="29"/>
  <c r="D41" i="29"/>
  <c r="D41" i="34" s="1"/>
  <c r="D42" i="29"/>
  <c r="D43" i="29"/>
  <c r="D44" i="29"/>
  <c r="D45" i="29"/>
  <c r="D46" i="29"/>
  <c r="C25" i="29"/>
  <c r="C26" i="29"/>
  <c r="C27" i="29"/>
  <c r="C27" i="34" s="1"/>
  <c r="C28" i="29"/>
  <c r="C29" i="29"/>
  <c r="C30" i="29"/>
  <c r="C31" i="29"/>
  <c r="C32" i="29"/>
  <c r="C33" i="29"/>
  <c r="C34" i="29"/>
  <c r="C35" i="29"/>
  <c r="C36" i="29"/>
  <c r="C37" i="29"/>
  <c r="C38" i="29"/>
  <c r="C39" i="29"/>
  <c r="C39" i="34" s="1"/>
  <c r="C40" i="29"/>
  <c r="C41" i="29"/>
  <c r="C42" i="29"/>
  <c r="C43" i="29"/>
  <c r="C44" i="29"/>
  <c r="C45" i="29"/>
  <c r="C46" i="29"/>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G8" i="30"/>
  <c r="G9" i="30"/>
  <c r="G10" i="30"/>
  <c r="G11" i="30"/>
  <c r="G12" i="30"/>
  <c r="G13" i="30"/>
  <c r="G14" i="30"/>
  <c r="G15" i="30"/>
  <c r="G16" i="30"/>
  <c r="G17" i="30"/>
  <c r="G18" i="30"/>
  <c r="G19" i="30"/>
  <c r="G20" i="30"/>
  <c r="G21" i="30"/>
  <c r="G22" i="30"/>
  <c r="G23" i="30"/>
  <c r="G24" i="30"/>
  <c r="D8" i="30"/>
  <c r="D9" i="30"/>
  <c r="D10" i="30"/>
  <c r="D11" i="30"/>
  <c r="D12" i="30"/>
  <c r="D13" i="30"/>
  <c r="D14" i="30"/>
  <c r="D15" i="30"/>
  <c r="D16" i="30"/>
  <c r="D17" i="30"/>
  <c r="D18" i="30"/>
  <c r="D19" i="30"/>
  <c r="D20" i="30"/>
  <c r="D21" i="30"/>
  <c r="D22" i="30"/>
  <c r="D23" i="30"/>
  <c r="D24" i="30"/>
  <c r="C8" i="30"/>
  <c r="E8" i="30" s="1"/>
  <c r="F8" i="30" s="1"/>
  <c r="C9" i="30"/>
  <c r="E9" i="30" s="1"/>
  <c r="F9" i="30" s="1"/>
  <c r="C10" i="30"/>
  <c r="E10" i="30" s="1"/>
  <c r="F10" i="30" s="1"/>
  <c r="C11" i="30"/>
  <c r="E11" i="30" s="1"/>
  <c r="F11" i="30" s="1"/>
  <c r="C12" i="30"/>
  <c r="C13" i="30"/>
  <c r="E13" i="30" s="1"/>
  <c r="F13" i="30" s="1"/>
  <c r="C14" i="30"/>
  <c r="E14" i="30" s="1"/>
  <c r="F14" i="30" s="1"/>
  <c r="C15" i="30"/>
  <c r="C16" i="30"/>
  <c r="C17" i="30"/>
  <c r="C18" i="30"/>
  <c r="E18" i="30" s="1"/>
  <c r="F18" i="30" s="1"/>
  <c r="C19" i="30"/>
  <c r="E19" i="30" s="1"/>
  <c r="F19" i="30" s="1"/>
  <c r="C20" i="30"/>
  <c r="E20" i="30" s="1"/>
  <c r="F20" i="30" s="1"/>
  <c r="C21" i="30"/>
  <c r="E21" i="30" s="1"/>
  <c r="F21" i="30" s="1"/>
  <c r="C22" i="30"/>
  <c r="E22" i="30" s="1"/>
  <c r="F22" i="30" s="1"/>
  <c r="C23" i="30"/>
  <c r="E23" i="30" s="1"/>
  <c r="F23" i="30" s="1"/>
  <c r="C24" i="30"/>
  <c r="E24" i="30" s="1"/>
  <c r="F24" i="30" s="1"/>
  <c r="C8" i="29"/>
  <c r="C8" i="34" s="1"/>
  <c r="C9" i="29"/>
  <c r="C9" i="34" s="1"/>
  <c r="C10" i="29"/>
  <c r="C10" i="34" s="1"/>
  <c r="C11" i="29"/>
  <c r="C12" i="29"/>
  <c r="C13" i="29"/>
  <c r="C13" i="34" s="1"/>
  <c r="C14" i="29"/>
  <c r="C15" i="29"/>
  <c r="C16" i="29"/>
  <c r="C17" i="29"/>
  <c r="C17" i="34" s="1"/>
  <c r="C18" i="29"/>
  <c r="C18" i="34" s="1"/>
  <c r="C19" i="29"/>
  <c r="C19" i="34" s="1"/>
  <c r="C20" i="29"/>
  <c r="C21" i="29"/>
  <c r="C21" i="34" s="1"/>
  <c r="C22" i="29"/>
  <c r="C22" i="34" s="1"/>
  <c r="C23" i="29"/>
  <c r="C24" i="29"/>
  <c r="H13" i="29"/>
  <c r="H14" i="29"/>
  <c r="H17" i="29"/>
  <c r="H18" i="29"/>
  <c r="H19" i="29"/>
  <c r="H20" i="29"/>
  <c r="H21" i="29"/>
  <c r="H22" i="29"/>
  <c r="H23" i="29"/>
  <c r="H24" i="29"/>
  <c r="G8" i="29"/>
  <c r="G9" i="29"/>
  <c r="G10" i="29"/>
  <c r="G11" i="29"/>
  <c r="G12" i="29"/>
  <c r="G13" i="29"/>
  <c r="G14" i="29"/>
  <c r="G15" i="29"/>
  <c r="G16" i="29"/>
  <c r="G17" i="29"/>
  <c r="G18" i="29"/>
  <c r="G19" i="29"/>
  <c r="G20" i="29"/>
  <c r="G21" i="29"/>
  <c r="G22" i="29"/>
  <c r="G23" i="29"/>
  <c r="G24" i="29"/>
  <c r="D8" i="29"/>
  <c r="D9" i="29"/>
  <c r="D10" i="29"/>
  <c r="D11" i="29"/>
  <c r="D12" i="29"/>
  <c r="D13" i="29"/>
  <c r="D14" i="29"/>
  <c r="D15" i="29"/>
  <c r="D16" i="29"/>
  <c r="D17" i="29"/>
  <c r="D18" i="29"/>
  <c r="D19" i="29"/>
  <c r="D20" i="29"/>
  <c r="D21" i="29"/>
  <c r="D22" i="29"/>
  <c r="D23" i="29"/>
  <c r="D24" i="29"/>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E76" i="30" l="1"/>
  <c r="F76" i="30" s="1"/>
  <c r="D34" i="34"/>
  <c r="H14" i="30"/>
  <c r="H41" i="34"/>
  <c r="G79" i="34"/>
  <c r="E33" i="30"/>
  <c r="F33" i="30" s="1"/>
  <c r="I79" i="31"/>
  <c r="G22" i="34"/>
  <c r="E54" i="30"/>
  <c r="F54" i="30" s="1"/>
  <c r="D79" i="34"/>
  <c r="H74" i="30"/>
  <c r="I74" i="30" s="1"/>
  <c r="H63" i="30"/>
  <c r="I63" i="30" s="1"/>
  <c r="H46" i="30"/>
  <c r="I46" i="30" s="1"/>
  <c r="D18" i="34"/>
  <c r="E18" i="34" s="1"/>
  <c r="F18" i="34" s="1"/>
  <c r="D45" i="34"/>
  <c r="I40" i="30"/>
  <c r="D17" i="34"/>
  <c r="G18" i="34"/>
  <c r="D44" i="34"/>
  <c r="D28" i="34"/>
  <c r="D85" i="34"/>
  <c r="H78" i="34"/>
  <c r="G52" i="34"/>
  <c r="H80" i="30"/>
  <c r="I80" i="30" s="1"/>
  <c r="H77" i="30"/>
  <c r="I77" i="30" s="1"/>
  <c r="E71" i="30"/>
  <c r="F71" i="30" s="1"/>
  <c r="H66" i="30"/>
  <c r="I66" i="30" s="1"/>
  <c r="I71" i="30"/>
  <c r="I39" i="30"/>
  <c r="I35" i="31"/>
  <c r="H83" i="30"/>
  <c r="I83" i="30" s="1"/>
  <c r="E38" i="30"/>
  <c r="F38" i="30" s="1"/>
  <c r="E25" i="30"/>
  <c r="F25" i="30" s="1"/>
  <c r="E52" i="30"/>
  <c r="F52" i="30" s="1"/>
  <c r="G65" i="34"/>
  <c r="D65" i="34"/>
  <c r="H47" i="34"/>
  <c r="E41" i="30"/>
  <c r="F41" i="30" s="1"/>
  <c r="H15" i="30"/>
  <c r="I15" i="30" s="1"/>
  <c r="C80" i="34"/>
  <c r="G83" i="34"/>
  <c r="E30" i="30"/>
  <c r="F30" i="30" s="1"/>
  <c r="D21" i="34"/>
  <c r="E21" i="34" s="1"/>
  <c r="F21" i="34" s="1"/>
  <c r="H32" i="30"/>
  <c r="I32" i="30" s="1"/>
  <c r="G21" i="34"/>
  <c r="H29" i="30"/>
  <c r="I29" i="30" s="1"/>
  <c r="G20" i="34"/>
  <c r="E81" i="30"/>
  <c r="F81" i="30" s="1"/>
  <c r="G19" i="34"/>
  <c r="H60" i="30"/>
  <c r="H26" i="30"/>
  <c r="I73" i="31"/>
  <c r="D16" i="34"/>
  <c r="G17" i="34"/>
  <c r="D27" i="34"/>
  <c r="E27" i="34" s="1"/>
  <c r="F27" i="34" s="1"/>
  <c r="G33" i="34"/>
  <c r="D63" i="34"/>
  <c r="E63" i="34" s="1"/>
  <c r="F63" i="34" s="1"/>
  <c r="I38" i="30"/>
  <c r="E62" i="30"/>
  <c r="F62" i="30" s="1"/>
  <c r="E28" i="30"/>
  <c r="F28" i="30" s="1"/>
  <c r="H16" i="30"/>
  <c r="H16" i="34" s="1"/>
  <c r="I16" i="34" s="1"/>
  <c r="C45" i="34"/>
  <c r="E45" i="34" s="1"/>
  <c r="F45" i="34" s="1"/>
  <c r="H45" i="34"/>
  <c r="H83" i="34"/>
  <c r="I83" i="34" s="1"/>
  <c r="C65" i="34"/>
  <c r="H47" i="30"/>
  <c r="G23" i="34"/>
  <c r="D33" i="34"/>
  <c r="H13" i="30"/>
  <c r="C42" i="34"/>
  <c r="H50" i="30"/>
  <c r="D20" i="34"/>
  <c r="E47" i="30"/>
  <c r="F47" i="30" s="1"/>
  <c r="D19" i="34"/>
  <c r="I57" i="30"/>
  <c r="C53" i="34"/>
  <c r="E53" i="34" s="1"/>
  <c r="F53" i="34" s="1"/>
  <c r="I36" i="31"/>
  <c r="C11" i="34"/>
  <c r="E11" i="34" s="1"/>
  <c r="F11" i="34" s="1"/>
  <c r="E12" i="30"/>
  <c r="F12" i="30" s="1"/>
  <c r="C36" i="34"/>
  <c r="E36" i="34" s="1"/>
  <c r="F36" i="34" s="1"/>
  <c r="H30" i="34"/>
  <c r="C63" i="34"/>
  <c r="H31" i="30"/>
  <c r="I85" i="30"/>
  <c r="I69" i="30"/>
  <c r="G16" i="34"/>
  <c r="H67" i="34"/>
  <c r="D46" i="34"/>
  <c r="G56" i="34"/>
  <c r="D11" i="34"/>
  <c r="I70" i="31"/>
  <c r="D43" i="34"/>
  <c r="H55" i="34"/>
  <c r="D24" i="34"/>
  <c r="H24" i="30"/>
  <c r="H24" i="34" s="1"/>
  <c r="I24" i="34" s="1"/>
  <c r="D42" i="34"/>
  <c r="C67" i="34"/>
  <c r="H59" i="34"/>
  <c r="H48" i="34"/>
  <c r="H52" i="30"/>
  <c r="I52" i="30" s="1"/>
  <c r="H33" i="30"/>
  <c r="I33" i="30" s="1"/>
  <c r="I68" i="31"/>
  <c r="D15" i="34"/>
  <c r="H75" i="34"/>
  <c r="H35" i="34"/>
  <c r="I35" i="34" s="1"/>
  <c r="G34" i="34"/>
  <c r="H55" i="30"/>
  <c r="I55" i="30" s="1"/>
  <c r="E50" i="30"/>
  <c r="F50" i="30" s="1"/>
  <c r="I51" i="31"/>
  <c r="G8" i="34"/>
  <c r="H23" i="30"/>
  <c r="I23" i="30" s="1"/>
  <c r="G31" i="34"/>
  <c r="G59" i="34"/>
  <c r="G48" i="34"/>
  <c r="H65" i="30"/>
  <c r="I65" i="30" s="1"/>
  <c r="E55" i="30"/>
  <c r="F55" i="30" s="1"/>
  <c r="H49" i="30"/>
  <c r="I49" i="30" s="1"/>
  <c r="I67" i="31"/>
  <c r="H19" i="34"/>
  <c r="I19" i="34" s="1"/>
  <c r="H14" i="34"/>
  <c r="I14" i="34" s="1"/>
  <c r="I71" i="31"/>
  <c r="H33" i="34"/>
  <c r="I33" i="34" s="1"/>
  <c r="D9" i="34"/>
  <c r="E9" i="34" s="1"/>
  <c r="F9" i="34" s="1"/>
  <c r="H31" i="34"/>
  <c r="I31" i="34" s="1"/>
  <c r="I69" i="31"/>
  <c r="H22" i="30"/>
  <c r="I22" i="30" s="1"/>
  <c r="C34" i="34"/>
  <c r="E34" i="34" s="1"/>
  <c r="F34" i="34" s="1"/>
  <c r="D40" i="34"/>
  <c r="G46" i="34"/>
  <c r="D59" i="34"/>
  <c r="D51" i="34"/>
  <c r="H84" i="30"/>
  <c r="I84" i="30" s="1"/>
  <c r="H54" i="30"/>
  <c r="I54" i="30" s="1"/>
  <c r="I85" i="31"/>
  <c r="H71" i="34"/>
  <c r="I71" i="34" s="1"/>
  <c r="H39" i="34"/>
  <c r="G14" i="34"/>
  <c r="G37" i="34"/>
  <c r="I37" i="34" s="1"/>
  <c r="G75" i="34"/>
  <c r="I75" i="34" s="1"/>
  <c r="H34" i="34"/>
  <c r="I34" i="34" s="1"/>
  <c r="D10" i="34"/>
  <c r="E10" i="34" s="1"/>
  <c r="F10" i="34" s="1"/>
  <c r="H21" i="30"/>
  <c r="I21" i="30" s="1"/>
  <c r="G45" i="34"/>
  <c r="G29" i="34"/>
  <c r="C59" i="34"/>
  <c r="H81" i="30"/>
  <c r="I81" i="30" s="1"/>
  <c r="E79" i="30"/>
  <c r="F79" i="30" s="1"/>
  <c r="E65" i="30"/>
  <c r="F65" i="30" s="1"/>
  <c r="H64" i="34"/>
  <c r="G15" i="34"/>
  <c r="D13" i="34"/>
  <c r="E13" i="34" s="1"/>
  <c r="F13" i="34" s="1"/>
  <c r="D83" i="34"/>
  <c r="E83" i="30"/>
  <c r="F83" i="30" s="1"/>
  <c r="H70" i="34"/>
  <c r="I70" i="34" s="1"/>
  <c r="C38" i="34"/>
  <c r="E38" i="34" s="1"/>
  <c r="F38" i="34" s="1"/>
  <c r="C56" i="34"/>
  <c r="C37" i="34"/>
  <c r="H22" i="34"/>
  <c r="E17" i="30"/>
  <c r="F17" i="30" s="1"/>
  <c r="H19" i="30"/>
  <c r="I19" i="30" s="1"/>
  <c r="C32" i="34"/>
  <c r="E32" i="34" s="1"/>
  <c r="F32" i="34" s="1"/>
  <c r="D38" i="34"/>
  <c r="G77" i="34"/>
  <c r="C73" i="34"/>
  <c r="E73" i="34" s="1"/>
  <c r="F73" i="34" s="1"/>
  <c r="D69" i="34"/>
  <c r="G58" i="34"/>
  <c r="G50" i="34"/>
  <c r="D48" i="34"/>
  <c r="I82" i="31"/>
  <c r="I64" i="31"/>
  <c r="H18" i="34"/>
  <c r="I18" i="34" s="1"/>
  <c r="H38" i="34"/>
  <c r="D67" i="34"/>
  <c r="E67" i="34" s="1"/>
  <c r="F67" i="34" s="1"/>
  <c r="H21" i="34"/>
  <c r="E16" i="30"/>
  <c r="F16" i="30" s="1"/>
  <c r="H18" i="30"/>
  <c r="I18" i="30" s="1"/>
  <c r="D37" i="34"/>
  <c r="D84" i="34"/>
  <c r="C81" i="34"/>
  <c r="D77" i="34"/>
  <c r="C69" i="34"/>
  <c r="E69" i="34" s="1"/>
  <c r="F69" i="34" s="1"/>
  <c r="H65" i="34"/>
  <c r="I65" i="34" s="1"/>
  <c r="C48" i="34"/>
  <c r="E48" i="34" s="1"/>
  <c r="F48" i="34" s="1"/>
  <c r="H13" i="34"/>
  <c r="I13" i="34" s="1"/>
  <c r="D30" i="34"/>
  <c r="C14" i="34"/>
  <c r="E14" i="34" s="1"/>
  <c r="F14" i="34" s="1"/>
  <c r="E15" i="30"/>
  <c r="F15" i="30" s="1"/>
  <c r="H17" i="30"/>
  <c r="I17" i="30" s="1"/>
  <c r="C46" i="34"/>
  <c r="G42" i="34"/>
  <c r="C84" i="34"/>
  <c r="H68" i="34"/>
  <c r="H61" i="34"/>
  <c r="I61" i="34" s="1"/>
  <c r="C20" i="34"/>
  <c r="H20" i="30"/>
  <c r="I20" i="30" s="1"/>
  <c r="H20" i="34"/>
  <c r="C23" i="34"/>
  <c r="C24" i="34"/>
  <c r="H25" i="30"/>
  <c r="I25" i="30" s="1"/>
  <c r="H25" i="34"/>
  <c r="I25" i="34" s="1"/>
  <c r="E44" i="30"/>
  <c r="F44" i="30" s="1"/>
  <c r="I79" i="30"/>
  <c r="I75" i="30"/>
  <c r="I73" i="30"/>
  <c r="I70" i="30"/>
  <c r="I62" i="30"/>
  <c r="I60" i="30"/>
  <c r="I50" i="30"/>
  <c r="I47" i="30"/>
  <c r="I44" i="30"/>
  <c r="I41" i="30"/>
  <c r="I36" i="30"/>
  <c r="I31" i="30"/>
  <c r="I30" i="30"/>
  <c r="I26" i="30"/>
  <c r="D58" i="34"/>
  <c r="C58" i="34"/>
  <c r="E58" i="34" s="1"/>
  <c r="F58" i="34" s="1"/>
  <c r="G76" i="34"/>
  <c r="D76" i="34"/>
  <c r="D60" i="34"/>
  <c r="C68" i="34"/>
  <c r="G69" i="34"/>
  <c r="E69" i="30"/>
  <c r="F69" i="30" s="1"/>
  <c r="G70" i="34"/>
  <c r="D70" i="34"/>
  <c r="C70" i="34"/>
  <c r="E70" i="34" s="1"/>
  <c r="F70" i="34" s="1"/>
  <c r="G72" i="34"/>
  <c r="I72" i="34" s="1"/>
  <c r="D72" i="34"/>
  <c r="D73" i="34"/>
  <c r="E73" i="30"/>
  <c r="F73" i="30" s="1"/>
  <c r="G74" i="34"/>
  <c r="E75" i="30"/>
  <c r="F75" i="30" s="1"/>
  <c r="D75" i="34"/>
  <c r="G67" i="34"/>
  <c r="G47" i="34"/>
  <c r="D47" i="34"/>
  <c r="C47" i="34"/>
  <c r="G49" i="34"/>
  <c r="D49" i="34"/>
  <c r="E49" i="34" s="1"/>
  <c r="F49" i="34" s="1"/>
  <c r="C50" i="34"/>
  <c r="E50" i="34" s="1"/>
  <c r="F50" i="34" s="1"/>
  <c r="G51" i="34"/>
  <c r="C51" i="34"/>
  <c r="E51" i="34" s="1"/>
  <c r="F51" i="34" s="1"/>
  <c r="G62" i="34"/>
  <c r="D62" i="34"/>
  <c r="C62" i="34"/>
  <c r="E62" i="34" s="1"/>
  <c r="F62" i="34" s="1"/>
  <c r="D52" i="34"/>
  <c r="D64" i="34"/>
  <c r="G54" i="34"/>
  <c r="D54" i="34"/>
  <c r="C54" i="34"/>
  <c r="D66" i="34"/>
  <c r="C66" i="34"/>
  <c r="D39" i="34"/>
  <c r="D36" i="34"/>
  <c r="G25" i="34"/>
  <c r="C25" i="34"/>
  <c r="E25" i="34" s="1"/>
  <c r="F25" i="34" s="1"/>
  <c r="C40" i="34"/>
  <c r="G82" i="34"/>
  <c r="E82" i="30"/>
  <c r="F82" i="30" s="1"/>
  <c r="D82" i="34"/>
  <c r="C82" i="34"/>
  <c r="G26" i="34"/>
  <c r="I26" i="34" s="1"/>
  <c r="D26" i="34"/>
  <c r="C26" i="34"/>
  <c r="E26" i="34" s="1"/>
  <c r="F26" i="34" s="1"/>
  <c r="E57" i="30"/>
  <c r="F57" i="30" s="1"/>
  <c r="D78" i="34"/>
  <c r="C79" i="34"/>
  <c r="C16" i="34"/>
  <c r="C15" i="34"/>
  <c r="G13" i="34"/>
  <c r="G9" i="34"/>
  <c r="G12" i="34"/>
  <c r="C12" i="34"/>
  <c r="G11" i="34"/>
  <c r="G10" i="34"/>
  <c r="G80" i="34"/>
  <c r="D80" i="34"/>
  <c r="E80" i="34" s="1"/>
  <c r="F80" i="34" s="1"/>
  <c r="G85" i="34"/>
  <c r="E45" i="30"/>
  <c r="F45" i="30" s="1"/>
  <c r="G43" i="34"/>
  <c r="I43" i="34" s="1"/>
  <c r="C43" i="34"/>
  <c r="E43" i="34" s="1"/>
  <c r="F43" i="34" s="1"/>
  <c r="C83" i="34"/>
  <c r="E42" i="30"/>
  <c r="F42" i="30" s="1"/>
  <c r="C41" i="34"/>
  <c r="G81" i="34"/>
  <c r="D81" i="34"/>
  <c r="G35" i="34"/>
  <c r="C35" i="34"/>
  <c r="E34" i="30"/>
  <c r="F34" i="30" s="1"/>
  <c r="G32" i="34"/>
  <c r="D31" i="34"/>
  <c r="C31" i="34"/>
  <c r="E31" i="34" s="1"/>
  <c r="F31" i="34" s="1"/>
  <c r="G30" i="34"/>
  <c r="I30" i="34" s="1"/>
  <c r="C30" i="34"/>
  <c r="G28" i="34"/>
  <c r="C28" i="34"/>
  <c r="E28" i="34" s="1"/>
  <c r="F28" i="34" s="1"/>
  <c r="G27" i="34"/>
  <c r="I14" i="30"/>
  <c r="I13" i="30"/>
  <c r="H80" i="34"/>
  <c r="H79" i="34"/>
  <c r="I79" i="34" s="1"/>
  <c r="H62" i="34"/>
  <c r="I62" i="34" s="1"/>
  <c r="H60" i="34"/>
  <c r="H52" i="34"/>
  <c r="I52" i="34" s="1"/>
  <c r="H46" i="34"/>
  <c r="I46" i="34" s="1"/>
  <c r="H44" i="34"/>
  <c r="I44" i="34" s="1"/>
  <c r="H43" i="34"/>
  <c r="H42" i="34"/>
  <c r="H40" i="34"/>
  <c r="H37" i="34"/>
  <c r="H36" i="34"/>
  <c r="H27" i="34"/>
  <c r="H26" i="34"/>
  <c r="H15" i="34"/>
  <c r="E59" i="29"/>
  <c r="F59" i="29" s="1"/>
  <c r="H58" i="29"/>
  <c r="H76" i="29"/>
  <c r="H69" i="34"/>
  <c r="I69" i="34" s="1"/>
  <c r="I69" i="29"/>
  <c r="E70" i="29"/>
  <c r="F70" i="29" s="1"/>
  <c r="I71" i="29"/>
  <c r="H72" i="34"/>
  <c r="I72" i="29"/>
  <c r="H73" i="34"/>
  <c r="I73" i="34" s="1"/>
  <c r="I73" i="29"/>
  <c r="I74" i="28"/>
  <c r="I74" i="29"/>
  <c r="E47" i="29"/>
  <c r="F47" i="29" s="1"/>
  <c r="H50" i="34"/>
  <c r="I50" i="29"/>
  <c r="H51" i="29"/>
  <c r="E51" i="29"/>
  <c r="F51" i="29" s="1"/>
  <c r="I52" i="28"/>
  <c r="H54" i="34"/>
  <c r="I54" i="29"/>
  <c r="H56" i="29"/>
  <c r="I36" i="28"/>
  <c r="I36" i="29"/>
  <c r="I38" i="29"/>
  <c r="I40" i="29"/>
  <c r="H82" i="34"/>
  <c r="I82" i="29"/>
  <c r="I26" i="28"/>
  <c r="H57" i="29"/>
  <c r="I16" i="28"/>
  <c r="E85" i="29"/>
  <c r="F85" i="29" s="1"/>
  <c r="H85" i="29"/>
  <c r="I81" i="29"/>
  <c r="H28" i="29"/>
  <c r="H28" i="34" s="1"/>
  <c r="E12" i="29"/>
  <c r="F12" i="29" s="1"/>
  <c r="D12" i="34"/>
  <c r="E8" i="29"/>
  <c r="F8" i="29" s="1"/>
  <c r="D8" i="34"/>
  <c r="E12" i="34"/>
  <c r="F12" i="34" s="1"/>
  <c r="E8" i="34"/>
  <c r="F8" i="34" s="1"/>
  <c r="E23" i="29"/>
  <c r="F23" i="29" s="1"/>
  <c r="D23" i="34"/>
  <c r="E23" i="34" s="1"/>
  <c r="F23" i="34" s="1"/>
  <c r="E22" i="29"/>
  <c r="F22" i="29" s="1"/>
  <c r="D22" i="34"/>
  <c r="E22" i="34" s="1"/>
  <c r="F22" i="34" s="1"/>
  <c r="E14" i="29"/>
  <c r="F14" i="29" s="1"/>
  <c r="D14" i="34"/>
  <c r="I24" i="29"/>
  <c r="G24" i="34"/>
  <c r="E20" i="34"/>
  <c r="F20" i="34" s="1"/>
  <c r="E19" i="34"/>
  <c r="F19" i="34" s="1"/>
  <c r="E17" i="34"/>
  <c r="F17" i="34" s="1"/>
  <c r="E16" i="34"/>
  <c r="F16" i="34" s="1"/>
  <c r="E15" i="34"/>
  <c r="F15" i="34" s="1"/>
  <c r="E44" i="29"/>
  <c r="F44" i="29" s="1"/>
  <c r="C44" i="34"/>
  <c r="E44" i="34" s="1"/>
  <c r="F44" i="34" s="1"/>
  <c r="E33" i="29"/>
  <c r="F33" i="29" s="1"/>
  <c r="C33" i="34"/>
  <c r="E33" i="34" s="1"/>
  <c r="F33" i="34" s="1"/>
  <c r="E29" i="29"/>
  <c r="F29" i="29" s="1"/>
  <c r="C29" i="34"/>
  <c r="E29" i="34" s="1"/>
  <c r="F29" i="34" s="1"/>
  <c r="E85" i="34"/>
  <c r="F85" i="34" s="1"/>
  <c r="E84" i="34"/>
  <c r="F84" i="34" s="1"/>
  <c r="E79" i="34"/>
  <c r="F79" i="34" s="1"/>
  <c r="I78" i="29"/>
  <c r="E78" i="29"/>
  <c r="F78" i="29" s="1"/>
  <c r="E77" i="29"/>
  <c r="F77" i="29" s="1"/>
  <c r="E74" i="29"/>
  <c r="F74" i="29" s="1"/>
  <c r="C74" i="34"/>
  <c r="E74" i="34" s="1"/>
  <c r="F74" i="34" s="1"/>
  <c r="E71" i="34"/>
  <c r="F71" i="34" s="1"/>
  <c r="I68" i="29"/>
  <c r="I66" i="29"/>
  <c r="I64" i="29"/>
  <c r="G64" i="34"/>
  <c r="I63" i="29"/>
  <c r="E61" i="34"/>
  <c r="F61" i="34" s="1"/>
  <c r="I60" i="29"/>
  <c r="G60" i="34"/>
  <c r="I59" i="34"/>
  <c r="E56" i="29"/>
  <c r="F56" i="29" s="1"/>
  <c r="D56" i="34"/>
  <c r="I55" i="29"/>
  <c r="I47" i="34"/>
  <c r="E47" i="34"/>
  <c r="F47" i="34" s="1"/>
  <c r="E59" i="34"/>
  <c r="F59" i="34" s="1"/>
  <c r="E76" i="29"/>
  <c r="F76" i="29" s="1"/>
  <c r="C76" i="34"/>
  <c r="E76" i="34" s="1"/>
  <c r="F76" i="34" s="1"/>
  <c r="E60" i="29"/>
  <c r="F60" i="29" s="1"/>
  <c r="C60" i="34"/>
  <c r="E60" i="34" s="1"/>
  <c r="F60" i="34" s="1"/>
  <c r="G68" i="34"/>
  <c r="I68" i="34" s="1"/>
  <c r="D68" i="34"/>
  <c r="E68" i="34"/>
  <c r="F68" i="34" s="1"/>
  <c r="E71" i="29"/>
  <c r="F71" i="29" s="1"/>
  <c r="E72" i="29"/>
  <c r="F72" i="29" s="1"/>
  <c r="C72" i="34"/>
  <c r="E73" i="29"/>
  <c r="F73" i="29" s="1"/>
  <c r="E75" i="29"/>
  <c r="F75" i="29" s="1"/>
  <c r="C75" i="34"/>
  <c r="I65" i="29"/>
  <c r="E65" i="29"/>
  <c r="F65" i="29" s="1"/>
  <c r="E65" i="34"/>
  <c r="F65" i="34" s="1"/>
  <c r="I62" i="29"/>
  <c r="I52" i="29"/>
  <c r="E52" i="29"/>
  <c r="F52" i="29" s="1"/>
  <c r="C52" i="34"/>
  <c r="E64" i="29"/>
  <c r="F64" i="29" s="1"/>
  <c r="C64" i="34"/>
  <c r="G55" i="34"/>
  <c r="I55" i="34" s="1"/>
  <c r="E55" i="29"/>
  <c r="F55" i="29" s="1"/>
  <c r="C55" i="34"/>
  <c r="E55" i="34" s="1"/>
  <c r="F55" i="34" s="1"/>
  <c r="G66" i="34"/>
  <c r="E66" i="34"/>
  <c r="F66" i="34" s="1"/>
  <c r="G63" i="34"/>
  <c r="G39" i="34"/>
  <c r="E39" i="34"/>
  <c r="F39" i="34" s="1"/>
  <c r="G36" i="34"/>
  <c r="G38" i="34"/>
  <c r="C77" i="34"/>
  <c r="E77" i="34" s="1"/>
  <c r="F77" i="34" s="1"/>
  <c r="G40" i="34"/>
  <c r="I40" i="34" s="1"/>
  <c r="E40" i="29"/>
  <c r="F40" i="29" s="1"/>
  <c r="E82" i="34"/>
  <c r="F82" i="34" s="1"/>
  <c r="E82" i="29"/>
  <c r="F82" i="29" s="1"/>
  <c r="E57" i="34"/>
  <c r="F57" i="34" s="1"/>
  <c r="G78" i="34"/>
  <c r="C78" i="34"/>
  <c r="I79" i="29"/>
  <c r="E13" i="29"/>
  <c r="F13" i="29" s="1"/>
  <c r="E9" i="29"/>
  <c r="F9" i="29" s="1"/>
  <c r="E11" i="29"/>
  <c r="F11" i="29" s="1"/>
  <c r="E10" i="29"/>
  <c r="F10" i="29" s="1"/>
  <c r="I80" i="29"/>
  <c r="E80" i="29"/>
  <c r="F80" i="29" s="1"/>
  <c r="G41" i="34"/>
  <c r="I41" i="34" s="1"/>
  <c r="E41" i="34"/>
  <c r="F41" i="34" s="1"/>
  <c r="E35" i="29"/>
  <c r="F35" i="29" s="1"/>
  <c r="E35" i="34"/>
  <c r="F35" i="34" s="1"/>
  <c r="I23" i="29"/>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7" i="34" s="1"/>
  <c r="G5" i="30"/>
  <c r="G4" i="30"/>
  <c r="E5" i="28"/>
  <c r="F5" i="28" s="1"/>
  <c r="E5" i="27"/>
  <c r="G5" i="29"/>
  <c r="G6" i="29"/>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E81" i="34" l="1"/>
  <c r="F81" i="34" s="1"/>
  <c r="H66" i="34"/>
  <c r="I64" i="34"/>
  <c r="I16" i="30"/>
  <c r="E40" i="34"/>
  <c r="F40" i="34" s="1"/>
  <c r="H81" i="34"/>
  <c r="I81" i="34" s="1"/>
  <c r="I48" i="34"/>
  <c r="H63" i="34"/>
  <c r="I63" i="34" s="1"/>
  <c r="I78" i="34"/>
  <c r="I66" i="34"/>
  <c r="I42" i="34"/>
  <c r="I21" i="34"/>
  <c r="I22" i="34"/>
  <c r="I45" i="34"/>
  <c r="H84" i="34"/>
  <c r="I84" i="34" s="1"/>
  <c r="I54" i="34"/>
  <c r="I50" i="34"/>
  <c r="I15" i="34"/>
  <c r="I20" i="34"/>
  <c r="H74" i="34"/>
  <c r="I74" i="34" s="1"/>
  <c r="H32" i="34"/>
  <c r="I32" i="34" s="1"/>
  <c r="E46" i="34"/>
  <c r="F46" i="34" s="1"/>
  <c r="E37" i="34"/>
  <c r="F37" i="34" s="1"/>
  <c r="H29" i="34"/>
  <c r="I29" i="34" s="1"/>
  <c r="E30" i="34"/>
  <c r="F30" i="34" s="1"/>
  <c r="I27" i="34"/>
  <c r="H77" i="34"/>
  <c r="E72" i="34"/>
  <c r="F72" i="34" s="1"/>
  <c r="I24" i="30"/>
  <c r="E83" i="34"/>
  <c r="F83" i="34" s="1"/>
  <c r="E54" i="34"/>
  <c r="F54" i="34" s="1"/>
  <c r="I67" i="34"/>
  <c r="E42" i="34"/>
  <c r="F42" i="34" s="1"/>
  <c r="I60" i="34"/>
  <c r="E24" i="34"/>
  <c r="F24" i="34" s="1"/>
  <c r="I38" i="34"/>
  <c r="E52" i="34"/>
  <c r="F52" i="34" s="1"/>
  <c r="H49" i="34"/>
  <c r="I49" i="34" s="1"/>
  <c r="E75" i="34"/>
  <c r="F75" i="34" s="1"/>
  <c r="H17" i="34"/>
  <c r="I17" i="34" s="1"/>
  <c r="I39" i="34"/>
  <c r="E78" i="34"/>
  <c r="F78" i="34" s="1"/>
  <c r="E56" i="34"/>
  <c r="F56" i="34" s="1"/>
  <c r="I28" i="34"/>
  <c r="I77" i="34"/>
  <c r="E64" i="34"/>
  <c r="F64" i="34" s="1"/>
  <c r="H23" i="34"/>
  <c r="I23" i="34" s="1"/>
  <c r="I36" i="34"/>
  <c r="G6" i="34"/>
  <c r="I80" i="34"/>
  <c r="I82" i="34"/>
  <c r="H58" i="34"/>
  <c r="I58" i="34" s="1"/>
  <c r="I58" i="29"/>
  <c r="H76" i="34"/>
  <c r="I76" i="34" s="1"/>
  <c r="I76" i="29"/>
  <c r="H51" i="34"/>
  <c r="I51" i="34" s="1"/>
  <c r="I51" i="29"/>
  <c r="H56" i="34"/>
  <c r="I56" i="34" s="1"/>
  <c r="I56" i="29"/>
  <c r="H57" i="34"/>
  <c r="I57" i="34" s="1"/>
  <c r="I57" i="29"/>
  <c r="H85" i="34"/>
  <c r="I85" i="34" s="1"/>
  <c r="I85" i="29"/>
  <c r="I21" i="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C7" i="29"/>
  <c r="D6" i="29"/>
  <c r="C6" i="29"/>
  <c r="D5" i="29"/>
  <c r="C5" i="29"/>
  <c r="D4" i="29"/>
  <c r="C4" i="29"/>
  <c r="B4" i="30" a="1"/>
  <c r="B4" i="30" s="1"/>
  <c r="A1" i="30" a="1"/>
  <c r="A1" i="30" s="1"/>
  <c r="B4" i="29" a="1"/>
  <c r="B4" i="29" s="1"/>
  <c r="A4" i="29" a="1"/>
  <c r="A4" i="29" s="1"/>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H11" i="31"/>
  <c r="H10" i="31"/>
  <c r="H9" i="31"/>
  <c r="H8" i="31"/>
  <c r="H7" i="31"/>
  <c r="I7" i="31" s="1"/>
  <c r="H6" i="31"/>
  <c r="I6" i="31" s="1"/>
  <c r="H5" i="31"/>
  <c r="I5" i="31" s="1"/>
  <c r="E5" i="31"/>
  <c r="F5" i="31" s="1"/>
  <c r="H4" i="31"/>
  <c r="I4" i="31" s="1"/>
  <c r="E4" i="31"/>
  <c r="F4" i="31" s="1"/>
  <c r="G2" i="31"/>
  <c r="D2" i="31"/>
  <c r="C2" i="31"/>
  <c r="A1" i="31" a="1"/>
  <c r="A1" i="31" s="1"/>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C6" i="34" l="1"/>
  <c r="D6" i="34"/>
  <c r="C7" i="34"/>
  <c r="E7" i="34" s="1"/>
  <c r="F7" i="34" s="1"/>
  <c r="D7" i="34"/>
  <c r="I8" i="31"/>
  <c r="H8" i="30"/>
  <c r="I8" i="30" s="1"/>
  <c r="I9" i="31"/>
  <c r="H9" i="30"/>
  <c r="I9" i="30" s="1"/>
  <c r="I10" i="31"/>
  <c r="H10" i="30"/>
  <c r="I10" i="30" s="1"/>
  <c r="I11" i="31"/>
  <c r="H11" i="30"/>
  <c r="I11" i="30" s="1"/>
  <c r="I12" i="31"/>
  <c r="H12" i="30"/>
  <c r="I12" i="30" s="1"/>
  <c r="H9" i="29"/>
  <c r="I12" i="29"/>
  <c r="I8" i="26"/>
  <c r="H8" i="29"/>
  <c r="I11" i="26"/>
  <c r="H11" i="29"/>
  <c r="I10" i="26"/>
  <c r="H10" i="29"/>
  <c r="I8" i="21"/>
  <c r="H8" i="18"/>
  <c r="I9" i="21"/>
  <c r="H9" i="18"/>
  <c r="I12" i="21"/>
  <c r="H12" i="18"/>
  <c r="I11" i="21"/>
  <c r="H11" i="18"/>
  <c r="I10" i="21"/>
  <c r="H10" i="18"/>
  <c r="C5" i="34"/>
  <c r="D5" i="34"/>
  <c r="H6" i="29"/>
  <c r="E7" i="18"/>
  <c r="F7" i="18" s="1"/>
  <c r="D4" i="34"/>
  <c r="H6" i="30"/>
  <c r="H7" i="29"/>
  <c r="E4" i="18"/>
  <c r="F4" i="18" s="1"/>
  <c r="E4" i="30"/>
  <c r="F4" i="30" s="1"/>
  <c r="E5" i="18"/>
  <c r="F5" i="18" s="1"/>
  <c r="E5" i="29"/>
  <c r="F5" i="29" s="1"/>
  <c r="E5" i="30"/>
  <c r="F5" i="30" s="1"/>
  <c r="E6" i="18"/>
  <c r="F6" i="18" s="1"/>
  <c r="E6" i="29"/>
  <c r="F6" i="29" s="1"/>
  <c r="E6" i="30"/>
  <c r="F6" i="30"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E4" i="29"/>
  <c r="F4" i="29" s="1"/>
  <c r="H7" i="1"/>
  <c r="I7" i="1" s="1"/>
  <c r="H4" i="1"/>
  <c r="H5" i="1"/>
  <c r="I5" i="1" s="1"/>
  <c r="H6" i="1"/>
  <c r="I6" i="1" s="1"/>
  <c r="E2" i="3"/>
  <c r="F2" i="3" s="1"/>
  <c r="E4" i="1"/>
  <c r="F4" i="1" s="1"/>
  <c r="E2" i="33"/>
  <c r="F2" i="33" s="1"/>
  <c r="E2" i="32"/>
  <c r="F2" i="32" s="1"/>
  <c r="E2" i="31"/>
  <c r="F2" i="31" s="1"/>
  <c r="E2" i="27"/>
  <c r="F2" i="27" s="1"/>
  <c r="E2" i="26"/>
  <c r="F2" i="26" s="1"/>
  <c r="E2" i="19"/>
  <c r="F2" i="19" s="1"/>
  <c r="E2" i="21"/>
  <c r="F2" i="21" s="1"/>
  <c r="E2" i="4"/>
  <c r="F2" i="4" s="1"/>
  <c r="H2" i="72"/>
  <c r="H12" i="34" l="1"/>
  <c r="I12" i="34" s="1"/>
  <c r="E6" i="34"/>
  <c r="F6" i="34" s="1"/>
  <c r="I7" i="29"/>
  <c r="H7" i="34"/>
  <c r="I7" i="34" s="1"/>
  <c r="I6" i="29"/>
  <c r="H6" i="34"/>
  <c r="I6" i="34" s="1"/>
  <c r="I8" i="29"/>
  <c r="H8" i="34"/>
  <c r="I8" i="34" s="1"/>
  <c r="I9" i="29"/>
  <c r="H9" i="34"/>
  <c r="I9" i="34" s="1"/>
  <c r="I11" i="29"/>
  <c r="H11" i="34"/>
  <c r="I11" i="34" s="1"/>
  <c r="I10" i="29"/>
  <c r="H10" i="34"/>
  <c r="I10" i="34" s="1"/>
  <c r="I8" i="18"/>
  <c r="I9" i="18"/>
  <c r="I12" i="18"/>
  <c r="I11" i="18"/>
  <c r="I10" i="18"/>
  <c r="E5" i="34"/>
  <c r="F5" i="34" s="1"/>
  <c r="I5" i="30"/>
  <c r="H5" i="34"/>
  <c r="I5" i="34" s="1"/>
  <c r="I7" i="30"/>
  <c r="I6" i="30"/>
  <c r="E2" i="29"/>
  <c r="F2" i="29" s="1"/>
  <c r="E4" i="34"/>
  <c r="F4" i="34" s="1"/>
  <c r="H2" i="1"/>
  <c r="I2" i="1" s="1"/>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<sst xmlns="http://schemas.openxmlformats.org/spreadsheetml/2006/main" count="2095" uniqueCount="1022">
  <si>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</si>
  <si>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</si>
  <si>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</si>
  <si>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</si>
  <si>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</si>
  <si>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</si>
  <si>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</si>
  <si>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</si>
  <si>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</si>
  <si>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</si>
  <si>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</si>
  <si>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</si>
  <si>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</si>
  <si>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</si>
  <si>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</si>
  <si>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</si>
  <si>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</si>
  <si>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</si>
  <si>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</si>
  <si>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</si>
  <si>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</si>
  <si>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</si>
  <si>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</si>
  <si>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</si>
  <si>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</si>
  <si>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</si>
  <si>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</si>
  <si>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</si>
  <si>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</si>
  <si>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</si>
  <si>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</si>
  <si>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</si>
  <si>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</si>
  <si>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</si>
  <si>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</si>
  <si>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</si>
  <si>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</si>
  <si>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</si>
  <si>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</si>
  <si>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</si>
  <si>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</si>
  <si>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</si>
  <si>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</si>
  <si>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</si>
  <si>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</si>
  <si>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</si>
  <si>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</si>
  <si>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</si>
  <si>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</si>
  <si>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</si>
  <si>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</si>
  <si>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</si>
  <si>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</si>
  <si>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</si>
  <si>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</si>
  <si>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</si>
  <si>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</si>
  <si>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</si>
  <si>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</si>
  <si>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</si>
  <si>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</si>
  <si>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</si>
  <si>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</si>
  <si>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</si>
  <si>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</si>
  <si>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</si>
  <si>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</si>
  <si>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</si>
  <si>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</si>
  <si>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</si>
  <si>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</si>
  <si>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</si>
  <si>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</si>
  <si>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</si>
  <si>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</si>
  <si>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</si>
  <si>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</si>
  <si>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</si>
  <si>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</si>
  <si>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</si>
  <si>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</si>
  <si>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</si>
  <si>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</si>
  <si>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</si>
  <si>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</si>
  <si>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</si>
  <si>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</si>
  <si>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</si>
  <si>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</si>
  <si>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</si>
  <si>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</si>
  <si>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</si>
  <si>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</si>
  <si>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</si>
  <si>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</si>
  <si>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</si>
  <si>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</si>
  <si>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</si>
  <si>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</si>
  <si>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</si>
  <si>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</si>
  <si>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</si>
  <si>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</si>
  <si>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</si>
  <si>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</si>
  <si>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</si>
  <si>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</si>
  <si>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</si>
  <si>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</si>
  <si>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</si>
  <si>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</si>
  <si>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</si>
  <si>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</si>
  <si>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</si>
  <si>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</si>
  <si>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</si>
  <si>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</si>
  <si>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</si>
  <si>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</si>
  <si>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</si>
  <si>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</si>
  <si>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</si>
  <si>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</si>
  <si>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</si>
  <si>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</si>
  <si>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</si>
  <si>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</si>
  <si>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</si>
  <si>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</si>
  <si>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</si>
  <si>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</si>
  <si>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</si>
  <si>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</si>
  <si>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</si>
  <si>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</si>
  <si>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</si>
  <si>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</si>
  <si>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</si>
  <si>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</si>
  <si>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</si>
  <si>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</si>
  <si>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</si>
  <si>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</si>
  <si>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</si>
  <si>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</si>
  <si>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</si>
  <si>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</si>
  <si>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</si>
  <si>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</si>
  <si>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</si>
  <si>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</si>
  <si>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</si>
  <si>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</si>
  <si>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</si>
  <si>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</si>
  <si>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</si>
  <si>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</si>
  <si>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</si>
  <si>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</si>
  <si>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</si>
  <si>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</si>
  <si>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</si>
  <si>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</si>
  <si>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</si>
  <si>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</si>
  <si>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</si>
  <si>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</si>
  <si>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</si>
  <si>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</si>
  <si>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</si>
  <si>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</si>
  <si>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</si>
  <si>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</si>
  <si>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</si>
  <si>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</si>
  <si>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</si>
  <si>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</si>
  <si>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</si>
  <si>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</si>
  <si>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</si>
  <si>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</si>
  <si>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</si>
  <si>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</si>
  <si>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</si>
  <si>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</si>
  <si>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</si>
  <si>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</si>
  <si>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</si>
  <si>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</si>
  <si>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</si>
  <si>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</si>
  <si>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</si>
  <si>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</si>
  <si>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</si>
  <si>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</si>
  <si>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</si>
  <si>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</si>
  <si>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</si>
  <si>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</si>
  <si>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</si>
  <si>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</si>
  <si>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</si>
  <si>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</si>
  <si>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</si>
  <si>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</si>
  <si>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</si>
  <si>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</si>
  <si>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</si>
  <si>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</si>
  <si>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</si>
  <si>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</si>
  <si>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</si>
  <si>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</si>
  <si>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</si>
  <si>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</si>
  <si>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</si>
  <si>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</si>
  <si>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</si>
  <si>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</si>
  <si>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</si>
  <si>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</si>
  <si>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</si>
  <si>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</si>
  <si>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</si>
  <si>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</si>
  <si>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</si>
  <si>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</si>
  <si>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</si>
  <si>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</si>
  <si>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</si>
  <si>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</si>
  <si>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</si>
  <si>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</si>
  <si>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</si>
  <si>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</si>
  <si>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</si>
  <si>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</si>
  <si>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</si>
  <si>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</si>
  <si>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</si>
  <si>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</si>
  <si>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</si>
  <si>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</si>
  <si>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</si>
  <si>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</si>
  <si>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</si>
  <si>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</si>
  <si>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</si>
  <si>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</si>
  <si>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</si>
  <si>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</si>
  <si>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</si>
  <si>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</si>
  <si>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</si>
  <si>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</si>
  <si>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</si>
  <si>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</si>
  <si>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</si>
  <si>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</si>
  <si>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</si>
  <si>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</si>
  <si>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</si>
  <si>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</si>
  <si>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</si>
  <si>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</si>
  <si>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</si>
  <si>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</si>
  <si>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</si>
  <si>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</si>
  <si>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</si>
  <si>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</si>
  <si>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</si>
  <si>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</si>
  <si>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</si>
  <si>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</si>
  <si>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</si>
  <si>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</si>
  <si>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</si>
  <si>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</si>
  <si>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</si>
  <si>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</si>
  <si>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</si>
  <si>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</si>
  <si>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</si>
  <si>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</si>
  <si>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</si>
  <si>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</si>
  <si>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</si>
  <si>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</si>
  <si>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</si>
  <si>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</si>
  <si>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</si>
  <si>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</si>
  <si>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</si>
  <si>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</si>
  <si>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</si>
  <si>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</si>
  <si>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</si>
  <si>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</si>
  <si>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</si>
  <si>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</si>
  <si>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</si>
  <si>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</si>
  <si>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</si>
  <si>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</si>
  <si>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</si>
  <si>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</si>
  <si>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</si>
  <si>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</si>
  <si>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</si>
  <si>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</si>
  <si>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</si>
  <si>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</si>
  <si>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</si>
  <si>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</si>
  <si>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</si>
  <si>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</si>
  <si>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</si>
  <si>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</si>
  <si>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</si>
  <si>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</si>
  <si>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</si>
  <si>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</si>
  <si>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</si>
  <si>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</si>
  <si>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</si>
  <si>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</si>
  <si>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</si>
  <si>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</si>
  <si>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</si>
  <si>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</si>
  <si>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</si>
  <si>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</si>
  <si>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</si>
  <si>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</si>
  <si>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</si>
  <si>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</si>
  <si>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</si>
  <si>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</si>
  <si>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</si>
  <si>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</si>
  <si>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</si>
  <si>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</si>
  <si>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</si>
  <si>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</si>
  <si>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</si>
  <si>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</si>
  <si>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</si>
  <si>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</si>
  <si>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</si>
  <si>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</si>
  <si>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</si>
  <si>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</si>
  <si>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</si>
  <si>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</si>
  <si>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</si>
  <si>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</si>
  <si>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</si>
  <si>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</si>
  <si>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</si>
  <si>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</si>
  <si>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</si>
  <si>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</si>
  <si>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</si>
  <si>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</si>
  <si>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</si>
  <si>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</si>
  <si>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</si>
  <si>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</si>
  <si>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</si>
  <si>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</si>
  <si>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</si>
  <si>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</si>
  <si>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</si>
  <si>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</si>
  <si>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</si>
  <si>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</si>
  <si>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</si>
  <si>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</si>
  <si>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</si>
  <si>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</si>
  <si>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</si>
  <si>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</si>
  <si>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</si>
  <si>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</si>
  <si>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</si>
  <si>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</si>
  <si>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</si>
  <si>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</si>
  <si>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</si>
  <si>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</si>
  <si>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</si>
  <si>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</si>
  <si>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</si>
  <si>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</si>
  <si>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</si>
  <si>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</si>
  <si>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</si>
  <si>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</si>
  <si>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</si>
  <si>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</si>
  <si>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</si>
  <si>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</si>
  <si>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</si>
  <si>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</si>
  <si>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</si>
  <si>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</si>
  <si>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</si>
  <si>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</si>
  <si>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</si>
  <si>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</si>
  <si>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</si>
  <si>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</si>
  <si>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</si>
  <si>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</si>
  <si>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</si>
  <si>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</si>
  <si>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</si>
  <si>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</si>
  <si>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</si>
  <si>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</si>
  <si>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</si>
  <si>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</si>
  <si>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</si>
  <si>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</si>
  <si>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</si>
  <si>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</si>
  <si>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</si>
  <si>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</si>
  <si>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</si>
  <si>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</si>
  <si>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</si>
  <si>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</si>
  <si>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</si>
  <si>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</si>
  <si>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</si>
  <si>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</si>
  <si>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</si>
  <si>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</si>
  <si>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</si>
  <si>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</si>
  <si>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</si>
  <si>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</si>
  <si>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</si>
  <si>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</si>
  <si>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</si>
  <si>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</si>
  <si>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</si>
  <si>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</si>
  <si>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</si>
  <si>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</si>
  <si>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</si>
  <si>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</si>
  <si>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</si>
  <si>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</si>
  <si>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</si>
  <si>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</si>
  <si>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</si>
  <si>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</si>
  <si>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</si>
  <si>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</si>
  <si>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</si>
  <si>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</si>
  <si>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</si>
  <si>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</si>
  <si>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</si>
  <si>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</si>
  <si>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</si>
  <si>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</si>
  <si>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</si>
  <si>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1. Inverter 12 was significantly affected by shading, resulting in a 6 kW reduction in output. This issue is more likely to occur on high irradiance days throughout the month.</t>
  </si>
  <si>
    <t>1. Inverter 1 was offline from 19:20 on 08/07.
2.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3. Weather station jumps from 0 to 1200 W/m^2 at sunrise and stays high all day. Inverter production seems to reflect cloud cover on some days, but the irradiance sensor always reports very sunny conditions.</t>
  </si>
  <si>
    <t>1. SR105924
2. SR101243
3. SR101245</t>
  </si>
  <si>
    <t>1. SR096262, SR099066</t>
  </si>
  <si>
    <t>1. Inverter 3.5 has been offline since 14:45 on 07/04.
2. Inverter 2.5 has been intermittently derating during high irradiance since 07/08.
3. The site has been offline since 01:30 on 08/09 and requires further troubleshooting with AlsoEnergy.</t>
  </si>
  <si>
    <t>1. SR104023
2. SR104137
3. SR105956</t>
  </si>
  <si>
    <t>SR105956</t>
  </si>
  <si>
    <t>1. The site was offline from 07:45 to 17:30 on 08/16.
2. The site tripped offline at 12:00 on 08/28 and came back online at 10:45 on 08/29.
3. Meter communication has been intermittent throughout the month.</t>
  </si>
  <si>
    <t>1. SR106384
2. SR107143
3. SR100417</t>
  </si>
  <si>
    <t>SR107143</t>
  </si>
  <si>
    <t>1. Inverter 9 derated at 40kW from 06/01 to 06/05 and reporting "External Fan Err - ExtFanerr" and inverter is under RMA for replacement fans.</t>
  </si>
  <si>
    <t>1. SR102209</t>
  </si>
  <si>
    <t>1. Inverter 3 is derating at 75kW from 13:45 on 06/19 and reporting "External Fan
 Err - ExtFanerr" and the fan is being RMA'd.
2. Inverter 7 has been offline since 13:30 on 08/09 and is currently being RMA'd.</t>
  </si>
  <si>
    <t>1. Inverters 1, 6, 7, and 8 show a sporadic derating pattern during high irradiance, while Inverters 3 and 4 have been derating by 12 kW in the afternoons throughout the month.
2. Inverter 1 has been offline since 10:30 on 08/20 and is currently being RMA'd.</t>
  </si>
  <si>
    <t>1. SR103740
2. SR106599</t>
  </si>
  <si>
    <t>SR106599</t>
  </si>
  <si>
    <t>1. All trackers have been stuck since 08/26.</t>
  </si>
  <si>
    <t>1. SR106946</t>
  </si>
  <si>
    <t>1. Inverter 5 dropped a string on 06/11 and the fuse needs to be replaced.</t>
  </si>
  <si>
    <t>1. SR103239</t>
  </si>
  <si>
    <t xml:space="preserve">1. SR103048
</t>
  </si>
  <si>
    <t>1. Inverters 3 and 4 have been running on 2 strings each since 07/08.
2. Inverter 10 tripped offline at 10:00 on 08/10 and came back online at 07:00 on 08/15.
3. Meter A inverters (1 through 12) experienced multiple trippings on 08/11 and 08/12, were offline on 08/14, and came back online on 08/15.</t>
  </si>
  <si>
    <t>1. SR103686
2. SR105968
3. SR106026</t>
  </si>
  <si>
    <t>SR105968</t>
  </si>
  <si>
    <t>SR106026</t>
  </si>
  <si>
    <t>1. Inverters 9,13 and 18 are offline through out the month.
2. Inverter 5 was offline on 08/21 and came back online at 13:55 on 08/22.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t>
  </si>
  <si>
    <t>1. SR099730
2. SR106719
3. SR104823
4. SR104824
5. SR104825
6. SR104826
7. SR104828
8. SR104827
9. SR104829
10. SR104831
11. SR104832</t>
  </si>
  <si>
    <t>SR106719</t>
  </si>
  <si>
    <t>SR104823</t>
  </si>
  <si>
    <t>SR104824</t>
  </si>
  <si>
    <t>SR104825</t>
  </si>
  <si>
    <t>SR104826</t>
  </si>
  <si>
    <t>SR104828</t>
  </si>
  <si>
    <t>SR104827</t>
  </si>
  <si>
    <t>SR104829</t>
  </si>
  <si>
    <t>SR104831</t>
  </si>
  <si>
    <t>SR104832</t>
  </si>
  <si>
    <t>1. Inverters 5 and 7 are again derating by 10 kW. Inverters 14 and 15 are underperforming by 3 kW compared to their peers, and Inverters 9 and 11 are underperforming by 2 kW compared to their peers throughout the month. Waiting for approval to dispatch.</t>
  </si>
  <si>
    <t>1. Inverter 10 was derating at 10kW from 12:40 on 06/02 and issue was resolved on 08/18
2. Inverter 4 was derating since 04/08 and was resolved on 08/18.
3. Inverters 1 and 7 were offline since 03/04 to till date  and meter was not communicated issue was resolved on 08/18.</t>
  </si>
  <si>
    <t>1.SR102316
2.SR099500
3.SR098016</t>
  </si>
  <si>
    <t>1.SR103914,</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</si>
  <si>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t>
  </si>
  <si>
    <t>1. SR104192
2. SR102794, PM10647
3. SR105489</t>
  </si>
  <si>
    <t>SR105489</t>
  </si>
  <si>
    <t>1. Actual vs expected delta is showing 38% due to expected energy recording low possibly due to data glitch (similar event observe last 2 years).</t>
  </si>
  <si>
    <t>1. Actual vs expected delta is showing 20% due to expected energy recording low possibly due to data glitch (similar event observe last 2 years).</t>
  </si>
  <si>
    <t>1. The site was offline at 01:00 on 08/10 and remained offline through out the month.</t>
  </si>
  <si>
    <t>1. SR105973</t>
  </si>
  <si>
    <t>1. Actual vs expected delta is showing 13% due to expected energy recording low possibly due to data glitch (similar event observe last 2 years).</t>
  </si>
  <si>
    <t>1. Actual vs expected delta is showing 11% due to expected energy recording low possibly due to data glitch (similar event observe last 2 years).</t>
  </si>
  <si>
    <t>1. Meter was not capturing full production since 08/10 to end of the month.</t>
  </si>
  <si>
    <t xml:space="preserve">1. SR106082, SR100857 </t>
  </si>
  <si>
    <t>SR100857</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</si>
  <si>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t>
  </si>
  <si>
    <t>1. SR101818
2. SR105928</t>
  </si>
  <si>
    <t>SR105928</t>
  </si>
  <si>
    <t xml:space="preserve">1. The POA has been reading 0 W/m2 since 08/01/23 to end of the month.
2. 200 Modules were damaged and need to be replaced.
</t>
  </si>
  <si>
    <t xml:space="preserve">1.  The anemometer SE 03 has stopped communicating from 10/14/23.
</t>
  </si>
  <si>
    <t xml:space="preserve">1. SR101021
</t>
  </si>
  <si>
    <t>1.  Inverters E2, E4, and G4 were offline for whole month and  inverter A3, 2 strings down 0 voltage since 07/25. Inverter A2 1 string down 0 voltage.
2. Inverter D2 has tripped offline at 17:30 on 08/07 and reporting Arc fault (E050) and back online at 09:15 on 08/19. 
3. inverter B1 has a history of late starts most of the days in month</t>
  </si>
  <si>
    <t>1. SR105192
2. SR105872
3. SR106435, SR106650</t>
  </si>
  <si>
    <t>SR105872</t>
  </si>
  <si>
    <t>SR106435</t>
  </si>
  <si>
    <t>SR106650</t>
  </si>
  <si>
    <t>1. Site has not communicated since 5/14/25,  inverter 3 offline from 3/19/25 and LOTOd.  inverter 1 offline from 3/18/25. inverter 2 offline from 3/18/25. inverter 4 offline from 3/23/25 and  inverter 4 tripped offline on 8/28/25.</t>
  </si>
  <si>
    <t>1. SR102419, SR107209</t>
  </si>
  <si>
    <t>SR107209</t>
  </si>
  <si>
    <t>1.Inverter G was offline on 08/17 and was back online  on 08/18,again was offline on 08/19 and back online on 08/20 ,again offline on 08/21 and was back online on 08/23.Self Resolved.
2.  Inverter E offline (LOTO'd on 6/12/24). inverter A underperforming by 17kW. Inverter G underperforming by 7kW. Inverter F underperforming by 5kW. for whole month.</t>
  </si>
  <si>
    <t>1.SR106774
2.SR102283</t>
  </si>
  <si>
    <t>1.SR102418</t>
  </si>
  <si>
    <t>1.SR102416</t>
  </si>
  <si>
    <t>1.Inverters A, C and D were offline for whole month.</t>
  </si>
  <si>
    <t>1.SR102392</t>
  </si>
  <si>
    <t>1.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</si>
  <si>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</si>
  <si>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SR104882</t>
  </si>
  <si>
    <t>1.SR102320</t>
  </si>
  <si>
    <t>1.SR102317</t>
  </si>
  <si>
    <t>1. Inverter K was offline on 08/06 and was back online on 08/07.</t>
  </si>
  <si>
    <t>1.SR105794</t>
  </si>
  <si>
    <t>1.Inverter 19 tripped offline at 11:30 on 08/18 and reporting "Fault"through out the month.
2.Inverter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</si>
  <si>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1.SR106474
2.SR102286</t>
  </si>
  <si>
    <t>1.  Inverter 3 was underperforming by 5kW, likely down a string. Inverter 4, 5 derating by 8kW and reporting external fan error for whole month.  
2.Inverters 4 and 5 were capping at 15 kW with External Fan error alarms throughout the month.</t>
  </si>
  <si>
    <t>1.SR102281
2.SR106885</t>
  </si>
  <si>
    <t>SR106885</t>
  </si>
  <si>
    <t>1.Inverter E2.04 was derating due to a fan fault for whole month.</t>
  </si>
  <si>
    <t>1.SR101986</t>
  </si>
  <si>
    <t>1.SR102451</t>
  </si>
  <si>
    <t xml:space="preserve">1.Inverters G and P were undeperforming by 4kw each throughout the month
2.Inverter N remained offline since 07/27 to end of the month.
3. Inverter 17, H 21, I 22, L 25, O28, 30, R 31, S 32, T 33 were offline and LOTO'd. Inverter 26 underperforming by 12kW for whole month. Inverter J - 23 underperforming by 4 kW. </t>
  </si>
  <si>
    <t>1.SR106828
2.SR105139
3.SR102329</t>
  </si>
  <si>
    <t>1.SR102303</t>
  </si>
  <si>
    <t>1. Inverters 1, 7, 8, 10, 11, 12, 13 were offline and LOTO'd. Inverter 4 underperforming by 5 kW. inverter 3 underperforming by 10kW.Inverter 9 was offline since 07/23.</t>
  </si>
  <si>
    <t>1.SR102411</t>
  </si>
  <si>
    <t>1.Inverter 4 was underproducing by approximately 12kw and inverter 3 was underproducing by 3kw compared to its peer inverters throughout the month.</t>
  </si>
  <si>
    <t>1.SR106531</t>
  </si>
  <si>
    <t>1.SR102310</t>
  </si>
  <si>
    <t>1.SR104289</t>
  </si>
  <si>
    <t>1. Inverters 19, 20,21, 26 were offline for whole month. Inverter 22,23 underperforming by 13 kW each through out the month.</t>
  </si>
  <si>
    <t>1.SR102413</t>
  </si>
  <si>
    <t>1. Inverters D, F, H were offline. for whole month.
2. Inverter G is underperforming by 3 kW ,possibly soiling.</t>
  </si>
  <si>
    <t>1.SR102425
2.SR106842</t>
  </si>
  <si>
    <t>SR106842</t>
  </si>
  <si>
    <t>1. Zone 1.1 has been operating at 3 kW since 09:00 on 07/10.
2.Zone 1.6, 2.13, 2.14 are reporting -50 amps. Zone 1.7 is reporting 30 amps higher than expected. Zone 2.9 is reporting 70 amps higher than expected. Possible CT issues reached out to Also Energy.</t>
  </si>
  <si>
    <t>1.SR104290
2.SR104290</t>
  </si>
  <si>
    <t>1.SR102424</t>
  </si>
  <si>
    <t>1. Inverter A has been offline and LOTO'd since 06/14/2024. Inverter D has been offline since 05/30/2025 due to an 'Arc Fault</t>
  </si>
  <si>
    <t>1.SR102423</t>
  </si>
  <si>
    <t>1.SR102421</t>
  </si>
  <si>
    <t>1.Inverter D,H,K were underperforming by 6 kW each since 06/03; possible string down.</t>
  </si>
  <si>
    <t>1.SR102420</t>
  </si>
  <si>
    <t>1.Inverter 12 was derating at 40kw at 11:30 cdt on 08/30 due to "External Fan Err - ExtFanerr".
2.Meter B phase current dropped about 600 amps at 19:00cdt  on 08/27. Further troubleshooting is required.
3.Inverter 3 was derating 40kw at 11:00 on 08/20 reporting "external fan error" .
4.Inverter 1 was tripped offline at 13:45cdt on 08/19  and reporting "Static GFCI high"and was back online at 07:45cdt on 08/20.Self resolved
5.. Inverter 13 has been underperforming since 07/10 due to  tracker 33 has been stuck at 0 degrees and issue was resolved at 13:45cdt on 08/29.
6.Inverter 6 was derating by 15kw during afternoon hours from 08/08 since tracker 15 struck at -30 degrees and issue was resolved on 08/21.
7.Inverter 2 has been derating by about 25 kW due to an "External Fan Err - ExtFanerr" and issue was resolved on 08/11. Inverter 8 has been derating by 40 kW due to an 'External Fan Fault' since 07/10 and futher trobleshooting is required.</t>
  </si>
  <si>
    <t>1.SR107231
2.SR107145
3.SR106851
4.SR106520
5.SR104246
6.SR104246
7.SR103869</t>
  </si>
  <si>
    <t>SR107145</t>
  </si>
  <si>
    <t>SR106851</t>
  </si>
  <si>
    <t>SR106520</t>
  </si>
  <si>
    <t>SR103869</t>
  </si>
  <si>
    <t>1.Inverter 3 tripped offline at 09:30 mst on 08/04 and was back online at 05:30 mst on 08/14,again tripped offline at 13:00 mst on 08/29.</t>
  </si>
  <si>
    <t>1.SR105626,SR106301</t>
  </si>
  <si>
    <t>SR106301</t>
  </si>
  <si>
    <t>1. Inverter 1.1.1.3 tripped offline at 13:30 on 07/22 due to 'Grid Phase Voltage Out of Range' and will remain offline until the new AC breaker and AC busbars are RMA'd.
2. Inverter 1.1.3.4 tripping on and off multiple days in a month.
3. Actual vs expected delta is showing 392% due to expected energy recording low possibly due to data glitch (similar event observe last 3 years).</t>
  </si>
  <si>
    <t xml:space="preserve">1. SR104776
2. SR103944,  SR106611
</t>
  </si>
  <si>
    <t>SR103944</t>
  </si>
  <si>
    <t>SR106611</t>
  </si>
  <si>
    <t>1. Inverter 16 has been derating by up to 40 kW since 10/24/2024.
2. Inverter 28 has been underperforming by 10 kW due to DC current being offline since 11/08/2022 and will be investigated during the next site visit.
3. Actual vs expected delta is showing 27% due to expected energy recording low possibly due to data glitch (similar event observe last 2 years).</t>
  </si>
  <si>
    <t>1. Inverter 1, Module 5 has been offline since 07/20 and will remain offline until further troubleshooting.
2. Inverter 2, Module 7 has been offline since 07/28.
3. Site was offline at 14:30 on 08/22 and later back online at 13:30 on 08/24.
4. Site was offline at 13:15 on 08/28 and later back online at 10:15 on 08/29.</t>
  </si>
  <si>
    <t>1. SR104665
2. SR105155
3. SR106781
4. SR107162</t>
  </si>
  <si>
    <t>SR106781</t>
  </si>
  <si>
    <t>SR107162</t>
  </si>
  <si>
    <t>September Actual v. Expected</t>
  </si>
  <si>
    <t>September Actual v. Forecasted</t>
  </si>
  <si>
    <t>1. Inverter G has tripped offline at 09:20 on 09/01 and reporting "ARC fault detected" and remained offline throughout the month.
2. Inverter I tripped offline at 19:20 on 08/07 and reporting "ARC fault detected"  and remained offline throughout the month.
3.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4. Inverter O tripped offline at 07:00 on 09/06 and back online at 11:50 on 09/12. and again offline on 09/17 and back online on 09/18.
5. Weather station jumps from 0 to 1200 W/m^2 at sunrise and stays high all day. Inverter production seems to reflect cloud cover on some days, but the irradiance sensor always reports very sunny conditions.</t>
  </si>
  <si>
    <t>1. SR107271
2. SR105924
3. SR101243, SR105658
4. SR107520, SR104647
5. SR101245</t>
  </si>
  <si>
    <t>SR105924</t>
  </si>
  <si>
    <t>SR105658</t>
  </si>
  <si>
    <t>SR107520</t>
  </si>
  <si>
    <t xml:space="preserve">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3. PAD B inverters were offline since 08/01 and back online at 15:00 on 09/15. </t>
  </si>
  <si>
    <t>1. SR098870
2. SR099461
3. SR107058</t>
  </si>
  <si>
    <t>SR107058</t>
  </si>
  <si>
    <t>1. Inverter 3.5 has been offline since 14:45 on 07/04 and reporting " Grid Line Voltage Out of Range - GridV.OutLim"
2. Inverter 2.5 has been intermittently derating during high irradiance since 07/08.
3. The site was not communicated from 01:30 on 08/09 to 11:15 on 09/10, the data from 08/09 to 09/10 was back filled on 09/10.</t>
  </si>
  <si>
    <t>1. The site went offline at 16:00 on 09/17, with all inverters reporting "Grid Phase Voltage Out of Range - GridV.OutLim." After resetting the relay and main breaker, the site came back online at 14:15 on 09/19.
2. Meter communication has been intermittent throughout the month.</t>
  </si>
  <si>
    <t>1. SR108214
2. SR100417</t>
  </si>
  <si>
    <t xml:space="preserve">1. SR103184
2. SR105959
</t>
  </si>
  <si>
    <t>SR105959</t>
  </si>
  <si>
    <t>1. Inverters 1, 6, 7, and 8 show a sporadic derating pattern during high irradiance, while Inverters 3 and 4 have been derating by 12 kW in the afternoons throughout the month.
2. Inverter 1 has been offline since 10:30 on 08/20 and is currently being RMA'd.
3. The site went offline at 04:00 on 09/06 due to a tripped main breaker. After resetting the utility main breaker, the site came back online at 06:45 on 09/08.
4. Inverter 6 tripped offline and reporting  "Permanent fault of power module-Fault0010"  and is currently being RMA'd.</t>
  </si>
  <si>
    <t>1. SR103740
2. SR106599
3. SR107545
4. SR107872</t>
  </si>
  <si>
    <t>SR107545</t>
  </si>
  <si>
    <t>SR107872</t>
  </si>
  <si>
    <t>1. All trackers have been stuck since 08/26 and back online on 09/08 and again all trackers are strucked 09/12.
2. Site was tripped offline at 19:00 on 09/06 and back online at 13:45 on 09/08.</t>
  </si>
  <si>
    <t>1. SR106946, SR107211SR108008
2. SR107587</t>
  </si>
  <si>
    <t>SR107211</t>
  </si>
  <si>
    <t>SR108008</t>
  </si>
  <si>
    <t>SR107587</t>
  </si>
  <si>
    <t>1. Inverter 5 dropped a string on 06/11 and the fuse needs to be replaced.
2. Inverter 3 is derating at 40kW reporting "external fan error" on 09/19.</t>
  </si>
  <si>
    <t>1. SR103239
2. SR108311</t>
  </si>
  <si>
    <t>SR108311</t>
  </si>
  <si>
    <t xml:space="preserve">                   N/A</t>
  </si>
  <si>
    <t>1. Inverters 3 and 4 have been running on 2 strings each since 07/08.
2. Site tripped offline at 17:00 on 09/04 and back online at 07:00 on 09/05.</t>
  </si>
  <si>
    <t>1. SR103686
2. SR107476</t>
  </si>
  <si>
    <t>SR107476</t>
  </si>
  <si>
    <t>1. Inverters 9,13 and 18 are offline through out the month.
2. Inverter 5 was offline on 07:00 on 09/07 and back online at 15:30 on 09/08.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
12. Inverter 8 was offline at 07:00 on 09/10 and back online at 03:05 on 09/12.</t>
  </si>
  <si>
    <t>1. SR099730
2. SR106719
3. SR104823
4. SR104824
5. SR104825
6. SR104826
7. SR104828
8. SR104827
9. SR104829
10. SR104831
11. SR104832
12. SR107791</t>
  </si>
  <si>
    <t>SR107791</t>
  </si>
  <si>
    <t>1. Inverters 1 and 7 were offline since 03/04 to till date  and meter was not communicated and remained offline throughout the month.
2. Inverter 4 tripped offline at 11:00 on 09/24 and has been reporting a "Fault" status. It has remained offline throughout the month.
3. Inverter 10 tripped offline at 11:00 on 09/21 and reporting "grid line voltage out of range (GridV.OutLim)"  and remained offline throughout the month.</t>
  </si>
  <si>
    <t>1.SR106483,  SR098016, SR106514
2. SR106806
3. SR108422</t>
  </si>
  <si>
    <t>SR106514</t>
  </si>
  <si>
    <t>SR106806</t>
  </si>
  <si>
    <t>SR108422</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</si>
  <si>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went offline at 07:00 on 09/07, reporting error code "1392", and came back online at 08:45 on 09/18. It tripped offline again at 07:00 on 09/20, reporting "Operating state: Error (1392)", and has remained offline throughout the remainder of the month.</t>
  </si>
  <si>
    <t>1. SR104192
2. SR102794, PM10647
3. SR105489
4. SR107586, SR108491</t>
  </si>
  <si>
    <t>SR107586</t>
  </si>
  <si>
    <t>SR108491</t>
  </si>
  <si>
    <t>1.  RCB-1, 1.7 is offline, and RCB-1, 1.1 RCB-1, 1.2, RCB-1, 1.3, RCB-1, and RCB-1, 1.4 are down strings from 9/22.
2. Actual vs expected delta is showing 38% due to expected energy recording low possibly due to data glitch (similar event observe last 2 years).</t>
  </si>
  <si>
    <t>1. SR108496</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</si>
  <si>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 and this issue scheduled during PM event.</t>
  </si>
  <si>
    <t>1. SR105366, PM16547
2. SR101100, SR107802</t>
  </si>
  <si>
    <t>SR107802</t>
  </si>
  <si>
    <t>1.  Inverters E2, E4, and G4 were offline for whole month and  inverter A3, 2 strings down 0 voltage since 07/25. Inverter A2 1 string down 0 voltage.
2. inverter B1 has a history of late starts most of the days in month</t>
  </si>
  <si>
    <t>1. SR105192
2. SR106435, SR106650</t>
  </si>
  <si>
    <t>1. Site has not communicated since 5/14/25,  inverter 3 offline from 3/19/25 and LOTOd.  inverter 1 offline from 3/18/25. inverter 2 offline from 3/18/25. inverter 4 offline from 3/23/25 and  inverter 4 tripped offline since 8/28/25.</t>
  </si>
  <si>
    <t>1. Inverter E offline (LOTO'd on 6/12/24). inverter A underperforming by 17kW. Inverter G underperforming by 7kW. Inverter F underperforming by 5kW. for whole month.
2. inverters G was offline at 07:00 on 09/24 and later back online at 09:45 on 09/25.</t>
  </si>
  <si>
    <t>1. SR102283
2. SR106774</t>
  </si>
  <si>
    <t>SR106774</t>
  </si>
  <si>
    <t>1. Inverter J tripped offline at 14:00 on 09/18 and reporting "arc fault" and remained offline through out the month.
2. Inverter 7 was offline at 07:00 on 09/20 and remained offline through out the month.</t>
  </si>
  <si>
    <t>1. SR108297, SR108307
2. SR108307</t>
  </si>
  <si>
    <t>SR108307</t>
  </si>
  <si>
    <t>1.Inverter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</si>
  <si>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1.SR102886</t>
  </si>
  <si>
    <t xml:space="preserve">1.Inverter 3 was underperforming by 5kW, likely down a string. Inverter 4, 5 derating by 8kW and reporting external fan error for whole month.  
</t>
  </si>
  <si>
    <t>1.SR102281</t>
  </si>
  <si>
    <t>1.Inverter 17, H 21, I 22, L 25, O28, 30, R 31, S 32, T 33 were offline and LOTO'd. Inverter 26 underperforming by 12kW for whole month. Inverter J - 23 underperforming by 4 kW. 
2.Inverter N remained offline since 07/27 and reporting "ARC fault"
3.Inverters G and P were undeperforming by 4kw each throughout the month</t>
  </si>
  <si>
    <t>1.SR102329
2.SR105139
3.SR105139</t>
  </si>
  <si>
    <t>1.Inverter 4 is underproducing by approximately 12kW  and inverter 3 is underproducing by 3kW compared to it peer inverters whole month</t>
  </si>
  <si>
    <t>1.Inverter D tripped offline at 12:45pdt on 09/24 reporting "Arc Fault".
2. Inverters A,B,C,D,E,F,G, H were offline and LOTO'd.Inverter B was back online at 11:00pdt on 09/23.</t>
  </si>
  <si>
    <t>1.SR108501
2.SR107991,SR102310</t>
  </si>
  <si>
    <t>SR107991</t>
  </si>
  <si>
    <t>SR102310</t>
  </si>
  <si>
    <t>1.SR102450</t>
  </si>
  <si>
    <t>1.Inverters A, B, C are underperforming by 50% and  Inverter G is underperforming by 3 kW - possibly soiling.
2.Inverters D, F, H were offline. for whole month.</t>
  </si>
  <si>
    <t>1.SR106842
2.SR102425</t>
  </si>
  <si>
    <t>SR102425</t>
  </si>
  <si>
    <t xml:space="preserve">1.SR102820
2.SR104290
</t>
  </si>
  <si>
    <t>1.Inverter 9 was derating by 30kw since 09/23 and reporting external fan error.
2.Inverter 12 was derating at 40kw at 11:30 cdt on 08/30 due to "External Fan Err - ExtFanerr" and issue was resolved on 09/08.
3.Inverter 3 was derating at 40kw since 11:00 on 08/20 reporting "external fan error"
4. Inverter 8 has been derating by 40 kW due to an 'External Fan Fault' since 07/10 and futher trobleshooting is required.</t>
  </si>
  <si>
    <t>1.SR108494
2.SR107231
3.SR106851
4.SR103869</t>
  </si>
  <si>
    <t>SR107231</t>
  </si>
  <si>
    <t>1.Inverter 1 is derating by 50kW and reporting "Real Time Clock Error"throughout the month.
2.Inverter 3 tripped offline at 13:00MST on 08/29 and was back online at 12:15MST on 09/17.</t>
  </si>
  <si>
    <t>1.SR108282,SR103868
2.SR106301</t>
  </si>
  <si>
    <t>SR103868</t>
  </si>
  <si>
    <t>1.SR103867</t>
  </si>
  <si>
    <t>1.SR103866</t>
  </si>
  <si>
    <t>1.SR104456</t>
  </si>
  <si>
    <t>1.Inverters 1.1.5.1, 1.1.5.2, 1.1.5.3 and 1.1.5.4 tripped offline at 12:15 on 09/23, reporting grid phase voltage out of range and were back online at 09:15 on 09/24.
2.Inverter 1.1.3.4 was tripped offline at 10:00 on 09/03 and reporting "Insulation Resistance Low - IsolationErr" was back online at 10:45 on the same day.Inverter was tripping daily since 09/04  due to isolation faults and issue resolve on 09/08.</t>
  </si>
  <si>
    <t>1.SR108426
2.SR107661</t>
  </si>
  <si>
    <t>SR107661</t>
  </si>
  <si>
    <t>1. Inverter 16 has been derating by up to 40 kW since 10/24/2024.
2. Inverter 28 has been underperforming by 10 kW due to DC current being offline since 11/08/2022 and will be investigated during the next site visit.</t>
  </si>
  <si>
    <t>1.SR103946
2.SR104855,SR103946</t>
  </si>
  <si>
    <t>1. Inverters 4 and 5 have been derating by approximately 6 kW since 02/05 to end of the september.</t>
  </si>
  <si>
    <t>1.Site was offline at 16:00 on 09/19 and was back online at 09:45 on 09/21.</t>
  </si>
  <si>
    <t>1.SR108309</t>
  </si>
  <si>
    <t>October Actual v. Expected</t>
  </si>
  <si>
    <t>October Actual v. Forecasted</t>
  </si>
  <si>
    <t>Status</t>
  </si>
  <si>
    <t>1. Closed</t>
  </si>
  <si>
    <t>1. Pending
2. Pending
3. Completed, Pending
4. Closed, Pending
5. Completed</t>
  </si>
  <si>
    <t xml:space="preserve">1. Inverter 13 was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
</t>
  </si>
  <si>
    <t xml:space="preserve">1. SR098870
2. SR099461
</t>
  </si>
  <si>
    <t>1.Closed
2.Closed</t>
  </si>
  <si>
    <t>1. Inverter 1.4 being RMA'd.
2. Inverter 3.5 has been offline since 14:45 on 07/04 and is back online on 10/17</t>
  </si>
  <si>
    <t>1. SR107775
2. SR104023</t>
  </si>
  <si>
    <t>1. Pending
2.Closed</t>
  </si>
  <si>
    <t>SR104023</t>
  </si>
  <si>
    <t>1. Site was offline from 17:30 on 10/26 to end of the month.
2. Site was offline from 18:30 on 10/19 to 12:30 on 10/22.
3. Site was offline from 06:30 to 11:15 on 10/08.</t>
  </si>
  <si>
    <t>1. SR110027
2. SR109753
3. SR109179</t>
  </si>
  <si>
    <t>1. Pending
2. Closed
3. Closed</t>
  </si>
  <si>
    <t>SR109753</t>
  </si>
  <si>
    <t>SR109179</t>
  </si>
  <si>
    <t>1. Inverter 9 derated at 40kW from 06/01 to 06/05 and reporting "External Fan Err - ExtFanerr" and inverter is under RMA for replacement fans.
2.Site tripped offline at 15:30 on 10/30 and remained offline through out the month.</t>
  </si>
  <si>
    <t>1. SR102209
2.SR110401</t>
  </si>
  <si>
    <t>1.Completed
2. Closed</t>
  </si>
  <si>
    <t>SR110401</t>
  </si>
  <si>
    <t>1. Inverter 7 was offline from 10/15 to end of the month.</t>
  </si>
  <si>
    <t>1. SR109506</t>
  </si>
  <si>
    <t>1. Pending</t>
  </si>
  <si>
    <t>1. Inverter 6 was offline from 10/01 to 10/16.
2. Site was offline from 12:00 on 10/21 to 18:00 on 10/22.</t>
  </si>
  <si>
    <t>1. SR107872
2. SR109812</t>
  </si>
  <si>
    <t>1. Closed
2. Closed</t>
  </si>
  <si>
    <t>SR109812</t>
  </si>
  <si>
    <t>1.Inverter C5 is underperformimg by 5kW due to broken panel on string C5-7</t>
  </si>
  <si>
    <t>1.SR106831</t>
  </si>
  <si>
    <t>1. Inverter 3 was derated to 40kW from 12:15 on 10/02 to 16:00 on 10/04.</t>
  </si>
  <si>
    <t>1. SR108311</t>
  </si>
  <si>
    <t>1. Inverter 45 was being offline for most of the days in the month.
2. Inverter 16 was being offline fr most of the days in the month.</t>
  </si>
  <si>
    <t>1. SR109383
2. SR109222</t>
  </si>
  <si>
    <t>1. closed
2. pending.</t>
  </si>
  <si>
    <t>SR109222</t>
  </si>
  <si>
    <t xml:space="preserve">1. Site was offline from 13:00 to 15:00 on 10/20. </t>
  </si>
  <si>
    <t>1. SR108881</t>
  </si>
  <si>
    <t>1. Inverter 5 being for replacement.
2. Few modules need to be replaced.</t>
  </si>
  <si>
    <t>1. SR107579
2. SR110134</t>
  </si>
  <si>
    <t>1. Pending
2. Pending</t>
  </si>
  <si>
    <t>SR110134</t>
  </si>
  <si>
    <t>1. Inverters  1 through 13 were offline from 10/15 to 10/27.</t>
  </si>
  <si>
    <t>1. SR109491</t>
  </si>
  <si>
    <t>1. Inverter 10 was offline for whole month.
2. Inverter 7 was offline for whole month.
3. Inverter 1 was offline for whole month.
4. Inverter 4 was offline for whole month.
5.Meter stopped communicating at 07:00 AM on 09/15 and production can be verified at inverters level. Actual values are taken from total inverters production data.</t>
  </si>
  <si>
    <t>1. SR108422
2. SR106514
3. SR106483
4. SR106806	
5.SR106806</t>
  </si>
  <si>
    <t>1. pending
2. Pending
3. Pending
4. Pending
5.Pending</t>
  </si>
  <si>
    <t>SR106483</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</si>
  <si>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
4. Inverter 2 tripped offline at 07:00 on 09/20, reporting "Operating state: Error (1392)", and has remained offline throughout the remainder of the month.
5. Inverter 1 is underperforming by 170kW down since 10:45 on 10/29.
6.Weather station has started communicating from 10:45 on 10/23</t>
  </si>
  <si>
    <t>1. SR104192
2. SR102794, PM10647
3. SR105489
4. SR107586, SR108491
6.SR109906</t>
  </si>
  <si>
    <t>1. Closed
2. Denied
3. pending
4. Work in progress
6. Work in progress</t>
  </si>
  <si>
    <t>SR109906</t>
  </si>
  <si>
    <t xml:space="preserve">1.  RCB-1, 1.7 is offline, and RCB-1, 1.1 RCB-1, 1.2, RCB-1, 1.3, RCB-1, and RCB-1, 1.4 are down strings from 9/22.
2.  inverter 2 has tripped at 8:45 on 10/06 and reporting "contactor: The mains contactor opened." and later self resolved and back online at 07:00 on 10/07. It tripped offline at 08:15 on 10/'09 and  reporting "contactor: The mains contactor opened."  and back online at 07:00 on 10/07. and once again tripped at 8:45 on 10/17 and reporting "contactor: The mains contactor opened." and back online at 12:00 on 10/18. and tripping on and off for the rest of the month
3. Actual vs expected delta is showing 20% due to expected energy recording low possibly due to data glitch (similar event observe last 2 years).
</t>
  </si>
  <si>
    <t>1. SR108496
2. SR109104</t>
  </si>
  <si>
    <t>SR109104</t>
  </si>
  <si>
    <t>1. pending</t>
  </si>
  <si>
    <t>1. Actual vs expected delta is showing 18% due to expected energy recording low possibly due to data glitch (similar event observe last 2 years).</t>
  </si>
  <si>
    <t>1. pending
2. Closed</t>
  </si>
  <si>
    <t>1. The POA has been reading 0 W/m2 since 08/01/23 to end of the month.
2. 200 Modules were damaged and need to be replaced.
3. Site were offline at 07:00 on 10/19 and back online at 01:15 on 10/23.</t>
  </si>
  <si>
    <t>1. SR101034
2. SR103779,  SR102621
3. SR109841</t>
  </si>
  <si>
    <t>1. pending
2. Closed
3. Pending</t>
  </si>
  <si>
    <t>SR109841</t>
  </si>
  <si>
    <t xml:space="preserve">1. Closed
</t>
  </si>
  <si>
    <t>1. 10 modules were broken and will need to be replaced
2. Inverter was underproducing 100kW down from 08/23/23.
3. meter stopped communicating at 06:15 on 07/01.</t>
  </si>
  <si>
    <t>1. SR105366, PM16547
2. SR101100, SR107802
3. SR108849</t>
  </si>
  <si>
    <t xml:space="preserve">1. pending
2. Pending
3. Pending
</t>
  </si>
  <si>
    <t>SR108849</t>
  </si>
  <si>
    <t xml:space="preserve">1. Pending
2. Pending </t>
  </si>
  <si>
    <t>1. SR102419, SR105494, SR107209</t>
  </si>
  <si>
    <t>SR105494</t>
  </si>
  <si>
    <t>1. Inverter E offline (LOTO'd on 6/12/24). inverter A underperforming by 17kW. Inverter G underperforming by 7kW. Inverter F underperforming by 5kW. for whole month.
2. Inverter A were offline at 07:00 on 10/01 and back online at 12:45 on 10/01. It also started late on most days during the month.
3. Inverter G were offline at 07:00 on 10/14 and back online at 12:45 on 10/01. It also started late on most days during the month.</t>
  </si>
  <si>
    <t>1. SR102283
2. SR108846
3. SR109533</t>
  </si>
  <si>
    <t>1. Denied
2. pending
3. pending</t>
  </si>
  <si>
    <t>SR108846</t>
  </si>
  <si>
    <t>SR109533</t>
  </si>
  <si>
    <t>1. Denied</t>
  </si>
  <si>
    <t>1. SR102416, SR105908</t>
  </si>
  <si>
    <t>SR105908</t>
  </si>
  <si>
    <t>1. Denied
2. Denied
3. Denied
4. pending</t>
  </si>
  <si>
    <t>1. Inverter J tripped offline at 14:00 on 09/18 and reporting "arc fault" and remained offline through out the month.
2. Inverter F was offline at 07:00 on 09/20 and remained offline through out the month.
3. Inverter L were offline at 07:00 on 10/14 due to an "isolation fault" and back online at 12:00 on 10/19.
4. Inverter M were offline at 07:00 on 10/14 due to an "isolation fault" and back online at 12:00 on 10/19.
5. Inverter D were offline at 07:00 on 10/14 and back online at 17:00 on 10/22.</t>
  </si>
  <si>
    <t>1. SR108297, SR108307
2. SR108307
3. SR109597, SR109599
4. SR109598, SR109599
5. SR109599</t>
  </si>
  <si>
    <t>1. pending
2. Pending
3. Pending
4. Pending
5. pending</t>
  </si>
  <si>
    <t>SR109597</t>
  </si>
  <si>
    <t>SR109599</t>
  </si>
  <si>
    <t>SR109598</t>
  </si>
  <si>
    <t>1.Inverter 14 tripped offline on 07/03 at 12:45.  Inverters 1,3, 4,9, 12, 14, 15,16, 17,18,19, 20, 21, 24, 26, 27, were offline and LOTO'd. Inverter 2 underperforming by 13kW. Inverter 8 underperforming by 17kW. Inverter 5 underperforming by 10kW. Inverter 6 underperforming by 9 kW. Inverter 11, 14 underperforming by 5kW. Inverters 4,9 and 12 are back online at 16:00 on 10/30 and remaining inverters are under RMA'd.
2. Inverter 6 was offline at 07:00 on 10/02 and back online at 12:00 on 10/05.
3. Inverter 2 went offline at 07:00 on 10/01 due to an arc fault.and remained offline for the rest of the month.</t>
  </si>
  <si>
    <t>1. SR102886
2. SR107512
3. SR108834</t>
  </si>
  <si>
    <t>1. Denied
2. Pending 
3. Work in progress</t>
  </si>
  <si>
    <t>SR107512</t>
  </si>
  <si>
    <t>SR108834</t>
  </si>
  <si>
    <t xml:space="preserve">1. Inverter 3 was underperforming by 5kW, likely down a string. Inverter 4, 5 derating by 8kW and reporting external fan error for whole month.  
</t>
  </si>
  <si>
    <t>1.  Inverter 3 is underperforming by 10 kW for whole month.</t>
  </si>
  <si>
    <t>1. SR109629</t>
  </si>
  <si>
    <t>1. Inverter E2.04 was derating due to a fan fault for whole month.</t>
  </si>
  <si>
    <t>1. SR101986, SR102503</t>
  </si>
  <si>
    <t>SR102503</t>
  </si>
  <si>
    <t>1.  Inverter A, B, G offline from 2/20/25 and LOTOd.  Inverter D, E, F, I offline from 2/20/25 and LOTOd.</t>
  </si>
  <si>
    <t>1. Inverter B-2 offline from 2/28/25 and LOTO'd ". Inverter D-4 offline from 2/28/25 and LOTO'd. Inverter  8 offline 5/6/25 was replaced but not communicating. inverter I-9 offline from 5/17/25. inverter 10 underperforming by 10 kW. Inverter F-6 was offline.
2. Inverter C3 was offline throughout the month.
3. POA data inaccurate. Reading a constant 1237.82 W/m2 intermittently.
4. Inverter K11 was offline since  07/23.</t>
  </si>
  <si>
    <t>1. SR102321, SR108902
2. SR103636
3. SR102539
4. SR104882</t>
  </si>
  <si>
    <t xml:space="preserve">1. Pending
2. Denied
3. Denied
4. Pending </t>
  </si>
  <si>
    <t>SR108902</t>
  </si>
  <si>
    <t>1. Inverter 17, H 21, I 22, L 25, O 28, 30, R 31, S 32  were offline and LOTO'd. Inverter 26 underperforming by 12kW for whole month. Inverter J - 23 underperforming by 4 kW. 
2. Inverter N tripped offline at 10:00 on 07/27, reporting an “ARC fault,” and back online at 12:45 on 10/21.
3. Inverters G and P were undeperforming by 4kw each throughout the month
4. Inverter J tripped offline at 12:45 on October 7 and remained offline for the rest of the month.</t>
  </si>
  <si>
    <t>1. SR102329
2. SR105139
3. SR106828
4. SR109164</t>
  </si>
  <si>
    <t>1. Denied
2. pending 
3. pending
4. Closed</t>
  </si>
  <si>
    <t>SR106828</t>
  </si>
  <si>
    <t>SR109164</t>
  </si>
  <si>
    <t>1. Inverter 30 offline for whole month. Inverter 33 underperforming by 7 kW each for whole month. Inverter 31 underperforming by 18 kW for whole month.</t>
  </si>
  <si>
    <t>1. denied</t>
  </si>
  <si>
    <t>1. Inverter 4 is underproducing by approximately 12kW  and inverter 3 is underproducing by 3kW compared to it peer inverters whole month.
2. Inverter E has tripped offline at 15:15 on 10/27.</t>
  </si>
  <si>
    <t>1.Inverter D tripped offline at 12:45pdt on 09/24 reporting "Arc Fault".
2. Inverters A,C,D,E,F,G, H were offline and LOTO'd.</t>
  </si>
  <si>
    <t>1. Inverter 1 underperforming by 4kW from 07/10 due to 1 string down.</t>
  </si>
  <si>
    <t>1. Inverters A,C,J,  were offline and LOTO'd. Inverter I was offline for whole month.  Inverter B,D,E,F,G,H are not communicating from 6/14/24; meter indicates 3 of these inverters are offline.
2. Weather station reading erroneous values since 10/07</t>
  </si>
  <si>
    <t>1. Inverters 19, 20,21, 26 were offline for whole month and LOTO'd . Inverter 22,23 underperforming by 13 kW each through out the month.</t>
  </si>
  <si>
    <t>1.SR102413, SR108898</t>
  </si>
  <si>
    <t>SR108898</t>
  </si>
  <si>
    <t>1.SR106842
2.SR102425, SR106842</t>
  </si>
  <si>
    <t>1. pending
2. Pending</t>
  </si>
  <si>
    <t xml:space="preserve">1. Denied
2. pending </t>
  </si>
  <si>
    <t>1. Inverter A has been offline and LOTO'd since 06/14/2024. Inverter D has been offline since 05/30/2025 due to an 'Arc Fault.
2. Inverter B was offline at 07:00 on 10:14 and back online at 12:15 on 10/17.</t>
  </si>
  <si>
    <t>1. SR102423
2. SR108298</t>
  </si>
  <si>
    <t>SR108298</t>
  </si>
  <si>
    <t>1. Inverters A, B, E, and G are offline due to "Arc Fault" and have been LOTO'd since 11/26. Inverter C is also offline and LOTO'd since 11/26/24.
2. Site stopped communicating from 09/23 to DAS.</t>
  </si>
  <si>
    <t>1. SR102421
2.SR108404</t>
  </si>
  <si>
    <t>1.Denied
2.Pending</t>
  </si>
  <si>
    <t>SR108404</t>
  </si>
  <si>
    <t>1.Inverter D,H,K were underperforming by 6 kW each since 06/03; possible string down.
2. Inverter F started late on most days during the month.</t>
  </si>
  <si>
    <t xml:space="preserve">1. SR102420, SR109601
2. SR109601
</t>
  </si>
  <si>
    <t xml:space="preserve">1. pending
2. Pending
</t>
  </si>
  <si>
    <t>SR109601</t>
  </si>
  <si>
    <t>1. Inverter 9 was derating by 30kw since 09/23 and reporting external fan error.
2. Inverter 3 was derating at 40kw since 11:00 on 08/20 reporting "external fan error"
3. Inverter 8 has been derating by 40 kW due to an 'External Fan Fault' since 07/10 and futher trobleshooting is required.
4. inverter 5 derating midday by 20kW and reporting "external fan error" from 10/26</t>
  </si>
  <si>
    <t>1. SR108494
2. SR106851
3. SR103869
4. SR110121</t>
  </si>
  <si>
    <t xml:space="preserve">1. pending
2. Pending
3. Pending
4. Pending
</t>
  </si>
  <si>
    <t>SR110121</t>
  </si>
  <si>
    <t xml:space="preserve">1. Inverter 1 is derating by 50kW and reporting "Real Time Clock Error"throughout the month.
</t>
  </si>
  <si>
    <t xml:space="preserve">1. SR108282,
SR103868
</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</si>
  <si>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t>
  </si>
  <si>
    <t>1. Inverter 3 (as per DAS inverter 1.1.1.3) tripped offline at 13:30 on 07/22 and is reporting a “Grid Phase Voltage Out of Range” fault. The inverter is currently under RMA'd.</t>
  </si>
  <si>
    <t>1. SR104776</t>
  </si>
  <si>
    <t>1.SR103946
2.SR104855</t>
  </si>
  <si>
    <t>1.Pending
2.Closed</t>
  </si>
  <si>
    <t>1. Inverters 4 and 5 are capping at 15 kW.Quote has expired</t>
  </si>
  <si>
    <t>1.SR106885</t>
  </si>
  <si>
    <t>1.Closed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</si>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</sst>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5">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color rgb="FF000000"/>
      <name val="Calibri"/>
      <charset val="1"/>
    </font>
    <font>
      <sz val="11"/>
      <name val="Calibri"/>
      <scheme val="minor"/>
    </font>
    <font>
      <sz val="11"/>
      <color rgb="FF000000"/>
      <name val="Calibri"/>
      <scheme val="minor"/>
    </font>
    <font>
      <b/>
      <sz val="11"/>
      <name val="Calibri"/>
      <scheme val="minor"/>
    </font>
    <font>
      <b/>
      <sz val="11"/>
      <color rgb="FFFF0000"/>
      <name val="Calibri"/>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39" fillId="0" borderId="0" applyNumberFormat="0" applyFill="0" applyBorder="0" applyAlignment="0" applyProtection="0"/>
  </cellStyleXfs>
  <cellXfs count="122">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4" fillId="0" borderId="0" xfId="0" applyFont="1"/>
    <xf numFmtId="9" fontId="33" fillId="0" borderId="0" xfId="2" applyFont="1" applyAlignment="1">
      <alignment horizont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32" fillId="0" borderId="0" xfId="0" applyFont="1"/>
    <xf numFmtId="0" fontId="27" fillId="0" borderId="0" xfId="0" applyFont="1"/>
    <xf numFmtId="0" fontId="0" fillId="0" borderId="0" xfId="0" applyAlignment="1">
      <alignment horizontal="center" wrapText="1"/>
    </xf>
    <xf numFmtId="0" fontId="0" fillId="0" borderId="0" xfId="0" applyAlignment="1">
      <alignment horizontal="center" vertical="center"/>
    </xf>
    <xf numFmtId="0" fontId="24" fillId="0" borderId="0" xfId="43" applyFont="1" applyAlignment="1">
      <alignment horizontal="center" vertical="center"/>
    </xf>
    <xf numFmtId="0" fontId="0" fillId="0" borderId="0" xfId="0" applyAlignment="1">
      <alignment horizontal="left" wrapText="1"/>
    </xf>
    <xf numFmtId="0" fontId="31" fillId="43" borderId="11" xfId="0" applyFont="1" applyFill="1" applyBorder="1" applyAlignment="1">
      <alignment horizontal="center" vertical="center" wrapText="1"/>
    </xf>
    <xf numFmtId="0" fontId="26" fillId="41" borderId="11" xfId="0" applyFont="1" applyFill="1" applyBorder="1" applyAlignment="1">
      <alignment horizontal="center" vertical="center" wrapText="1"/>
    </xf>
    <xf numFmtId="9" fontId="26" fillId="41" borderId="11" xfId="2" applyFont="1" applyFill="1" applyBorder="1" applyAlignment="1">
      <alignment horizontal="center" vertical="center" wrapText="1"/>
    </xf>
    <xf numFmtId="0" fontId="26" fillId="42" borderId="11" xfId="0" applyFont="1" applyFill="1" applyBorder="1" applyAlignment="1">
      <alignment horizontal="center"/>
    </xf>
    <xf numFmtId="0" fontId="26" fillId="42" borderId="11" xfId="0" applyFont="1" applyFill="1" applyBorder="1" applyAlignment="1">
      <alignment horizontal="center" vertical="center" wrapText="1"/>
    </xf>
    <xf numFmtId="9" fontId="26" fillId="42" borderId="11" xfId="2" applyFont="1" applyFill="1" applyBorder="1" applyAlignment="1">
      <alignment horizontal="center" vertical="center" wrapText="1"/>
    </xf>
    <xf numFmtId="0" fontId="26" fillId="42" borderId="11" xfId="0" applyFont="1" applyFill="1" applyBorder="1" applyAlignment="1">
      <alignment horizontal="center" vertical="center"/>
    </xf>
    <xf numFmtId="49" fontId="29" fillId="40" borderId="1" xfId="0" applyNumberFormat="1" applyFont="1" applyFill="1" applyBorder="1" applyAlignment="1">
      <alignment horizontal="center" vertical="center"/>
    </xf>
    <xf numFmtId="49" fontId="30" fillId="40" borderId="1" xfId="0" applyNumberFormat="1" applyFont="1" applyFill="1" applyBorder="1" applyAlignment="1">
      <alignment horizontal="center" vertical="center"/>
    </xf>
    <xf numFmtId="164" fontId="30" fillId="44" borderId="1" xfId="1" applyNumberFormat="1" applyFont="1" applyFill="1" applyBorder="1" applyAlignment="1">
      <alignment horizontal="center" vertical="center"/>
    </xf>
    <xf numFmtId="3" fontId="32" fillId="3" borderId="1" xfId="0" applyNumberFormat="1" applyFont="1" applyFill="1" applyBorder="1" applyAlignment="1">
      <alignment horizontal="right" vertical="center"/>
    </xf>
    <xf numFmtId="9" fontId="32" fillId="3" borderId="1" xfId="2" applyFont="1" applyFill="1" applyBorder="1" applyAlignment="1">
      <alignment horizontal="center" vertical="center"/>
    </xf>
    <xf numFmtId="3" fontId="32" fillId="4" borderId="1" xfId="1" applyNumberFormat="1" applyFont="1" applyFill="1" applyBorder="1" applyAlignment="1">
      <alignment vertical="center"/>
    </xf>
    <xf numFmtId="9" fontId="32" fillId="37" borderId="1" xfId="2" applyFont="1" applyFill="1" applyBorder="1" applyAlignment="1">
      <alignment horizontal="center" vertical="center"/>
    </xf>
    <xf numFmtId="49" fontId="29" fillId="0" borderId="1" xfId="0" applyNumberFormat="1" applyFont="1" applyBorder="1" applyAlignment="1">
      <alignment horizontal="center" vertical="center"/>
    </xf>
    <xf numFmtId="49" fontId="30" fillId="0" borderId="1" xfId="0" applyNumberFormat="1" applyFont="1" applyBorder="1" applyAlignment="1">
      <alignment horizontal="center" vertical="center"/>
    </xf>
    <xf numFmtId="164" fontId="30" fillId="0" borderId="1" xfId="1" applyNumberFormat="1" applyFont="1" applyBorder="1" applyAlignment="1">
      <alignment horizontal="center" vertical="center"/>
    </xf>
    <xf numFmtId="3" fontId="32" fillId="0" borderId="1" xfId="0" applyNumberFormat="1" applyFont="1" applyBorder="1" applyAlignment="1">
      <alignment horizontal="right" vertical="center"/>
    </xf>
    <xf numFmtId="9" fontId="32" fillId="0" borderId="1" xfId="2" applyFont="1" applyFill="1" applyBorder="1" applyAlignment="1">
      <alignment horizontal="center" vertical="center"/>
    </xf>
    <xf numFmtId="3" fontId="32" fillId="0" borderId="1" xfId="1" applyNumberFormat="1" applyFont="1" applyFill="1" applyBorder="1" applyAlignment="1">
      <alignment vertical="center"/>
    </xf>
    <xf numFmtId="0" fontId="36" fillId="40" borderId="1" xfId="0" applyFont="1" applyFill="1" applyBorder="1" applyAlignment="1">
      <alignment horizontal="center"/>
    </xf>
    <xf numFmtId="0" fontId="30" fillId="40" borderId="1" xfId="0" applyFont="1" applyFill="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center" vertical="center"/>
    </xf>
    <xf numFmtId="0" fontId="29" fillId="40" borderId="1" xfId="0" applyFont="1" applyFill="1" applyBorder="1" applyAlignment="1">
      <alignment horizontal="center" vertical="center"/>
    </xf>
    <xf numFmtId="0" fontId="36" fillId="40" borderId="1" xfId="0" applyFont="1" applyFill="1" applyBorder="1" applyAlignment="1">
      <alignment horizontal="left"/>
    </xf>
    <xf numFmtId="0" fontId="29" fillId="0" borderId="1" xfId="0" applyFont="1" applyBorder="1" applyAlignment="1">
      <alignment horizontal="left" vertical="center"/>
    </xf>
    <xf numFmtId="0" fontId="29" fillId="40" borderId="1" xfId="0" applyFont="1" applyFill="1" applyBorder="1" applyAlignment="1">
      <alignment horizontal="left" vertical="center"/>
    </xf>
    <xf numFmtId="49" fontId="29" fillId="40" borderId="1" xfId="0" applyNumberFormat="1" applyFont="1" applyFill="1" applyBorder="1" applyAlignment="1">
      <alignment horizontal="left" vertical="center"/>
    </xf>
    <xf numFmtId="49" fontId="29" fillId="0" borderId="1" xfId="0" applyNumberFormat="1" applyFont="1" applyBorder="1" applyAlignment="1">
      <alignment horizontal="left" vertical="center"/>
    </xf>
    <xf numFmtId="49" fontId="32" fillId="38" borderId="1" xfId="2" applyNumberFormat="1" applyFont="1" applyFill="1" applyBorder="1" applyAlignment="1">
      <alignment vertical="top" wrapText="1"/>
    </xf>
    <xf numFmtId="49" fontId="30" fillId="0" borderId="1" xfId="0" applyNumberFormat="1" applyFont="1" applyBorder="1" applyAlignment="1">
      <alignment vertical="center" wrapText="1"/>
    </xf>
    <xf numFmtId="49" fontId="29" fillId="0" borderId="1" xfId="0" applyNumberFormat="1" applyFont="1" applyBorder="1" applyAlignment="1">
      <alignment vertical="center" wrapText="1"/>
    </xf>
    <xf numFmtId="14" fontId="0" fillId="0" borderId="0" xfId="0" applyNumberFormat="1"/>
    <xf numFmtId="49" fontId="32" fillId="38" borderId="1" xfId="2" applyNumberFormat="1" applyFont="1" applyFill="1" applyBorder="1" applyAlignment="1">
      <alignment horizontal="left" wrapText="1"/>
    </xf>
    <xf numFmtId="49" fontId="30" fillId="0" borderId="1" xfId="0" applyNumberFormat="1" applyFont="1" applyBorder="1" applyAlignment="1">
      <alignment horizontal="left" wrapText="1"/>
    </xf>
    <xf numFmtId="49" fontId="29" fillId="0" borderId="1" xfId="0" applyNumberFormat="1" applyFont="1" applyBorder="1" applyAlignment="1">
      <alignment horizontal="left" wrapText="1"/>
    </xf>
    <xf numFmtId="3" fontId="32" fillId="0" borderId="1" xfId="1" applyNumberFormat="1" applyFont="1" applyFill="1" applyBorder="1" applyAlignment="1">
      <alignment horizontal="right" vertical="center" wrapText="1"/>
    </xf>
    <xf numFmtId="49" fontId="37" fillId="38" borderId="1" xfId="2" applyNumberFormat="1" applyFont="1" applyFill="1" applyBorder="1" applyAlignment="1">
      <alignment horizontal="left" vertical="top" wrapText="1"/>
    </xf>
    <xf numFmtId="3" fontId="38" fillId="0" borderId="0" xfId="0" applyNumberFormat="1" applyFont="1" applyAlignment="1">
      <alignment vertical="center"/>
    </xf>
    <xf numFmtId="49" fontId="29" fillId="0" borderId="1" xfId="0" applyNumberFormat="1" applyFont="1" applyBorder="1" applyAlignment="1">
      <alignment horizontal="left" vertical="top" wrapText="1"/>
    </xf>
    <xf numFmtId="49" fontId="30" fillId="0" borderId="1" xfId="0" applyNumberFormat="1" applyFont="1" applyBorder="1" applyAlignment="1">
      <alignment horizontal="left" vertical="top" wrapText="1"/>
    </xf>
    <xf numFmtId="164" fontId="30" fillId="0" borderId="1" xfId="1" applyNumberFormat="1" applyFont="1" applyBorder="1" applyAlignment="1">
      <alignment horizontal="center" vertical="center" wrapText="1"/>
    </xf>
    <xf numFmtId="49" fontId="32" fillId="38" borderId="1" xfId="2" applyNumberFormat="1" applyFont="1" applyFill="1" applyBorder="1" applyAlignment="1">
      <alignment horizontal="left" vertical="top" wrapText="1"/>
    </xf>
    <xf numFmtId="49" fontId="25" fillId="0" borderId="1" xfId="0" applyNumberFormat="1" applyFont="1" applyBorder="1" applyAlignment="1">
      <alignment horizontal="left" vertical="top" wrapText="1"/>
    </xf>
    <xf numFmtId="0" fontId="24" fillId="0" borderId="0" xfId="43" applyFont="1" applyAlignment="1">
      <alignment horizontal="left" wrapText="1"/>
    </xf>
    <xf numFmtId="0" fontId="24" fillId="0" borderId="0" xfId="43" applyFont="1"/>
    <xf numFmtId="49" fontId="30" fillId="0" borderId="1" xfId="0" applyNumberFormat="1" applyFont="1" applyBorder="1" applyAlignment="1">
      <alignment vertical="top" wrapText="1"/>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49" fontId="39" fillId="0" borderId="1" xfId="45" applyNumberFormat="1" applyBorder="1" applyAlignment="1">
      <alignment vertical="center" wrapText="1"/>
    </xf>
    <xf numFmtId="0" fontId="4" fillId="0" borderId="0" xfId="0" applyFont="1"/>
    <xf numFmtId="9" fontId="32" fillId="0" borderId="1" xfId="2" applyFont="1" applyBorder="1" applyAlignment="1">
      <alignment horizontal="center" vertical="center"/>
    </xf>
    <xf numFmtId="3" fontId="32" fillId="0" borderId="1" xfId="1" applyNumberFormat="1" applyFont="1" applyBorder="1" applyAlignment="1">
      <alignment vertical="center"/>
    </xf>
    <xf numFmtId="3" fontId="32" fillId="4" borderId="1" xfId="1" applyNumberFormat="1" applyFont="1" applyFill="1" applyBorder="1" applyAlignment="1">
      <alignment horizontal="right" vertical="center"/>
    </xf>
    <xf numFmtId="3" fontId="32" fillId="0" borderId="1" xfId="1" applyNumberFormat="1" applyFont="1" applyFill="1" applyBorder="1" applyAlignment="1">
      <alignment horizontal="right" vertical="center"/>
    </xf>
    <xf numFmtId="49" fontId="39" fillId="0" borderId="1" xfId="45" applyNumberFormat="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9" fillId="38" borderId="1" xfId="45" applyNumberFormat="1" applyFill="1" applyBorder="1" applyAlignment="1">
      <alignment horizontal="left" vertical="top" wrapText="1"/>
    </xf>
    <xf numFmtId="49" fontId="39" fillId="38" borderId="1" xfId="45" applyNumberFormat="1" applyFill="1" applyBorder="1" applyAlignment="1">
      <alignment horizontal="left" wrapText="1"/>
    </xf>
    <xf numFmtId="49" fontId="39" fillId="0" borderId="1" xfId="45" applyNumberFormat="1" applyBorder="1" applyAlignment="1">
      <alignment horizontal="left" wrapText="1"/>
    </xf>
    <xf numFmtId="14" fontId="0" fillId="0" borderId="0" xfId="0" applyNumberFormat="1" applyAlignment="1">
      <alignment horizontal="left" vertical="top"/>
    </xf>
    <xf numFmtId="14" fontId="39" fillId="0" borderId="0" xfId="45" applyNumberFormat="1" applyAlignment="1">
      <alignment horizontal="left" vertical="top"/>
    </xf>
    <xf numFmtId="3" fontId="32" fillId="0" borderId="1" xfId="1" applyNumberFormat="1" applyFont="1" applyFill="1" applyBorder="1" applyAlignment="1">
      <alignment horizontal="right"/>
    </xf>
    <xf numFmtId="3" fontId="32" fillId="4" borderId="1" xfId="1" applyNumberFormat="1" applyFont="1" applyFill="1" applyBorder="1" applyAlignment="1">
      <alignment horizontal="right"/>
    </xf>
    <xf numFmtId="0" fontId="36" fillId="40" borderId="1" xfId="0" applyFont="1" applyFill="1" applyBorder="1" applyAlignment="1">
      <alignment horizontal="center" vertical="center"/>
    </xf>
    <xf numFmtId="49" fontId="30" fillId="0" borderId="1" xfId="0" applyNumberFormat="1" applyFont="1" applyBorder="1" applyAlignment="1">
      <alignment horizontal="left" vertical="center" wrapText="1"/>
    </xf>
    <xf numFmtId="49" fontId="29" fillId="0" borderId="1" xfId="0" applyNumberFormat="1" applyFont="1" applyBorder="1" applyAlignment="1">
      <alignment horizontal="left" vertical="center" wrapText="1"/>
    </xf>
    <xf numFmtId="49" fontId="39" fillId="0" borderId="1" xfId="45" applyNumberFormat="1" applyBorder="1" applyAlignment="1">
      <alignment horizontal="left" vertical="center" wrapText="1"/>
    </xf>
    <xf numFmtId="9" fontId="32" fillId="0" borderId="0" xfId="2" applyFont="1" applyFill="1" applyBorder="1" applyAlignment="1">
      <alignment horizontal="center" vertical="center"/>
    </xf>
    <xf numFmtId="9" fontId="32" fillId="3" borderId="12" xfId="2" applyFont="1" applyFill="1" applyBorder="1" applyAlignment="1">
      <alignment horizontal="center" vertical="center"/>
    </xf>
    <xf numFmtId="3" fontId="32" fillId="3" borderId="13" xfId="0" applyNumberFormat="1" applyFont="1" applyFill="1" applyBorder="1" applyAlignment="1">
      <alignment horizontal="right" vertical="center"/>
    </xf>
    <xf numFmtId="3" fontId="32" fillId="4" borderId="14" xfId="1" applyNumberFormat="1" applyFont="1" applyFill="1" applyBorder="1" applyAlignment="1">
      <alignment vertical="center"/>
    </xf>
    <xf numFmtId="9" fontId="32" fillId="0" borderId="11" xfId="2" applyFont="1" applyFill="1" applyBorder="1" applyAlignment="1">
      <alignment horizontal="center" vertical="center"/>
    </xf>
    <xf numFmtId="0" fontId="34" fillId="0" borderId="0" xfId="0" applyFont="1" applyAlignment="1">
      <alignment horizontal="left" vertical="top"/>
    </xf>
    <xf numFmtId="0" fontId="39" fillId="0" borderId="0" xfId="45" applyAlignment="1">
      <alignment vertical="top"/>
    </xf>
    <xf numFmtId="3" fontId="38" fillId="0" borderId="0" xfId="0" applyNumberFormat="1" applyFont="1" applyAlignment="1">
      <alignment horizontal="right"/>
    </xf>
    <xf numFmtId="3" fontId="32" fillId="3" borderId="1" xfId="0" applyNumberFormat="1" applyFont="1" applyFill="1" applyBorder="1" applyAlignment="1">
      <alignment horizontal="right"/>
    </xf>
    <xf numFmtId="3" fontId="38" fillId="0" borderId="0" xfId="0" applyNumberFormat="1" applyFont="1" applyAlignment="1">
      <alignment horizontal="right" vertical="center"/>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left" vertical="center" wrapText="1"/>
    </xf>
    <xf numFmtId="0" fontId="32" fillId="0" borderId="0" xfId="0" applyFont="1" applyAlignment="1">
      <alignment wrapText="1"/>
    </xf>
    <xf numFmtId="3" fontId="32" fillId="0" borderId="1" xfId="1" applyNumberFormat="1" applyFont="1" applyBorder="1" applyAlignment="1">
      <alignment horizontal="right" vertical="center"/>
    </xf>
    <xf numFmtId="0" fontId="39" fillId="0" borderId="0" xfId="45"/>
    <xf numFmtId="0" fontId="0" fillId="0" borderId="0" xfId="0" applyAlignment="1">
      <alignment vertical="top"/>
    </xf>
    <xf numFmtId="0" fontId="40" fillId="0" borderId="0" xfId="0" applyFont="1"/>
    <xf numFmtId="0" fontId="7" fillId="0" borderId="0" xfId="0" applyFont="1" applyAlignment="1">
      <alignment horizontal="left" vertical="top"/>
    </xf>
    <xf numFmtId="0" fontId="35" fillId="0" borderId="0" xfId="0" applyFont="1" applyAlignment="1">
      <alignment horizontal="left" vertical="top"/>
    </xf>
    <xf numFmtId="0" fontId="7" fillId="45" borderId="1" xfId="0" applyFont="1" applyFill="1" applyBorder="1" applyAlignment="1">
      <alignment horizontal="left" vertical="top"/>
    </xf>
    <xf numFmtId="0" fontId="41" fillId="0" borderId="0" xfId="0" applyFont="1" applyAlignment="1">
      <alignment horizontal="left" vertical="top"/>
    </xf>
    <xf numFmtId="0" fontId="41" fillId="0" borderId="0" xfId="0" applyFont="1" applyAlignment="1">
      <alignment horizontal="left" vertical="top" wrapText="1"/>
    </xf>
    <xf numFmtId="0" fontId="42" fillId="0" borderId="0" xfId="0" applyFont="1" applyAlignment="1">
      <alignment horizontal="left" vertical="top"/>
    </xf>
    <xf numFmtId="49" fontId="41" fillId="38" borderId="1" xfId="2" applyNumberFormat="1" applyFont="1" applyFill="1" applyBorder="1" applyAlignment="1">
      <alignment horizontal="left" vertical="top" wrapText="1"/>
    </xf>
    <xf numFmtId="0" fontId="43" fillId="0" borderId="0" xfId="0" applyFont="1" applyAlignment="1">
      <alignment vertical="center"/>
    </xf>
    <xf numFmtId="0" fontId="44" fillId="0" borderId="0" xfId="0" applyFont="1" applyAlignment="1">
      <alignment vertical="center"/>
    </xf>
    <xf numFmtId="0" fontId="43" fillId="45" borderId="1" xfId="0" applyFont="1" applyFill="1" applyBorder="1" applyAlignment="1">
      <alignment horizontal="center" vertical="center"/>
    </xf>
    <xf numFmtId="0" fontId="41" fillId="0" borderId="0" xfId="0" applyFont="1"/>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1" xfId="0" applyNumberFormat="1" applyFont="1" applyBorder="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719" TargetMode="External"/><Relationship Id="rId117" Type="http://schemas.openxmlformats.org/officeDocument/2006/relationships/hyperlink" Target="https://us3.assetplanner.com/service_request?ID=102281" TargetMode="External"/><Relationship Id="rId21" Type="http://schemas.openxmlformats.org/officeDocument/2006/relationships/hyperlink" Target="https://us3.assetplanner.com/service_request?ID=103048" TargetMode="External"/><Relationship Id="rId42" Type="http://schemas.openxmlformats.org/officeDocument/2006/relationships/hyperlink" Target="https://us3.assetplanner.com/service_request?ID=102794" TargetMode="External"/><Relationship Id="rId47" Type="http://schemas.openxmlformats.org/officeDocument/2006/relationships/hyperlink" Target="https://us3.assetplanner.com/service_request?ID=106082" TargetMode="External"/><Relationship Id="rId63" Type="http://schemas.openxmlformats.org/officeDocument/2006/relationships/hyperlink" Target="https://us3.assetplanner.com/service_request?ID=102419"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2329" TargetMode="External"/><Relationship Id="rId89" Type="http://schemas.openxmlformats.org/officeDocument/2006/relationships/hyperlink" Target="https://us3.assetplanner.com/service_request?ID=104289" TargetMode="External"/><Relationship Id="rId112" Type="http://schemas.openxmlformats.org/officeDocument/2006/relationships/hyperlink" Target="https://us3.assetplanner.com/service_request?ID=103944" TargetMode="External"/><Relationship Id="rId16" Type="http://schemas.openxmlformats.org/officeDocument/2006/relationships/hyperlink" Target="https://us3.assetplanner.com/service_request?ID=103184" TargetMode="External"/><Relationship Id="rId107" Type="http://schemas.openxmlformats.org/officeDocument/2006/relationships/hyperlink" Target="https://us3.assetplanner.com/service_request?ID=106301" TargetMode="External"/><Relationship Id="rId11" Type="http://schemas.openxmlformats.org/officeDocument/2006/relationships/hyperlink" Target="https://us3.assetplanner.com/service_request?ID=105956" TargetMode="External"/><Relationship Id="rId32" Type="http://schemas.openxmlformats.org/officeDocument/2006/relationships/hyperlink" Target="https://us3.assetplanner.com/service_request?ID=104827" TargetMode="External"/><Relationship Id="rId37" Type="http://schemas.openxmlformats.org/officeDocument/2006/relationships/hyperlink" Target="https://us3.assetplanner.com/service_request?ID=102316" TargetMode="External"/><Relationship Id="rId53" Type="http://schemas.openxmlformats.org/officeDocument/2006/relationships/hyperlink" Target="https://us3.assetplanner.com/service_request?ID=103779"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6885" TargetMode="External"/><Relationship Id="rId102" Type="http://schemas.openxmlformats.org/officeDocument/2006/relationships/hyperlink" Target="https://us3.assetplanner.com/service_request?ID=106520" TargetMode="External"/><Relationship Id="rId123" Type="http://schemas.openxmlformats.org/officeDocument/2006/relationships/hyperlink" Target="https://us3.assetplanner.com/service_request?ID=102320" TargetMode="External"/><Relationship Id="rId5" Type="http://schemas.openxmlformats.org/officeDocument/2006/relationships/hyperlink" Target="https://us3.assetplanner.com/service_request?ID=096262" TargetMode="External"/><Relationship Id="rId90" Type="http://schemas.openxmlformats.org/officeDocument/2006/relationships/hyperlink" Target="https://us3.assetplanner.com/service_request?ID=102413" TargetMode="External"/><Relationship Id="rId95" Type="http://schemas.openxmlformats.org/officeDocument/2006/relationships/hyperlink" Target="https://us3.assetplanner.com/service_request?ID=102424" TargetMode="External"/><Relationship Id="rId22" Type="http://schemas.openxmlformats.org/officeDocument/2006/relationships/hyperlink" Target="https://us3.assetplanner.com/service_request?ID=103686" TargetMode="External"/><Relationship Id="rId27" Type="http://schemas.openxmlformats.org/officeDocument/2006/relationships/hyperlink" Target="https://us3.assetplanner.com/service_request?ID=104823" TargetMode="External"/><Relationship Id="rId43" Type="http://schemas.openxmlformats.org/officeDocument/2006/relationships/hyperlink" Target="https://us3.assetplanner.com/service_request?ID=105489" TargetMode="External"/><Relationship Id="rId48" Type="http://schemas.openxmlformats.org/officeDocument/2006/relationships/hyperlink" Target="https://us3.assetplanner.com/service_request?ID=100857" TargetMode="External"/><Relationship Id="rId64" Type="http://schemas.openxmlformats.org/officeDocument/2006/relationships/hyperlink" Target="https://us3.assetplanner.com/service_request?ID=107209" TargetMode="External"/><Relationship Id="rId69" Type="http://schemas.openxmlformats.org/officeDocument/2006/relationships/hyperlink" Target="https://us3.assetplanner.com/service_request?ID=102392" TargetMode="External"/><Relationship Id="rId113" Type="http://schemas.openxmlformats.org/officeDocument/2006/relationships/hyperlink" Target="https://us3.assetplanner.com/service_request?ID=106611" TargetMode="External"/><Relationship Id="rId118" Type="http://schemas.openxmlformats.org/officeDocument/2006/relationships/hyperlink" Target="https://us3.assetplanner.com/service_request?ID=104665" TargetMode="External"/><Relationship Id="rId80" Type="http://schemas.openxmlformats.org/officeDocument/2006/relationships/hyperlink" Target="https://us3.assetplanner.com/service_request?ID=101986" TargetMode="External"/><Relationship Id="rId85" Type="http://schemas.openxmlformats.org/officeDocument/2006/relationships/hyperlink" Target="https://us3.assetplanner.com/service_request?ID=102303" TargetMode="External"/><Relationship Id="rId12" Type="http://schemas.openxmlformats.org/officeDocument/2006/relationships/hyperlink" Target="https://us3.assetplanner.com/service_request?ID=106384" TargetMode="External"/><Relationship Id="rId17" Type="http://schemas.openxmlformats.org/officeDocument/2006/relationships/hyperlink" Target="https://us3.assetplanner.com/service_request?ID=103740" TargetMode="External"/><Relationship Id="rId33" Type="http://schemas.openxmlformats.org/officeDocument/2006/relationships/hyperlink" Target="https://us3.assetplanner.com/service_request?ID=104829" TargetMode="External"/><Relationship Id="rId38" Type="http://schemas.openxmlformats.org/officeDocument/2006/relationships/hyperlink" Target="https://us3.assetplanner.com/service_request?ID=099500" TargetMode="External"/><Relationship Id="rId59" Type="http://schemas.openxmlformats.org/officeDocument/2006/relationships/hyperlink" Target="https://us3.assetplanner.com/service_request?ID=105192" TargetMode="External"/><Relationship Id="rId103" Type="http://schemas.openxmlformats.org/officeDocument/2006/relationships/hyperlink" Target="https://us3.assetplanner.com/service_request?ID=104246" TargetMode="External"/><Relationship Id="rId108"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2621" TargetMode="External"/><Relationship Id="rId70" Type="http://schemas.openxmlformats.org/officeDocument/2006/relationships/hyperlink" Target="https://us3.assetplanner.com/service_request?ID=102321" TargetMode="External"/><Relationship Id="rId75" Type="http://schemas.openxmlformats.org/officeDocument/2006/relationships/hyperlink" Target="https://us3.assetplanner.com/service_request?ID=105794" TargetMode="External"/><Relationship Id="rId91" Type="http://schemas.openxmlformats.org/officeDocument/2006/relationships/hyperlink" Target="https://us3.assetplanner.com/service_request?ID=102425" TargetMode="External"/><Relationship Id="rId96" Type="http://schemas.openxmlformats.org/officeDocument/2006/relationships/hyperlink" Target="https://us3.assetplanner.com/service_request?ID=10242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099066" TargetMode="External"/><Relationship Id="rId23" Type="http://schemas.openxmlformats.org/officeDocument/2006/relationships/hyperlink" Target="https://us3.assetplanner.com/service_request?ID=105968" TargetMode="External"/><Relationship Id="rId28" Type="http://schemas.openxmlformats.org/officeDocument/2006/relationships/hyperlink" Target="https://us3.assetplanner.com/service_request?ID=104824" TargetMode="External"/><Relationship Id="rId49" Type="http://schemas.openxmlformats.org/officeDocument/2006/relationships/hyperlink" Target="https://us3.assetplanner.com/service_request?ID=101963" TargetMode="External"/><Relationship Id="rId114" Type="http://schemas.openxmlformats.org/officeDocument/2006/relationships/hyperlink" Target="https://us3.assetplanner.com/service_request?ID=103946" TargetMode="External"/><Relationship Id="rId119" Type="http://schemas.openxmlformats.org/officeDocument/2006/relationships/hyperlink" Target="https://us3.assetplanner.com/service_request?ID=105155" TargetMode="External"/><Relationship Id="rId44" Type="http://schemas.openxmlformats.org/officeDocument/2006/relationships/hyperlink" Target="https://us3.assetplanner.com/service_request?ID=105973" TargetMode="External"/><Relationship Id="rId60" Type="http://schemas.openxmlformats.org/officeDocument/2006/relationships/hyperlink" Target="https://us3.assetplanner.com/service_request?ID=105872" TargetMode="External"/><Relationship Id="rId65" Type="http://schemas.openxmlformats.org/officeDocument/2006/relationships/hyperlink" Target="https://us3.assetplanner.com/service_request?ID=106774"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411" TargetMode="External"/><Relationship Id="rId4" Type="http://schemas.openxmlformats.org/officeDocument/2006/relationships/hyperlink" Target="https://us3.assetplanner.com/service_request?ID=101245" TargetMode="External"/><Relationship Id="rId9" Type="http://schemas.openxmlformats.org/officeDocument/2006/relationships/hyperlink" Target="https://us3.assetplanner.com/service_request?ID=104023" TargetMode="External"/><Relationship Id="rId13" Type="http://schemas.openxmlformats.org/officeDocument/2006/relationships/hyperlink" Target="https://us3.assetplanner.com/service_request?ID=107143" TargetMode="External"/><Relationship Id="rId18" Type="http://schemas.openxmlformats.org/officeDocument/2006/relationships/hyperlink" Target="https://us3.assetplanner.com/service_request?ID=106599" TargetMode="External"/><Relationship Id="rId39" Type="http://schemas.openxmlformats.org/officeDocument/2006/relationships/hyperlink" Target="https://us3.assetplanner.com/service_request?ID=098016" TargetMode="External"/><Relationship Id="rId109" Type="http://schemas.openxmlformats.org/officeDocument/2006/relationships/hyperlink" Target="https://us3.assetplanner.com/service_request?ID=103866" TargetMode="External"/><Relationship Id="rId34" Type="http://schemas.openxmlformats.org/officeDocument/2006/relationships/hyperlink" Target="https://us3.assetplanner.com/service_request?ID=104831" TargetMode="External"/><Relationship Id="rId50" Type="http://schemas.openxmlformats.org/officeDocument/2006/relationships/hyperlink" Target="https://us3.assetplanner.com/service_request?ID=10181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6474" TargetMode="External"/><Relationship Id="rId97" Type="http://schemas.openxmlformats.org/officeDocument/2006/relationships/hyperlink" Target="https://us3.assetplanner.com/service_request?ID=102421" TargetMode="External"/><Relationship Id="rId104" Type="http://schemas.openxmlformats.org/officeDocument/2006/relationships/hyperlink" Target="https://us3.assetplanner.com/service_request?ID=104246" TargetMode="External"/><Relationship Id="rId120" Type="http://schemas.openxmlformats.org/officeDocument/2006/relationships/hyperlink" Target="https://us3.assetplanner.com/service_request?ID=106781" TargetMode="External"/><Relationship Id="rId7" Type="http://schemas.openxmlformats.org/officeDocument/2006/relationships/hyperlink" Target="https://us3.assetplanner.com/service_request?ID=098870" TargetMode="External"/><Relationship Id="rId71" Type="http://schemas.openxmlformats.org/officeDocument/2006/relationships/hyperlink" Target="https://us3.assetplanner.com/service_request?ID=103636" TargetMode="External"/><Relationship Id="rId92" Type="http://schemas.openxmlformats.org/officeDocument/2006/relationships/hyperlink" Target="https://us3.assetplanner.com/service_request?ID=106842"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4825" TargetMode="External"/><Relationship Id="rId24" Type="http://schemas.openxmlformats.org/officeDocument/2006/relationships/hyperlink" Target="https://us3.assetplanner.com/service_request?ID=106026" TargetMode="External"/><Relationship Id="rId40" Type="http://schemas.openxmlformats.org/officeDocument/2006/relationships/hyperlink" Target="https://us3.assetplanner.com/service_request?ID=103914" TargetMode="External"/><Relationship Id="rId45" Type="http://schemas.openxmlformats.org/officeDocument/2006/relationships/hyperlink" Target="https://us3.assetplanner.com/service_request?ID=102723"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6531" TargetMode="External"/><Relationship Id="rId110" Type="http://schemas.openxmlformats.org/officeDocument/2006/relationships/hyperlink" Target="https://us3.assetplanner.com/service_request?ID=104456" TargetMode="External"/><Relationship Id="rId115" Type="http://schemas.openxmlformats.org/officeDocument/2006/relationships/hyperlink" Target="https://us3.assetplanner.com/service_request?ID=103946" TargetMode="External"/><Relationship Id="rId61" Type="http://schemas.openxmlformats.org/officeDocument/2006/relationships/hyperlink" Target="https://us3.assetplanner.com/service_request?ID=106435" TargetMode="External"/><Relationship Id="rId82" Type="http://schemas.openxmlformats.org/officeDocument/2006/relationships/hyperlink" Target="https://us3.assetplanner.com/service_request?ID=106828" TargetMode="External"/><Relationship Id="rId19" Type="http://schemas.openxmlformats.org/officeDocument/2006/relationships/hyperlink" Target="https://us3.assetplanner.com/service_request?ID=106946" TargetMode="External"/><Relationship Id="rId14" Type="http://schemas.openxmlformats.org/officeDocument/2006/relationships/hyperlink" Target="https://us3.assetplanner.com/service_request?ID=100417" TargetMode="External"/><Relationship Id="rId30" Type="http://schemas.openxmlformats.org/officeDocument/2006/relationships/hyperlink" Target="https://us3.assetplanner.com/service_request?ID=104826" TargetMode="External"/><Relationship Id="rId35" Type="http://schemas.openxmlformats.org/officeDocument/2006/relationships/hyperlink" Target="https://us3.assetplanner.com/service_request?ID=10483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7145" TargetMode="External"/><Relationship Id="rId105"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099461" TargetMode="External"/><Relationship Id="rId51" Type="http://schemas.openxmlformats.org/officeDocument/2006/relationships/hyperlink" Target="https://us3.assetplanner.com/service_request?ID=105928" TargetMode="External"/><Relationship Id="rId72" Type="http://schemas.openxmlformats.org/officeDocument/2006/relationships/hyperlink" Target="https://us3.assetplanner.com/service_request?ID=102539" TargetMode="External"/><Relationship Id="rId93" Type="http://schemas.openxmlformats.org/officeDocument/2006/relationships/hyperlink" Target="https://us3.assetplanner.com/service_request?ID=104290" TargetMode="External"/><Relationship Id="rId98" Type="http://schemas.openxmlformats.org/officeDocument/2006/relationships/hyperlink" Target="https://us3.assetplanner.com/service_request?ID=102420" TargetMode="External"/><Relationship Id="rId121" Type="http://schemas.openxmlformats.org/officeDocument/2006/relationships/hyperlink" Target="https://us3.assetplanner.com/service_request?ID=107162"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099730" TargetMode="External"/><Relationship Id="rId46" Type="http://schemas.openxmlformats.org/officeDocument/2006/relationships/hyperlink" Target="https://us3.assetplanner.com/service_request?ID=105641" TargetMode="External"/><Relationship Id="rId67" Type="http://schemas.openxmlformats.org/officeDocument/2006/relationships/hyperlink" Target="https://us3.assetplanner.com/service_request?ID=102418" TargetMode="External"/><Relationship Id="rId116" Type="http://schemas.openxmlformats.org/officeDocument/2006/relationships/hyperlink" Target="https://us3.assetplanner.com/service_request?ID=104855" TargetMode="External"/><Relationship Id="rId20" Type="http://schemas.openxmlformats.org/officeDocument/2006/relationships/hyperlink" Target="https://us3.assetplanner.com/service_request?ID=103239" TargetMode="External"/><Relationship Id="rId41" Type="http://schemas.openxmlformats.org/officeDocument/2006/relationships/hyperlink" Target="https://us3.assetplanner.com/service_request?ID=104192" TargetMode="External"/><Relationship Id="rId62" Type="http://schemas.openxmlformats.org/officeDocument/2006/relationships/hyperlink" Target="https://us3.assetplanner.com/service_request?ID=106650" TargetMode="External"/><Relationship Id="rId83" Type="http://schemas.openxmlformats.org/officeDocument/2006/relationships/hyperlink" Target="https://us3.assetplanner.com/service_request?ID=105139" TargetMode="External"/><Relationship Id="rId88" Type="http://schemas.openxmlformats.org/officeDocument/2006/relationships/hyperlink" Target="https://us3.assetplanner.com/service_request?ID=102310" TargetMode="External"/><Relationship Id="rId111" Type="http://schemas.openxmlformats.org/officeDocument/2006/relationships/hyperlink" Target="https://us3.assetplanner.com/service_request?ID=104776" TargetMode="External"/><Relationship Id="rId15" Type="http://schemas.openxmlformats.org/officeDocument/2006/relationships/hyperlink" Target="https://us3.assetplanner.com/service_request?ID=102209" TargetMode="External"/><Relationship Id="rId36" Type="http://schemas.openxmlformats.org/officeDocument/2006/relationships/hyperlink" Target="https://us3.assetplanner.com/service_request?ID=103950"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5626" TargetMode="External"/><Relationship Id="rId10" Type="http://schemas.openxmlformats.org/officeDocument/2006/relationships/hyperlink" Target="https://us3.assetplanner.com/service_request?ID=104137" TargetMode="External"/><Relationship Id="rId31" Type="http://schemas.openxmlformats.org/officeDocument/2006/relationships/hyperlink" Target="https://us3.assetplanner.com/service_request?ID=104828" TargetMode="External"/><Relationship Id="rId52" Type="http://schemas.openxmlformats.org/officeDocument/2006/relationships/hyperlink" Target="https://us3.assetplanner.com/service_request?ID=101034" TargetMode="External"/><Relationship Id="rId73" Type="http://schemas.openxmlformats.org/officeDocument/2006/relationships/hyperlink" Target="https://us3.assetplanner.com/service_request?ID=104882" TargetMode="External"/><Relationship Id="rId78" Type="http://schemas.openxmlformats.org/officeDocument/2006/relationships/hyperlink" Target="https://us3.assetplanner.com/service_request?ID=102281" TargetMode="External"/><Relationship Id="rId94" Type="http://schemas.openxmlformats.org/officeDocument/2006/relationships/hyperlink" Target="https://us3.assetplanner.com/service_request?ID=104290" TargetMode="External"/><Relationship Id="rId99" Type="http://schemas.openxmlformats.org/officeDocument/2006/relationships/hyperlink" Target="https://us3.assetplanner.com/service_request?ID=107231" TargetMode="External"/><Relationship Id="rId101" Type="http://schemas.openxmlformats.org/officeDocument/2006/relationships/hyperlink" Target="https://us3.assetplanner.com/service_request?ID=106851" TargetMode="External"/><Relationship Id="rId122" Type="http://schemas.openxmlformats.org/officeDocument/2006/relationships/hyperlink" Target="https://us3.assetplanner.com/service_request?ID=102450"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2820" TargetMode="External"/><Relationship Id="rId21" Type="http://schemas.openxmlformats.org/officeDocument/2006/relationships/hyperlink" Target="https://us3.assetplanner.com/service_request?ID=105959" TargetMode="External"/><Relationship Id="rId42" Type="http://schemas.openxmlformats.org/officeDocument/2006/relationships/hyperlink" Target="https://us3.assetplanner.com/service_request?ID=104827" TargetMode="External"/><Relationship Id="rId63" Type="http://schemas.openxmlformats.org/officeDocument/2006/relationships/hyperlink" Target="https://us3.assetplanner.com/service_request?ID=106082" TargetMode="External"/><Relationship Id="rId84" Type="http://schemas.openxmlformats.org/officeDocument/2006/relationships/hyperlink" Target="https://us3.assetplanner.com/service_request?ID=102416" TargetMode="External"/><Relationship Id="rId138" Type="http://schemas.openxmlformats.org/officeDocument/2006/relationships/hyperlink" Target="https://us3.assetplanner.com/service_request?ID=102281" TargetMode="External"/><Relationship Id="rId16" Type="http://schemas.openxmlformats.org/officeDocument/2006/relationships/hyperlink" Target="https://us3.assetplanner.com/service_request?ID=105956" TargetMode="External"/><Relationship Id="rId107" Type="http://schemas.openxmlformats.org/officeDocument/2006/relationships/hyperlink" Target="https://us3.assetplanner.com/service_request?ID=102411"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103048" TargetMode="External"/><Relationship Id="rId37" Type="http://schemas.openxmlformats.org/officeDocument/2006/relationships/hyperlink" Target="https://us3.assetplanner.com/service_request?ID=104823" TargetMode="External"/><Relationship Id="rId53" Type="http://schemas.openxmlformats.org/officeDocument/2006/relationships/hyperlink" Target="https://us3.assetplanner.com/service_request?ID=103914" TargetMode="External"/><Relationship Id="rId58" Type="http://schemas.openxmlformats.org/officeDocument/2006/relationships/hyperlink" Target="https://us3.assetplanner.com/service_request?ID=108491" TargetMode="External"/><Relationship Id="rId74" Type="http://schemas.openxmlformats.org/officeDocument/2006/relationships/hyperlink" Target="https://us3.assetplanner.com/service_request?ID=101100" TargetMode="External"/><Relationship Id="rId79" Type="http://schemas.openxmlformats.org/officeDocument/2006/relationships/hyperlink" Target="https://us3.assetplanner.com/service_request?ID=102419" TargetMode="External"/><Relationship Id="rId102" Type="http://schemas.openxmlformats.org/officeDocument/2006/relationships/hyperlink" Target="https://us3.assetplanner.com/service_request?ID=104882" TargetMode="External"/><Relationship Id="rId123" Type="http://schemas.openxmlformats.org/officeDocument/2006/relationships/hyperlink" Target="https://us3.assetplanner.com/service_request?ID=108494" TargetMode="External"/><Relationship Id="rId128" Type="http://schemas.openxmlformats.org/officeDocument/2006/relationships/hyperlink" Target="https://us3.assetplanner.com/service_request?ID=103868"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2320" TargetMode="External"/><Relationship Id="rId95" Type="http://schemas.openxmlformats.org/officeDocument/2006/relationships/hyperlink" Target="https://us3.assetplanner.com/service_request?ID=102886" TargetMode="External"/><Relationship Id="rId22" Type="http://schemas.openxmlformats.org/officeDocument/2006/relationships/hyperlink" Target="https://us3.assetplanner.com/service_request?ID=103740" TargetMode="External"/><Relationship Id="rId27" Type="http://schemas.openxmlformats.org/officeDocument/2006/relationships/hyperlink" Target="https://us3.assetplanner.com/service_request?ID=107211" TargetMode="External"/><Relationship Id="rId43" Type="http://schemas.openxmlformats.org/officeDocument/2006/relationships/hyperlink" Target="https://us3.assetplanner.com/service_request?ID=104829" TargetMode="External"/><Relationship Id="rId48" Type="http://schemas.openxmlformats.org/officeDocument/2006/relationships/hyperlink" Target="https://us3.assetplanner.com/service_request?ID=106483" TargetMode="External"/><Relationship Id="rId64" Type="http://schemas.openxmlformats.org/officeDocument/2006/relationships/hyperlink" Target="https://us3.assetplanner.com/service_request?ID=100857" TargetMode="External"/><Relationship Id="rId69" Type="http://schemas.openxmlformats.org/officeDocument/2006/relationships/hyperlink" Target="https://us3.assetplanner.com/service_request?ID=103779" TargetMode="External"/><Relationship Id="rId113" Type="http://schemas.openxmlformats.org/officeDocument/2006/relationships/hyperlink" Target="https://us3.assetplanner.com/service_request?ID=102450" TargetMode="External"/><Relationship Id="rId118" Type="http://schemas.openxmlformats.org/officeDocument/2006/relationships/hyperlink" Target="https://us3.assetplanner.com/service_request?ID=104290" TargetMode="External"/><Relationship Id="rId134" Type="http://schemas.openxmlformats.org/officeDocument/2006/relationships/hyperlink" Target="https://us3.assetplanner.com/service_request?ID=107661" TargetMode="External"/><Relationship Id="rId139" Type="http://schemas.openxmlformats.org/officeDocument/2006/relationships/hyperlink" Target="https://us3.assetplanner.com/service_request?ID=108309" TargetMode="External"/><Relationship Id="rId80" Type="http://schemas.openxmlformats.org/officeDocument/2006/relationships/hyperlink" Target="https://us3.assetplanner.com/service_request?ID=107209" TargetMode="External"/><Relationship Id="rId85" Type="http://schemas.openxmlformats.org/officeDocument/2006/relationships/hyperlink" Target="https://us3.assetplanner.com/service_request?ID=102392"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8214" TargetMode="External"/><Relationship Id="rId33" Type="http://schemas.openxmlformats.org/officeDocument/2006/relationships/hyperlink" Target="https://us3.assetplanner.com/service_request?ID=103686" TargetMode="External"/><Relationship Id="rId38" Type="http://schemas.openxmlformats.org/officeDocument/2006/relationships/hyperlink" Target="https://us3.assetplanner.com/service_request?ID=104824" TargetMode="External"/><Relationship Id="rId59" Type="http://schemas.openxmlformats.org/officeDocument/2006/relationships/hyperlink" Target="https://us3.assetplanner.com/service_request?ID=108496" TargetMode="External"/><Relationship Id="rId103" Type="http://schemas.openxmlformats.org/officeDocument/2006/relationships/hyperlink" Target="https://us3.assetplanner.com/service_request?ID=102329" TargetMode="External"/><Relationship Id="rId108" Type="http://schemas.openxmlformats.org/officeDocument/2006/relationships/hyperlink" Target="https://us3.assetplanner.com/service_request?ID=106531" TargetMode="External"/><Relationship Id="rId124" Type="http://schemas.openxmlformats.org/officeDocument/2006/relationships/hyperlink" Target="https://us3.assetplanner.com/service_request?ID=107231" TargetMode="External"/><Relationship Id="rId129" Type="http://schemas.openxmlformats.org/officeDocument/2006/relationships/hyperlink" Target="https://us3.assetplanner.com/service_request?ID=106301" TargetMode="External"/><Relationship Id="rId54" Type="http://schemas.openxmlformats.org/officeDocument/2006/relationships/hyperlink" Target="https://us3.assetplanner.com/service_request?ID=104192" TargetMode="External"/><Relationship Id="rId70" Type="http://schemas.openxmlformats.org/officeDocument/2006/relationships/hyperlink" Target="https://us3.assetplanner.com/service_request?ID=102621" TargetMode="External"/><Relationship Id="rId75" Type="http://schemas.openxmlformats.org/officeDocument/2006/relationships/hyperlink" Target="https://us3.assetplanner.com/service_request?ID=107802" TargetMode="External"/><Relationship Id="rId91" Type="http://schemas.openxmlformats.org/officeDocument/2006/relationships/hyperlink" Target="https://us3.assetplanner.com/service_request?ID=102317" TargetMode="External"/><Relationship Id="rId96" Type="http://schemas.openxmlformats.org/officeDocument/2006/relationships/hyperlink" Target="https://us3.assetplanner.com/service_request?ID=102281"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6599" TargetMode="External"/><Relationship Id="rId28" Type="http://schemas.openxmlformats.org/officeDocument/2006/relationships/hyperlink" Target="https://us3.assetplanner.com/service_request?ID=108008" TargetMode="External"/><Relationship Id="rId49" Type="http://schemas.openxmlformats.org/officeDocument/2006/relationships/hyperlink" Target="https://us3.assetplanner.com/service_request?ID=098016" TargetMode="External"/><Relationship Id="rId114" Type="http://schemas.openxmlformats.org/officeDocument/2006/relationships/hyperlink" Target="https://us3.assetplanner.com/service_request?ID=102413" TargetMode="External"/><Relationship Id="rId119" Type="http://schemas.openxmlformats.org/officeDocument/2006/relationships/hyperlink" Target="https://us3.assetplanner.com/service_request?ID=102424" TargetMode="External"/><Relationship Id="rId44" Type="http://schemas.openxmlformats.org/officeDocument/2006/relationships/hyperlink" Target="https://us3.assetplanner.com/service_request?ID=104831" TargetMode="External"/><Relationship Id="rId60" Type="http://schemas.openxmlformats.org/officeDocument/2006/relationships/hyperlink" Target="https://us3.assetplanner.com/service_request?ID=105973" TargetMode="External"/><Relationship Id="rId65" Type="http://schemas.openxmlformats.org/officeDocument/2006/relationships/hyperlink" Target="https://us3.assetplanner.com/service_request?ID=101963" TargetMode="External"/><Relationship Id="rId81" Type="http://schemas.openxmlformats.org/officeDocument/2006/relationships/hyperlink" Target="https://us3.assetplanner.com/service_request?ID=102283" TargetMode="External"/><Relationship Id="rId86" Type="http://schemas.openxmlformats.org/officeDocument/2006/relationships/hyperlink" Target="https://us3.assetplanner.com/service_request?ID=102321" TargetMode="External"/><Relationship Id="rId130" Type="http://schemas.openxmlformats.org/officeDocument/2006/relationships/hyperlink" Target="https://us3.assetplanner.com/service_request?ID=103867" TargetMode="External"/><Relationship Id="rId135" Type="http://schemas.openxmlformats.org/officeDocument/2006/relationships/hyperlink" Target="https://us3.assetplanner.com/service_request?ID=103946" TargetMode="External"/><Relationship Id="rId13" Type="http://schemas.openxmlformats.org/officeDocument/2006/relationships/hyperlink" Target="https://us3.assetplanner.com/service_request?ID=107058" TargetMode="External"/><Relationship Id="rId18" Type="http://schemas.openxmlformats.org/officeDocument/2006/relationships/hyperlink" Target="https://us3.assetplanner.com/service_request?ID=100417" TargetMode="External"/><Relationship Id="rId39" Type="http://schemas.openxmlformats.org/officeDocument/2006/relationships/hyperlink" Target="https://us3.assetplanner.com/service_request?ID=104825" TargetMode="External"/><Relationship Id="rId109" Type="http://schemas.openxmlformats.org/officeDocument/2006/relationships/hyperlink" Target="https://us3.assetplanner.com/service_request?ID=108501" TargetMode="External"/><Relationship Id="rId34" Type="http://schemas.openxmlformats.org/officeDocument/2006/relationships/hyperlink" Target="https://us3.assetplanner.com/service_request?ID=107476" TargetMode="External"/><Relationship Id="rId50" Type="http://schemas.openxmlformats.org/officeDocument/2006/relationships/hyperlink" Target="https://us3.assetplanner.com/service_request?ID=106514" TargetMode="External"/><Relationship Id="rId55" Type="http://schemas.openxmlformats.org/officeDocument/2006/relationships/hyperlink" Target="https://us3.assetplanner.com/service_request?ID=102794" TargetMode="External"/><Relationship Id="rId76" Type="http://schemas.openxmlformats.org/officeDocument/2006/relationships/hyperlink" Target="https://us3.assetplanner.com/service_request?ID=105192" TargetMode="External"/><Relationship Id="rId97" Type="http://schemas.openxmlformats.org/officeDocument/2006/relationships/hyperlink" Target="https://us3.assetplanner.com/service_request?ID=101986" TargetMode="External"/><Relationship Id="rId104" Type="http://schemas.openxmlformats.org/officeDocument/2006/relationships/hyperlink" Target="https://us3.assetplanner.com/service_request?ID=105139" TargetMode="External"/><Relationship Id="rId120" Type="http://schemas.openxmlformats.org/officeDocument/2006/relationships/hyperlink" Target="https://us3.assetplanner.com/service_request?ID=102423" TargetMode="External"/><Relationship Id="rId125" Type="http://schemas.openxmlformats.org/officeDocument/2006/relationships/hyperlink" Target="https://us3.assetplanner.com/service_request?ID=106851"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1021" TargetMode="External"/><Relationship Id="rId92" Type="http://schemas.openxmlformats.org/officeDocument/2006/relationships/hyperlink" Target="https://us3.assetplanner.com/service_request?ID=108297"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7587" TargetMode="External"/><Relationship Id="rId24" Type="http://schemas.openxmlformats.org/officeDocument/2006/relationships/hyperlink" Target="https://us3.assetplanner.com/service_request?ID=107545" TargetMode="External"/><Relationship Id="rId40" Type="http://schemas.openxmlformats.org/officeDocument/2006/relationships/hyperlink" Target="https://us3.assetplanner.com/service_request?ID=104826" TargetMode="External"/><Relationship Id="rId45" Type="http://schemas.openxmlformats.org/officeDocument/2006/relationships/hyperlink" Target="https://us3.assetplanner.com/service_request?ID=104832" TargetMode="External"/><Relationship Id="rId66" Type="http://schemas.openxmlformats.org/officeDocument/2006/relationships/hyperlink" Target="https://us3.assetplanner.com/service_request?ID=101818" TargetMode="External"/><Relationship Id="rId87" Type="http://schemas.openxmlformats.org/officeDocument/2006/relationships/hyperlink" Target="https://us3.assetplanner.com/service_request?ID=103636" TargetMode="External"/><Relationship Id="rId110" Type="http://schemas.openxmlformats.org/officeDocument/2006/relationships/hyperlink" Target="https://us3.assetplanner.com/service_request?ID=107991"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04855" TargetMode="External"/><Relationship Id="rId61" Type="http://schemas.openxmlformats.org/officeDocument/2006/relationships/hyperlink" Target="https://us3.assetplanner.com/service_request?ID=102723" TargetMode="External"/><Relationship Id="rId82" Type="http://schemas.openxmlformats.org/officeDocument/2006/relationships/hyperlink" Target="https://us3.assetplanner.com/service_request?ID=106774" TargetMode="External"/><Relationship Id="rId19" Type="http://schemas.openxmlformats.org/officeDocument/2006/relationships/hyperlink" Target="https://us3.assetplanner.com/service_request?ID=102209" TargetMode="External"/><Relationship Id="rId14" Type="http://schemas.openxmlformats.org/officeDocument/2006/relationships/hyperlink" Target="https://us3.assetplanner.com/service_request?ID=104023" TargetMode="External"/><Relationship Id="rId30" Type="http://schemas.openxmlformats.org/officeDocument/2006/relationships/hyperlink" Target="https://us3.assetplanner.com/service_request?ID=103239" TargetMode="External"/><Relationship Id="rId35" Type="http://schemas.openxmlformats.org/officeDocument/2006/relationships/hyperlink" Target="https://us3.assetplanner.com/service_request?ID=099730" TargetMode="External"/><Relationship Id="rId56" Type="http://schemas.openxmlformats.org/officeDocument/2006/relationships/hyperlink" Target="https://us3.assetplanner.com/service_request?ID=105489" TargetMode="External"/><Relationship Id="rId77" Type="http://schemas.openxmlformats.org/officeDocument/2006/relationships/hyperlink" Target="https://us3.assetplanner.com/service_request?ID=106435" TargetMode="External"/><Relationship Id="rId100" Type="http://schemas.openxmlformats.org/officeDocument/2006/relationships/hyperlink" Target="https://us3.assetplanner.com/service_request?ID=103636" TargetMode="External"/><Relationship Id="rId105" Type="http://schemas.openxmlformats.org/officeDocument/2006/relationships/hyperlink" Target="https://us3.assetplanner.com/service_request?ID=105139" TargetMode="External"/><Relationship Id="rId126"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6806" TargetMode="External"/><Relationship Id="rId72" Type="http://schemas.openxmlformats.org/officeDocument/2006/relationships/hyperlink" Target="https://us3.assetplanner.com/service_request?ID=100915" TargetMode="External"/><Relationship Id="rId93" Type="http://schemas.openxmlformats.org/officeDocument/2006/relationships/hyperlink" Target="https://us3.assetplanner.com/service_request?ID=108307" TargetMode="External"/><Relationship Id="rId98" Type="http://schemas.openxmlformats.org/officeDocument/2006/relationships/hyperlink" Target="https://us3.assetplanner.com/service_request?ID=102451" TargetMode="External"/><Relationship Id="rId121" Type="http://schemas.openxmlformats.org/officeDocument/2006/relationships/hyperlink" Target="https://us3.assetplanner.com/service_request?ID=102421"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7872" TargetMode="External"/><Relationship Id="rId46" Type="http://schemas.openxmlformats.org/officeDocument/2006/relationships/hyperlink" Target="https://us3.assetplanner.com/service_request?ID=107791" TargetMode="External"/><Relationship Id="rId67" Type="http://schemas.openxmlformats.org/officeDocument/2006/relationships/hyperlink" Target="https://us3.assetplanner.com/service_request?ID=105928"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3946" TargetMode="External"/><Relationship Id="rId20" Type="http://schemas.openxmlformats.org/officeDocument/2006/relationships/hyperlink" Target="https://us3.assetplanner.com/service_request?ID=103184" TargetMode="External"/><Relationship Id="rId41" Type="http://schemas.openxmlformats.org/officeDocument/2006/relationships/hyperlink" Target="https://us3.assetplanner.com/service_request?ID=104828" TargetMode="External"/><Relationship Id="rId62" Type="http://schemas.openxmlformats.org/officeDocument/2006/relationships/hyperlink" Target="https://us3.assetplanner.com/service_request?ID=105641" TargetMode="External"/><Relationship Id="rId83" Type="http://schemas.openxmlformats.org/officeDocument/2006/relationships/hyperlink" Target="https://us3.assetplanner.com/service_request?ID=102418" TargetMode="External"/><Relationship Id="rId88" Type="http://schemas.openxmlformats.org/officeDocument/2006/relationships/hyperlink" Target="https://us3.assetplanner.com/service_request?ID=102539" TargetMode="External"/><Relationship Id="rId111" Type="http://schemas.openxmlformats.org/officeDocument/2006/relationships/hyperlink" Target="https://us3.assetplanner.com/service_request?ID=102310"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4137" TargetMode="External"/><Relationship Id="rId36" Type="http://schemas.openxmlformats.org/officeDocument/2006/relationships/hyperlink" Target="https://us3.assetplanner.com/service_request?ID=106719" TargetMode="External"/><Relationship Id="rId57" Type="http://schemas.openxmlformats.org/officeDocument/2006/relationships/hyperlink" Target="https://us3.assetplanner.com/service_request?ID=107586" TargetMode="External"/><Relationship Id="rId106" Type="http://schemas.openxmlformats.org/officeDocument/2006/relationships/hyperlink" Target="https://us3.assetplanner.com/service_request?ID=102303" TargetMode="External"/><Relationship Id="rId127" Type="http://schemas.openxmlformats.org/officeDocument/2006/relationships/hyperlink" Target="https://us3.assetplanner.com/service_request?ID=108282"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108311" TargetMode="External"/><Relationship Id="rId52" Type="http://schemas.openxmlformats.org/officeDocument/2006/relationships/hyperlink" Target="https://us3.assetplanner.com/service_request?ID=108422" TargetMode="External"/><Relationship Id="rId73" Type="http://schemas.openxmlformats.org/officeDocument/2006/relationships/hyperlink" Target="https://us3.assetplanner.com/service_request?ID=105366" TargetMode="External"/><Relationship Id="rId78" Type="http://schemas.openxmlformats.org/officeDocument/2006/relationships/hyperlink" Target="https://us3.assetplanner.com/service_request?ID=106650" TargetMode="External"/><Relationship Id="rId94" Type="http://schemas.openxmlformats.org/officeDocument/2006/relationships/hyperlink" Target="https://us3.assetplanner.com/service_request?ID=108307" TargetMode="External"/><Relationship Id="rId99" Type="http://schemas.openxmlformats.org/officeDocument/2006/relationships/hyperlink" Target="https://us3.assetplanner.com/service_request?ID=102321" TargetMode="External"/><Relationship Id="rId101" Type="http://schemas.openxmlformats.org/officeDocument/2006/relationships/hyperlink" Target="https://us3.assetplanner.com/service_request?ID=102539" TargetMode="External"/><Relationship Id="rId122" Type="http://schemas.openxmlformats.org/officeDocument/2006/relationships/hyperlink" Target="https://us3.assetplanner.com/service_request?ID=102420"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26" Type="http://schemas.openxmlformats.org/officeDocument/2006/relationships/hyperlink" Target="https://us3.assetplanner.com/service_request?ID=106946" TargetMode="External"/><Relationship Id="rId47" Type="http://schemas.openxmlformats.org/officeDocument/2006/relationships/hyperlink" Target="https://us3.assetplanner.com/service_request?ID=103950" TargetMode="External"/><Relationship Id="rId68" Type="http://schemas.openxmlformats.org/officeDocument/2006/relationships/hyperlink" Target="https://us3.assetplanner.com/service_request?ID=101034" TargetMode="External"/><Relationship Id="rId89" Type="http://schemas.openxmlformats.org/officeDocument/2006/relationships/hyperlink" Target="https://us3.assetplanner.com/service_request?ID=104882" TargetMode="External"/><Relationship Id="rId112" Type="http://schemas.openxmlformats.org/officeDocument/2006/relationships/hyperlink" Target="https://us3.assetplanner.com/service_request?ID=104289" TargetMode="External"/><Relationship Id="rId133" Type="http://schemas.openxmlformats.org/officeDocument/2006/relationships/hyperlink" Target="https://us3.assetplanner.com/service_request?ID=108426"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6842" TargetMode="External"/><Relationship Id="rId21" Type="http://schemas.openxmlformats.org/officeDocument/2006/relationships/hyperlink" Target="https://us3.assetplanner.com/service_request?ID=106831" TargetMode="External"/><Relationship Id="rId42" Type="http://schemas.openxmlformats.org/officeDocument/2006/relationships/hyperlink" Target="https://us3.assetplanner.com/service_request?ID=109104" TargetMode="External"/><Relationship Id="rId63" Type="http://schemas.openxmlformats.org/officeDocument/2006/relationships/hyperlink" Target="https://us3.assetplanner.com/service_request?ID=106650" TargetMode="External"/><Relationship Id="rId84" Type="http://schemas.openxmlformats.org/officeDocument/2006/relationships/hyperlink" Target="https://us3.assetplanner.com/service_request?ID=109599" TargetMode="External"/><Relationship Id="rId138" Type="http://schemas.openxmlformats.org/officeDocument/2006/relationships/hyperlink" Target="https://us3.assetplanner.com/service_request?ID=103946" TargetMode="External"/><Relationship Id="rId16" Type="http://schemas.openxmlformats.org/officeDocument/2006/relationships/hyperlink" Target="https://us3.assetplanner.com/service_request?ID=102209" TargetMode="External"/><Relationship Id="rId107" Type="http://schemas.openxmlformats.org/officeDocument/2006/relationships/hyperlink" Target="https://us3.assetplanner.com/service_request?ID=106531" TargetMode="External"/><Relationship Id="rId11" Type="http://schemas.openxmlformats.org/officeDocument/2006/relationships/hyperlink" Target="https://us3.assetplanner.com/service_request?ID=107775" TargetMode="External"/><Relationship Id="rId32" Type="http://schemas.openxmlformats.org/officeDocument/2006/relationships/hyperlink" Target="https://us3.assetplanner.com/service_request?ID=106806" TargetMode="External"/><Relationship Id="rId37" Type="http://schemas.openxmlformats.org/officeDocument/2006/relationships/hyperlink" Target="https://us3.assetplanner.com/service_request?ID=105489" TargetMode="External"/><Relationship Id="rId53" Type="http://schemas.openxmlformats.org/officeDocument/2006/relationships/hyperlink" Target="https://us3.assetplanner.com/service_request?ID=102621"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21" TargetMode="External"/><Relationship Id="rId79" Type="http://schemas.openxmlformats.org/officeDocument/2006/relationships/hyperlink" Target="https://us3.assetplanner.com/service_request?ID=102317" TargetMode="External"/><Relationship Id="rId102" Type="http://schemas.openxmlformats.org/officeDocument/2006/relationships/hyperlink" Target="https://us3.assetplanner.com/service_request?ID=105139" TargetMode="External"/><Relationship Id="rId123" Type="http://schemas.openxmlformats.org/officeDocument/2006/relationships/hyperlink" Target="https://us3.assetplanner.com/service_request?ID=102421" TargetMode="External"/><Relationship Id="rId128" Type="http://schemas.openxmlformats.org/officeDocument/2006/relationships/hyperlink" Target="https://us3.assetplanner.com/service_request?ID=108494" TargetMode="External"/><Relationship Id="rId5" Type="http://schemas.openxmlformats.org/officeDocument/2006/relationships/hyperlink" Target="https://us3.assetplanner.com/service_request?ID=105658" TargetMode="External"/><Relationship Id="rId90" Type="http://schemas.openxmlformats.org/officeDocument/2006/relationships/hyperlink" Target="https://us3.assetplanner.com/service_request?ID=108834" TargetMode="External"/><Relationship Id="rId95" Type="http://schemas.openxmlformats.org/officeDocument/2006/relationships/hyperlink" Target="https://us3.assetplanner.com/service_request?ID=102451" TargetMode="External"/><Relationship Id="rId22" Type="http://schemas.openxmlformats.org/officeDocument/2006/relationships/hyperlink" Target="https://us3.assetplanner.com/service_request?ID=108311" TargetMode="External"/><Relationship Id="rId27" Type="http://schemas.openxmlformats.org/officeDocument/2006/relationships/hyperlink" Target="https://us3.assetplanner.com/service_request?ID=110134" TargetMode="External"/><Relationship Id="rId43" Type="http://schemas.openxmlformats.org/officeDocument/2006/relationships/hyperlink" Target="https://us3.assetplanner.com/service_request?ID=105973" TargetMode="External"/><Relationship Id="rId48" Type="http://schemas.openxmlformats.org/officeDocument/2006/relationships/hyperlink" Target="https://us3.assetplanner.com/service_request?ID=101963"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9533" TargetMode="External"/><Relationship Id="rId113" Type="http://schemas.openxmlformats.org/officeDocument/2006/relationships/hyperlink" Target="https://us3.assetplanner.com/service_request?ID=102413" TargetMode="External"/><Relationship Id="rId118" Type="http://schemas.openxmlformats.org/officeDocument/2006/relationships/hyperlink" Target="https://us3.assetplanner.com/service_request?ID=102820" TargetMode="External"/><Relationship Id="rId134" Type="http://schemas.openxmlformats.org/officeDocument/2006/relationships/hyperlink" Target="https://us3.assetplanner.com/service_request?ID=103867" TargetMode="External"/><Relationship Id="rId139" Type="http://schemas.openxmlformats.org/officeDocument/2006/relationships/hyperlink" Target="https://us3.assetplanner.com/service_request?ID=104855" TargetMode="External"/><Relationship Id="rId80" Type="http://schemas.openxmlformats.org/officeDocument/2006/relationships/hyperlink" Target="https://us3.assetplanner.com/service_request?ID=108297" TargetMode="External"/><Relationship Id="rId85" Type="http://schemas.openxmlformats.org/officeDocument/2006/relationships/hyperlink" Target="https://us3.assetplanner.com/service_request?ID=109598" TargetMode="External"/><Relationship Id="rId12" Type="http://schemas.openxmlformats.org/officeDocument/2006/relationships/hyperlink" Target="https://us3.assetplanner.com/service_request?ID=104023" TargetMode="External"/><Relationship Id="rId17" Type="http://schemas.openxmlformats.org/officeDocument/2006/relationships/hyperlink" Target="https://us3.assetplanner.com/service_request?ID=110401" TargetMode="External"/><Relationship Id="rId33" Type="http://schemas.openxmlformats.org/officeDocument/2006/relationships/hyperlink" Target="https://us3.assetplanner.com/service_request?ID=106806" TargetMode="External"/><Relationship Id="rId38" Type="http://schemas.openxmlformats.org/officeDocument/2006/relationships/hyperlink" Target="https://us3.assetplanner.com/service_request?ID=107586" TargetMode="External"/><Relationship Id="rId59" Type="http://schemas.openxmlformats.org/officeDocument/2006/relationships/hyperlink" Target="https://us3.assetplanner.com/service_request?ID=107802" TargetMode="External"/><Relationship Id="rId103" Type="http://schemas.openxmlformats.org/officeDocument/2006/relationships/hyperlink" Target="https://us3.assetplanner.com/service_request?ID=106828" TargetMode="External"/><Relationship Id="rId108" Type="http://schemas.openxmlformats.org/officeDocument/2006/relationships/hyperlink" Target="https://us3.assetplanner.com/service_request?ID=108501" TargetMode="External"/><Relationship Id="rId124" Type="http://schemas.openxmlformats.org/officeDocument/2006/relationships/hyperlink" Target="https://us3.assetplanner.com/service_request?ID=108404" TargetMode="External"/><Relationship Id="rId129" Type="http://schemas.openxmlformats.org/officeDocument/2006/relationships/hyperlink" Target="https://us3.assetplanner.com/service_request?ID=106851" TargetMode="External"/><Relationship Id="rId54" Type="http://schemas.openxmlformats.org/officeDocument/2006/relationships/hyperlink" Target="https://us3.assetplanner.com/service_request?ID=109841" TargetMode="External"/><Relationship Id="rId70" Type="http://schemas.openxmlformats.org/officeDocument/2006/relationships/hyperlink" Target="https://us3.assetplanner.com/service_request?ID=102418" TargetMode="External"/><Relationship Id="rId75" Type="http://schemas.openxmlformats.org/officeDocument/2006/relationships/hyperlink" Target="https://us3.assetplanner.com/service_request?ID=103636" TargetMode="External"/><Relationship Id="rId91" Type="http://schemas.openxmlformats.org/officeDocument/2006/relationships/hyperlink" Target="https://us3.assetplanner.com/service_request?ID=102281" TargetMode="External"/><Relationship Id="rId96" Type="http://schemas.openxmlformats.org/officeDocument/2006/relationships/hyperlink" Target="https://us3.assetplanner.com/service_request?ID=102321" TargetMode="External"/><Relationship Id="rId140" Type="http://schemas.openxmlformats.org/officeDocument/2006/relationships/hyperlink" Target="https://us3.assetplanner.com/service_request?ID=106885"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7520" TargetMode="External"/><Relationship Id="rId23" Type="http://schemas.openxmlformats.org/officeDocument/2006/relationships/hyperlink" Target="https://us3.assetplanner.com/service_request?ID=109383" TargetMode="External"/><Relationship Id="rId28" Type="http://schemas.openxmlformats.org/officeDocument/2006/relationships/hyperlink" Target="https://us3.assetplanner.com/service_request?ID=109491" TargetMode="External"/><Relationship Id="rId49" Type="http://schemas.openxmlformats.org/officeDocument/2006/relationships/hyperlink" Target="https://us3.assetplanner.com/service_request?ID=101818" TargetMode="External"/><Relationship Id="rId114" Type="http://schemas.openxmlformats.org/officeDocument/2006/relationships/hyperlink" Target="https://us3.assetplanner.com/service_request?ID=108898" TargetMode="External"/><Relationship Id="rId119" Type="http://schemas.openxmlformats.org/officeDocument/2006/relationships/hyperlink" Target="https://us3.assetplanner.com/service_request?ID=104290" TargetMode="External"/><Relationship Id="rId44" Type="http://schemas.openxmlformats.org/officeDocument/2006/relationships/hyperlink" Target="https://us3.assetplanner.com/service_request?ID=102723" TargetMode="External"/><Relationship Id="rId60" Type="http://schemas.openxmlformats.org/officeDocument/2006/relationships/hyperlink" Target="https://us3.assetplanner.com/service_request?ID=108849" TargetMode="External"/><Relationship Id="rId65" Type="http://schemas.openxmlformats.org/officeDocument/2006/relationships/hyperlink" Target="https://us3.assetplanner.com/service_request?ID=105494" TargetMode="External"/><Relationship Id="rId81" Type="http://schemas.openxmlformats.org/officeDocument/2006/relationships/hyperlink" Target="https://us3.assetplanner.com/service_request?ID=108307" TargetMode="External"/><Relationship Id="rId86" Type="http://schemas.openxmlformats.org/officeDocument/2006/relationships/hyperlink" Target="https://us3.assetplanner.com/service_request?ID=109599" TargetMode="External"/><Relationship Id="rId130" Type="http://schemas.openxmlformats.org/officeDocument/2006/relationships/hyperlink" Target="https://us3.assetplanner.com/service_request?ID=103869" TargetMode="External"/><Relationship Id="rId135" Type="http://schemas.openxmlformats.org/officeDocument/2006/relationships/hyperlink" Target="https://us3.assetplanner.com/service_request?ID=103866" TargetMode="External"/><Relationship Id="rId13" Type="http://schemas.openxmlformats.org/officeDocument/2006/relationships/hyperlink" Target="https://us3.assetplanner.com/service_request?ID=110027" TargetMode="External"/><Relationship Id="rId18" Type="http://schemas.openxmlformats.org/officeDocument/2006/relationships/hyperlink" Target="https://us3.assetplanner.com/service_request?ID=109506" TargetMode="External"/><Relationship Id="rId39" Type="http://schemas.openxmlformats.org/officeDocument/2006/relationships/hyperlink" Target="https://us3.assetplanner.com/service_request?ID=108491" TargetMode="External"/><Relationship Id="rId109" Type="http://schemas.openxmlformats.org/officeDocument/2006/relationships/hyperlink" Target="https://us3.assetplanner.com/service_request?ID=107991" TargetMode="External"/><Relationship Id="rId34" Type="http://schemas.openxmlformats.org/officeDocument/2006/relationships/hyperlink" Target="https://us3.assetplanner.com/service_request?ID=103914" TargetMode="External"/><Relationship Id="rId50" Type="http://schemas.openxmlformats.org/officeDocument/2006/relationships/hyperlink" Target="https://us3.assetplanner.com/service_request?ID=10592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2539" TargetMode="External"/><Relationship Id="rId97" Type="http://schemas.openxmlformats.org/officeDocument/2006/relationships/hyperlink" Target="https://us3.assetplanner.com/service_request?ID=108902" TargetMode="External"/><Relationship Id="rId104" Type="http://schemas.openxmlformats.org/officeDocument/2006/relationships/hyperlink" Target="https://us3.assetplanner.com/service_request?ID=109164" TargetMode="External"/><Relationship Id="rId120" Type="http://schemas.openxmlformats.org/officeDocument/2006/relationships/hyperlink" Target="https://us3.assetplanner.com/service_request?ID=102424" TargetMode="External"/><Relationship Id="rId125" Type="http://schemas.openxmlformats.org/officeDocument/2006/relationships/hyperlink" Target="https://us3.assetplanner.com/service_request?ID=102420"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416" TargetMode="External"/><Relationship Id="rId92" Type="http://schemas.openxmlformats.org/officeDocument/2006/relationships/hyperlink" Target="https://us3.assetplanner.com/service_request?ID=109629" TargetMode="External"/><Relationship Id="rId2" Type="http://schemas.openxmlformats.org/officeDocument/2006/relationships/hyperlink" Target="https://us3.assetplanner.com/service_request?ID=107271" TargetMode="External"/><Relationship Id="rId29" Type="http://schemas.openxmlformats.org/officeDocument/2006/relationships/hyperlink" Target="https://us3.assetplanner.com/service_request?ID=108422" TargetMode="External"/><Relationship Id="rId24" Type="http://schemas.openxmlformats.org/officeDocument/2006/relationships/hyperlink" Target="https://us3.assetplanner.com/service_request?ID=109222" TargetMode="External"/><Relationship Id="rId40" Type="http://schemas.openxmlformats.org/officeDocument/2006/relationships/hyperlink" Target="https://us3.assetplanner.com/service_request?ID=109906" TargetMode="External"/><Relationship Id="rId45" Type="http://schemas.openxmlformats.org/officeDocument/2006/relationships/hyperlink" Target="https://us3.assetplanner.com/service_request?ID=105641" TargetMode="External"/><Relationship Id="rId66" Type="http://schemas.openxmlformats.org/officeDocument/2006/relationships/hyperlink" Target="https://us3.assetplanner.com/service_request?ID=107209" TargetMode="External"/><Relationship Id="rId87" Type="http://schemas.openxmlformats.org/officeDocument/2006/relationships/hyperlink" Target="https://us3.assetplanner.com/service_request?ID=109599" TargetMode="External"/><Relationship Id="rId110" Type="http://schemas.openxmlformats.org/officeDocument/2006/relationships/hyperlink" Target="https://us3.assetplanner.com/service_request?ID=102310" TargetMode="External"/><Relationship Id="rId115" Type="http://schemas.openxmlformats.org/officeDocument/2006/relationships/hyperlink" Target="https://us3.assetplanner.com/service_request?ID=106842" TargetMode="External"/><Relationship Id="rId131" Type="http://schemas.openxmlformats.org/officeDocument/2006/relationships/hyperlink" Target="https://us3.assetplanner.com/service_request?ID=110121" TargetMode="External"/><Relationship Id="rId136" Type="http://schemas.openxmlformats.org/officeDocument/2006/relationships/hyperlink" Target="https://us3.assetplanner.com/service_request?ID=104456" TargetMode="External"/><Relationship Id="rId61" Type="http://schemas.openxmlformats.org/officeDocument/2006/relationships/hyperlink" Target="https://us3.assetplanner.com/service_request?ID=105192" TargetMode="External"/><Relationship Id="rId82" Type="http://schemas.openxmlformats.org/officeDocument/2006/relationships/hyperlink" Target="https://us3.assetplanner.com/service_request?ID=108307" TargetMode="External"/><Relationship Id="rId19" Type="http://schemas.openxmlformats.org/officeDocument/2006/relationships/hyperlink" Target="https://us3.assetplanner.com/service_request?ID=107872" TargetMode="External"/><Relationship Id="rId14" Type="http://schemas.openxmlformats.org/officeDocument/2006/relationships/hyperlink" Target="https://us3.assetplanner.com/service_request?ID=109753" TargetMode="External"/><Relationship Id="rId30" Type="http://schemas.openxmlformats.org/officeDocument/2006/relationships/hyperlink" Target="https://us3.assetplanner.com/service_request?ID=106514" TargetMode="External"/><Relationship Id="rId35" Type="http://schemas.openxmlformats.org/officeDocument/2006/relationships/hyperlink" Target="https://us3.assetplanner.com/service_request?ID=10419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4882" TargetMode="External"/><Relationship Id="rId100" Type="http://schemas.openxmlformats.org/officeDocument/2006/relationships/hyperlink" Target="https://us3.assetplanner.com/service_request?ID=104882" TargetMode="External"/><Relationship Id="rId105" Type="http://schemas.openxmlformats.org/officeDocument/2006/relationships/hyperlink" Target="https://us3.assetplanner.com/service_request?ID=102303" TargetMode="External"/><Relationship Id="rId126" Type="http://schemas.openxmlformats.org/officeDocument/2006/relationships/hyperlink" Target="https://us3.assetplanner.com/service_request?ID=109601" TargetMode="External"/><Relationship Id="rId8" Type="http://schemas.openxmlformats.org/officeDocument/2006/relationships/hyperlink" Target="https://us3.assetplanner.com/service_request?ID=101245" TargetMode="External"/><Relationship Id="rId51" Type="http://schemas.openxmlformats.org/officeDocument/2006/relationships/hyperlink" Target="https://us3.assetplanner.com/service_request?ID=101034" TargetMode="External"/><Relationship Id="rId72" Type="http://schemas.openxmlformats.org/officeDocument/2006/relationships/hyperlink" Target="https://us3.assetplanner.com/service_request?ID=105908" TargetMode="External"/><Relationship Id="rId93" Type="http://schemas.openxmlformats.org/officeDocument/2006/relationships/hyperlink" Target="https://us3.assetplanner.com/service_request?ID=101986" TargetMode="External"/><Relationship Id="rId98" Type="http://schemas.openxmlformats.org/officeDocument/2006/relationships/hyperlink" Target="https://us3.assetplanner.com/service_request?ID=103636" TargetMode="External"/><Relationship Id="rId121" Type="http://schemas.openxmlformats.org/officeDocument/2006/relationships/hyperlink" Target="https://us3.assetplanner.com/service_request?ID=102423" TargetMode="External"/><Relationship Id="rId3" Type="http://schemas.openxmlformats.org/officeDocument/2006/relationships/hyperlink" Target="https://us3.assetplanner.com/service_request?ID=105924" TargetMode="External"/><Relationship Id="rId25" Type="http://schemas.openxmlformats.org/officeDocument/2006/relationships/hyperlink" Target="https://us3.assetplanner.com/service_request?ID=108881" TargetMode="External"/><Relationship Id="rId46" Type="http://schemas.openxmlformats.org/officeDocument/2006/relationships/hyperlink" Target="https://us3.assetplanner.com/service_request?ID=106082" TargetMode="External"/><Relationship Id="rId67" Type="http://schemas.openxmlformats.org/officeDocument/2006/relationships/hyperlink" Target="https://us3.assetplanner.com/service_request?ID=102283" TargetMode="External"/><Relationship Id="rId116" Type="http://schemas.openxmlformats.org/officeDocument/2006/relationships/hyperlink" Target="https://us3.assetplanner.com/service_request?ID=102425" TargetMode="External"/><Relationship Id="rId137" Type="http://schemas.openxmlformats.org/officeDocument/2006/relationships/hyperlink" Target="https://us3.assetplanner.com/service_request?ID=104776" TargetMode="External"/><Relationship Id="rId20" Type="http://schemas.openxmlformats.org/officeDocument/2006/relationships/hyperlink" Target="https://us3.assetplanner.com/service_request?ID=109812" TargetMode="External"/><Relationship Id="rId41" Type="http://schemas.openxmlformats.org/officeDocument/2006/relationships/hyperlink" Target="https://us3.assetplanner.com/service_request?ID=108496" TargetMode="External"/><Relationship Id="rId62" Type="http://schemas.openxmlformats.org/officeDocument/2006/relationships/hyperlink" Target="https://us3.assetplanner.com/service_request?ID=106435" TargetMode="External"/><Relationship Id="rId83" Type="http://schemas.openxmlformats.org/officeDocument/2006/relationships/hyperlink" Target="https://us3.assetplanner.com/service_request?ID=109597" TargetMode="External"/><Relationship Id="rId88" Type="http://schemas.openxmlformats.org/officeDocument/2006/relationships/hyperlink" Target="https://us3.assetplanner.com/service_request?ID=102886" TargetMode="External"/><Relationship Id="rId111" Type="http://schemas.openxmlformats.org/officeDocument/2006/relationships/hyperlink" Target="https://us3.assetplanner.com/service_request?ID=104289" TargetMode="External"/><Relationship Id="rId132" Type="http://schemas.openxmlformats.org/officeDocument/2006/relationships/hyperlink" Target="https://us3.assetplanner.com/service_request?ID=108282" TargetMode="External"/><Relationship Id="rId15" Type="http://schemas.openxmlformats.org/officeDocument/2006/relationships/hyperlink" Target="https://us3.assetplanner.com/service_request?ID=109179" TargetMode="External"/><Relationship Id="rId36" Type="http://schemas.openxmlformats.org/officeDocument/2006/relationships/hyperlink" Target="https://us3.assetplanner.com/service_request?ID=102794"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2411" TargetMode="External"/><Relationship Id="rId127" Type="http://schemas.openxmlformats.org/officeDocument/2006/relationships/hyperlink" Target="https://us3.assetplanner.com/service_request?ID=10960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6483" TargetMode="External"/><Relationship Id="rId52" Type="http://schemas.openxmlformats.org/officeDocument/2006/relationships/hyperlink" Target="https://us3.assetplanner.com/service_request?ID=103779" TargetMode="External"/><Relationship Id="rId73" Type="http://schemas.openxmlformats.org/officeDocument/2006/relationships/hyperlink" Target="https://us3.assetplanner.com/service_request?ID=102392" TargetMode="External"/><Relationship Id="rId78" Type="http://schemas.openxmlformats.org/officeDocument/2006/relationships/hyperlink" Target="https://us3.assetplanner.com/service_request?ID=102320" TargetMode="External"/><Relationship Id="rId94" Type="http://schemas.openxmlformats.org/officeDocument/2006/relationships/hyperlink" Target="https://us3.assetplanner.com/service_request?ID=102503" TargetMode="External"/><Relationship Id="rId99" Type="http://schemas.openxmlformats.org/officeDocument/2006/relationships/hyperlink" Target="https://us3.assetplanner.com/service_request?ID=102539" TargetMode="External"/><Relationship Id="rId101" Type="http://schemas.openxmlformats.org/officeDocument/2006/relationships/hyperlink" Target="https://us3.assetplanner.com/service_request?ID=102329" TargetMode="External"/><Relationship Id="rId122" Type="http://schemas.openxmlformats.org/officeDocument/2006/relationships/hyperlink" Target="https://us3.assetplanner.com/service_request?ID=108298"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26" Type="http://schemas.openxmlformats.org/officeDocument/2006/relationships/hyperlink" Target="https://us3.assetplanner.com/service_request?ID=107579" TargetMode="External"/><Relationship Id="rId47" Type="http://schemas.openxmlformats.org/officeDocument/2006/relationships/hyperlink" Target="https://us3.assetplanner.com/service_request?ID=100857" TargetMode="External"/><Relationship Id="rId68" Type="http://schemas.openxmlformats.org/officeDocument/2006/relationships/hyperlink" Target="https://us3.assetplanner.com/service_request?ID=108846" TargetMode="External"/><Relationship Id="rId89" Type="http://schemas.openxmlformats.org/officeDocument/2006/relationships/hyperlink" Target="https://us3.assetplanner.com/service_request?ID=107512" TargetMode="External"/><Relationship Id="rId112" Type="http://schemas.openxmlformats.org/officeDocument/2006/relationships/hyperlink" Target="https://us3.assetplanner.com/service_request?ID=102450" TargetMode="External"/><Relationship Id="rId133" Type="http://schemas.openxmlformats.org/officeDocument/2006/relationships/hyperlink" Target="https://us3.assetplanner.com/service_request?ID=103868"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47" activePane="bottomRight" state="frozen"/>
      <selection pane="bottomRight" activeCell="P54" sqref="P5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8" t="str" cm="1">
        <f t="array" ref="A1">portfolio</f>
        <v>Clean Capital</v>
      </c>
      <c r="B1" s="118"/>
      <c r="C1" s="118"/>
      <c r="D1" s="119" t="s">
        <v>0</v>
      </c>
      <c r="E1" s="119"/>
      <c r="F1" s="119"/>
      <c r="G1" s="117" t="s">
        <v>1</v>
      </c>
      <c r="H1" s="117"/>
      <c r="I1" s="117"/>
    </row>
    <row r="2" spans="1:9" ht="19.5" customHeight="1">
      <c r="A2" s="120" t="s">
        <v>2</v>
      </c>
      <c r="B2" s="120"/>
      <c r="C2" s="5">
        <f>SUM(C4:C171)</f>
        <v>31448036.577696037</v>
      </c>
      <c r="D2" s="5">
        <f>SUM(D4:D171)</f>
        <v>18177217.730374157</v>
      </c>
      <c r="E2" s="5">
        <f>C2-D2</f>
        <v>13270818.847321879</v>
      </c>
      <c r="F2" s="6">
        <f>IFERROR(E2/D2, 0)</f>
        <v>0.73007976491068383</v>
      </c>
      <c r="G2" s="5">
        <f>SUM(G4:G171)</f>
        <v>35397737.214000002</v>
      </c>
      <c r="H2" s="7">
        <f>C2-G2</f>
        <v>-3949700.636303965</v>
      </c>
      <c r="I2" s="6">
        <f>IFERROR(H2/G2, 0)</f>
        <v>-0.11158059659084187</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278107.88799999998</v>
      </c>
      <c r="D4" s="29">
        <f>SUM('1st Qtr'!D4, '2nd Qtr'!D4, '3rd Qtr'!D4, '4th Qtr'!D4)</f>
        <v>0</v>
      </c>
      <c r="E4" s="29">
        <f>IF(AND(ISNUMBER(C4),ISNUMBER(D4)), C4-D4, "")</f>
        <v>278107.88799999998</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228624.1</v>
      </c>
      <c r="D5" s="35">
        <f>SUM('1st Qtr'!D5, '2nd Qtr'!D5, '3rd Qtr'!D5, '4th Qtr'!D5)</f>
        <v>0</v>
      </c>
      <c r="E5" s="36">
        <f t="shared" ref="E5:E6" si="0">IF(AND(ISNUMBER(C5),ISNUMBER(D5)), C5-D5, "")</f>
        <v>228624.1</v>
      </c>
      <c r="F5" s="37" t="str">
        <f>IFERROR(E5/D5, "")</f>
        <v/>
      </c>
      <c r="G5" s="38">
        <f>SUM('1st Qtr'!G5, '2nd Qtr'!G5, '3rd Qtr'!G5, '4th Qtr'!G5)</f>
        <v>408267.6</v>
      </c>
      <c r="H5" s="38">
        <f>SUM('1st Qtr'!H5, '2nd Qtr'!H5, '3rd Qtr'!H5, '4th Qtr'!H5)</f>
        <v>-179643.5</v>
      </c>
      <c r="I5" s="37">
        <f>IFERROR(H5/G5, "")</f>
        <v>-0.4400140985961169</v>
      </c>
    </row>
    <row r="6" spans="1:9" ht="15.6">
      <c r="A6" s="26" t="str">
        <v>Hyannis - Sturgis Charter School</v>
      </c>
      <c r="B6" s="27" t="str">
        <v>MA</v>
      </c>
      <c r="C6" s="28">
        <f>SUM('1st Qtr'!C6, '2nd Qtr'!C6, '3rd Qtr'!C6, '4th Qtr'!C6)</f>
        <v>288864.6445215625</v>
      </c>
      <c r="D6" s="29">
        <f>SUM('1st Qtr'!D6, '2nd Qtr'!D6, '3rd Qtr'!D6, '4th Qtr'!D6)</f>
        <v>0</v>
      </c>
      <c r="E6" s="29">
        <f t="shared" si="0"/>
        <v>288864.6445215625</v>
      </c>
      <c r="F6" s="30" t="str">
        <f t="shared" ref="F6:F69" si="1">IFERROR(E6/D6, "")</f>
        <v/>
      </c>
      <c r="G6" s="31">
        <f>SUM('1st Qtr'!G6, '2nd Qtr'!G6, '3rd Qtr'!G6, '4th Qtr'!G6)</f>
        <v>274319.08</v>
      </c>
      <c r="H6" s="31">
        <f>SUM('1st Qtr'!H6, '2nd Qtr'!H6, '3rd Qtr'!H6, '4th Qtr'!H6)</f>
        <v>14545.564521562483</v>
      </c>
      <c r="I6" s="32">
        <f t="shared" ref="I6:I69" si="2">IFERROR(H6/G6, "")</f>
        <v>5.3024253805322191E-2</v>
      </c>
    </row>
    <row r="7" spans="1:9" ht="15.6">
      <c r="A7" s="33" t="str">
        <v>South Dennis - Tony Kent Arena</v>
      </c>
      <c r="B7" s="34" t="str">
        <v>MA</v>
      </c>
      <c r="C7" s="35">
        <f>SUM('1st Qtr'!C7, '2nd Qtr'!C7, '3rd Qtr'!C7, '4th Qtr'!C7)</f>
        <v>325217.18</v>
      </c>
      <c r="D7" s="35">
        <f>SUM('1st Qtr'!D7, '2nd Qtr'!D7, '3rd Qtr'!D7, '4th Qtr'!D7)</f>
        <v>0</v>
      </c>
      <c r="E7" s="36">
        <f t="shared" ref="E7:E70" si="3">IF(AND(ISNUMBER(C7),ISNUMBER(D7)), C7-D7, "")</f>
        <v>325217.18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416062.30000000005</v>
      </c>
      <c r="D8" s="29">
        <f>SUM('1st Qtr'!D8, '2nd Qtr'!D8, '3rd Qtr'!D8, '4th Qtr'!D8)</f>
        <v>0</v>
      </c>
      <c r="E8" s="29">
        <f t="shared" si="3"/>
        <v>416062.30000000005</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1328939.0959785711</v>
      </c>
      <c r="D9" s="35">
        <f>SUM('1st Qtr'!D9, '2nd Qtr'!D9, '3rd Qtr'!D9, '4th Qtr'!D9)</f>
        <v>0</v>
      </c>
      <c r="E9" s="36">
        <f t="shared" si="3"/>
        <v>1328939.0959785711</v>
      </c>
      <c r="F9" s="37" t="str">
        <f t="shared" si="1"/>
        <v/>
      </c>
      <c r="G9" s="38">
        <f>SUM('1st Qtr'!G9, '2nd Qtr'!G9, '3rd Qtr'!G9, '4th Qtr'!G9)</f>
        <v>1455149.5999999999</v>
      </c>
      <c r="H9" s="38">
        <f>SUM('1st Qtr'!H9, '2nd Qtr'!H9, '3rd Qtr'!H9, '4th Qtr'!H9)</f>
        <v>-126210.50402142902</v>
      </c>
      <c r="I9" s="37">
        <f t="shared" si="2"/>
        <v>-8.6733696673818986E-2</v>
      </c>
    </row>
    <row r="10" spans="1:9" ht="15.6">
      <c r="A10" s="26" t="str">
        <v>Zumbrota - Eastlake Brenda Luhman</v>
      </c>
      <c r="B10" s="27" t="str">
        <v>MN</v>
      </c>
      <c r="C10" s="28">
        <f>SUM('1st Qtr'!C10, '2nd Qtr'!C10, '3rd Qtr'!C10, '4th Qtr'!C10)</f>
        <v>1455643.1269</v>
      </c>
      <c r="D10" s="29">
        <f>SUM('1st Qtr'!D10, '2nd Qtr'!D10, '3rd Qtr'!D10, '4th Qtr'!D10)</f>
        <v>0</v>
      </c>
      <c r="E10" s="29">
        <f t="shared" si="3"/>
        <v>1455643.1269</v>
      </c>
      <c r="F10" s="30" t="str">
        <f t="shared" si="1"/>
        <v/>
      </c>
      <c r="G10" s="31">
        <f>SUM('1st Qtr'!G10, '2nd Qtr'!G10, '3rd Qtr'!G10, '4th Qtr'!G10)</f>
        <v>1425381.8</v>
      </c>
      <c r="H10" s="31">
        <f>SUM('1st Qtr'!H10, '2nd Qtr'!H10, '3rd Qtr'!H10, '4th Qtr'!H10)</f>
        <v>30261.326900000015</v>
      </c>
      <c r="I10" s="32">
        <f t="shared" si="2"/>
        <v>2.1230330638429658E-2</v>
      </c>
    </row>
    <row r="11" spans="1:9" ht="15.6">
      <c r="A11" s="33" t="str">
        <v>Cokato - Eastlake Carlson</v>
      </c>
      <c r="B11" s="34" t="str">
        <v>MN</v>
      </c>
      <c r="C11" s="35">
        <f>SUM('1st Qtr'!C11, '2nd Qtr'!C11, '3rd Qtr'!C11, '4th Qtr'!C11)</f>
        <v>1312942.4842000001</v>
      </c>
      <c r="D11" s="35">
        <f>SUM('1st Qtr'!D11, '2nd Qtr'!D11, '3rd Qtr'!D11, '4th Qtr'!D11)</f>
        <v>0</v>
      </c>
      <c r="E11" s="36">
        <f t="shared" si="3"/>
        <v>1312942.4842000001</v>
      </c>
      <c r="F11" s="37" t="str">
        <f t="shared" si="1"/>
        <v/>
      </c>
      <c r="G11" s="38">
        <f>SUM('1st Qtr'!G11, '2nd Qtr'!G11, '3rd Qtr'!G11, '4th Qtr'!G11)</f>
        <v>1541905.1</v>
      </c>
      <c r="H11" s="38">
        <f>SUM('1st Qtr'!H11, '2nd Qtr'!H11, '3rd Qtr'!H11, '4th Qtr'!H11)</f>
        <v>-228962.6158</v>
      </c>
      <c r="I11" s="37">
        <f t="shared" si="2"/>
        <v>-0.14849332543228502</v>
      </c>
    </row>
    <row r="12" spans="1:9" ht="15.6">
      <c r="A12" s="26" t="str">
        <v>North Branch - Cornille 2</v>
      </c>
      <c r="B12" s="27" t="str">
        <v>MN</v>
      </c>
      <c r="C12" s="28">
        <f>SUM('1st Qtr'!C12, '2nd Qtr'!C12, '3rd Qtr'!C12, '4th Qtr'!C12)</f>
        <v>1331327</v>
      </c>
      <c r="D12" s="29">
        <f>SUM('1st Qtr'!D12, '2nd Qtr'!D12, '3rd Qtr'!D12, '4th Qtr'!D12)</f>
        <v>0</v>
      </c>
      <c r="E12" s="29">
        <f t="shared" si="3"/>
        <v>1331327</v>
      </c>
      <c r="F12" s="30" t="str">
        <f t="shared" si="1"/>
        <v/>
      </c>
      <c r="G12" s="31">
        <f>SUM('1st Qtr'!G12, '2nd Qtr'!G12, '3rd Qtr'!G12, '4th Qtr'!G12)</f>
        <v>1465703.4000000001</v>
      </c>
      <c r="H12" s="31">
        <f>SUM('1st Qtr'!H12, '2nd Qtr'!H12, '3rd Qtr'!H12, '4th Qtr'!H12)</f>
        <v>-134376.4</v>
      </c>
      <c r="I12" s="32">
        <f t="shared" si="2"/>
        <v>-9.168048597008098E-2</v>
      </c>
    </row>
    <row r="13" spans="1:9" ht="15.6">
      <c r="A13" s="33" t="str">
        <v>Clear Lake - Eastlake Hammer</v>
      </c>
      <c r="B13" s="34" t="str">
        <v>MN</v>
      </c>
      <c r="C13" s="35">
        <f>SUM('1st Qtr'!C13, '2nd Qtr'!C13, '3rd Qtr'!C13, '4th Qtr'!C13)</f>
        <v>1595515.9999999991</v>
      </c>
      <c r="D13" s="35">
        <f>SUM('1st Qtr'!D13, '2nd Qtr'!D13, '3rd Qtr'!D13, '4th Qtr'!D13)</f>
        <v>0</v>
      </c>
      <c r="E13" s="36">
        <f t="shared" si="3"/>
        <v>1595515.9999999991</v>
      </c>
      <c r="F13" s="37" t="str">
        <f t="shared" si="1"/>
        <v/>
      </c>
      <c r="G13" s="38">
        <f>SUM('1st Qtr'!G13, '2nd Qtr'!G13, '3rd Qtr'!G13, '4th Qtr'!G13)</f>
        <v>1742961.4000000004</v>
      </c>
      <c r="H13" s="38">
        <f>SUM('1st Qtr'!H13, '2nd Qtr'!H13, '3rd Qtr'!H13, '4th Qtr'!H13)</f>
        <v>-147445.40000000101</v>
      </c>
      <c r="I13" s="37">
        <f t="shared" si="2"/>
        <v>-8.4594759241369874E-2</v>
      </c>
    </row>
    <row r="14" spans="1:9" ht="15.6">
      <c r="A14" s="26" t="str">
        <v>Eastlake - Hertzberg CSG 1</v>
      </c>
      <c r="B14" s="27" t="str">
        <v>MN</v>
      </c>
      <c r="C14" s="28">
        <f>SUM('1st Qtr'!C14, '2nd Qtr'!C14, '3rd Qtr'!C14, '4th Qtr'!C14)</f>
        <v>1471541.9997261721</v>
      </c>
      <c r="D14" s="29">
        <f>SUM('1st Qtr'!D14, '2nd Qtr'!D14, '3rd Qtr'!D14, '4th Qtr'!D14)</f>
        <v>0</v>
      </c>
      <c r="E14" s="29">
        <f t="shared" si="3"/>
        <v>1471541.9997261721</v>
      </c>
      <c r="F14" s="30" t="str">
        <f t="shared" si="1"/>
        <v/>
      </c>
      <c r="G14" s="31">
        <f>SUM('1st Qtr'!G14, '2nd Qtr'!G14, '3rd Qtr'!G14, '4th Qtr'!G14)</f>
        <v>1751801.9209999999</v>
      </c>
      <c r="H14" s="31">
        <f>SUM('1st Qtr'!H14, '2nd Qtr'!H14, '3rd Qtr'!H14, '4th Qtr'!H14)</f>
        <v>-280259.92127382802</v>
      </c>
      <c r="I14" s="32">
        <f t="shared" si="2"/>
        <v>-0.15998379606402319</v>
      </c>
    </row>
    <row r="15" spans="1:9" ht="15.6">
      <c r="A15" s="33" t="str">
        <v>Cokato - Eastlake Laurel Village</v>
      </c>
      <c r="B15" s="34" t="str">
        <v>MN</v>
      </c>
      <c r="C15" s="35">
        <f>SUM('1st Qtr'!C15, '2nd Qtr'!C15, '3rd Qtr'!C15, '4th Qtr'!C15)</f>
        <v>1605992.3139</v>
      </c>
      <c r="D15" s="35">
        <f>SUM('1st Qtr'!D15, '2nd Qtr'!D15, '3rd Qtr'!D15, '4th Qtr'!D15)</f>
        <v>0</v>
      </c>
      <c r="E15" s="36">
        <f t="shared" si="3"/>
        <v>1605992.3139</v>
      </c>
      <c r="F15" s="37" t="str">
        <f t="shared" si="1"/>
        <v/>
      </c>
      <c r="G15" s="38">
        <f>SUM('1st Qtr'!G15, '2nd Qtr'!G15, '3rd Qtr'!G15, '4th Qtr'!G15)</f>
        <v>1763060.2999999998</v>
      </c>
      <c r="H15" s="38">
        <f>SUM('1st Qtr'!H15, '2nd Qtr'!H15, '3rd Qtr'!H15, '4th Qtr'!H15)</f>
        <v>-157067.98609999998</v>
      </c>
      <c r="I15" s="37">
        <f t="shared" si="2"/>
        <v>-8.9088266635009586E-2</v>
      </c>
    </row>
    <row r="16" spans="1:9" ht="15.6">
      <c r="A16" s="26" t="str">
        <v>St. Peter - Eastlake Paulson</v>
      </c>
      <c r="B16" s="27" t="str">
        <v>MN</v>
      </c>
      <c r="C16" s="28">
        <f>SUM('1st Qtr'!C16, '2nd Qtr'!C16, '3rd Qtr'!C16, '4th Qtr'!C16)</f>
        <v>1413701.460928573</v>
      </c>
      <c r="D16" s="29">
        <f>SUM('1st Qtr'!D16, '2nd Qtr'!D16, '3rd Qtr'!D16, '4th Qtr'!D16)</f>
        <v>0</v>
      </c>
      <c r="E16" s="29">
        <f t="shared" si="3"/>
        <v>1413701.460928573</v>
      </c>
      <c r="F16" s="30" t="str">
        <f t="shared" si="1"/>
        <v/>
      </c>
      <c r="G16" s="31">
        <f>SUM('1st Qtr'!G16, '2nd Qtr'!G16, '3rd Qtr'!G16, '4th Qtr'!G16)</f>
        <v>1539248.4000000001</v>
      </c>
      <c r="H16" s="31">
        <f>SUM('1st Qtr'!H16, '2nd Qtr'!H16, '3rd Qtr'!H16, '4th Qtr'!H16)</f>
        <v>-125546.939071427</v>
      </c>
      <c r="I16" s="32">
        <f t="shared" si="2"/>
        <v>-8.156379377846161E-2</v>
      </c>
    </row>
    <row r="17" spans="1:9" ht="15.6">
      <c r="A17" s="33" t="str">
        <v>Felician Sisters Convent</v>
      </c>
      <c r="B17" s="34" t="str">
        <v>NJ</v>
      </c>
      <c r="C17" s="35">
        <f>SUM('1st Qtr'!C17, '2nd Qtr'!C17, '3rd Qtr'!C17, '4th Qtr'!C17)</f>
        <v>110856.09999999999</v>
      </c>
      <c r="D17" s="35">
        <f>SUM('1st Qtr'!D17, '2nd Qtr'!D17, '3rd Qtr'!D17, '4th Qtr'!D17)</f>
        <v>0</v>
      </c>
      <c r="E17" s="36">
        <f t="shared" si="3"/>
        <v>110856.09999999999</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383647.18</v>
      </c>
      <c r="D18" s="29">
        <f>SUM('1st Qtr'!D18, '2nd Qtr'!D18, '3rd Qtr'!D18, '4th Qtr'!D18)</f>
        <v>0</v>
      </c>
      <c r="E18" s="29">
        <f t="shared" si="3"/>
        <v>383647.18</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219815</v>
      </c>
      <c r="D19" s="35">
        <f>SUM('1st Qtr'!D19, '2nd Qtr'!D19, '3rd Qtr'!D19, '4th Qtr'!D19)</f>
        <v>0</v>
      </c>
      <c r="E19" s="36">
        <f t="shared" si="3"/>
        <v>219815</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326785</v>
      </c>
      <c r="D20" s="29">
        <f>SUM('1st Qtr'!D20, '2nd Qtr'!D20, '3rd Qtr'!D20, '4th Qtr'!D20)</f>
        <v>0</v>
      </c>
      <c r="E20" s="29">
        <f t="shared" si="3"/>
        <v>326785</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24176.799999999999</v>
      </c>
      <c r="D21" s="35">
        <f>SUM('1st Qtr'!D21, '2nd Qtr'!D21, '3rd Qtr'!D21, '4th Qtr'!D21)</f>
        <v>0</v>
      </c>
      <c r="E21" s="36">
        <f t="shared" si="3"/>
        <v>24176.799999999999</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120632</v>
      </c>
      <c r="D22" s="29">
        <f>SUM('1st Qtr'!D22, '2nd Qtr'!D22, '3rd Qtr'!D22, '4th Qtr'!D22)</f>
        <v>0</v>
      </c>
      <c r="E22" s="29">
        <f t="shared" si="3"/>
        <v>120632</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76971.750000000015</v>
      </c>
      <c r="D23" s="35">
        <f>SUM('1st Qtr'!D23, '2nd Qtr'!D23, '3rd Qtr'!D23, '4th Qtr'!D23)</f>
        <v>0</v>
      </c>
      <c r="E23" s="36">
        <f t="shared" si="3"/>
        <v>76971.750000000015</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79713.575000000012</v>
      </c>
      <c r="D24" s="29">
        <f>SUM('1st Qtr'!D24, '2nd Qtr'!D24, '3rd Qtr'!D24, '4th Qtr'!D24)</f>
        <v>0</v>
      </c>
      <c r="E24" s="29">
        <f t="shared" si="3"/>
        <v>79713.575000000012</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799855.73499999999</v>
      </c>
      <c r="D25" s="35">
        <f>SUM('1st Qtr'!D25, '2nd Qtr'!D25, '3rd Qtr'!D25, '4th Qtr'!D25)</f>
        <v>64379.8</v>
      </c>
      <c r="E25" s="36">
        <f t="shared" si="3"/>
        <v>735475.93499999994</v>
      </c>
      <c r="F25" s="37">
        <f t="shared" si="1"/>
        <v>11.424017082998082</v>
      </c>
      <c r="G25" s="38">
        <f>SUM('1st Qtr'!G25, '2nd Qtr'!G25, '3rd Qtr'!G25, '4th Qtr'!G25)</f>
        <v>2189579.9000000004</v>
      </c>
      <c r="H25" s="38">
        <f>SUM('1st Qtr'!H25, '2nd Qtr'!H25, '3rd Qtr'!H25, '4th Qtr'!H25)</f>
        <v>-1389724.165</v>
      </c>
      <c r="I25" s="37">
        <f t="shared" si="2"/>
        <v>-0.63469899636912075</v>
      </c>
    </row>
    <row r="26" spans="1:9" ht="15.6">
      <c r="A26" s="26" t="str">
        <v>Taos County - Kit Carson Electric Co-Op</v>
      </c>
      <c r="B26" s="27" t="str">
        <v>NM</v>
      </c>
      <c r="C26" s="28">
        <f>SUM('1st Qtr'!C26, '2nd Qtr'!C26, '3rd Qtr'!C26, '4th Qtr'!C26)</f>
        <v>1512240</v>
      </c>
      <c r="D26" s="29">
        <f>SUM('1st Qtr'!D26, '2nd Qtr'!D26, '3rd Qtr'!D26, '4th Qtr'!D26)</f>
        <v>1315404.2</v>
      </c>
      <c r="E26" s="29">
        <f t="shared" si="3"/>
        <v>196835.80000000005</v>
      </c>
      <c r="F26" s="30">
        <f t="shared" si="1"/>
        <v>0.14963902350319397</v>
      </c>
      <c r="G26" s="31">
        <f>SUM('1st Qtr'!G26, '2nd Qtr'!G26, '3rd Qtr'!G26, '4th Qtr'!G26)</f>
        <v>1162183.8999999999</v>
      </c>
      <c r="H26" s="31">
        <f>SUM('1st Qtr'!H26, '2nd Qtr'!H26, '3rd Qtr'!H26, '4th Qtr'!H26)</f>
        <v>350056.1</v>
      </c>
      <c r="I26" s="32">
        <f t="shared" si="2"/>
        <v>0.30120542884822271</v>
      </c>
    </row>
    <row r="27" spans="1:9" ht="15.6">
      <c r="A27" s="33" t="str">
        <v>Commerce City - Adams City HS</v>
      </c>
      <c r="B27" s="34" t="str">
        <v>CO</v>
      </c>
      <c r="C27" s="35">
        <f>SUM('1st Qtr'!C27, '2nd Qtr'!C27, '3rd Qtr'!C27, '4th Qtr'!C27)</f>
        <v>89978</v>
      </c>
      <c r="D27" s="35">
        <f>SUM('1st Qtr'!D27, '2nd Qtr'!D27, '3rd Qtr'!D27, '4th Qtr'!D27)</f>
        <v>74384.342999999993</v>
      </c>
      <c r="E27" s="36">
        <f t="shared" si="3"/>
        <v>15593.657000000007</v>
      </c>
      <c r="F27" s="37">
        <f t="shared" si="1"/>
        <v>0.20963628058125092</v>
      </c>
      <c r="G27" s="38">
        <f>SUM('1st Qtr'!G27, '2nd Qtr'!G27, '3rd Qtr'!G27, '4th Qtr'!G27)</f>
        <v>81993.060000000012</v>
      </c>
      <c r="H27" s="38">
        <f>SUM('1st Qtr'!H27, '2nd Qtr'!H27, '3rd Qtr'!H27, '4th Qtr'!H27)</f>
        <v>7984.9399999999987</v>
      </c>
      <c r="I27" s="37">
        <f t="shared" si="2"/>
        <v>9.7385559216841E-2</v>
      </c>
    </row>
    <row r="28" spans="1:9" ht="15.6">
      <c r="A28" s="26" t="str">
        <v>Commerce City - Adams City MS</v>
      </c>
      <c r="B28" s="27" t="str">
        <v>CO</v>
      </c>
      <c r="C28" s="28">
        <f>SUM('1st Qtr'!C28, '2nd Qtr'!C28, '3rd Qtr'!C28, '4th Qtr'!C28)</f>
        <v>73821</v>
      </c>
      <c r="D28" s="29">
        <f>SUM('1st Qtr'!D28, '2nd Qtr'!D28, '3rd Qtr'!D28, '4th Qtr'!D28)</f>
        <v>67582.144</v>
      </c>
      <c r="E28" s="29">
        <f t="shared" si="3"/>
        <v>6238.8559999999998</v>
      </c>
      <c r="F28" s="30">
        <f t="shared" si="1"/>
        <v>9.2315153541148373E-2</v>
      </c>
      <c r="G28" s="31">
        <f>SUM('1st Qtr'!G28, '2nd Qtr'!G28, '3rd Qtr'!G28, '4th Qtr'!G28)</f>
        <v>72133.671000000002</v>
      </c>
      <c r="H28" s="31">
        <f>SUM('1st Qtr'!H28, '2nd Qtr'!H28, '3rd Qtr'!H28, '4th Qtr'!H28)</f>
        <v>1687.3289999999979</v>
      </c>
      <c r="I28" s="32">
        <f t="shared" si="2"/>
        <v>2.3391697339235625E-2</v>
      </c>
    </row>
    <row r="29" spans="1:9" ht="15.6">
      <c r="A29" s="33" t="str">
        <v>Commerce City - Central ES</v>
      </c>
      <c r="B29" s="34" t="str">
        <v>CO</v>
      </c>
      <c r="C29" s="35">
        <f>SUM('1st Qtr'!C29, '2nd Qtr'!C29, '3rd Qtr'!C29, '4th Qtr'!C29)</f>
        <v>19290.5</v>
      </c>
      <c r="D29" s="35">
        <f>SUM('1st Qtr'!D29, '2nd Qtr'!D29, '3rd Qtr'!D29, '4th Qtr'!D29)</f>
        <v>19268.762999999999</v>
      </c>
      <c r="E29" s="36">
        <f t="shared" si="3"/>
        <v>21.73700000000099</v>
      </c>
      <c r="F29" s="37">
        <f t="shared" si="1"/>
        <v>1.1280952492903147E-3</v>
      </c>
      <c r="G29" s="38">
        <f>SUM('1st Qtr'!G29, '2nd Qtr'!G29, '3rd Qtr'!G29, '4th Qtr'!G29)</f>
        <v>21034.133000000002</v>
      </c>
      <c r="H29" s="38">
        <f>SUM('1st Qtr'!H29, '2nd Qtr'!H29, '3rd Qtr'!H29, '4th Qtr'!H29)</f>
        <v>-1743.6329999999998</v>
      </c>
      <c r="I29" s="37">
        <f t="shared" si="2"/>
        <v>-8.2895406242795913E-2</v>
      </c>
    </row>
    <row r="30" spans="1:9" ht="15.6">
      <c r="A30" s="26" t="str">
        <v>Commerce City - Dupont ES</v>
      </c>
      <c r="B30" s="27" t="str">
        <v>CO</v>
      </c>
      <c r="C30" s="28">
        <f>SUM('1st Qtr'!C30, '2nd Qtr'!C30, '3rd Qtr'!C30, '4th Qtr'!C30)</f>
        <v>55125</v>
      </c>
      <c r="D30" s="29">
        <f>SUM('1st Qtr'!D30, '2nd Qtr'!D30, '3rd Qtr'!D30, '4th Qtr'!D30)</f>
        <v>54150.400999999998</v>
      </c>
      <c r="E30" s="29">
        <f t="shared" si="3"/>
        <v>974.59900000000198</v>
      </c>
      <c r="F30" s="30">
        <f t="shared" si="1"/>
        <v>1.7998001529111522E-2</v>
      </c>
      <c r="G30" s="31">
        <f>SUM('1st Qtr'!G30, '2nd Qtr'!G30, '3rd Qtr'!G30, '4th Qtr'!G30)</f>
        <v>59976.511999999995</v>
      </c>
      <c r="H30" s="31">
        <f>SUM('1st Qtr'!H30, '2nd Qtr'!H30, '3rd Qtr'!H30, '4th Qtr'!H30)</f>
        <v>-4851.5119999999997</v>
      </c>
      <c r="I30" s="32">
        <f t="shared" si="2"/>
        <v>-8.0890199149960568E-2</v>
      </c>
    </row>
    <row r="31" spans="1:9" ht="15.6">
      <c r="A31" s="33" t="str">
        <v>Commerce City - Educational Support Services</v>
      </c>
      <c r="B31" s="34" t="str">
        <v>CO</v>
      </c>
      <c r="C31" s="35">
        <f>SUM('1st Qtr'!C31, '2nd Qtr'!C31, '3rd Qtr'!C31, '4th Qtr'!C31)</f>
        <v>37977</v>
      </c>
      <c r="D31" s="35">
        <f>SUM('1st Qtr'!D31, '2nd Qtr'!D31, '3rd Qtr'!D31, '4th Qtr'!D31)</f>
        <v>56906.604999999996</v>
      </c>
      <c r="E31" s="36">
        <f t="shared" si="3"/>
        <v>-18929.604999999996</v>
      </c>
      <c r="F31" s="37">
        <f t="shared" si="1"/>
        <v>-0.33264337241696279</v>
      </c>
      <c r="G31" s="38">
        <f>SUM('1st Qtr'!G31, '2nd Qtr'!G31, '3rd Qtr'!G31, '4th Qtr'!G31)</f>
        <v>62491.369000000006</v>
      </c>
      <c r="H31" s="38">
        <f>SUM('1st Qtr'!H31, '2nd Qtr'!H31, '3rd Qtr'!H31, '4th Qtr'!H31)</f>
        <v>-24514.368999999999</v>
      </c>
      <c r="I31" s="37">
        <f t="shared" si="2"/>
        <v>-0.39228407686187827</v>
      </c>
    </row>
    <row r="32" spans="1:9" ht="15.6">
      <c r="A32" s="26" t="str">
        <v>Commerce City - Hanson ES</v>
      </c>
      <c r="B32" s="27" t="str">
        <v>CO</v>
      </c>
      <c r="C32" s="28">
        <f>SUM('1st Qtr'!C32, '2nd Qtr'!C32, '3rd Qtr'!C32, '4th Qtr'!C32)</f>
        <v>78540</v>
      </c>
      <c r="D32" s="29">
        <f>SUM('1st Qtr'!D32, '2nd Qtr'!D32, '3rd Qtr'!D32, '4th Qtr'!D32)</f>
        <v>74207.021000000008</v>
      </c>
      <c r="E32" s="29">
        <f t="shared" si="3"/>
        <v>4332.9789999999921</v>
      </c>
      <c r="F32" s="30">
        <f t="shared" si="1"/>
        <v>5.8390418340604072E-2</v>
      </c>
      <c r="G32" s="31">
        <f>SUM('1st Qtr'!G32, '2nd Qtr'!G32, '3rd Qtr'!G32, '4th Qtr'!G32)</f>
        <v>81697.38</v>
      </c>
      <c r="H32" s="31">
        <f>SUM('1st Qtr'!H32, '2nd Qtr'!H32, '3rd Qtr'!H32, '4th Qtr'!H32)</f>
        <v>-3157.380000000001</v>
      </c>
      <c r="I32" s="32">
        <f t="shared" si="2"/>
        <v>-3.8647261393205033E-2</v>
      </c>
    </row>
    <row r="33" spans="1:9" ht="15.6">
      <c r="A33" s="33" t="str">
        <v>Commerce City - Kemp ES</v>
      </c>
      <c r="B33" s="34" t="str">
        <v>CO</v>
      </c>
      <c r="C33" s="35">
        <f>SUM('1st Qtr'!C33, '2nd Qtr'!C33, '3rd Qtr'!C33, '4th Qtr'!C33)</f>
        <v>69636.322499000002</v>
      </c>
      <c r="D33" s="35">
        <f>SUM('1st Qtr'!D33, '2nd Qtr'!D33, '3rd Qtr'!D33, '4th Qtr'!D33)</f>
        <v>74169.959999999992</v>
      </c>
      <c r="E33" s="36">
        <f t="shared" si="3"/>
        <v>-4533.6375009999902</v>
      </c>
      <c r="F33" s="37">
        <f t="shared" si="1"/>
        <v>-6.1124982418758085E-2</v>
      </c>
      <c r="G33" s="38">
        <f>SUM('1st Qtr'!G33, '2nd Qtr'!G33, '3rd Qtr'!G33, '4th Qtr'!G33)</f>
        <v>81614.017000000007</v>
      </c>
      <c r="H33" s="38">
        <f>SUM('1st Qtr'!H33, '2nd Qtr'!H33, '3rd Qtr'!H33, '4th Qtr'!H33)</f>
        <v>-11977.694500999998</v>
      </c>
      <c r="I33" s="37">
        <f t="shared" si="2"/>
        <v>-0.14676026179424542</v>
      </c>
    </row>
    <row r="34" spans="1:9" ht="15.6">
      <c r="A34" s="26" t="str">
        <v>Commerce City -  Lester Arnold HS</v>
      </c>
      <c r="B34" s="27" t="str">
        <v>CO</v>
      </c>
      <c r="C34" s="28">
        <f>SUM('1st Qtr'!C34, '2nd Qtr'!C34, '3rd Qtr'!C34, '4th Qtr'!C34)</f>
        <v>47383.998354481999</v>
      </c>
      <c r="D34" s="29">
        <f>SUM('1st Qtr'!D34, '2nd Qtr'!D34, '3rd Qtr'!D34, '4th Qtr'!D34)</f>
        <v>71701.516999999993</v>
      </c>
      <c r="E34" s="29">
        <f t="shared" si="3"/>
        <v>-24317.518645517994</v>
      </c>
      <c r="F34" s="30">
        <f t="shared" si="1"/>
        <v>-0.33914929087927104</v>
      </c>
      <c r="G34" s="31">
        <f>SUM('1st Qtr'!G34, '2nd Qtr'!G34, '3rd Qtr'!G34, '4th Qtr'!G34)</f>
        <v>79284.667000000016</v>
      </c>
      <c r="H34" s="31">
        <f>SUM('1st Qtr'!H34, '2nd Qtr'!H34, '3rd Qtr'!H34, '4th Qtr'!H34)</f>
        <v>-31900.668645517999</v>
      </c>
      <c r="I34" s="32">
        <f t="shared" si="2"/>
        <v>-0.4023560904344593</v>
      </c>
    </row>
    <row r="35" spans="1:9" ht="15.6">
      <c r="A35" s="33" t="str">
        <v>Commerce City - Monaco ES</v>
      </c>
      <c r="B35" s="34" t="str">
        <v>CO</v>
      </c>
      <c r="C35" s="35">
        <f>SUM('1st Qtr'!C35, '2nd Qtr'!C35, '3rd Qtr'!C35, '4th Qtr'!C35)</f>
        <v>71903</v>
      </c>
      <c r="D35" s="35">
        <f>SUM('1st Qtr'!D35, '2nd Qtr'!D35, '3rd Qtr'!D35, '4th Qtr'!D35)</f>
        <v>74210.372999999992</v>
      </c>
      <c r="E35" s="36">
        <f t="shared" si="3"/>
        <v>-2307.3729999999923</v>
      </c>
      <c r="F35" s="37">
        <f t="shared" si="1"/>
        <v>-3.109232451910722E-2</v>
      </c>
      <c r="G35" s="38">
        <f>SUM('1st Qtr'!G35, '2nd Qtr'!G35, '3rd Qtr'!G35, '4th Qtr'!G35)</f>
        <v>81697.38</v>
      </c>
      <c r="H35" s="38">
        <f>SUM('1st Qtr'!H35, '2nd Qtr'!H35, '3rd Qtr'!H35, '4th Qtr'!H35)</f>
        <v>-9794.380000000001</v>
      </c>
      <c r="I35" s="37">
        <f t="shared" si="2"/>
        <v>-0.11988609671448461</v>
      </c>
    </row>
    <row r="36" spans="1:9" ht="15.6">
      <c r="A36" s="26" t="str">
        <v>Denver - Northgate / Old Fort Logan ES</v>
      </c>
      <c r="B36" s="27" t="str">
        <v>CO</v>
      </c>
      <c r="C36" s="28">
        <f>SUM('1st Qtr'!C36, '2nd Qtr'!C36, '3rd Qtr'!C36, '4th Qtr'!C36)</f>
        <v>73484</v>
      </c>
      <c r="D36" s="29">
        <f>SUM('1st Qtr'!D36, '2nd Qtr'!D36, '3rd Qtr'!D36, '4th Qtr'!D36)</f>
        <v>64406.542999999998</v>
      </c>
      <c r="E36" s="29">
        <f t="shared" si="3"/>
        <v>9077.4570000000022</v>
      </c>
      <c r="F36" s="30">
        <f t="shared" si="1"/>
        <v>0.14093998182762274</v>
      </c>
      <c r="G36" s="31">
        <f>SUM('1st Qtr'!G36, '2nd Qtr'!G36, '3rd Qtr'!G36, '4th Qtr'!G36)</f>
        <v>75958.873000000007</v>
      </c>
      <c r="H36" s="31">
        <f>SUM('1st Qtr'!H36, '2nd Qtr'!H36, '3rd Qtr'!H36, '4th Qtr'!H36)</f>
        <v>-2474.8730000000014</v>
      </c>
      <c r="I36" s="32">
        <f t="shared" si="2"/>
        <v>-3.258174986350839E-2</v>
      </c>
    </row>
    <row r="37" spans="1:9" ht="15.6">
      <c r="A37" s="33" t="str">
        <v>Denver - Sheridan High School</v>
      </c>
      <c r="B37" s="34" t="str">
        <v>CO</v>
      </c>
      <c r="C37" s="35">
        <f>SUM('1st Qtr'!C37, '2nd Qtr'!C37, '3rd Qtr'!C37, '4th Qtr'!C37)</f>
        <v>84917</v>
      </c>
      <c r="D37" s="35">
        <f>SUM('1st Qtr'!D37, '2nd Qtr'!D37, '3rd Qtr'!D37, '4th Qtr'!D37)</f>
        <v>74336.376000000004</v>
      </c>
      <c r="E37" s="36">
        <f t="shared" si="3"/>
        <v>10580.623999999996</v>
      </c>
      <c r="F37" s="37">
        <f t="shared" si="1"/>
        <v>0.14233440704723077</v>
      </c>
      <c r="G37" s="38">
        <f>SUM('1st Qtr'!G37, '2nd Qtr'!G37, '3rd Qtr'!G37, '4th Qtr'!G37)</f>
        <v>76871.361999999994</v>
      </c>
      <c r="H37" s="38">
        <f>SUM('1st Qtr'!H37, '2nd Qtr'!H37, '3rd Qtr'!H37, '4th Qtr'!H37)</f>
        <v>8045.6380000000008</v>
      </c>
      <c r="I37" s="37">
        <f t="shared" si="2"/>
        <v>0.10466365874979555</v>
      </c>
    </row>
    <row r="38" spans="1:9" ht="15.6">
      <c r="A38" s="26" t="str">
        <v>Englewood -  Alice Terry Elementary</v>
      </c>
      <c r="B38" s="27" t="str">
        <v>CO</v>
      </c>
      <c r="C38" s="28">
        <f>SUM('1st Qtr'!C38, '2nd Qtr'!C38, '3rd Qtr'!C38, '4th Qtr'!C38)</f>
        <v>81440</v>
      </c>
      <c r="D38" s="29">
        <f>SUM('1st Qtr'!D38, '2nd Qtr'!D38, '3rd Qtr'!D38, '4th Qtr'!D38)</f>
        <v>74338.562999999995</v>
      </c>
      <c r="E38" s="29">
        <f t="shared" si="3"/>
        <v>7101.4370000000054</v>
      </c>
      <c r="F38" s="30">
        <f t="shared" si="1"/>
        <v>9.5528306082537623E-2</v>
      </c>
      <c r="G38" s="31">
        <f>SUM('1st Qtr'!G38, '2nd Qtr'!G38, '3rd Qtr'!G38, '4th Qtr'!G38)</f>
        <v>77196.875</v>
      </c>
      <c r="H38" s="31">
        <f>SUM('1st Qtr'!H38, '2nd Qtr'!H38, '3rd Qtr'!H38, '4th Qtr'!H38)</f>
        <v>4243.125</v>
      </c>
      <c r="I38" s="32">
        <f t="shared" si="2"/>
        <v>5.4964984010039269E-2</v>
      </c>
    </row>
    <row r="39" spans="1:9" ht="15.6">
      <c r="A39" s="33" t="str">
        <v>Englewood - Sheridan Middle School</v>
      </c>
      <c r="B39" s="34" t="str">
        <v>CO</v>
      </c>
      <c r="C39" s="35">
        <f>SUM('1st Qtr'!C39, '2nd Qtr'!C39, '3rd Qtr'!C39, '4th Qtr'!C39)</f>
        <v>40335</v>
      </c>
      <c r="D39" s="35">
        <f>SUM('1st Qtr'!D39, '2nd Qtr'!D39, '3rd Qtr'!D39, '4th Qtr'!D39)</f>
        <v>43111.827999999994</v>
      </c>
      <c r="E39" s="36">
        <f t="shared" si="3"/>
        <v>-2776.8279999999941</v>
      </c>
      <c r="F39" s="37">
        <f t="shared" si="1"/>
        <v>-6.4409887699496168E-2</v>
      </c>
      <c r="G39" s="38">
        <f>SUM('1st Qtr'!G39, '2nd Qtr'!G39, '3rd Qtr'!G39, '4th Qtr'!G39)</f>
        <v>45195.025999999998</v>
      </c>
      <c r="H39" s="38">
        <f>SUM('1st Qtr'!H39, '2nd Qtr'!H39, '3rd Qtr'!H39, '4th Qtr'!H39)</f>
        <v>-4860.0260000000007</v>
      </c>
      <c r="I39" s="37">
        <f t="shared" si="2"/>
        <v>-0.10753453267180332</v>
      </c>
    </row>
    <row r="40" spans="1:9" ht="15.6">
      <c r="A40" s="26" t="str">
        <v>Goshen - NIPSCO</v>
      </c>
      <c r="B40" s="27" t="str">
        <v>IN</v>
      </c>
      <c r="C40" s="28">
        <f>SUM('1st Qtr'!C40, '2nd Qtr'!C40, '3rd Qtr'!C40, '4th Qtr'!C40)</f>
        <v>300113</v>
      </c>
      <c r="D40" s="29">
        <f>SUM('1st Qtr'!D40, '2nd Qtr'!D40, '3rd Qtr'!D40, '4th Qtr'!D40)</f>
        <v>310845.42000000004</v>
      </c>
      <c r="E40" s="29">
        <f t="shared" si="3"/>
        <v>-10732.420000000042</v>
      </c>
      <c r="F40" s="30">
        <f t="shared" si="1"/>
        <v>-3.4526550206208734E-2</v>
      </c>
      <c r="G40" s="31">
        <f>SUM('1st Qtr'!G40, '2nd Qtr'!G40, '3rd Qtr'!G40, '4th Qtr'!G40)</f>
        <v>373857.79000000004</v>
      </c>
      <c r="H40" s="31">
        <f>SUM('1st Qtr'!H40, '2nd Qtr'!H40, '3rd Qtr'!H40, '4th Qtr'!H40)</f>
        <v>-73744.789999999994</v>
      </c>
      <c r="I40" s="32">
        <f t="shared" si="2"/>
        <v>-0.19725358671809404</v>
      </c>
    </row>
    <row r="41" spans="1:9" ht="15.6">
      <c r="A41" s="33" t="str">
        <v>Alamogordo - City of Alamogordo - Effluent</v>
      </c>
      <c r="B41" s="34" t="str">
        <v>NM</v>
      </c>
      <c r="C41" s="35">
        <f>SUM('1st Qtr'!C41, '2nd Qtr'!C41, '3rd Qtr'!C41, '4th Qtr'!C41)</f>
        <v>143647</v>
      </c>
      <c r="D41" s="35">
        <f>SUM('1st Qtr'!D41, '2nd Qtr'!D41, '3rd Qtr'!D41, '4th Qtr'!D41)</f>
        <v>173073.27</v>
      </c>
      <c r="E41" s="36">
        <f t="shared" si="3"/>
        <v>-29426.26999999999</v>
      </c>
      <c r="F41" s="37">
        <f t="shared" si="1"/>
        <v>-0.17002203748736008</v>
      </c>
      <c r="G41" s="38">
        <f>SUM('1st Qtr'!G41, '2nd Qtr'!G41, '3rd Qtr'!G41, '4th Qtr'!G41)</f>
        <v>183227.65</v>
      </c>
      <c r="H41" s="38">
        <f>SUM('1st Qtr'!H41, '2nd Qtr'!H41, '3rd Qtr'!H41, '4th Qtr'!H41)</f>
        <v>-39580.650000000009</v>
      </c>
      <c r="I41" s="37">
        <f t="shared" si="2"/>
        <v>-0.21601897966818878</v>
      </c>
    </row>
    <row r="42" spans="1:9" ht="15.6">
      <c r="A42" s="26" t="str">
        <v>Alamogordo - City of Alamogordo - WWTP</v>
      </c>
      <c r="B42" s="27" t="str">
        <v>NM</v>
      </c>
      <c r="C42" s="28">
        <f>SUM('1st Qtr'!C42, '2nd Qtr'!C42, '3rd Qtr'!C42, '4th Qtr'!C42)</f>
        <v>428150</v>
      </c>
      <c r="D42" s="29">
        <f>SUM('1st Qtr'!D42, '2nd Qtr'!D42, '3rd Qtr'!D42, '4th Qtr'!D42)</f>
        <v>8.2374156000000004E-2</v>
      </c>
      <c r="E42" s="29">
        <f t="shared" si="3"/>
        <v>428149.91762584401</v>
      </c>
      <c r="F42" s="30">
        <f t="shared" si="1"/>
        <v>5197624.3328774618</v>
      </c>
      <c r="G42" s="31">
        <f>SUM('1st Qtr'!G42, '2nd Qtr'!G42, '3rd Qtr'!G42, '4th Qtr'!G42)</f>
        <v>777041.29</v>
      </c>
      <c r="H42" s="31">
        <f>SUM('1st Qtr'!H42, '2nd Qtr'!H42, '3rd Qtr'!H42, '4th Qtr'!H42)</f>
        <v>-348891.29</v>
      </c>
      <c r="I42" s="32">
        <f t="shared" si="2"/>
        <v>-0.44899967928345219</v>
      </c>
    </row>
    <row r="43" spans="1:9" ht="15.6">
      <c r="A43" s="33" t="str">
        <v>Deming - Bilbo Booster</v>
      </c>
      <c r="B43" s="34" t="str">
        <v>NM</v>
      </c>
      <c r="C43" s="35">
        <f>SUM('1st Qtr'!C43, '2nd Qtr'!C43, '3rd Qtr'!C43, '4th Qtr'!C43)</f>
        <v>72837</v>
      </c>
      <c r="D43" s="35">
        <f>SUM('1st Qtr'!D43, '2nd Qtr'!D43, '3rd Qtr'!D43, '4th Qtr'!D43)</f>
        <v>0</v>
      </c>
      <c r="E43" s="36">
        <f t="shared" si="3"/>
        <v>72837</v>
      </c>
      <c r="F43" s="37" t="str">
        <f t="shared" si="1"/>
        <v/>
      </c>
      <c r="G43" s="38">
        <f>SUM('1st Qtr'!G43, '2nd Qtr'!G43, '3rd Qtr'!G43, '4th Qtr'!G43)</f>
        <v>73454.035000000003</v>
      </c>
      <c r="H43" s="38">
        <f>SUM('1st Qtr'!H43, '2nd Qtr'!H43, '3rd Qtr'!H43, '4th Qtr'!H43)</f>
        <v>-617.03499999999985</v>
      </c>
      <c r="I43" s="37">
        <f t="shared" si="2"/>
        <v>-8.4002873361551864E-3</v>
      </c>
    </row>
    <row r="44" spans="1:9" ht="15.6">
      <c r="A44" s="26" t="str">
        <v>Deming - Bilbo Well</v>
      </c>
      <c r="B44" s="27" t="str">
        <v>NM</v>
      </c>
      <c r="C44" s="28">
        <f>SUM('1st Qtr'!C44, '2nd Qtr'!C44, '3rd Qtr'!C44, '4th Qtr'!C44)</f>
        <v>135373</v>
      </c>
      <c r="D44" s="29">
        <f>SUM('1st Qtr'!D44, '2nd Qtr'!D44, '3rd Qtr'!D44, '4th Qtr'!D44)</f>
        <v>0</v>
      </c>
      <c r="E44" s="29">
        <f t="shared" si="3"/>
        <v>135373</v>
      </c>
      <c r="F44" s="30" t="str">
        <f t="shared" si="1"/>
        <v/>
      </c>
      <c r="G44" s="31">
        <f>SUM('1st Qtr'!G44, '2nd Qtr'!G44, '3rd Qtr'!G44, '4th Qtr'!G44)</f>
        <v>132783.30000000002</v>
      </c>
      <c r="H44" s="31">
        <f>SUM('1st Qtr'!H44, '2nd Qtr'!H44, '3rd Qtr'!H44, '4th Qtr'!H44)</f>
        <v>2589.6999999999971</v>
      </c>
      <c r="I44" s="32">
        <f t="shared" si="2"/>
        <v>1.9503205598896824E-2</v>
      </c>
    </row>
    <row r="45" spans="1:9" ht="15.6">
      <c r="A45" s="33" t="str">
        <v>Deming - WWTP</v>
      </c>
      <c r="B45" s="34" t="str">
        <v>NM</v>
      </c>
      <c r="C45" s="35">
        <f>SUM('1st Qtr'!C45, '2nd Qtr'!C45, '3rd Qtr'!C45, '4th Qtr'!C45)</f>
        <v>444260</v>
      </c>
      <c r="D45" s="35">
        <f>SUM('1st Qtr'!D45, '2nd Qtr'!D45, '3rd Qtr'!D45, '4th Qtr'!D45)</f>
        <v>437823.30999999994</v>
      </c>
      <c r="E45" s="36">
        <f t="shared" si="3"/>
        <v>6436.6900000000605</v>
      </c>
      <c r="F45" s="37">
        <f t="shared" si="1"/>
        <v>1.4701569909560232E-2</v>
      </c>
      <c r="G45" s="38">
        <f>SUM('1st Qtr'!G45, '2nd Qtr'!G45, '3rd Qtr'!G45, '4th Qtr'!G45)</f>
        <v>555400.93999999994</v>
      </c>
      <c r="H45" s="38">
        <f>SUM('1st Qtr'!H45, '2nd Qtr'!H45, '3rd Qtr'!H45, '4th Qtr'!H45)</f>
        <v>-111140.93999999999</v>
      </c>
      <c r="I45" s="37">
        <f t="shared" si="2"/>
        <v>-0.2001093840424541</v>
      </c>
    </row>
    <row r="46" spans="1:9" ht="15.6">
      <c r="A46" s="26" t="str">
        <v>Truth or Consequences - Walmart</v>
      </c>
      <c r="B46" s="27" t="str">
        <v>NM</v>
      </c>
      <c r="C46" s="28">
        <f>SUM('1st Qtr'!C46, '2nd Qtr'!C46, '3rd Qtr'!C46, '4th Qtr'!C46)</f>
        <v>940800</v>
      </c>
      <c r="D46" s="29">
        <f>SUM('1st Qtr'!D46, '2nd Qtr'!D46, '3rd Qtr'!D46, '4th Qtr'!D46)</f>
        <v>2003079.2000000002</v>
      </c>
      <c r="E46" s="29">
        <f t="shared" si="3"/>
        <v>-1062279.2000000002</v>
      </c>
      <c r="F46" s="30">
        <f t="shared" si="1"/>
        <v>-0.53032311453286529</v>
      </c>
      <c r="G46" s="31">
        <f>SUM('1st Qtr'!G46, '2nd Qtr'!G46, '3rd Qtr'!G46, '4th Qtr'!G46)</f>
        <v>1132016.7</v>
      </c>
      <c r="H46" s="31">
        <f>SUM('1st Qtr'!H46, '2nd Qtr'!H46, '3rd Qtr'!H46, '4th Qtr'!H46)</f>
        <v>-191216.69999999998</v>
      </c>
      <c r="I46" s="32">
        <f t="shared" si="2"/>
        <v>-0.16891685431849193</v>
      </c>
    </row>
    <row r="47" spans="1:9" ht="15.6">
      <c r="A47" s="33" t="str">
        <v>CA: Stockton - SUSD - Merlo</v>
      </c>
      <c r="B47" s="34" t="str">
        <v>CA</v>
      </c>
      <c r="C47" s="35">
        <f>SUM('1st Qtr'!C47, '2nd Qtr'!C47, '3rd Qtr'!C47, '4th Qtr'!C47)</f>
        <v>2694.8748120886739</v>
      </c>
      <c r="D47" s="35">
        <f>SUM('1st Qtr'!D47, '2nd Qtr'!D47, '3rd Qtr'!D47, '4th Qtr'!D47)</f>
        <v>49873.735999999997</v>
      </c>
      <c r="E47" s="36">
        <f t="shared" si="3"/>
        <v>-47178.861187911323</v>
      </c>
      <c r="F47" s="37">
        <f t="shared" si="1"/>
        <v>-0.94596605291232494</v>
      </c>
      <c r="G47" s="38">
        <f>SUM('1st Qtr'!G47, '2nd Qtr'!G47, '3rd Qtr'!G47, '4th Qtr'!G47)</f>
        <v>62809.049999999996</v>
      </c>
      <c r="H47" s="38">
        <f>SUM('1st Qtr'!H47, '2nd Qtr'!H47, '3rd Qtr'!H47, '4th Qtr'!H47)</f>
        <v>-60114.175187911322</v>
      </c>
      <c r="I47" s="37">
        <f t="shared" si="2"/>
        <v>-0.95709416378549472</v>
      </c>
    </row>
    <row r="48" spans="1:9" ht="15.6">
      <c r="A48" s="26" t="str">
        <v>Stockton Unified School Dist. - Bush Elementary</v>
      </c>
      <c r="B48" s="27" t="str">
        <v>CA</v>
      </c>
      <c r="C48" s="28">
        <f>SUM('1st Qtr'!C48, '2nd Qtr'!C48, '3rd Qtr'!C48, '4th Qtr'!C48)</f>
        <v>114925.75</v>
      </c>
      <c r="D48" s="29">
        <f>SUM('1st Qtr'!D48, '2nd Qtr'!D48, '3rd Qtr'!D48, '4th Qtr'!D48)</f>
        <v>162794.81699999998</v>
      </c>
      <c r="E48" s="29">
        <f t="shared" si="3"/>
        <v>-47869.066999999981</v>
      </c>
      <c r="F48" s="30">
        <f t="shared" si="1"/>
        <v>-0.29404539949204883</v>
      </c>
      <c r="G48" s="31">
        <f>SUM('1st Qtr'!G48, '2nd Qtr'!G48, '3rd Qtr'!G48, '4th Qtr'!G48)</f>
        <v>170691.791</v>
      </c>
      <c r="H48" s="31">
        <f>SUM('1st Qtr'!H48, '2nd Qtr'!H48, '3rd Qtr'!H48, '4th Qtr'!H48)</f>
        <v>-55766.040999999997</v>
      </c>
      <c r="I48" s="32">
        <f t="shared" si="2"/>
        <v>-0.32670605114220169</v>
      </c>
    </row>
    <row r="49" spans="1:9" ht="15.6">
      <c r="A49" s="33" t="str">
        <v>CA: Stockton - SUSD - Marshall JHS</v>
      </c>
      <c r="B49" s="34" t="str">
        <v>CA</v>
      </c>
      <c r="C49" s="35">
        <f>SUM('1st Qtr'!C49, '2nd Qtr'!C49, '3rd Qtr'!C49, '4th Qtr'!C49)</f>
        <v>32210.375</v>
      </c>
      <c r="D49" s="35">
        <f>SUM('1st Qtr'!D49, '2nd Qtr'!D49, '3rd Qtr'!D49, '4th Qtr'!D49)</f>
        <v>105696.54000000001</v>
      </c>
      <c r="E49" s="36">
        <f t="shared" si="3"/>
        <v>-73486.165000000008</v>
      </c>
      <c r="F49" s="37">
        <f t="shared" si="1"/>
        <v>-0.69525610772121782</v>
      </c>
      <c r="G49" s="38">
        <f>SUM('1st Qtr'!G49, '2nd Qtr'!G49, '3rd Qtr'!G49, '4th Qtr'!G49)</f>
        <v>112231.04000000001</v>
      </c>
      <c r="H49" s="38">
        <f>SUM('1st Qtr'!H49, '2nd Qtr'!H49, '3rd Qtr'!H49, '4th Qtr'!H49)</f>
        <v>-80020.665000000008</v>
      </c>
      <c r="I49" s="37">
        <f t="shared" si="2"/>
        <v>-0.71299940729409617</v>
      </c>
    </row>
    <row r="50" spans="1:9" ht="15.6">
      <c r="A50" s="26" t="str">
        <v>CA: Stockton - SUSD - Hong-Kingston ES</v>
      </c>
      <c r="B50" s="27" t="str">
        <v>CA</v>
      </c>
      <c r="C50" s="28">
        <f>SUM('1st Qtr'!C50, '2nd Qtr'!C50, '3rd Qtr'!C50, '4th Qtr'!C50)</f>
        <v>38472.25</v>
      </c>
      <c r="D50" s="29">
        <f>SUM('1st Qtr'!D50, '2nd Qtr'!D50, '3rd Qtr'!D50, '4th Qtr'!D50)</f>
        <v>178570.91999999998</v>
      </c>
      <c r="E50" s="29">
        <f t="shared" si="3"/>
        <v>-140098.66999999998</v>
      </c>
      <c r="F50" s="30">
        <f t="shared" si="1"/>
        <v>-0.78455478641203169</v>
      </c>
      <c r="G50" s="31">
        <f>SUM('1st Qtr'!G50, '2nd Qtr'!G50, '3rd Qtr'!G50, '4th Qtr'!G50)</f>
        <v>182577.41000000003</v>
      </c>
      <c r="H50" s="31">
        <f>SUM('1st Qtr'!H50, '2nd Qtr'!H50, '3rd Qtr'!H50, '4th Qtr'!H50)</f>
        <v>-144105.16</v>
      </c>
      <c r="I50" s="32">
        <f t="shared" si="2"/>
        <v>-0.78928252953089861</v>
      </c>
    </row>
    <row r="51" spans="1:9" ht="15.6">
      <c r="A51" s="33" t="str">
        <v>CA: Stockton - SUSD - Hamilton ES</v>
      </c>
      <c r="B51" s="34" t="str">
        <v>CA</v>
      </c>
      <c r="C51" s="35">
        <f>SUM('1st Qtr'!C51, '2nd Qtr'!C51, '3rd Qtr'!C51, '4th Qtr'!C51)</f>
        <v>28359.5</v>
      </c>
      <c r="D51" s="35">
        <f>SUM('1st Qtr'!D51, '2nd Qtr'!D51, '3rd Qtr'!D51, '4th Qtr'!D51)</f>
        <v>91831.5</v>
      </c>
      <c r="E51" s="36">
        <f t="shared" si="3"/>
        <v>-63472</v>
      </c>
      <c r="F51" s="37">
        <f t="shared" si="1"/>
        <v>-0.69117895275586261</v>
      </c>
      <c r="G51" s="38">
        <f>SUM('1st Qtr'!G51, '2nd Qtr'!G51, '3rd Qtr'!G51, '4th Qtr'!G51)</f>
        <v>97192.92</v>
      </c>
      <c r="H51" s="38">
        <f>SUM('1st Qtr'!H51, '2nd Qtr'!H51, '3rd Qtr'!H51, '4th Qtr'!H51)</f>
        <v>-68833.42</v>
      </c>
      <c r="I51" s="37">
        <f t="shared" si="2"/>
        <v>-0.70821434318466814</v>
      </c>
    </row>
    <row r="52" spans="1:9" ht="15.6">
      <c r="A52" s="26" t="str">
        <v>CA: Stockton - SUSD - Franklin - North</v>
      </c>
      <c r="B52" s="27" t="str">
        <v>CA</v>
      </c>
      <c r="C52" s="28">
        <f>SUM('1st Qtr'!C52, '2nd Qtr'!C52, '3rd Qtr'!C52, '4th Qtr'!C52)</f>
        <v>127873.9999999991</v>
      </c>
      <c r="D52" s="29">
        <f>SUM('1st Qtr'!D52, '2nd Qtr'!D52, '3rd Qtr'!D52, '4th Qtr'!D52)</f>
        <v>445634.54</v>
      </c>
      <c r="E52" s="29">
        <f t="shared" si="3"/>
        <v>-317760.54000000085</v>
      </c>
      <c r="F52" s="30">
        <f t="shared" si="1"/>
        <v>-0.71305186532444476</v>
      </c>
      <c r="G52" s="31">
        <f>SUM('1st Qtr'!G52, '2nd Qtr'!G52, '3rd Qtr'!G52, '4th Qtr'!G52)</f>
        <v>257168.08</v>
      </c>
      <c r="H52" s="31">
        <f>SUM('1st Qtr'!H52, '2nd Qtr'!H52, '3rd Qtr'!H52, '4th Qtr'!H52)</f>
        <v>-129294.0800000009</v>
      </c>
      <c r="I52" s="32">
        <f t="shared" si="2"/>
        <v>-0.50276099584365563</v>
      </c>
    </row>
    <row r="53" spans="1:9" ht="15.6">
      <c r="A53" s="33" t="str">
        <v>Stockton Unified School Dist. - Fillmore Elementary</v>
      </c>
      <c r="B53" s="34" t="str">
        <v>CA</v>
      </c>
      <c r="C53" s="35">
        <f>SUM('1st Qtr'!C53, '2nd Qtr'!C53, '3rd Qtr'!C53, '4th Qtr'!C53)</f>
        <v>20271.75</v>
      </c>
      <c r="D53" s="35">
        <f>SUM('1st Qtr'!D53, '2nd Qtr'!D53, '3rd Qtr'!D53, '4th Qtr'!D53)</f>
        <v>75361.28300000001</v>
      </c>
      <c r="E53" s="36">
        <f t="shared" si="3"/>
        <v>-55089.53300000001</v>
      </c>
      <c r="F53" s="37">
        <f t="shared" si="1"/>
        <v>-0.73100577387993781</v>
      </c>
      <c r="G53" s="38">
        <f>SUM('1st Qtr'!G53, '2nd Qtr'!G53, '3rd Qtr'!G53, '4th Qtr'!G53)</f>
        <v>78955.73</v>
      </c>
      <c r="H53" s="38">
        <f>SUM('1st Qtr'!H53, '2nd Qtr'!H53, '3rd Qtr'!H53, '4th Qtr'!H53)</f>
        <v>-58683.979999999996</v>
      </c>
      <c r="I53" s="37">
        <f t="shared" si="2"/>
        <v>-0.74325169306901473</v>
      </c>
    </row>
    <row r="54" spans="1:9" ht="15.6">
      <c r="A54" s="26" t="str">
        <v>CA: Stockton - SUSD - El Dorado ES</v>
      </c>
      <c r="B54" s="27" t="str">
        <v>CA</v>
      </c>
      <c r="C54" s="28">
        <f>SUM('1st Qtr'!C54, '2nd Qtr'!C54, '3rd Qtr'!C54, '4th Qtr'!C54)</f>
        <v>24102.125</v>
      </c>
      <c r="D54" s="29">
        <f>SUM('1st Qtr'!D54, '2nd Qtr'!D54, '3rd Qtr'!D54, '4th Qtr'!D54)</f>
        <v>97671.73</v>
      </c>
      <c r="E54" s="29">
        <f t="shared" si="3"/>
        <v>-73569.604999999996</v>
      </c>
      <c r="F54" s="30">
        <f t="shared" si="1"/>
        <v>-0.7532333562638851</v>
      </c>
      <c r="G54" s="31">
        <f>SUM('1st Qtr'!G54, '2nd Qtr'!G54, '3rd Qtr'!G54, '4th Qtr'!G54)</f>
        <v>0</v>
      </c>
      <c r="H54" s="31">
        <f>SUM('1st Qtr'!H54, '2nd Qtr'!H54, '3rd Qtr'!H54, '4th Qtr'!H54)</f>
        <v>24102.125</v>
      </c>
      <c r="I54" s="32" t="str">
        <f t="shared" si="2"/>
        <v/>
      </c>
    </row>
    <row r="55" spans="1:9" ht="15.6">
      <c r="A55" s="33" t="str">
        <v>CA: Stockton - SUSD - Edison HS</v>
      </c>
      <c r="B55" s="34" t="str">
        <v>CA</v>
      </c>
      <c r="C55" s="35">
        <f>SUM('1st Qtr'!C55, '2nd Qtr'!C55, '3rd Qtr'!C55, '4th Qtr'!C55)</f>
        <v>167104.5</v>
      </c>
      <c r="D55" s="35">
        <f>SUM('1st Qtr'!D55, '2nd Qtr'!D55, '3rd Qtr'!D55, '4th Qtr'!D55)</f>
        <v>250956.59</v>
      </c>
      <c r="E55" s="36">
        <f t="shared" si="3"/>
        <v>-83852.09</v>
      </c>
      <c r="F55" s="37">
        <f t="shared" si="1"/>
        <v>-0.3341298588732019</v>
      </c>
      <c r="G55" s="38">
        <f>SUM('1st Qtr'!G55, '2nd Qtr'!G55, '3rd Qtr'!G55, '4th Qtr'!G55)</f>
        <v>267690.18</v>
      </c>
      <c r="H55" s="38">
        <f>SUM('1st Qtr'!H55, '2nd Qtr'!H55, '3rd Qtr'!H55, '4th Qtr'!H55)</f>
        <v>-100585.68000000002</v>
      </c>
      <c r="I55" s="37">
        <f t="shared" si="2"/>
        <v>-0.37575409004543991</v>
      </c>
    </row>
    <row r="56" spans="1:9" ht="15.6">
      <c r="A56" s="26" t="str">
        <v>CA: Stockton - SUSD - Chavez HS - Large</v>
      </c>
      <c r="B56" s="27" t="str">
        <v>CA</v>
      </c>
      <c r="C56" s="28">
        <f>SUM('1st Qtr'!C56, '2nd Qtr'!C56, '3rd Qtr'!C56, '4th Qtr'!C56)</f>
        <v>167465</v>
      </c>
      <c r="D56" s="29">
        <f>SUM('1st Qtr'!D56, '2nd Qtr'!D56, '3rd Qtr'!D56, '4th Qtr'!D56)</f>
        <v>568449.09</v>
      </c>
      <c r="E56" s="29">
        <f t="shared" si="3"/>
        <v>-400984.08999999997</v>
      </c>
      <c r="F56" s="30">
        <f t="shared" si="1"/>
        <v>-0.70540017928430498</v>
      </c>
      <c r="G56" s="31">
        <f>SUM('1st Qtr'!G56, '2nd Qtr'!G56, '3rd Qtr'!G56, '4th Qtr'!G56)</f>
        <v>556575.80000000005</v>
      </c>
      <c r="H56" s="31">
        <f>SUM('1st Qtr'!H56, '2nd Qtr'!H56, '3rd Qtr'!H56, '4th Qtr'!H56)</f>
        <v>-389110.80000000005</v>
      </c>
      <c r="I56" s="32">
        <f t="shared" si="2"/>
        <v>-0.69911555622792088</v>
      </c>
    </row>
    <row r="57" spans="1:9" ht="15.6">
      <c r="A57" s="33" t="str">
        <v>CA: San Jose - GE Mobile Water</v>
      </c>
      <c r="B57" s="34" t="str">
        <v>CA</v>
      </c>
      <c r="C57" s="35">
        <f>SUM('1st Qtr'!C57, '2nd Qtr'!C57, '3rd Qtr'!C57, '4th Qtr'!C57)</f>
        <v>130158</v>
      </c>
      <c r="D57" s="35">
        <f>SUM('1st Qtr'!D57, '2nd Qtr'!D57, '3rd Qtr'!D57, '4th Qtr'!D57)</f>
        <v>146053.66</v>
      </c>
      <c r="E57" s="36">
        <f t="shared" si="3"/>
        <v>-15895.660000000003</v>
      </c>
      <c r="F57" s="37">
        <f t="shared" si="1"/>
        <v>-0.10883438319861347</v>
      </c>
      <c r="G57" s="38">
        <f>SUM('1st Qtr'!G57, '2nd Qtr'!G57, '3rd Qtr'!G57, '4th Qtr'!G57)</f>
        <v>148724.35999999999</v>
      </c>
      <c r="H57" s="38">
        <f>SUM('1st Qtr'!H57, '2nd Qtr'!H57, '3rd Qtr'!H57, '4th Qtr'!H57)</f>
        <v>-18566.36</v>
      </c>
      <c r="I57" s="37">
        <f t="shared" si="2"/>
        <v>-0.12483738373458123</v>
      </c>
    </row>
    <row r="58" spans="1:9" ht="15.6">
      <c r="A58" s="26" t="str">
        <v>CA: San Marcos - Vallecitos Water - Lift Station</v>
      </c>
      <c r="B58" s="27" t="str">
        <v>CA</v>
      </c>
      <c r="C58" s="28">
        <f>SUM('1st Qtr'!C58, '2nd Qtr'!C58, '3rd Qtr'!C58, '4th Qtr'!C58)</f>
        <v>179842.375</v>
      </c>
      <c r="D58" s="29">
        <f>SUM('1st Qtr'!D58, '2nd Qtr'!D58, '3rd Qtr'!D58, '4th Qtr'!D58)</f>
        <v>184922.25</v>
      </c>
      <c r="E58" s="29">
        <f t="shared" si="3"/>
        <v>-5079.875</v>
      </c>
      <c r="F58" s="30">
        <f t="shared" si="1"/>
        <v>-2.7470328746270391E-2</v>
      </c>
      <c r="G58" s="31">
        <f>SUM('1st Qtr'!G58, '2nd Qtr'!G58, '3rd Qtr'!G58, '4th Qtr'!G58)</f>
        <v>183382.47</v>
      </c>
      <c r="H58" s="31">
        <f>SUM('1st Qtr'!H58, '2nd Qtr'!H58, '3rd Qtr'!H58, '4th Qtr'!H58)</f>
        <v>-3540.0950000000048</v>
      </c>
      <c r="I58" s="32">
        <f t="shared" si="2"/>
        <v>-1.930443515129884E-2</v>
      </c>
    </row>
    <row r="59" spans="1:9" ht="15.6">
      <c r="A59" s="33" t="str">
        <v>CA: San Marcos - Vallecitos Water - Twin Oaks Reservoir</v>
      </c>
      <c r="B59" s="34" t="str">
        <v>CA</v>
      </c>
      <c r="C59" s="35">
        <f>SUM('1st Qtr'!C59, '2nd Qtr'!C59, '3rd Qtr'!C59, '4th Qtr'!C59)</f>
        <v>1395159.9999999981</v>
      </c>
      <c r="D59" s="35">
        <f>SUM('1st Qtr'!D59, '2nd Qtr'!D59, '3rd Qtr'!D59, '4th Qtr'!D59)</f>
        <v>1566396.7</v>
      </c>
      <c r="E59" s="36">
        <f t="shared" si="3"/>
        <v>-171236.70000000182</v>
      </c>
      <c r="F59" s="37">
        <f t="shared" si="1"/>
        <v>-0.10931885900934407</v>
      </c>
      <c r="G59" s="38">
        <f>SUM('1st Qtr'!G59, '2nd Qtr'!G59, '3rd Qtr'!G59, '4th Qtr'!G59)</f>
        <v>1198134</v>
      </c>
      <c r="H59" s="38">
        <f>SUM('1st Qtr'!H59, '2nd Qtr'!H59, '3rd Qtr'!H59, '4th Qtr'!H59)</f>
        <v>197025.99999999802</v>
      </c>
      <c r="I59" s="37">
        <f t="shared" si="2"/>
        <v>0.16444404382147407</v>
      </c>
    </row>
    <row r="60" spans="1:9" ht="15.6">
      <c r="A60" s="26" t="str">
        <v>CA: Stockton - SUSD - Wilhelmina Henry ES</v>
      </c>
      <c r="B60" s="27" t="str">
        <v>CA</v>
      </c>
      <c r="C60" s="28">
        <f>SUM('1st Qtr'!C60, '2nd Qtr'!C60, '3rd Qtr'!C60, '4th Qtr'!C60)</f>
        <v>36609.25</v>
      </c>
      <c r="D60" s="29">
        <f>SUM('1st Qtr'!D60, '2nd Qtr'!D60, '3rd Qtr'!D60, '4th Qtr'!D60)</f>
        <v>218108.91999999998</v>
      </c>
      <c r="E60" s="29">
        <f t="shared" si="3"/>
        <v>-181499.66999999998</v>
      </c>
      <c r="F60" s="30">
        <f t="shared" si="1"/>
        <v>-0.83215152319309083</v>
      </c>
      <c r="G60" s="31">
        <f>SUM('1st Qtr'!G60, '2nd Qtr'!G60, '3rd Qtr'!G60, '4th Qtr'!G60)</f>
        <v>179446.12</v>
      </c>
      <c r="H60" s="31">
        <f>SUM('1st Qtr'!H60, '2nd Qtr'!H60, '3rd Qtr'!H60, '4th Qtr'!H60)</f>
        <v>-142836.87</v>
      </c>
      <c r="I60" s="32">
        <f t="shared" si="2"/>
        <v>-0.79598750867391277</v>
      </c>
    </row>
    <row r="61" spans="1:9" ht="15.6">
      <c r="A61" s="33" t="str">
        <v>Stockton Unified School Dist. - Franklin (North)</v>
      </c>
      <c r="B61" s="34" t="str">
        <v>CA</v>
      </c>
      <c r="C61" s="35">
        <f>SUM('1st Qtr'!C61, '2nd Qtr'!C61, '3rd Qtr'!C61, '4th Qtr'!C61)</f>
        <v>104276.2</v>
      </c>
      <c r="D61" s="35">
        <f>SUM('1st Qtr'!D61, '2nd Qtr'!D61, '3rd Qtr'!D61, '4th Qtr'!D61)</f>
        <v>344193.24000000005</v>
      </c>
      <c r="E61" s="36">
        <f t="shared" si="3"/>
        <v>-239917.04000000004</v>
      </c>
      <c r="F61" s="37">
        <f t="shared" si="1"/>
        <v>-0.69704169669340399</v>
      </c>
      <c r="G61" s="38">
        <f>SUM('1st Qtr'!G61, '2nd Qtr'!G61, '3rd Qtr'!G61, '4th Qtr'!G61)</f>
        <v>199375.06999999998</v>
      </c>
      <c r="H61" s="38">
        <f>SUM('1st Qtr'!H61, '2nd Qtr'!H61, '3rd Qtr'!H61, '4th Qtr'!H61)</f>
        <v>-95098.87000000001</v>
      </c>
      <c r="I61" s="37">
        <f t="shared" si="2"/>
        <v>-0.47698476043168297</v>
      </c>
    </row>
    <row r="62" spans="1:9" ht="15.6">
      <c r="A62" s="26" t="str">
        <v>CA: Stockton - SUSD - Franklin - South</v>
      </c>
      <c r="B62" s="27" t="str">
        <v>CA</v>
      </c>
      <c r="C62" s="28">
        <f>SUM('1st Qtr'!C62, '2nd Qtr'!C62, '3rd Qtr'!C62, '4th Qtr'!C62)</f>
        <v>170184.75</v>
      </c>
      <c r="D62" s="29">
        <f>SUM('1st Qtr'!D62, '2nd Qtr'!D62, '3rd Qtr'!D62, '4th Qtr'!D62)</f>
        <v>417247.45</v>
      </c>
      <c r="E62" s="29">
        <f t="shared" si="3"/>
        <v>-247062.7</v>
      </c>
      <c r="F62" s="30">
        <f t="shared" si="1"/>
        <v>-0.59212512862571121</v>
      </c>
      <c r="G62" s="31">
        <f>SUM('1st Qtr'!G62, '2nd Qtr'!G62, '3rd Qtr'!G62, '4th Qtr'!G62)</f>
        <v>416936.28</v>
      </c>
      <c r="H62" s="31">
        <f>SUM('1st Qtr'!H62, '2nd Qtr'!H62, '3rd Qtr'!H62, '4th Qtr'!H62)</f>
        <v>-246751.53</v>
      </c>
      <c r="I62" s="32">
        <f t="shared" si="2"/>
        <v>-0.59182072138217379</v>
      </c>
    </row>
    <row r="63" spans="1:9" ht="15.6">
      <c r="A63" s="33" t="str">
        <v>CA: Stockton - SUSD - Chavez HS - Small</v>
      </c>
      <c r="B63" s="34" t="str">
        <v>CA</v>
      </c>
      <c r="C63" s="35">
        <f>SUM('1st Qtr'!C63, '2nd Qtr'!C63, '3rd Qtr'!C63, '4th Qtr'!C63)</f>
        <v>107101.75</v>
      </c>
      <c r="D63" s="35">
        <f>SUM('1st Qtr'!D63, '2nd Qtr'!D63, '3rd Qtr'!D63, '4th Qtr'!D63)</f>
        <v>109652.92</v>
      </c>
      <c r="E63" s="36">
        <f t="shared" si="3"/>
        <v>-2551.1699999999983</v>
      </c>
      <c r="F63" s="37">
        <f t="shared" si="1"/>
        <v>-2.3265864693799293E-2</v>
      </c>
      <c r="G63" s="38">
        <f>SUM('1st Qtr'!G63, '2nd Qtr'!G63, '3rd Qtr'!G63, '4th Qtr'!G63)</f>
        <v>157175.41999999998</v>
      </c>
      <c r="H63" s="38">
        <f>SUM('1st Qtr'!H63, '2nd Qtr'!H63, '3rd Qtr'!H63, '4th Qtr'!H63)</f>
        <v>-50073.67</v>
      </c>
      <c r="I63" s="37">
        <f t="shared" si="2"/>
        <v>-0.31858461074893263</v>
      </c>
    </row>
    <row r="64" spans="1:9" ht="15.6">
      <c r="A64" s="26" t="str">
        <v>CA: Stockton - SUSD - Facilities</v>
      </c>
      <c r="B64" s="27" t="str">
        <v>CA</v>
      </c>
      <c r="C64" s="28">
        <f>SUM('1st Qtr'!C64, '2nd Qtr'!C64, '3rd Qtr'!C64, '4th Qtr'!C64)</f>
        <v>87808.5</v>
      </c>
      <c r="D64" s="29">
        <f>SUM('1st Qtr'!D64, '2nd Qtr'!D64, '3rd Qtr'!D64, '4th Qtr'!D64)</f>
        <v>238478.38999999998</v>
      </c>
      <c r="E64" s="29">
        <f t="shared" si="3"/>
        <v>-150669.88999999998</v>
      </c>
      <c r="F64" s="30">
        <f t="shared" si="1"/>
        <v>-0.63179682653845493</v>
      </c>
      <c r="G64" s="31">
        <f>SUM('1st Qtr'!G64, '2nd Qtr'!G64, '3rd Qtr'!G64, '4th Qtr'!G64)</f>
        <v>268987.24</v>
      </c>
      <c r="H64" s="31">
        <f>SUM('1st Qtr'!H64, '2nd Qtr'!H64, '3rd Qtr'!H64, '4th Qtr'!H64)</f>
        <v>-181178.74000000002</v>
      </c>
      <c r="I64" s="32">
        <f t="shared" si="2"/>
        <v>-0.67355886472533055</v>
      </c>
    </row>
    <row r="65" spans="1:9" ht="15.6">
      <c r="A65" s="33" t="str">
        <v>CA: Stockton - SUSD - Harrison</v>
      </c>
      <c r="B65" s="34" t="str">
        <v>CA</v>
      </c>
      <c r="C65" s="35">
        <f>SUM('1st Qtr'!C65, '2nd Qtr'!C65, '3rd Qtr'!C65, '4th Qtr'!C65)</f>
        <v>63621.125</v>
      </c>
      <c r="D65" s="35">
        <f>SUM('1st Qtr'!D65, '2nd Qtr'!D65, '3rd Qtr'!D65, '4th Qtr'!D65)</f>
        <v>94800.650000000009</v>
      </c>
      <c r="E65" s="36">
        <f t="shared" si="3"/>
        <v>-31179.525000000009</v>
      </c>
      <c r="F65" s="37">
        <f t="shared" si="1"/>
        <v>-0.3288956879515067</v>
      </c>
      <c r="G65" s="38">
        <f>SUM('1st Qtr'!G65, '2nd Qtr'!G65, '3rd Qtr'!G65, '4th Qtr'!G65)</f>
        <v>95996.700000000012</v>
      </c>
      <c r="H65" s="38">
        <f>SUM('1st Qtr'!H65, '2nd Qtr'!H65, '3rd Qtr'!H65, '4th Qtr'!H65)</f>
        <v>-32375.575000000004</v>
      </c>
      <c r="I65" s="37">
        <f t="shared" si="2"/>
        <v>-0.33725716613175244</v>
      </c>
    </row>
    <row r="66" spans="1:9" ht="15.6">
      <c r="A66" s="26" t="str">
        <v>CA: Stockton - SUSD - Commodore Skills School</v>
      </c>
      <c r="B66" s="27" t="str">
        <v>CA</v>
      </c>
      <c r="C66" s="28">
        <f>SUM('1st Qtr'!C66, '2nd Qtr'!C66, '3rd Qtr'!C66, '4th Qtr'!C66)</f>
        <v>33889.5</v>
      </c>
      <c r="D66" s="29">
        <f>SUM('1st Qtr'!D66, '2nd Qtr'!D66, '3rd Qtr'!D66, '4th Qtr'!D66)</f>
        <v>191859.78</v>
      </c>
      <c r="E66" s="29">
        <f t="shared" si="3"/>
        <v>-157970.28</v>
      </c>
      <c r="F66" s="30">
        <f t="shared" si="1"/>
        <v>-0.82336318742781833</v>
      </c>
      <c r="G66" s="31">
        <f>SUM('1st Qtr'!G66, '2nd Qtr'!G66, '3rd Qtr'!G66, '4th Qtr'!G66)</f>
        <v>209965.05000000002</v>
      </c>
      <c r="H66" s="31">
        <f>SUM('1st Qtr'!H66, '2nd Qtr'!H66, '3rd Qtr'!H66, '4th Qtr'!H66)</f>
        <v>-176075.55000000002</v>
      </c>
      <c r="I66" s="32">
        <f t="shared" si="2"/>
        <v>-0.83859456609564309</v>
      </c>
    </row>
    <row r="67" spans="1:9" ht="15.6">
      <c r="A67" s="33" t="str">
        <v>CA: Stockton - SUSD - Nightingale ES</v>
      </c>
      <c r="B67" s="34" t="str">
        <v>CA</v>
      </c>
      <c r="C67" s="35">
        <f>SUM('1st Qtr'!C67, '2nd Qtr'!C67, '3rd Qtr'!C67, '4th Qtr'!C67)</f>
        <v>83800</v>
      </c>
      <c r="D67" s="35">
        <f>SUM('1st Qtr'!D67, '2nd Qtr'!D67, '3rd Qtr'!D67, '4th Qtr'!D67)</f>
        <v>93927.48</v>
      </c>
      <c r="E67" s="36">
        <f t="shared" si="3"/>
        <v>-10127.479999999996</v>
      </c>
      <c r="F67" s="37">
        <f t="shared" si="1"/>
        <v>-0.10782233271881665</v>
      </c>
      <c r="G67" s="38">
        <f>SUM('1st Qtr'!G67, '2nd Qtr'!G67, '3rd Qtr'!G67, '4th Qtr'!G67)</f>
        <v>97252.97</v>
      </c>
      <c r="H67" s="38">
        <f>SUM('1st Qtr'!H67, '2nd Qtr'!H67, '3rd Qtr'!H67, '4th Qtr'!H67)</f>
        <v>-13452.969999999998</v>
      </c>
      <c r="I67" s="37">
        <f t="shared" si="2"/>
        <v>-0.13832965718167781</v>
      </c>
    </row>
    <row r="68" spans="1:9" ht="15.6">
      <c r="A68" s="26" t="str">
        <v>CA: Stockton - SUSD - Weber Institute</v>
      </c>
      <c r="B68" s="27" t="str">
        <v>CA</v>
      </c>
      <c r="C68" s="28">
        <f>SUM('1st Qtr'!C68, '2nd Qtr'!C68, '3rd Qtr'!C68, '4th Qtr'!C68)</f>
        <v>36905.75</v>
      </c>
      <c r="D68" s="29">
        <f>SUM('1st Qtr'!D68, '2nd Qtr'!D68, '3rd Qtr'!D68, '4th Qtr'!D68)</f>
        <v>214479.49</v>
      </c>
      <c r="E68" s="29">
        <f t="shared" si="3"/>
        <v>-177573.74</v>
      </c>
      <c r="F68" s="30">
        <f t="shared" si="1"/>
        <v>-0.82792876838713114</v>
      </c>
      <c r="G68" s="31">
        <f>SUM('1st Qtr'!G68, '2nd Qtr'!G68, '3rd Qtr'!G68, '4th Qtr'!G68)</f>
        <v>201615.25999999998</v>
      </c>
      <c r="H68" s="31">
        <f>SUM('1st Qtr'!H68, '2nd Qtr'!H68, '3rd Qtr'!H68, '4th Qtr'!H68)</f>
        <v>-164709.50999999998</v>
      </c>
      <c r="I68" s="32">
        <f t="shared" si="2"/>
        <v>-0.81694961978572456</v>
      </c>
    </row>
    <row r="69" spans="1:9" ht="15.6">
      <c r="A69" s="33" t="str">
        <v>CA: Stockton - SUSD - Warehouse</v>
      </c>
      <c r="B69" s="34" t="str">
        <v>CA</v>
      </c>
      <c r="C69" s="35">
        <f>SUM('1st Qtr'!C69, '2nd Qtr'!C69, '3rd Qtr'!C69, '4th Qtr'!C69)</f>
        <v>74552</v>
      </c>
      <c r="D69" s="35">
        <f>SUM('1st Qtr'!D69, '2nd Qtr'!D69, '3rd Qtr'!D69, '4th Qtr'!D69)</f>
        <v>165988.96</v>
      </c>
      <c r="E69" s="36">
        <f t="shared" si="3"/>
        <v>-91436.959999999992</v>
      </c>
      <c r="F69" s="37">
        <f t="shared" si="1"/>
        <v>-0.55086169586218259</v>
      </c>
      <c r="G69" s="38">
        <f>SUM('1st Qtr'!G69, '2nd Qtr'!G69, '3rd Qtr'!G69, '4th Qtr'!G69)</f>
        <v>189441.67</v>
      </c>
      <c r="H69" s="38">
        <f>SUM('1st Qtr'!H69, '2nd Qtr'!H69, '3rd Qtr'!H69, '4th Qtr'!H69)</f>
        <v>-114889.67</v>
      </c>
      <c r="I69" s="37">
        <f t="shared" si="2"/>
        <v>-0.60646461784252637</v>
      </c>
    </row>
    <row r="70" spans="1:9" ht="15.6">
      <c r="A70" s="26" t="str">
        <v>CA: Stockton - SUSD - Walton Special Center</v>
      </c>
      <c r="B70" s="27" t="str">
        <v>CA</v>
      </c>
      <c r="C70" s="28">
        <f>SUM('1st Qtr'!C70, '2nd Qtr'!C70, '3rd Qtr'!C70, '4th Qtr'!C70)</f>
        <v>63290</v>
      </c>
      <c r="D70" s="29">
        <f>SUM('1st Qtr'!D70, '2nd Qtr'!D70, '3rd Qtr'!D70, '4th Qtr'!D70)</f>
        <v>132444.88</v>
      </c>
      <c r="E70" s="29">
        <f t="shared" si="3"/>
        <v>-69154.880000000005</v>
      </c>
      <c r="F70" s="30">
        <f t="shared" ref="F70:F85" si="4">IFERROR(E70/D70, "")</f>
        <v>-0.52214083322813232</v>
      </c>
      <c r="G70" s="31">
        <f>SUM('1st Qtr'!G70, '2nd Qtr'!G70, '3rd Qtr'!G70, '4th Qtr'!G70)</f>
        <v>137857.81</v>
      </c>
      <c r="H70" s="31">
        <f>SUM('1st Qtr'!H70, '2nd Qtr'!H70, '3rd Qtr'!H70, '4th Qtr'!H70)</f>
        <v>-74567.81</v>
      </c>
      <c r="I70" s="32">
        <f t="shared" ref="I70:I85" si="5">IFERROR(H70/G70, "")</f>
        <v>-0.54090377614442009</v>
      </c>
    </row>
    <row r="71" spans="1:9" ht="15.6">
      <c r="A71" s="33" t="str">
        <v>CA: Stockton - SUSD - Stagg HS</v>
      </c>
      <c r="B71" s="34" t="str">
        <v>CA</v>
      </c>
      <c r="C71" s="35">
        <f>SUM('1st Qtr'!C71, '2nd Qtr'!C71, '3rd Qtr'!C71, '4th Qtr'!C71)</f>
        <v>360407</v>
      </c>
      <c r="D71" s="35">
        <f>SUM('1st Qtr'!D71, '2nd Qtr'!D71, '3rd Qtr'!D71, '4th Qtr'!D71)</f>
        <v>517102.25</v>
      </c>
      <c r="E71" s="36">
        <f t="shared" ref="E71:E85" si="6">IF(AND(ISNUMBER(C71),ISNUMBER(D71)), C71-D71, "")</f>
        <v>-156695.25</v>
      </c>
      <c r="F71" s="37">
        <f t="shared" si="4"/>
        <v>-0.30302565885180349</v>
      </c>
      <c r="G71" s="38">
        <f>SUM('1st Qtr'!G71, '2nd Qtr'!G71, '3rd Qtr'!G71, '4th Qtr'!G71)</f>
        <v>527651.02</v>
      </c>
      <c r="H71" s="38">
        <f>SUM('1st Qtr'!H71, '2nd Qtr'!H71, '3rd Qtr'!H71, '4th Qtr'!H71)</f>
        <v>-167244.02000000002</v>
      </c>
      <c r="I71" s="37">
        <f t="shared" si="5"/>
        <v>-0.31695953132053079</v>
      </c>
    </row>
    <row r="72" spans="1:9" ht="15.6">
      <c r="A72" s="26" t="str">
        <v>CA: Stockton - SUSD - School for Adults</v>
      </c>
      <c r="B72" s="27" t="str">
        <v>CA</v>
      </c>
      <c r="C72" s="28">
        <f>SUM('1st Qtr'!C72, '2nd Qtr'!C72, '3rd Qtr'!C72, '4th Qtr'!C72)</f>
        <v>38669.625</v>
      </c>
      <c r="D72" s="29">
        <f>SUM('1st Qtr'!D72, '2nd Qtr'!D72, '3rd Qtr'!D72, '4th Qtr'!D72)</f>
        <v>111592.57999999999</v>
      </c>
      <c r="E72" s="29">
        <f t="shared" si="6"/>
        <v>-72922.954999999987</v>
      </c>
      <c r="F72" s="30">
        <f t="shared" si="4"/>
        <v>-0.65347494430185227</v>
      </c>
      <c r="G72" s="31">
        <f>SUM('1st Qtr'!G72, '2nd Qtr'!G72, '3rd Qtr'!G72, '4th Qtr'!G72)</f>
        <v>114368.70000000001</v>
      </c>
      <c r="H72" s="31">
        <f>SUM('1st Qtr'!H72, '2nd Qtr'!H72, '3rd Qtr'!H72, '4th Qtr'!H72)</f>
        <v>-75699.075000000012</v>
      </c>
      <c r="I72" s="32">
        <f t="shared" si="5"/>
        <v>-0.66188629406472232</v>
      </c>
    </row>
    <row r="73" spans="1:9" ht="15.6">
      <c r="A73" s="33" t="str">
        <v>CA: Stockton - SUSD - San Joaquin</v>
      </c>
      <c r="B73" s="34" t="str">
        <v>CA</v>
      </c>
      <c r="C73" s="35">
        <f>SUM('1st Qtr'!C73, '2nd Qtr'!C73, '3rd Qtr'!C73, '4th Qtr'!C73)</f>
        <v>52497.75</v>
      </c>
      <c r="D73" s="35">
        <f>SUM('1st Qtr'!D73, '2nd Qtr'!D73, '3rd Qtr'!D73, '4th Qtr'!D73)</f>
        <v>99723.36</v>
      </c>
      <c r="E73" s="36">
        <f t="shared" si="6"/>
        <v>-47225.61</v>
      </c>
      <c r="F73" s="37">
        <f t="shared" si="4"/>
        <v>-0.47356617346226604</v>
      </c>
      <c r="G73" s="38">
        <f>SUM('1st Qtr'!G73, '2nd Qtr'!G73, '3rd Qtr'!G73, '4th Qtr'!G73)</f>
        <v>107441.1</v>
      </c>
      <c r="H73" s="38">
        <f>SUM('1st Qtr'!H73, '2nd Qtr'!H73, '3rd Qtr'!H73, '4th Qtr'!H73)</f>
        <v>-54943.35</v>
      </c>
      <c r="I73" s="37">
        <f t="shared" si="5"/>
        <v>-0.51138111951571597</v>
      </c>
    </row>
    <row r="74" spans="1:9" ht="15.6">
      <c r="A74" s="26" t="str">
        <v>CA: Stockton - SUSD - Rio Calaveras</v>
      </c>
      <c r="B74" s="27" t="str">
        <v>CA</v>
      </c>
      <c r="C74" s="28">
        <f>SUM('1st Qtr'!C74, '2nd Qtr'!C74, '3rd Qtr'!C74, '4th Qtr'!C74)</f>
        <v>21712</v>
      </c>
      <c r="D74" s="29">
        <f>SUM('1st Qtr'!D74, '2nd Qtr'!D74, '3rd Qtr'!D74, '4th Qtr'!D74)</f>
        <v>92193.33</v>
      </c>
      <c r="E74" s="29">
        <f t="shared" si="6"/>
        <v>-70481.33</v>
      </c>
      <c r="F74" s="30">
        <f t="shared" si="4"/>
        <v>-0.76449489350259936</v>
      </c>
      <c r="G74" s="31">
        <f>SUM('1st Qtr'!G74, '2nd Qtr'!G74, '3rd Qtr'!G74, '4th Qtr'!G74)</f>
        <v>0</v>
      </c>
      <c r="H74" s="31">
        <f>SUM('1st Qtr'!H74, '2nd Qtr'!H74, '3rd Qtr'!H74, '4th Qtr'!H74)</f>
        <v>21712</v>
      </c>
      <c r="I74" s="32" t="str">
        <f t="shared" si="5"/>
        <v/>
      </c>
    </row>
    <row r="75" spans="1:9" ht="15.6">
      <c r="A75" s="33" t="str">
        <v>CA: Stockton - SUSD - Peyton</v>
      </c>
      <c r="B75" s="34" t="str">
        <v>CA</v>
      </c>
      <c r="C75" s="35">
        <f>SUM('1st Qtr'!C75, '2nd Qtr'!C75, '3rd Qtr'!C75, '4th Qtr'!C75)</f>
        <v>195324</v>
      </c>
      <c r="D75" s="35">
        <f>SUM('1st Qtr'!D75, '2nd Qtr'!D75, '3rd Qtr'!D75, '4th Qtr'!D75)</f>
        <v>236001.58</v>
      </c>
      <c r="E75" s="36">
        <f t="shared" si="6"/>
        <v>-40677.579999999987</v>
      </c>
      <c r="F75" s="37">
        <f t="shared" si="4"/>
        <v>-0.17236147317318803</v>
      </c>
      <c r="G75" s="38">
        <f>SUM('1st Qtr'!G75, '2nd Qtr'!G75, '3rd Qtr'!G75, '4th Qtr'!G75)</f>
        <v>233538.84</v>
      </c>
      <c r="H75" s="38">
        <f>SUM('1st Qtr'!H75, '2nd Qtr'!H75, '3rd Qtr'!H75, '4th Qtr'!H75)</f>
        <v>-38214.839999999997</v>
      </c>
      <c r="I75" s="37">
        <f t="shared" si="5"/>
        <v>-0.16363376644330338</v>
      </c>
    </row>
    <row r="76" spans="1:9" ht="15.6">
      <c r="A76" s="26" t="str">
        <v>TX: Barnhart - 42917 Ranch RD 2469</v>
      </c>
      <c r="B76" s="27" t="str">
        <v>TX</v>
      </c>
      <c r="C76" s="28">
        <f>SUM('1st Qtr'!C76, '2nd Qtr'!C76, '3rd Qtr'!C76, '4th Qtr'!C76)</f>
        <v>916930</v>
      </c>
      <c r="D76" s="29">
        <f>SUM('1st Qtr'!D76, '2nd Qtr'!D76, '3rd Qtr'!D76, '4th Qtr'!D76)</f>
        <v>1025260.6</v>
      </c>
      <c r="E76" s="29">
        <f t="shared" si="6"/>
        <v>-108330.59999999998</v>
      </c>
      <c r="F76" s="30">
        <f t="shared" si="4"/>
        <v>-0.10566152644508135</v>
      </c>
      <c r="G76" s="31">
        <f>SUM('1st Qtr'!G76, '2nd Qtr'!G76, '3rd Qtr'!G76, '4th Qtr'!G76)</f>
        <v>969001.7</v>
      </c>
      <c r="H76" s="31">
        <f>SUM('1st Qtr'!H76, '2nd Qtr'!H76, '3rd Qtr'!H76, '4th Qtr'!H76)</f>
        <v>-52071.700000000012</v>
      </c>
      <c r="I76" s="32">
        <f t="shared" si="5"/>
        <v>-5.3737470223220472E-2</v>
      </c>
    </row>
    <row r="77" spans="1:9" ht="15.6">
      <c r="A77" s="33" t="str">
        <v>AZ: San Manuel - Senior &amp; Junior HS</v>
      </c>
      <c r="B77" s="34" t="str">
        <v>AZ</v>
      </c>
      <c r="C77" s="35">
        <f>SUM('1st Qtr'!C77, '2nd Qtr'!C77, '3rd Qtr'!C77, '4th Qtr'!C77)</f>
        <v>135856</v>
      </c>
      <c r="D77" s="35">
        <f>SUM('1st Qtr'!D77, '2nd Qtr'!D77, '3rd Qtr'!D77, '4th Qtr'!D77)</f>
        <v>0</v>
      </c>
      <c r="E77" s="36">
        <f t="shared" si="6"/>
        <v>135856</v>
      </c>
      <c r="F77" s="37" t="str">
        <f t="shared" si="4"/>
        <v/>
      </c>
      <c r="G77" s="38">
        <f>SUM('1st Qtr'!G77, '2nd Qtr'!G77, '3rd Qtr'!G77, '4th Qtr'!G77)</f>
        <v>174320</v>
      </c>
      <c r="H77" s="38">
        <f>SUM('1st Qtr'!H77, '2nd Qtr'!H77, '3rd Qtr'!H77, '4th Qtr'!H77)</f>
        <v>-38464</v>
      </c>
      <c r="I77" s="37">
        <f t="shared" si="5"/>
        <v>-0.22065167508031208</v>
      </c>
    </row>
    <row r="78" spans="1:9" ht="15.6">
      <c r="A78" s="26" t="str">
        <v>AZ: Sierra Vista - Colonel Smith MS</v>
      </c>
      <c r="B78" s="27" t="str">
        <v>AZ</v>
      </c>
      <c r="C78" s="28">
        <f>SUM('1st Qtr'!C78, '2nd Qtr'!C78, '3rd Qtr'!C78, '4th Qtr'!C78)</f>
        <v>146510</v>
      </c>
      <c r="D78" s="29">
        <f>SUM('1st Qtr'!D78, '2nd Qtr'!D78, '3rd Qtr'!D78, '4th Qtr'!D78)</f>
        <v>246172.73</v>
      </c>
      <c r="E78" s="29">
        <f t="shared" si="6"/>
        <v>-99662.73000000001</v>
      </c>
      <c r="F78" s="30">
        <f t="shared" si="4"/>
        <v>-0.40484878239762789</v>
      </c>
      <c r="G78" s="31">
        <f>SUM('1st Qtr'!G78, '2nd Qtr'!G78, '3rd Qtr'!G78, '4th Qtr'!G78)</f>
        <v>216363.59</v>
      </c>
      <c r="H78" s="31">
        <f>SUM('1st Qtr'!H78, '2nd Qtr'!H78, '3rd Qtr'!H78, '4th Qtr'!H78)</f>
        <v>-69853.59</v>
      </c>
      <c r="I78" s="32">
        <f t="shared" si="5"/>
        <v>-0.32285279607349832</v>
      </c>
    </row>
    <row r="79" spans="1:9" ht="15.6">
      <c r="A79" s="33" t="str">
        <v>AZ: Sierra Vista - Colonel Johnston ES</v>
      </c>
      <c r="B79" s="34" t="str">
        <v>AZ</v>
      </c>
      <c r="C79" s="35">
        <f>SUM('1st Qtr'!C79, '2nd Qtr'!C79, '3rd Qtr'!C79, '4th Qtr'!C79)</f>
        <v>47970</v>
      </c>
      <c r="D79" s="35">
        <f>SUM('1st Qtr'!D79, '2nd Qtr'!D79, '3rd Qtr'!D79, '4th Qtr'!D79)</f>
        <v>82524.98</v>
      </c>
      <c r="E79" s="36">
        <f t="shared" si="6"/>
        <v>-34554.979999999996</v>
      </c>
      <c r="F79" s="37">
        <f t="shared" si="4"/>
        <v>-0.41872145864197724</v>
      </c>
      <c r="G79" s="38">
        <f>SUM('1st Qtr'!G79, '2nd Qtr'!G79, '3rd Qtr'!G79, '4th Qtr'!G79)</f>
        <v>71667.849999999991</v>
      </c>
      <c r="H79" s="38">
        <f>SUM('1st Qtr'!H79, '2nd Qtr'!H79, '3rd Qtr'!H79, '4th Qtr'!H79)</f>
        <v>-23697.85</v>
      </c>
      <c r="I79" s="37">
        <f t="shared" si="5"/>
        <v>-0.33066221464715351</v>
      </c>
    </row>
    <row r="80" spans="1:9" ht="15.6">
      <c r="A80" s="26" t="str">
        <v>NH: Dover - Dover HS</v>
      </c>
      <c r="B80" s="27" t="str">
        <v>NH</v>
      </c>
      <c r="C80" s="28">
        <f>SUM('1st Qtr'!C80, '2nd Qtr'!C80, '3rd Qtr'!C80, '4th Qtr'!C80)</f>
        <v>355937</v>
      </c>
      <c r="D80" s="29">
        <f>SUM('1st Qtr'!D80, '2nd Qtr'!D80, '3rd Qtr'!D80, '4th Qtr'!D80)</f>
        <v>503850.08</v>
      </c>
      <c r="E80" s="29">
        <f t="shared" si="6"/>
        <v>-147913.08000000002</v>
      </c>
      <c r="F80" s="30">
        <f t="shared" si="4"/>
        <v>-0.29356565746699892</v>
      </c>
      <c r="G80" s="31">
        <f>SUM('1st Qtr'!G80, '2nd Qtr'!G80, '3rd Qtr'!G80, '4th Qtr'!G80)</f>
        <v>439815.54000000004</v>
      </c>
      <c r="H80" s="31">
        <f>SUM('1st Qtr'!H80, '2nd Qtr'!H80, '3rd Qtr'!H80, '4th Qtr'!H80)</f>
        <v>-83878.540000000008</v>
      </c>
      <c r="I80" s="32">
        <f t="shared" si="5"/>
        <v>-0.19071299754437962</v>
      </c>
    </row>
    <row r="81" spans="1:9" ht="15.6">
      <c r="A81" s="33" t="str">
        <v>MA: Somerville - 30 Inner Belt Rd</v>
      </c>
      <c r="B81" s="34" t="str">
        <v>MA</v>
      </c>
      <c r="C81" s="35">
        <f>SUM('1st Qtr'!C81, '2nd Qtr'!C81, '3rd Qtr'!C81, '4th Qtr'!C81)</f>
        <v>353082.5</v>
      </c>
      <c r="D81" s="35">
        <f>SUM('1st Qtr'!D81, '2nd Qtr'!D81, '3rd Qtr'!D81, '4th Qtr'!D81)</f>
        <v>343491.76</v>
      </c>
      <c r="E81" s="36">
        <f t="shared" si="6"/>
        <v>9590.7399999999907</v>
      </c>
      <c r="F81" s="37">
        <f t="shared" si="4"/>
        <v>2.7921310252100342E-2</v>
      </c>
      <c r="G81" s="38">
        <f>SUM('1st Qtr'!G81, '2nd Qtr'!G81, '3rd Qtr'!G81, '4th Qtr'!G81)</f>
        <v>632085.57999999996</v>
      </c>
      <c r="H81" s="38">
        <f>SUM('1st Qtr'!H81, '2nd Qtr'!H81, '3rd Qtr'!H81, '4th Qtr'!H81)</f>
        <v>-279003.07999999996</v>
      </c>
      <c r="I81" s="37">
        <f t="shared" si="5"/>
        <v>-0.44140079892346218</v>
      </c>
    </row>
    <row r="82" spans="1:9" ht="15.6">
      <c r="A82" s="26" t="str">
        <v>MA: Boxborough - 1414 Massachusetts Ave</v>
      </c>
      <c r="B82" s="27" t="str">
        <v>MA</v>
      </c>
      <c r="C82" s="28">
        <f>SUM('1st Qtr'!C82, '2nd Qtr'!C82, '3rd Qtr'!C82, '4th Qtr'!C82)</f>
        <v>2636480.0105889002</v>
      </c>
      <c r="D82" s="29">
        <f>SUM('1st Qtr'!D82, '2nd Qtr'!D82, '3rd Qtr'!D82, '4th Qtr'!D82)</f>
        <v>898298.89999999991</v>
      </c>
      <c r="E82" s="29">
        <f t="shared" si="6"/>
        <v>1738181.1105889003</v>
      </c>
      <c r="F82" s="30">
        <f t="shared" si="4"/>
        <v>1.9349696527390832</v>
      </c>
      <c r="G82" s="31">
        <f>SUM('1st Qtr'!G82, '2nd Qtr'!G82, '3rd Qtr'!G82, '4th Qtr'!G82)</f>
        <v>2696700</v>
      </c>
      <c r="H82" s="31">
        <f>SUM('1st Qtr'!H82, '2nd Qtr'!H82, '3rd Qtr'!H82, '4th Qtr'!H82)</f>
        <v>-60219.989411100047</v>
      </c>
      <c r="I82" s="32">
        <f t="shared" si="5"/>
        <v>-2.2330993218044295E-2</v>
      </c>
    </row>
    <row r="83" spans="1:9" ht="15.6">
      <c r="A83" s="33" t="str">
        <v>NY: Amsterdam - 153 NY Route 67</v>
      </c>
      <c r="B83" s="34" t="str">
        <v>NY</v>
      </c>
      <c r="C83" s="35">
        <f>SUM('1st Qtr'!C83, '2nd Qtr'!C83, '3rd Qtr'!C83, '4th Qtr'!C83)</f>
        <v>1446630</v>
      </c>
      <c r="D83" s="35">
        <f>SUM('1st Qtr'!D83, '2nd Qtr'!D83, '3rd Qtr'!D83, '4th Qtr'!D83)</f>
        <v>1154707.6000000001</v>
      </c>
      <c r="E83" s="36">
        <f t="shared" si="6"/>
        <v>291922.39999999991</v>
      </c>
      <c r="F83" s="37">
        <f t="shared" si="4"/>
        <v>0.25281066825921983</v>
      </c>
      <c r="G83" s="38">
        <f>SUM('1st Qtr'!G83, '2nd Qtr'!G83, '3rd Qtr'!G83, '4th Qtr'!G83)</f>
        <v>1362708.6</v>
      </c>
      <c r="H83" s="38">
        <f>SUM('1st Qtr'!H83, '2nd Qtr'!H83, '3rd Qtr'!H83, '4th Qtr'!H83)</f>
        <v>83921.400000000023</v>
      </c>
      <c r="I83" s="37">
        <f t="shared" si="5"/>
        <v>6.1584259466770826E-2</v>
      </c>
    </row>
    <row r="84" spans="1:9" ht="15.6">
      <c r="A84" s="26" t="str">
        <v>CA: San Jose - GE Mobile Water</v>
      </c>
      <c r="B84" s="27" t="str">
        <v>CA</v>
      </c>
      <c r="C84" s="28">
        <f>SUM('1st Qtr'!C84, '2nd Qtr'!C84, '3rd Qtr'!C84, '4th Qtr'!C84)</f>
        <v>97800</v>
      </c>
      <c r="D84" s="29">
        <f>SUM('1st Qtr'!D84, '2nd Qtr'!D84, '3rd Qtr'!D84, '4th Qtr'!D84)</f>
        <v>110309.045</v>
      </c>
      <c r="E84" s="29">
        <f t="shared" si="6"/>
        <v>-12509.044999999998</v>
      </c>
      <c r="F84" s="30">
        <f t="shared" si="4"/>
        <v>-0.11339999362699585</v>
      </c>
      <c r="G84" s="31">
        <f>SUM('1st Qtr'!G84, '2nd Qtr'!G84, '3rd Qtr'!G84, '4th Qtr'!G84)</f>
        <v>113333.042</v>
      </c>
      <c r="H84" s="31">
        <f>SUM('1st Qtr'!H84, '2nd Qtr'!H84, '3rd Qtr'!H84, '4th Qtr'!H84)</f>
        <v>-15533.042000000001</v>
      </c>
      <c r="I84" s="32">
        <f t="shared" si="5"/>
        <v>-0.13705660525727353</v>
      </c>
    </row>
    <row r="85" spans="1:9" ht="15.6">
      <c r="A85" s="33" t="str">
        <v>NY: Rome - 7776 Tannery RD</v>
      </c>
      <c r="B85" s="34" t="str">
        <v>NY</v>
      </c>
      <c r="C85" s="35">
        <f>SUM('1st Qtr'!C85, '2nd Qtr'!C85, '3rd Qtr'!C85, '4th Qtr'!C85)</f>
        <v>1355367.8122866899</v>
      </c>
      <c r="D85" s="35">
        <f>SUM('1st Qtr'!D85, '2nd Qtr'!D85, '3rd Qtr'!D85, '4th Qtr'!D85)</f>
        <v>1483213.7</v>
      </c>
      <c r="E85" s="36">
        <f t="shared" si="6"/>
        <v>-127845.88771331008</v>
      </c>
      <c r="F85" s="37">
        <f t="shared" si="4"/>
        <v>-8.6195190695251861E-2</v>
      </c>
      <c r="G85" s="38">
        <f>SUM('1st Qtr'!G85, '2nd Qtr'!G85, '3rd Qtr'!G85, '4th Qtr'!G85)</f>
        <v>1424070.7999999998</v>
      </c>
      <c r="H85" s="38">
        <f>SUM('1st Qtr'!H85, '2nd Qtr'!H85, '3rd Qtr'!H85, '4th Qtr'!H85)</f>
        <v>-68702.987713309936</v>
      </c>
      <c r="I85" s="37">
        <f t="shared" si="5"/>
        <v>-4.8244081483385479E-2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25" activePane="bottomRight" state="frozen"/>
      <selection pane="bottomRight" activeCell="L30" sqref="L3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8" t="str" cm="1">
        <f t="array" ref="A1">portfolio</f>
        <v>Clean Capital</v>
      </c>
      <c r="B1" s="118"/>
      <c r="C1" s="118"/>
      <c r="D1" s="119" t="s">
        <v>10</v>
      </c>
      <c r="E1" s="119"/>
      <c r="F1" s="119"/>
      <c r="G1" s="117" t="s">
        <v>11</v>
      </c>
      <c r="H1" s="117"/>
      <c r="I1" s="117"/>
    </row>
    <row r="2" spans="1:9" ht="19.5" customHeight="1">
      <c r="A2" s="120" t="s">
        <v>2</v>
      </c>
      <c r="B2" s="120"/>
      <c r="C2" s="5">
        <f>SUM(C4:C179)</f>
        <v>1827946.6861654297</v>
      </c>
      <c r="D2" s="5">
        <f>SUM(D4:D179)</f>
        <v>0</v>
      </c>
      <c r="E2" s="5">
        <f>C2-D2</f>
        <v>1827946.6861654297</v>
      </c>
      <c r="F2" s="6">
        <f>IFERROR(E2/D2, 0)</f>
        <v>0</v>
      </c>
      <c r="G2" s="5">
        <f>SUM(G4:G179)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40" activePane="bottomRight" state="frozen"/>
      <selection pane="bottomRight" activeCell="G2" sqref="G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8" t="str" cm="1">
        <f t="array" ref="A1">portfolio</f>
        <v>Clean Capital</v>
      </c>
      <c r="B1" s="118"/>
      <c r="C1" s="118"/>
      <c r="D1" s="119" t="s">
        <v>12</v>
      </c>
      <c r="E1" s="119"/>
      <c r="F1" s="119"/>
      <c r="G1" s="117" t="s">
        <v>13</v>
      </c>
      <c r="H1" s="117"/>
      <c r="I1" s="117"/>
    </row>
    <row r="2" spans="1:9" ht="19.5" customHeight="1">
      <c r="A2" s="120" t="s">
        <v>2</v>
      </c>
      <c r="B2" s="120"/>
      <c r="C2" s="5">
        <f>SUM(C4:C179)</f>
        <v>8113968.152199164</v>
      </c>
      <c r="D2" s="5">
        <f>SUM(D4:D179)</f>
        <v>3491701.9215977946</v>
      </c>
      <c r="E2" s="5">
        <f>C2-D2</f>
        <v>4622266.2306013694</v>
      </c>
      <c r="F2" s="6">
        <f>IFERROR(E2/D2, 0)</f>
        <v>1.3237860316799983</v>
      </c>
      <c r="G2" s="5">
        <f>SUM(G4:G179)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81" activePane="bottomRight" state="frozen"/>
      <selection pane="bottomRight" activeCell="G2" sqref="G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8" t="str" cm="1">
        <f t="array" ref="A1">portfolio</f>
        <v>Clean Capital</v>
      </c>
      <c r="B1" s="118"/>
      <c r="C1" s="118"/>
      <c r="D1" s="119" t="s">
        <v>14</v>
      </c>
      <c r="E1" s="119"/>
      <c r="F1" s="119"/>
      <c r="G1" s="117" t="s">
        <v>15</v>
      </c>
      <c r="H1" s="117"/>
      <c r="I1" s="117"/>
    </row>
    <row r="2" spans="1:9" ht="19.5" customHeight="1">
      <c r="A2" s="120" t="s">
        <v>2</v>
      </c>
      <c r="B2" s="120"/>
      <c r="C2" s="5">
        <f>SUM(C4:C179)</f>
        <v>17176529.219980378</v>
      </c>
      <c r="D2" s="5">
        <f>SUM(D4:D179)</f>
        <v>11534670.218776362</v>
      </c>
      <c r="E2" s="5">
        <f>C2-D2</f>
        <v>5641859.0012040157</v>
      </c>
      <c r="F2" s="6">
        <f>IFERROR(E2/D2, 0)</f>
        <v>0.4891218295968347</v>
      </c>
      <c r="G2" s="5">
        <f>SUM(G4:G179)</f>
        <v>19588978.453999996</v>
      </c>
      <c r="H2" s="7">
        <f>C2-G2</f>
        <v>-2412449.2340196185</v>
      </c>
      <c r="I2" s="6">
        <f>IFERROR(H2/G2, 0)</f>
        <v>-0.12315339667582335</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125988.8</v>
      </c>
      <c r="D4" s="29">
        <f>SUM(Jul!D4, Aug!D4, Sep!D4)</f>
        <v>0</v>
      </c>
      <c r="E4" s="29">
        <f>IF(AND(ISNUMBER(C4),ISNUMBER(D4)), C4-D4, "")</f>
        <v>125988.8</v>
      </c>
      <c r="F4" s="30" t="str">
        <f>IFERROR(E4/D4, "")</f>
        <v/>
      </c>
      <c r="G4" s="31">
        <f>SUM(Jul!G4,Aug!G4,Sep!G4)</f>
        <v>0</v>
      </c>
      <c r="H4" s="31">
        <f>SUM(Jul!H4, Aug!H4, Sep!H4)</f>
        <v>0</v>
      </c>
      <c r="I4" s="32" t="str">
        <f>IFERROR(H4/G4, "")</f>
        <v/>
      </c>
    </row>
    <row r="5" spans="1:9" ht="15.6">
      <c r="A5" s="48" t="str">
        <v>Pacoima - Whiteman Airport</v>
      </c>
      <c r="B5" s="34" t="str">
        <v>CA</v>
      </c>
      <c r="C5" s="35">
        <f>SUM(Jul!C5, Aug!C5, Sep!C5)</f>
        <v>69837.100000000006</v>
      </c>
      <c r="D5" s="36">
        <f>SUM(Jul!D5, Aug!D5, Sep!D5)</f>
        <v>0</v>
      </c>
      <c r="E5" s="36">
        <f t="shared" ref="E5:E7" si="0">IF(AND(ISNUMBER(C5),ISNUMBER(D5)), C5-D5, "")</f>
        <v>69837.100000000006</v>
      </c>
      <c r="F5" s="37" t="str">
        <f>IFERROR(E5/D5, "")</f>
        <v/>
      </c>
      <c r="G5" s="38">
        <f>SUM(Jul!G5,Aug!G5,Sep!G5)</f>
        <v>134818.9</v>
      </c>
      <c r="H5" s="38">
        <f>SUM(Jul!H5, Aug!H5, Sep!H5)</f>
        <v>-64981.8</v>
      </c>
      <c r="I5" s="37">
        <f>IFERROR(H5/G5, "")</f>
        <v>-0.48199325168800522</v>
      </c>
    </row>
    <row r="6" spans="1:9" ht="15.6">
      <c r="A6" s="47" t="str">
        <v>Hyannis - Sturgis Charter School</v>
      </c>
      <c r="B6" s="27" t="str">
        <v>MA</v>
      </c>
      <c r="C6" s="28">
        <f>SUM(Jul!C6, Aug!C6, Sep!C6)</f>
        <v>106190.09509</v>
      </c>
      <c r="D6" s="29">
        <f>SUM(Jul!D6, Aug!D6, Sep!D6)</f>
        <v>0</v>
      </c>
      <c r="E6" s="29">
        <f t="shared" si="0"/>
        <v>106190.09509</v>
      </c>
      <c r="F6" s="30" t="str">
        <f t="shared" ref="F6:F7" si="1">IFERROR(E6/D6, "")</f>
        <v/>
      </c>
      <c r="G6" s="31">
        <f>SUM(Jul!G6,Aug!G6,Sep!G6)</f>
        <v>97999.08</v>
      </c>
      <c r="H6" s="31">
        <f>SUM(Jul!H6, Aug!H6, Sep!H6)</f>
        <v>8191.0150899999971</v>
      </c>
      <c r="I6" s="32">
        <f t="shared" ref="I6:I7" si="2">IFERROR(H6/G6, "")</f>
        <v>8.3582571285363061E-2</v>
      </c>
    </row>
    <row r="7" spans="1:9" ht="15.6">
      <c r="A7" s="48" t="str">
        <v>South Dennis - Tony Kent Arena</v>
      </c>
      <c r="B7" s="34" t="str">
        <v>MA</v>
      </c>
      <c r="C7" s="35">
        <f>SUM(Jul!C7, Aug!C7, Sep!C7)</f>
        <v>120140.6</v>
      </c>
      <c r="D7" s="36">
        <f>SUM(Jul!D7, Aug!D7, Sep!D7)</f>
        <v>0</v>
      </c>
      <c r="E7" s="36">
        <f t="shared" si="0"/>
        <v>120140.6</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141425.5</v>
      </c>
      <c r="D8" s="29">
        <f>SUM(Jul!D8, Aug!D8, Sep!D8)</f>
        <v>0</v>
      </c>
      <c r="E8" s="29">
        <f t="shared" ref="E8:E46" si="3">IF(AND(ISNUMBER(C8),ISNUMBER(D8)), C8-D8, "")</f>
        <v>141425.5</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504186.09597857099</v>
      </c>
      <c r="D9" s="36">
        <f>SUM(Jul!D9, Aug!D9, Sep!D9)</f>
        <v>0</v>
      </c>
      <c r="E9" s="36">
        <f t="shared" si="3"/>
        <v>504186.09597857099</v>
      </c>
      <c r="F9" s="71" t="str">
        <f t="shared" si="4"/>
        <v/>
      </c>
      <c r="G9" s="72">
        <f>SUM(Jul!G9,Aug!G9,Sep!G9)</f>
        <v>572348.9</v>
      </c>
      <c r="H9" s="72">
        <f>SUM(Jul!H9, Aug!H9, Sep!H9)</f>
        <v>-68162.804021429038</v>
      </c>
      <c r="I9" s="71">
        <f t="shared" si="5"/>
        <v>-0.1190930986701102</v>
      </c>
    </row>
    <row r="10" spans="1:9" ht="15.6">
      <c r="A10" s="47" t="str">
        <v>Zumbrota - Eastlake Brenda Luhman</v>
      </c>
      <c r="B10" s="27" t="str">
        <v>MN</v>
      </c>
      <c r="C10" s="28">
        <f>SUM(Jul!C10, Aug!C10, Sep!C10)</f>
        <v>575157</v>
      </c>
      <c r="D10" s="29">
        <f>SUM(Jul!D10, Aug!D10, Sep!D10)</f>
        <v>0</v>
      </c>
      <c r="E10" s="29">
        <f t="shared" si="3"/>
        <v>575157</v>
      </c>
      <c r="F10" s="30" t="str">
        <f t="shared" si="4"/>
        <v/>
      </c>
      <c r="G10" s="31">
        <f>SUM(Jul!G10,Aug!G10,Sep!G10)</f>
        <v>556918.5</v>
      </c>
      <c r="H10" s="31">
        <f>SUM(Jul!H10, Aug!H10, Sep!H10)</f>
        <v>18238.500000000029</v>
      </c>
      <c r="I10" s="32">
        <f t="shared" si="5"/>
        <v>3.2748956983831616E-2</v>
      </c>
    </row>
    <row r="11" spans="1:9" ht="15.6">
      <c r="A11" s="48" t="str">
        <v>Cokato - Eastlake Carlson</v>
      </c>
      <c r="B11" s="34" t="str">
        <v>MN</v>
      </c>
      <c r="C11" s="35">
        <f>SUM(Jul!C11, Aug!C11, Sep!C11)</f>
        <v>543099</v>
      </c>
      <c r="D11" s="36">
        <f>SUM(Jul!D11, Aug!D11, Sep!D11)</f>
        <v>0</v>
      </c>
      <c r="E11" s="36">
        <f t="shared" si="3"/>
        <v>543099</v>
      </c>
      <c r="F11" s="71" t="str">
        <f t="shared" si="4"/>
        <v/>
      </c>
      <c r="G11" s="72">
        <f>SUM(Jul!G11,Aug!G11,Sep!G11)</f>
        <v>604667.19999999995</v>
      </c>
      <c r="H11" s="72">
        <f>SUM(Jul!H11, Aug!H11, Sep!H11)</f>
        <v>-61568.199999999983</v>
      </c>
      <c r="I11" s="71">
        <f t="shared" si="5"/>
        <v>-0.10182163014630194</v>
      </c>
    </row>
    <row r="12" spans="1:9" ht="15.6">
      <c r="A12" s="47" t="str">
        <v>North Branch - Cornille 2</v>
      </c>
      <c r="B12" s="27" t="str">
        <v>MN</v>
      </c>
      <c r="C12" s="28">
        <f>SUM(Jul!C12, Aug!C12, Sep!C12)</f>
        <v>563255</v>
      </c>
      <c r="D12" s="29">
        <f>SUM(Jul!D12, Aug!D12, Sep!D12)</f>
        <v>0</v>
      </c>
      <c r="E12" s="29">
        <f t="shared" si="3"/>
        <v>563255</v>
      </c>
      <c r="F12" s="30" t="str">
        <f t="shared" si="4"/>
        <v/>
      </c>
      <c r="G12" s="31">
        <f>SUM(Jul!G12,Aug!G12,Sep!G12)</f>
        <v>570208</v>
      </c>
      <c r="H12" s="31">
        <f>SUM(Jul!H12, Aug!H12, Sep!H12)</f>
        <v>-6953</v>
      </c>
      <c r="I12" s="32">
        <f t="shared" si="5"/>
        <v>-1.2193795948145238E-2</v>
      </c>
    </row>
    <row r="13" spans="1:9" ht="15.6">
      <c r="A13" s="48" t="str">
        <v>Clear Lake - Eastlake Hammer</v>
      </c>
      <c r="B13" s="34" t="str">
        <v>MN</v>
      </c>
      <c r="C13" s="35">
        <f>SUM(Jul!C13, Aug!C13, Sep!C13)</f>
        <v>632010</v>
      </c>
      <c r="D13" s="36">
        <f>SUM(Jul!D13, Aug!D13, Sep!D13)</f>
        <v>0</v>
      </c>
      <c r="E13" s="36">
        <f t="shared" si="3"/>
        <v>632010</v>
      </c>
      <c r="F13" s="71" t="str">
        <f t="shared" si="4"/>
        <v/>
      </c>
      <c r="G13" s="72">
        <f>SUM(Jul!G13,Aug!G13,Sep!G13)</f>
        <v>695386.4</v>
      </c>
      <c r="H13" s="72">
        <f>SUM(Jul!H13, Aug!H13, Sep!H13)</f>
        <v>-63376.399999999994</v>
      </c>
      <c r="I13" s="71">
        <f t="shared" si="5"/>
        <v>-9.1138394423589522E-2</v>
      </c>
    </row>
    <row r="14" spans="1:9" ht="15.6">
      <c r="A14" s="47" t="str">
        <v>Eastlake - Hertzberg CSG 1</v>
      </c>
      <c r="B14" s="27" t="str">
        <v>MN</v>
      </c>
      <c r="C14" s="28">
        <f>SUM(Jul!C14, Aug!C14, Sep!C14)</f>
        <v>535713.77470000007</v>
      </c>
      <c r="D14" s="29">
        <f>SUM(Jul!D14, Aug!D14, Sep!D14)</f>
        <v>0</v>
      </c>
      <c r="E14" s="29">
        <f t="shared" si="3"/>
        <v>535713.77470000007</v>
      </c>
      <c r="F14" s="30" t="str">
        <f t="shared" si="4"/>
        <v/>
      </c>
      <c r="G14" s="31">
        <f>SUM(Jul!G14,Aug!G14,Sep!G14)</f>
        <v>702968.21499999997</v>
      </c>
      <c r="H14" s="31">
        <f>SUM(Jul!H14, Aug!H14, Sep!H14)</f>
        <v>-167254.44029999999</v>
      </c>
      <c r="I14" s="32">
        <f t="shared" si="5"/>
        <v>-0.23792603524755382</v>
      </c>
    </row>
    <row r="15" spans="1:9" ht="15.6">
      <c r="A15" s="48" t="str">
        <v>Cokato - Eastlake Laurel Village</v>
      </c>
      <c r="B15" s="34" t="str">
        <v>MN</v>
      </c>
      <c r="C15" s="35">
        <f>SUM(Jul!C15, Aug!C15, Sep!C15)</f>
        <v>624307.94999999995</v>
      </c>
      <c r="D15" s="36">
        <f>SUM(Jul!D15, Aug!D15, Sep!D15)</f>
        <v>0</v>
      </c>
      <c r="E15" s="36">
        <f t="shared" si="3"/>
        <v>624307.94999999995</v>
      </c>
      <c r="F15" s="71" t="str">
        <f t="shared" si="4"/>
        <v/>
      </c>
      <c r="G15" s="72">
        <f>SUM(Jul!G15,Aug!G15,Sep!G15)</f>
        <v>685835.7</v>
      </c>
      <c r="H15" s="72">
        <f>SUM(Jul!H15, Aug!H15, Sep!H15)</f>
        <v>-61527.75</v>
      </c>
      <c r="I15" s="71">
        <f t="shared" si="5"/>
        <v>-8.9712084104108317E-2</v>
      </c>
    </row>
    <row r="16" spans="1:9" ht="15.6">
      <c r="A16" s="47" t="str">
        <v>St. Peter - Eastlake Paulson</v>
      </c>
      <c r="B16" s="27" t="str">
        <v>MN</v>
      </c>
      <c r="C16" s="28">
        <f>SUM(Jul!C16, Aug!C16, Sep!C16)</f>
        <v>571528.15164141497</v>
      </c>
      <c r="D16" s="29">
        <f>SUM(Jul!D16, Aug!D16, Sep!D16)</f>
        <v>0</v>
      </c>
      <c r="E16" s="29">
        <f t="shared" si="3"/>
        <v>571528.15164141497</v>
      </c>
      <c r="F16" s="30" t="str">
        <f t="shared" si="4"/>
        <v/>
      </c>
      <c r="G16" s="31">
        <f>SUM(Jul!G16,Aug!G16,Sep!G16)</f>
        <v>618414.4</v>
      </c>
      <c r="H16" s="31">
        <f>SUM(Jul!H16, Aug!H16, Sep!H16)</f>
        <v>-46886.248358584999</v>
      </c>
      <c r="I16" s="32">
        <f t="shared" si="5"/>
        <v>-7.5816876771603314E-2</v>
      </c>
    </row>
    <row r="17" spans="1:9" ht="15.6">
      <c r="A17" s="48" t="str">
        <v>Felician Sisters Convent</v>
      </c>
      <c r="B17" s="34" t="str">
        <v>NJ</v>
      </c>
      <c r="C17" s="35">
        <f>SUM(Jul!C17, Aug!C17, Sep!C17)</f>
        <v>12853.099999999999</v>
      </c>
      <c r="D17" s="36">
        <f>SUM(Jul!D17, Aug!D17, Sep!D17)</f>
        <v>0</v>
      </c>
      <c r="E17" s="36">
        <f t="shared" si="3"/>
        <v>12853.099999999999</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172876.76</v>
      </c>
      <c r="D18" s="29">
        <f>SUM(Jul!D18, Aug!D18, Sep!D18)</f>
        <v>0</v>
      </c>
      <c r="E18" s="29">
        <f t="shared" si="3"/>
        <v>172876.76</v>
      </c>
      <c r="F18" s="30" t="str">
        <f t="shared" si="4"/>
        <v/>
      </c>
      <c r="G18" s="31">
        <f>SUM(Jul!G18,Aug!G18,Sep!G18)</f>
        <v>0</v>
      </c>
      <c r="H18" s="31">
        <f>SUM(Jul!H18, Aug!H18, Sep!H18)</f>
        <v>0</v>
      </c>
      <c r="I18" s="32" t="str">
        <f t="shared" si="5"/>
        <v/>
      </c>
    </row>
    <row r="19" spans="1:9" ht="15.6">
      <c r="A19" s="48" t="str">
        <v>Gateway Church</v>
      </c>
      <c r="B19" s="34" t="str">
        <v>NJ</v>
      </c>
      <c r="C19" s="35">
        <f>SUM(Jul!C19, Aug!C19, Sep!C19)</f>
        <v>93100</v>
      </c>
      <c r="D19" s="36">
        <f>SUM(Jul!D19, Aug!D19, Sep!D19)</f>
        <v>0</v>
      </c>
      <c r="E19" s="36">
        <f t="shared" si="3"/>
        <v>93100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139960</v>
      </c>
      <c r="D20" s="29">
        <f>SUM(Jul!D20, Aug!D20, Sep!D20)</f>
        <v>0</v>
      </c>
      <c r="E20" s="29">
        <f t="shared" si="3"/>
        <v>139960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13905.8</v>
      </c>
      <c r="D21" s="36">
        <f>SUM(Jul!D21, Aug!D21, Sep!D21)</f>
        <v>0</v>
      </c>
      <c r="E21" s="36">
        <f t="shared" si="3"/>
        <v>13905.8</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46313</v>
      </c>
      <c r="D22" s="29">
        <f>SUM(Jul!D22, Aug!D22, Sep!D22)</f>
        <v>0</v>
      </c>
      <c r="E22" s="29">
        <f t="shared" si="3"/>
        <v>46313</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25779.57</v>
      </c>
      <c r="D23" s="36">
        <f>SUM(Jul!D23, Aug!D23, Sep!D23)</f>
        <v>0</v>
      </c>
      <c r="E23" s="36">
        <f t="shared" si="3"/>
        <v>25779.57</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36451.300000000003</v>
      </c>
      <c r="D24" s="29">
        <f>SUM(Jul!D24, Aug!D24, Sep!D24)</f>
        <v>0</v>
      </c>
      <c r="E24" s="29">
        <f t="shared" si="3"/>
        <v>36451.300000000003</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592023.95400000003</v>
      </c>
      <c r="D25" s="36">
        <f>SUM(Jul!D25, Aug!D25, Sep!D25)</f>
        <v>0</v>
      </c>
      <c r="E25" s="36">
        <f t="shared" si="3"/>
        <v>592023.95400000003</v>
      </c>
      <c r="F25" s="71" t="str">
        <f t="shared" si="4"/>
        <v/>
      </c>
      <c r="G25" s="72">
        <f>SUM(Jul!G25,Aug!G25,Sep!G25)</f>
        <v>1150681.7000000002</v>
      </c>
      <c r="H25" s="72">
        <f>SUM(Jul!H25, Aug!H25, Sep!H25)</f>
        <v>-558657.74600000004</v>
      </c>
      <c r="I25" s="71">
        <f t="shared" si="5"/>
        <v>-0.48550154747398866</v>
      </c>
    </row>
    <row r="26" spans="1:9" ht="15.6">
      <c r="A26" s="47" t="str">
        <v>Taos County - Kit Carson Electric Co-Op</v>
      </c>
      <c r="B26" s="27" t="str">
        <v>NM</v>
      </c>
      <c r="C26" s="28">
        <f>SUM(Jul!C26, Aug!C26, Sep!C26)</f>
        <v>875120</v>
      </c>
      <c r="D26" s="29">
        <f>SUM(Jul!D26, Aug!D26, Sep!D26)</f>
        <v>636069.30000000005</v>
      </c>
      <c r="E26" s="29">
        <f t="shared" si="3"/>
        <v>239050.69999999995</v>
      </c>
      <c r="F26" s="30">
        <f t="shared" si="4"/>
        <v>0.37582492976787268</v>
      </c>
      <c r="G26" s="31">
        <f>SUM(Jul!G26,Aug!G26,Sep!G26)</f>
        <v>576091.69999999995</v>
      </c>
      <c r="H26" s="31">
        <f>SUM(Jul!H26, Aug!H26, Sep!H26)</f>
        <v>299028.3</v>
      </c>
      <c r="I26" s="32">
        <f t="shared" si="5"/>
        <v>0.51906371850175936</v>
      </c>
    </row>
    <row r="27" spans="1:9" ht="15.6">
      <c r="A27" s="48" t="str">
        <v>Commerce City - Adams City HS</v>
      </c>
      <c r="B27" s="34" t="str">
        <v>CO</v>
      </c>
      <c r="C27" s="35">
        <f>SUM(Jul!C27, Aug!C27, Sep!C27)</f>
        <v>44635</v>
      </c>
      <c r="D27" s="36">
        <f>SUM(Jul!D27, Aug!D27, Sep!D27)</f>
        <v>37435.89</v>
      </c>
      <c r="E27" s="36">
        <f t="shared" si="3"/>
        <v>7199.1100000000006</v>
      </c>
      <c r="F27" s="71">
        <f t="shared" si="4"/>
        <v>0.19230503134825966</v>
      </c>
      <c r="G27" s="72">
        <f>SUM(Jul!G27,Aug!G27,Sep!G27)</f>
        <v>41243.79</v>
      </c>
      <c r="H27" s="72">
        <f>SUM(Jul!H27, Aug!H27, Sep!H27)</f>
        <v>3391.2099999999991</v>
      </c>
      <c r="I27" s="71">
        <f t="shared" si="5"/>
        <v>8.2223529893833691E-2</v>
      </c>
    </row>
    <row r="28" spans="1:9" ht="15.6">
      <c r="A28" s="47" t="str">
        <v>Commerce City - Adams City MS</v>
      </c>
      <c r="B28" s="27" t="str">
        <v>CO</v>
      </c>
      <c r="C28" s="28">
        <f>SUM(Jul!C28, Aug!C28, Sep!C28)</f>
        <v>36543</v>
      </c>
      <c r="D28" s="29">
        <f>SUM(Jul!D28, Aug!D28, Sep!D28)</f>
        <v>34016.300000000003</v>
      </c>
      <c r="E28" s="29">
        <f t="shared" si="3"/>
        <v>2526.6999999999971</v>
      </c>
      <c r="F28" s="30">
        <f t="shared" si="4"/>
        <v>7.4279095610045684E-2</v>
      </c>
      <c r="G28" s="31">
        <f>SUM(Jul!G28,Aug!G28,Sep!G28)</f>
        <v>36286.720000000001</v>
      </c>
      <c r="H28" s="31">
        <f>SUM(Jul!H28, Aug!H28, Sep!H28)</f>
        <v>256.27999999999884</v>
      </c>
      <c r="I28" s="32">
        <f t="shared" si="5"/>
        <v>7.0626388937881082E-3</v>
      </c>
    </row>
    <row r="29" spans="1:9" ht="15.6">
      <c r="A29" s="48" t="str">
        <v>Commerce City - Central ES</v>
      </c>
      <c r="B29" s="34" t="str">
        <v>CO</v>
      </c>
      <c r="C29" s="35">
        <f>SUM(Jul!C29, Aug!C29, Sep!C29)</f>
        <v>9560.7000000000007</v>
      </c>
      <c r="D29" s="36">
        <f>SUM(Jul!D29, Aug!D29, Sep!D29)</f>
        <v>9714.1409999999996</v>
      </c>
      <c r="E29" s="36">
        <f t="shared" si="3"/>
        <v>-153.44099999999889</v>
      </c>
      <c r="F29" s="71">
        <f t="shared" si="4"/>
        <v>-1.5795632367287947E-2</v>
      </c>
      <c r="G29" s="72">
        <f>SUM(Jul!G29,Aug!G29,Sep!G29)</f>
        <v>10605.710999999999</v>
      </c>
      <c r="H29" s="72">
        <f>SUM(Jul!H29, Aug!H29, Sep!H29)</f>
        <v>-1045.0109999999995</v>
      </c>
      <c r="I29" s="71">
        <f t="shared" si="5"/>
        <v>-9.8532856495901086E-2</v>
      </c>
    </row>
    <row r="30" spans="1:9" ht="15.6">
      <c r="A30" s="47" t="str">
        <v>Commerce City - Dupont ES</v>
      </c>
      <c r="B30" s="27" t="str">
        <v>CO</v>
      </c>
      <c r="C30" s="28">
        <f>SUM(Jul!C30, Aug!C30, Sep!C30)</f>
        <v>29564</v>
      </c>
      <c r="D30" s="29">
        <f>SUM(Jul!D30, Aug!D30, Sep!D30)</f>
        <v>27341.724999999999</v>
      </c>
      <c r="E30" s="29">
        <f t="shared" si="3"/>
        <v>2222.2750000000015</v>
      </c>
      <c r="F30" s="30">
        <f t="shared" si="4"/>
        <v>8.1277790629523256E-2</v>
      </c>
      <c r="G30" s="31">
        <f>SUM(Jul!G30,Aug!G30,Sep!G30)</f>
        <v>30319.884999999998</v>
      </c>
      <c r="H30" s="31">
        <f>SUM(Jul!H30, Aug!H30, Sep!H30)</f>
        <v>-755.88500000000022</v>
      </c>
      <c r="I30" s="32">
        <f t="shared" si="5"/>
        <v>-2.4930338621007311E-2</v>
      </c>
    </row>
    <row r="31" spans="1:9" ht="15.6">
      <c r="A31" s="48" t="str">
        <v>Commerce City - Educational Support Services</v>
      </c>
      <c r="B31" s="34" t="str">
        <v>CO</v>
      </c>
      <c r="C31" s="35">
        <f>SUM(Jul!C31, Aug!C31, Sep!C31)</f>
        <v>14515</v>
      </c>
      <c r="D31" s="36">
        <f>SUM(Jul!D31, Aug!D31, Sep!D31)</f>
        <v>28612.225999999999</v>
      </c>
      <c r="E31" s="36">
        <f t="shared" si="3"/>
        <v>-14097.225999999999</v>
      </c>
      <c r="F31" s="71">
        <f t="shared" si="4"/>
        <v>-0.49269937962883414</v>
      </c>
      <c r="G31" s="72">
        <f>SUM(Jul!G31,Aug!G31,Sep!G31)</f>
        <v>31442.954000000002</v>
      </c>
      <c r="H31" s="72">
        <f>SUM(Jul!H31, Aug!H31, Sep!H31)</f>
        <v>-16927.953999999998</v>
      </c>
      <c r="I31" s="71">
        <f t="shared" si="5"/>
        <v>-0.53837034522901372</v>
      </c>
    </row>
    <row r="32" spans="1:9" ht="15.6">
      <c r="A32" s="47" t="str">
        <v>Commerce City - Hanson ES</v>
      </c>
      <c r="B32" s="27" t="str">
        <v>CO</v>
      </c>
      <c r="C32" s="28">
        <f>SUM(Jul!C32, Aug!C32, Sep!C32)</f>
        <v>38811</v>
      </c>
      <c r="D32" s="29">
        <f>SUM(Jul!D32, Aug!D32, Sep!D32)</f>
        <v>37311.300000000003</v>
      </c>
      <c r="E32" s="29">
        <f t="shared" si="3"/>
        <v>1499.6999999999971</v>
      </c>
      <c r="F32" s="30">
        <f t="shared" si="4"/>
        <v>4.019425750375883E-2</v>
      </c>
      <c r="G32" s="31">
        <f>SUM(Jul!G32,Aug!G32,Sep!G32)</f>
        <v>41100.770000000004</v>
      </c>
      <c r="H32" s="31">
        <f>SUM(Jul!H32, Aug!H32, Sep!H32)</f>
        <v>-2289.7700000000004</v>
      </c>
      <c r="I32" s="32">
        <f t="shared" si="5"/>
        <v>-5.5711121713778115E-2</v>
      </c>
    </row>
    <row r="33" spans="1:9" ht="15.6">
      <c r="A33" s="48" t="str">
        <v>Commerce City - Kemp ES</v>
      </c>
      <c r="B33" s="34" t="str">
        <v>CO</v>
      </c>
      <c r="C33" s="35">
        <f>SUM(Jul!C33, Aug!C33, Sep!C33)</f>
        <v>35514</v>
      </c>
      <c r="D33" s="36">
        <f>SUM(Jul!D33, Aug!D33, Sep!D33)</f>
        <v>37292.099000000002</v>
      </c>
      <c r="E33" s="36">
        <f t="shared" si="3"/>
        <v>-1778.099000000002</v>
      </c>
      <c r="F33" s="71">
        <f t="shared" si="4"/>
        <v>-4.7680314267105263E-2</v>
      </c>
      <c r="G33" s="72">
        <f>SUM(Jul!G33,Aug!G33,Sep!G33)</f>
        <v>41037.457000000002</v>
      </c>
      <c r="H33" s="72">
        <f>SUM(Jul!H33, Aug!H33, Sep!H33)</f>
        <v>-5523.4570000000003</v>
      </c>
      <c r="I33" s="71">
        <f t="shared" si="5"/>
        <v>-0.134595498936496</v>
      </c>
    </row>
    <row r="34" spans="1:9" ht="15.6">
      <c r="A34" s="47" t="str">
        <v>Commerce City -  Lester Arnold HS</v>
      </c>
      <c r="B34" s="27" t="str">
        <v>CO</v>
      </c>
      <c r="C34" s="28">
        <f>SUM(Jul!C34, Aug!C34, Sep!C34)</f>
        <v>32468.998967415191</v>
      </c>
      <c r="D34" s="29">
        <f>SUM(Jul!D34, Aug!D34, Sep!D34)</f>
        <v>36050.92</v>
      </c>
      <c r="E34" s="29">
        <f t="shared" si="3"/>
        <v>-3581.9210325848071</v>
      </c>
      <c r="F34" s="30">
        <f t="shared" si="4"/>
        <v>-9.935727112053748E-2</v>
      </c>
      <c r="G34" s="31">
        <f>SUM(Jul!G34,Aug!G34,Sep!G34)</f>
        <v>39894.740000000005</v>
      </c>
      <c r="H34" s="31">
        <f>SUM(Jul!H34, Aug!H34, Sep!H34)</f>
        <v>-7425.7410325848114</v>
      </c>
      <c r="I34" s="32">
        <f t="shared" si="5"/>
        <v>-0.18613333568748186</v>
      </c>
    </row>
    <row r="35" spans="1:9" ht="15.6">
      <c r="A35" s="48" t="str">
        <v>Commerce City - Monaco ES</v>
      </c>
      <c r="B35" s="34" t="str">
        <v>CO</v>
      </c>
      <c r="C35" s="35">
        <f>SUM(Jul!C35, Aug!C35, Sep!C35)</f>
        <v>40151</v>
      </c>
      <c r="D35" s="36">
        <f>SUM(Jul!D35, Aug!D35, Sep!D35)</f>
        <v>37312.28</v>
      </c>
      <c r="E35" s="36">
        <f t="shared" si="3"/>
        <v>2838.7200000000012</v>
      </c>
      <c r="F35" s="71">
        <f t="shared" si="4"/>
        <v>7.6080046569118834E-2</v>
      </c>
      <c r="G35" s="72">
        <f>SUM(Jul!G35,Aug!G35,Sep!G35)</f>
        <v>41100.770000000004</v>
      </c>
      <c r="H35" s="72">
        <f>SUM(Jul!H35, Aug!H35, Sep!H35)</f>
        <v>-949.77000000000044</v>
      </c>
      <c r="I35" s="71">
        <f t="shared" si="5"/>
        <v>-2.3108326194375441E-2</v>
      </c>
    </row>
    <row r="36" spans="1:9" ht="15.6">
      <c r="A36" s="47" t="str">
        <v>Denver - Northgate / Old Fort Logan ES</v>
      </c>
      <c r="B36" s="27" t="str">
        <v>CO</v>
      </c>
      <c r="C36" s="28">
        <f>SUM(Jul!C36, Aug!C36, Sep!C36)</f>
        <v>36089</v>
      </c>
      <c r="D36" s="29">
        <f>SUM(Jul!D36, Aug!D36, Sep!D36)</f>
        <v>32414.025999999998</v>
      </c>
      <c r="E36" s="29">
        <f t="shared" si="3"/>
        <v>3674.974000000002</v>
      </c>
      <c r="F36" s="30">
        <f t="shared" si="4"/>
        <v>0.11337604282787958</v>
      </c>
      <c r="G36" s="31">
        <f>SUM(Jul!G36,Aug!G36,Sep!G36)</f>
        <v>38273.578000000001</v>
      </c>
      <c r="H36" s="31">
        <f>SUM(Jul!H36, Aug!H36, Sep!H36)</f>
        <v>-2184.5780000000013</v>
      </c>
      <c r="I36" s="32">
        <f t="shared" si="5"/>
        <v>-5.707796642372974E-2</v>
      </c>
    </row>
    <row r="37" spans="1:9" ht="15.6">
      <c r="A37" s="48" t="str">
        <v>Denver - Sheridan High School</v>
      </c>
      <c r="B37" s="34" t="str">
        <v>CO</v>
      </c>
      <c r="C37" s="35">
        <f>SUM(Jul!C37, Aug!C37, Sep!C37)</f>
        <v>41755</v>
      </c>
      <c r="D37" s="36">
        <f>SUM(Jul!D37, Aug!D37, Sep!D37)</f>
        <v>37412.58</v>
      </c>
      <c r="E37" s="36">
        <f t="shared" si="3"/>
        <v>4342.4199999999983</v>
      </c>
      <c r="F37" s="71">
        <f t="shared" si="4"/>
        <v>0.11606844542664521</v>
      </c>
      <c r="G37" s="72">
        <f>SUM(Jul!G37,Aug!G37,Sep!G37)</f>
        <v>39348.869999999995</v>
      </c>
      <c r="H37" s="72">
        <f>SUM(Jul!H37, Aug!H37, Sep!H37)</f>
        <v>2406.130000000001</v>
      </c>
      <c r="I37" s="71">
        <f t="shared" si="5"/>
        <v>6.1148642896225514E-2</v>
      </c>
    </row>
    <row r="38" spans="1:9" ht="15.6">
      <c r="A38" s="47" t="str">
        <v>Englewood -  Alice Terry Elementary</v>
      </c>
      <c r="B38" s="27" t="str">
        <v>CO</v>
      </c>
      <c r="C38" s="28">
        <f>SUM(Jul!C38, Aug!C38, Sep!C38)</f>
        <v>39854</v>
      </c>
      <c r="D38" s="29">
        <f>SUM(Jul!D38, Aug!D38, Sep!D38)</f>
        <v>37413.760000000002</v>
      </c>
      <c r="E38" s="29">
        <f t="shared" si="3"/>
        <v>2440.239999999998</v>
      </c>
      <c r="F38" s="30">
        <f t="shared" si="4"/>
        <v>6.5223062317179503E-2</v>
      </c>
      <c r="G38" s="31">
        <f>SUM(Jul!G38,Aug!G38,Sep!G38)</f>
        <v>39511.58</v>
      </c>
      <c r="H38" s="31">
        <f>SUM(Jul!H38, Aug!H38, Sep!H38)</f>
        <v>342.42000000000007</v>
      </c>
      <c r="I38" s="32">
        <f t="shared" si="5"/>
        <v>8.6663201016005959E-3</v>
      </c>
    </row>
    <row r="39" spans="1:9" ht="15.6">
      <c r="A39" s="48" t="str">
        <v>Englewood - Sheridan Middle School</v>
      </c>
      <c r="B39" s="34" t="str">
        <v>CO</v>
      </c>
      <c r="C39" s="35">
        <f>SUM(Jul!C39, Aug!C39, Sep!C39)</f>
        <v>20865</v>
      </c>
      <c r="D39" s="36">
        <f>SUM(Jul!D39, Aug!D39, Sep!D39)</f>
        <v>21767.154000000002</v>
      </c>
      <c r="E39" s="36">
        <f t="shared" si="3"/>
        <v>-902.15400000000227</v>
      </c>
      <c r="F39" s="71">
        <f t="shared" si="4"/>
        <v>-4.1445657066606051E-2</v>
      </c>
      <c r="G39" s="72">
        <f>SUM(Jul!G39,Aug!G39,Sep!G39)</f>
        <v>23126.911</v>
      </c>
      <c r="H39" s="72">
        <f>SUM(Jul!H39, Aug!H39, Sep!H39)</f>
        <v>-2261.9110000000001</v>
      </c>
      <c r="I39" s="71">
        <f t="shared" si="5"/>
        <v>-9.7804285232904645E-2</v>
      </c>
    </row>
    <row r="40" spans="1:9" ht="15.6">
      <c r="A40" s="47" t="str">
        <v>Goshen - NIPSCO</v>
      </c>
      <c r="B40" s="27" t="str">
        <v>IN</v>
      </c>
      <c r="C40" s="28">
        <f>SUM(Jul!C40, Aug!C40, Sep!C40)</f>
        <v>162039</v>
      </c>
      <c r="D40" s="29">
        <f>SUM(Jul!D40, Aug!D40, Sep!D40)</f>
        <v>163663.02000000002</v>
      </c>
      <c r="E40" s="29">
        <f t="shared" si="3"/>
        <v>-1624.0200000000186</v>
      </c>
      <c r="F40" s="30">
        <f t="shared" si="4"/>
        <v>-9.9229502180762548E-3</v>
      </c>
      <c r="G40" s="31">
        <f>SUM(Jul!G40,Aug!G40,Sep!G40)</f>
        <v>190161.13</v>
      </c>
      <c r="H40" s="31">
        <f>SUM(Jul!H40, Aug!H40, Sep!H40)</f>
        <v>-28122.129999999997</v>
      </c>
      <c r="I40" s="32">
        <f t="shared" si="5"/>
        <v>-0.14788579558819406</v>
      </c>
    </row>
    <row r="41" spans="1:9" ht="15.6">
      <c r="A41" s="48" t="str">
        <v>Alamogordo - City of Alamogordo - Effluent</v>
      </c>
      <c r="B41" s="34" t="str">
        <v>NM</v>
      </c>
      <c r="C41" s="35">
        <f>SUM(Jul!C41, Aug!C41, Sep!C41)</f>
        <v>69896</v>
      </c>
      <c r="D41" s="36">
        <f>SUM(Jul!D41, Aug!D41, Sep!D41)</f>
        <v>84976.33</v>
      </c>
      <c r="E41" s="36">
        <f t="shared" si="3"/>
        <v>-15080.330000000002</v>
      </c>
      <c r="F41" s="71">
        <f t="shared" si="4"/>
        <v>-0.17746506586010483</v>
      </c>
      <c r="G41" s="72">
        <f>SUM(Jul!G41,Aug!G41,Sep!G41)</f>
        <v>89314.5</v>
      </c>
      <c r="H41" s="72">
        <f>SUM(Jul!H41, Aug!H41, Sep!H41)</f>
        <v>-19418.5</v>
      </c>
      <c r="I41" s="71">
        <f t="shared" si="5"/>
        <v>-0.21741710472543652</v>
      </c>
    </row>
    <row r="42" spans="1:9" ht="15.6">
      <c r="A42" s="47" t="str">
        <v>Alamogordo - City of Alamogordo - WWTP</v>
      </c>
      <c r="B42" s="27" t="str">
        <v>NM</v>
      </c>
      <c r="C42" s="28">
        <f>SUM(Jul!C42, Aug!C42, Sep!C42)</f>
        <v>251450</v>
      </c>
      <c r="D42" s="29">
        <f>SUM(Jul!D42, Aug!D42, Sep!D42)</f>
        <v>7.5776361E-2</v>
      </c>
      <c r="E42" s="29">
        <f t="shared" si="3"/>
        <v>251449.92422363901</v>
      </c>
      <c r="F42" s="30">
        <f t="shared" si="4"/>
        <v>3318316.1728185788</v>
      </c>
      <c r="G42" s="31">
        <f>SUM(Jul!G42,Aug!G42,Sep!G42)</f>
        <v>378766.6</v>
      </c>
      <c r="H42" s="31">
        <f>SUM(Jul!H42, Aug!H42, Sep!H42)</f>
        <v>-127316.59999999999</v>
      </c>
      <c r="I42" s="32">
        <f t="shared" si="5"/>
        <v>-0.33613470670328377</v>
      </c>
    </row>
    <row r="43" spans="1:9" ht="15.6">
      <c r="A43" s="48" t="str">
        <v>Deming - Bilbo Booster</v>
      </c>
      <c r="B43" s="34" t="str">
        <v>NM</v>
      </c>
      <c r="C43" s="35">
        <f>SUM(Jul!C43, Aug!C43, Sep!C43)</f>
        <v>34309</v>
      </c>
      <c r="D43" s="36">
        <f>SUM(Jul!D43, Aug!D43, Sep!D43)</f>
        <v>0</v>
      </c>
      <c r="E43" s="36">
        <f t="shared" si="3"/>
        <v>34309</v>
      </c>
      <c r="F43" s="71" t="str">
        <f t="shared" si="4"/>
        <v/>
      </c>
      <c r="G43" s="72">
        <f>SUM(Jul!G43,Aug!G43,Sep!G43)</f>
        <v>35802.07</v>
      </c>
      <c r="H43" s="72">
        <f>SUM(Jul!H43, Aug!H43, Sep!H43)</f>
        <v>-1493.0699999999997</v>
      </c>
      <c r="I43" s="71">
        <f t="shared" si="5"/>
        <v>-4.170345457678843E-2</v>
      </c>
    </row>
    <row r="44" spans="1:9" ht="15.6">
      <c r="A44" s="47" t="str">
        <v>Deming - Bilbo Well</v>
      </c>
      <c r="B44" s="27" t="str">
        <v>NM</v>
      </c>
      <c r="C44" s="28">
        <f>SUM(Jul!C44, Aug!C44, Sep!C44)</f>
        <v>65668.000000000102</v>
      </c>
      <c r="D44" s="29">
        <f>SUM(Jul!D44, Aug!D44, Sep!D44)</f>
        <v>0</v>
      </c>
      <c r="E44" s="29">
        <f t="shared" si="3"/>
        <v>65668.000000000102</v>
      </c>
      <c r="F44" s="30" t="str">
        <f t="shared" si="4"/>
        <v/>
      </c>
      <c r="G44" s="31">
        <f>SUM(Jul!G44,Aug!G44,Sep!G44)</f>
        <v>64719.640000000007</v>
      </c>
      <c r="H44" s="31">
        <f>SUM(Jul!H44, Aug!H44, Sep!H44)</f>
        <v>948.36000000009517</v>
      </c>
      <c r="I44" s="32">
        <f t="shared" si="5"/>
        <v>1.4653357157117918E-2</v>
      </c>
    </row>
    <row r="45" spans="1:9" ht="15.6">
      <c r="A45" s="48" t="str">
        <v>Deming - WWTP</v>
      </c>
      <c r="B45" s="34" t="str">
        <v>NM</v>
      </c>
      <c r="C45" s="35">
        <f>SUM(Jul!C45, Aug!C45, Sep!C45)</f>
        <v>236860</v>
      </c>
      <c r="D45" s="36">
        <f>SUM(Jul!D45, Aug!D45, Sep!D45)</f>
        <v>217211.3</v>
      </c>
      <c r="E45" s="36">
        <f t="shared" si="3"/>
        <v>19648.700000000012</v>
      </c>
      <c r="F45" s="71">
        <f t="shared" si="4"/>
        <v>9.0458921796425937E-2</v>
      </c>
      <c r="G45" s="72">
        <f>SUM(Jul!G45,Aug!G45,Sep!G45)</f>
        <v>270305.44</v>
      </c>
      <c r="H45" s="72">
        <f>SUM(Jul!H45, Aug!H45, Sep!H45)</f>
        <v>-33445.439999999988</v>
      </c>
      <c r="I45" s="71">
        <f t="shared" si="5"/>
        <v>-0.12373202699879066</v>
      </c>
    </row>
    <row r="46" spans="1:9" ht="15.6">
      <c r="A46" s="47" t="str">
        <v>Truth or Consequences - Walmart</v>
      </c>
      <c r="B46" s="27" t="str">
        <v>NM</v>
      </c>
      <c r="C46" s="28">
        <f>SUM(Jul!C46, Aug!C46, Sep!C46)</f>
        <v>479300</v>
      </c>
      <c r="D46" s="29">
        <f>SUM(Jul!D46, Aug!D46, Sep!D46)</f>
        <v>1018880</v>
      </c>
      <c r="E46" s="29">
        <f t="shared" si="3"/>
        <v>-539580</v>
      </c>
      <c r="F46" s="30">
        <f t="shared" si="4"/>
        <v>-0.52958150125628145</v>
      </c>
      <c r="G46" s="31">
        <f>SUM(Jul!G46,Aug!G46,Sep!G46)</f>
        <v>552587.80000000005</v>
      </c>
      <c r="H46" s="31">
        <f>SUM(Jul!H46, Aug!H46, Sep!H46)</f>
        <v>-73287.799999999988</v>
      </c>
      <c r="I46" s="32">
        <f t="shared" si="5"/>
        <v>-0.13262652559466565</v>
      </c>
    </row>
    <row r="47" spans="1:9" ht="15.6">
      <c r="A47" s="48" t="str">
        <v>CA: Stockton - SUSD - Merlo</v>
      </c>
      <c r="B47" s="34" t="str">
        <v>CA</v>
      </c>
      <c r="C47" s="35">
        <f>SUM(Jul!C47, Aug!C47, Sep!C47)</f>
        <v>2694.8748120886739</v>
      </c>
      <c r="D47" s="36">
        <f>SUM(Jul!D47, Aug!D47, Sep!D47)</f>
        <v>40987.839999999997</v>
      </c>
      <c r="E47" s="36">
        <f t="shared" ref="E47:E85" si="6">IF(AND(ISNUMBER(C47),ISNUMBER(D47)), C47-D47, "")</f>
        <v>-38292.965187911323</v>
      </c>
      <c r="F47" s="71">
        <f t="shared" ref="F47:F85" si="7">IFERROR(E47/D47, "")</f>
        <v>-0.93425184610634093</v>
      </c>
      <c r="G47" s="72">
        <f>SUM(Jul!G47,Aug!G47,Sep!G47)</f>
        <v>51723.63</v>
      </c>
      <c r="H47" s="72">
        <f>SUM(Jul!H47, Aug!H47, Sep!H47)</f>
        <v>-49028.755187911323</v>
      </c>
      <c r="I47" s="71">
        <f t="shared" ref="I47:I85" si="8">IFERROR(H47/G47, "")</f>
        <v>-0.94789857533029542</v>
      </c>
    </row>
    <row r="48" spans="1:9" ht="15.6">
      <c r="A48" s="47" t="str">
        <v>Stockton Unified School Dist. - Bush Elementary</v>
      </c>
      <c r="B48" s="27" t="str">
        <v>CA</v>
      </c>
      <c r="C48" s="28">
        <f>SUM(Jul!C48, Aug!C48, Sep!C48)</f>
        <v>70529.5</v>
      </c>
      <c r="D48" s="29">
        <f>SUM(Jul!D48, Aug!D48, Sep!D48)</f>
        <v>101074.05699999999</v>
      </c>
      <c r="E48" s="29">
        <f t="shared" si="6"/>
        <v>-30544.556999999986</v>
      </c>
      <c r="F48" s="30">
        <f t="shared" si="7"/>
        <v>-0.30219977219277933</v>
      </c>
      <c r="G48" s="31">
        <f>SUM(Jul!G48,Aug!G48,Sep!G48)</f>
        <v>108200.54100000001</v>
      </c>
      <c r="H48" s="31">
        <f>SUM(Jul!H48, Aug!H48, Sep!H48)</f>
        <v>-37671.041000000005</v>
      </c>
      <c r="I48" s="32">
        <f t="shared" si="8"/>
        <v>-0.34815945143934168</v>
      </c>
    </row>
    <row r="49" spans="1:9" ht="15.6">
      <c r="A49" s="48" t="str">
        <v>CA: Stockton - SUSD - Marshall JHS</v>
      </c>
      <c r="B49" s="34" t="str">
        <v>CA</v>
      </c>
      <c r="C49" s="35">
        <f>SUM(Jul!C49, Aug!C49, Sep!C49)</f>
        <v>20537.25</v>
      </c>
      <c r="D49" s="36">
        <f>SUM(Jul!D49, Aug!D49, Sep!D49)</f>
        <v>66354.31</v>
      </c>
      <c r="E49" s="36">
        <f t="shared" si="6"/>
        <v>-45817.06</v>
      </c>
      <c r="F49" s="71">
        <f t="shared" si="7"/>
        <v>-0.69049109243996354</v>
      </c>
      <c r="G49" s="72">
        <f>SUM(Jul!G49,Aug!G49,Sep!G49)</f>
        <v>71179.89</v>
      </c>
      <c r="H49" s="72">
        <f>SUM(Jul!H49, Aug!H49, Sep!H49)</f>
        <v>-50642.64</v>
      </c>
      <c r="I49" s="71">
        <f t="shared" si="8"/>
        <v>-0.71147398513821813</v>
      </c>
    </row>
    <row r="50" spans="1:9" ht="15.6">
      <c r="A50" s="47" t="str">
        <v>CA: Stockton - SUSD - Hong-Kingston ES</v>
      </c>
      <c r="B50" s="27" t="str">
        <v>CA</v>
      </c>
      <c r="C50" s="28">
        <f>SUM(Jul!C50, Aug!C50, Sep!C50)</f>
        <v>20668.25</v>
      </c>
      <c r="D50" s="29">
        <f>SUM(Jul!D50, Aug!D50, Sep!D50)</f>
        <v>111996.29</v>
      </c>
      <c r="E50" s="29">
        <f t="shared" si="6"/>
        <v>-91328.04</v>
      </c>
      <c r="F50" s="30">
        <f t="shared" si="7"/>
        <v>-0.81545594054945925</v>
      </c>
      <c r="G50" s="31">
        <f>SUM(Jul!G50,Aug!G50,Sep!G50)</f>
        <v>115769.45000000001</v>
      </c>
      <c r="H50" s="31">
        <f>SUM(Jul!H50, Aug!H50, Sep!H50)</f>
        <v>-95101.200000000012</v>
      </c>
      <c r="I50" s="32">
        <f t="shared" si="8"/>
        <v>-0.82147060385965387</v>
      </c>
    </row>
    <row r="51" spans="1:9" ht="15.6">
      <c r="A51" s="48" t="str">
        <v>CA: Stockton - SUSD - Hamilton ES</v>
      </c>
      <c r="B51" s="34" t="str">
        <v>CA</v>
      </c>
      <c r="C51" s="35">
        <f>SUM(Jul!C51, Aug!C51, Sep!C51)</f>
        <v>17163.5</v>
      </c>
      <c r="D51" s="36">
        <f>SUM(Jul!D51, Aug!D51, Sep!D51)</f>
        <v>57557.7</v>
      </c>
      <c r="E51" s="36">
        <f t="shared" si="6"/>
        <v>-40394.199999999997</v>
      </c>
      <c r="F51" s="71">
        <f t="shared" si="7"/>
        <v>-0.70180358144957145</v>
      </c>
      <c r="G51" s="72">
        <f>SUM(Jul!G51,Aug!G51,Sep!G51)</f>
        <v>61625.770000000004</v>
      </c>
      <c r="H51" s="72">
        <f>SUM(Jul!H51, Aug!H51, Sep!H51)</f>
        <v>-44462.270000000004</v>
      </c>
      <c r="I51" s="71">
        <f t="shared" si="8"/>
        <v>-0.72148826700258673</v>
      </c>
    </row>
    <row r="52" spans="1:9" ht="15.6">
      <c r="A52" s="47" t="str">
        <v>CA: Stockton - SUSD - Franklin - North</v>
      </c>
      <c r="B52" s="27" t="str">
        <v>CA</v>
      </c>
      <c r="C52" s="28">
        <f>SUM(Jul!C52, Aug!C52, Sep!C52)</f>
        <v>72935.5</v>
      </c>
      <c r="D52" s="29">
        <f>SUM(Jul!D52, Aug!D52, Sep!D52)</f>
        <v>283715.99</v>
      </c>
      <c r="E52" s="29">
        <f t="shared" si="6"/>
        <v>-210780.49</v>
      </c>
      <c r="F52" s="30">
        <f t="shared" si="7"/>
        <v>-0.74292777788097175</v>
      </c>
      <c r="G52" s="31">
        <f>SUM(Jul!G52,Aug!G52,Sep!G52)</f>
        <v>163057.67000000001</v>
      </c>
      <c r="H52" s="31">
        <f>SUM(Jul!H52, Aug!H52, Sep!H52)</f>
        <v>-90122.17</v>
      </c>
      <c r="I52" s="32">
        <f t="shared" si="8"/>
        <v>-0.55270120074695039</v>
      </c>
    </row>
    <row r="53" spans="1:9" ht="15.6">
      <c r="A53" s="48" t="str">
        <v>Stockton Unified School Dist. - Fillmore Elementary</v>
      </c>
      <c r="B53" s="34" t="str">
        <v>CA</v>
      </c>
      <c r="C53" s="35">
        <f>SUM(Jul!C53, Aug!C53, Sep!C53)</f>
        <v>12262.625</v>
      </c>
      <c r="D53" s="36">
        <f>SUM(Jul!D53, Aug!D53, Sep!D53)</f>
        <v>47164.810000000005</v>
      </c>
      <c r="E53" s="36">
        <f t="shared" si="6"/>
        <v>-34902.185000000005</v>
      </c>
      <c r="F53" s="71">
        <f t="shared" si="7"/>
        <v>-0.74000478322715602</v>
      </c>
      <c r="G53" s="72">
        <f>SUM(Jul!G53,Aug!G53,Sep!G53)</f>
        <v>49998.329999999994</v>
      </c>
      <c r="H53" s="72">
        <f>SUM(Jul!H53, Aug!H53, Sep!H53)</f>
        <v>-37735.705000000002</v>
      </c>
      <c r="I53" s="71">
        <f t="shared" si="8"/>
        <v>-0.75473930829289715</v>
      </c>
    </row>
    <row r="54" spans="1:9" ht="15.6">
      <c r="A54" s="47" t="str">
        <v>CA: Stockton - SUSD - El Dorado ES</v>
      </c>
      <c r="B54" s="27" t="str">
        <v>CA</v>
      </c>
      <c r="C54" s="28">
        <f>SUM(Jul!C54, Aug!C54, Sep!C54)</f>
        <v>14616.75</v>
      </c>
      <c r="D54" s="29">
        <f>SUM(Jul!D54, Aug!D54, Sep!D54)</f>
        <v>61203.53</v>
      </c>
      <c r="E54" s="29">
        <f t="shared" si="6"/>
        <v>-46586.78</v>
      </c>
      <c r="F54" s="30">
        <f t="shared" si="7"/>
        <v>-0.76117799087732363</v>
      </c>
      <c r="G54" s="31">
        <f>SUM(Jul!G54,Aug!G54,Sep!G54)</f>
        <v>0</v>
      </c>
      <c r="H54" s="31">
        <f>SUM(Jul!H54, Aug!H54, Sep!H54)</f>
        <v>14616.75</v>
      </c>
      <c r="I54" s="32" t="str">
        <f t="shared" si="8"/>
        <v/>
      </c>
    </row>
    <row r="55" spans="1:9" ht="15.6">
      <c r="A55" s="48" t="str">
        <v>CA: Stockton - SUSD - Edison HS</v>
      </c>
      <c r="B55" s="34" t="str">
        <v>CA</v>
      </c>
      <c r="C55" s="35">
        <f>SUM(Jul!C55, Aug!C55, Sep!C55)</f>
        <v>108074</v>
      </c>
      <c r="D55" s="36">
        <f>SUM(Jul!D55, Aug!D55, Sep!D55)</f>
        <v>157905.43</v>
      </c>
      <c r="E55" s="36">
        <f t="shared" si="6"/>
        <v>-49831.429999999993</v>
      </c>
      <c r="F55" s="71">
        <f t="shared" si="7"/>
        <v>-0.31557768469393355</v>
      </c>
      <c r="G55" s="72">
        <f>SUM(Jul!G55,Aug!G55,Sep!G55)</f>
        <v>169692.76</v>
      </c>
      <c r="H55" s="72">
        <f>SUM(Jul!H55, Aug!H55, Sep!H55)</f>
        <v>-61618.76</v>
      </c>
      <c r="I55" s="71">
        <f t="shared" si="8"/>
        <v>-0.36311955795874851</v>
      </c>
    </row>
    <row r="56" spans="1:9" ht="15.6">
      <c r="A56" s="47" t="str">
        <v>CA: Stockton - SUSD - Chavez HS - Large</v>
      </c>
      <c r="B56" s="27" t="str">
        <v>CA</v>
      </c>
      <c r="C56" s="28">
        <f>SUM(Jul!C56, Aug!C56, Sep!C56)</f>
        <v>97653</v>
      </c>
      <c r="D56" s="29">
        <f>SUM(Jul!D56, Aug!D56, Sep!D56)</f>
        <v>357496.07</v>
      </c>
      <c r="E56" s="29">
        <f t="shared" si="6"/>
        <v>-259843.07</v>
      </c>
      <c r="F56" s="30">
        <f t="shared" si="7"/>
        <v>-0.72684175241422933</v>
      </c>
      <c r="G56" s="31">
        <f>SUM(Jul!G56,Aug!G56,Sep!G56)</f>
        <v>353019.59</v>
      </c>
      <c r="H56" s="31">
        <f>SUM(Jul!H56, Aug!H56, Sep!H56)</f>
        <v>-255366.59000000003</v>
      </c>
      <c r="I56" s="32">
        <f t="shared" si="8"/>
        <v>-0.72337795758020118</v>
      </c>
    </row>
    <row r="57" spans="1:9" ht="15.6">
      <c r="A57" s="48" t="str">
        <v>CA: San Jose - GE Mobile Water</v>
      </c>
      <c r="B57" s="34" t="str">
        <v>CA</v>
      </c>
      <c r="C57" s="35">
        <f>SUM(Jul!C57, Aug!C57, Sep!C57)</f>
        <v>78390</v>
      </c>
      <c r="D57" s="36">
        <f>SUM(Jul!D57, Aug!D57, Sep!D57)</f>
        <v>89675.839999999997</v>
      </c>
      <c r="E57" s="36">
        <f t="shared" si="6"/>
        <v>-11285.839999999997</v>
      </c>
      <c r="F57" s="71">
        <f t="shared" si="7"/>
        <v>-0.12585151139927986</v>
      </c>
      <c r="G57" s="72">
        <f>SUM(Jul!G57,Aug!G57,Sep!G57)</f>
        <v>93217.48</v>
      </c>
      <c r="H57" s="72">
        <f>SUM(Jul!H57, Aug!H57, Sep!H57)</f>
        <v>-14827.48</v>
      </c>
      <c r="I57" s="71">
        <f t="shared" si="8"/>
        <v>-0.15906330014499426</v>
      </c>
    </row>
    <row r="58" spans="1:9" ht="15.6">
      <c r="A58" s="47" t="str">
        <v>CA: San Marcos - Vallecitos Water - Lift Station</v>
      </c>
      <c r="B58" s="27" t="str">
        <v>CA</v>
      </c>
      <c r="C58" s="28">
        <f>SUM(Jul!C58, Aug!C58, Sep!C58)</f>
        <v>113785.4999999998</v>
      </c>
      <c r="D58" s="29">
        <f>SUM(Jul!D58, Aug!D58, Sep!D58)</f>
        <v>118404.53</v>
      </c>
      <c r="E58" s="29">
        <f t="shared" si="6"/>
        <v>-4619.0300000002026</v>
      </c>
      <c r="F58" s="30">
        <f t="shared" si="7"/>
        <v>-3.9010585152444779E-2</v>
      </c>
      <c r="G58" s="31">
        <f>SUM(Jul!G58,Aug!G58,Sep!G58)</f>
        <v>114393.87</v>
      </c>
      <c r="H58" s="31">
        <f>SUM(Jul!H58, Aug!H58, Sep!H58)</f>
        <v>-608.37000000019907</v>
      </c>
      <c r="I58" s="32">
        <f t="shared" si="8"/>
        <v>-5.3182045506476794E-3</v>
      </c>
    </row>
    <row r="59" spans="1:9" ht="15.6">
      <c r="A59" s="48" t="str">
        <v>CA: San Marcos - Vallecitos Water - Twin Oaks Reservoir</v>
      </c>
      <c r="B59" s="34" t="str">
        <v>CA</v>
      </c>
      <c r="C59" s="35">
        <f>SUM(Jul!C59, Aug!C59, Sep!C59)</f>
        <v>871644</v>
      </c>
      <c r="D59" s="36">
        <f>SUM(Jul!D59, Aug!D59, Sep!D59)</f>
        <v>971004</v>
      </c>
      <c r="E59" s="36">
        <f t="shared" si="6"/>
        <v>-99360</v>
      </c>
      <c r="F59" s="71">
        <f t="shared" si="7"/>
        <v>-0.10232707589258129</v>
      </c>
      <c r="G59" s="72">
        <f>SUM(Jul!G59,Aug!G59,Sep!G59)</f>
        <v>744966</v>
      </c>
      <c r="H59" s="72">
        <f>SUM(Jul!H59, Aug!H59, Sep!H59)</f>
        <v>126678</v>
      </c>
      <c r="I59" s="71">
        <f t="shared" si="8"/>
        <v>0.17004534435128582</v>
      </c>
    </row>
    <row r="60" spans="1:9" ht="15.6">
      <c r="A60" s="47" t="str">
        <v>CA: Stockton - SUSD - Wilhelmina Henry ES</v>
      </c>
      <c r="B60" s="27" t="str">
        <v>CA</v>
      </c>
      <c r="C60" s="28">
        <f>SUM(Jul!C60, Aug!C60, Sep!C60)</f>
        <v>22150.75</v>
      </c>
      <c r="D60" s="29">
        <f>SUM(Jul!D60, Aug!D60, Sep!D60)</f>
        <v>137432.29</v>
      </c>
      <c r="E60" s="29">
        <f t="shared" si="6"/>
        <v>-115281.54000000001</v>
      </c>
      <c r="F60" s="30">
        <f t="shared" si="7"/>
        <v>-0.83882426757205308</v>
      </c>
      <c r="G60" s="31">
        <f>SUM(Jul!G60,Aug!G60,Sep!G60)</f>
        <v>113798.17</v>
      </c>
      <c r="H60" s="31">
        <f>SUM(Jul!H60, Aug!H60, Sep!H60)</f>
        <v>-91647.42</v>
      </c>
      <c r="I60" s="32">
        <f t="shared" si="8"/>
        <v>-0.80535056055822341</v>
      </c>
    </row>
    <row r="61" spans="1:9" ht="15.6">
      <c r="A61" s="48" t="str">
        <v>Stockton Unified School Dist. - Franklin (North)</v>
      </c>
      <c r="B61" s="34" t="str">
        <v>CA</v>
      </c>
      <c r="C61" s="35">
        <f>SUM(Jul!C61, Aug!C61, Sep!C61)</f>
        <v>49337.7</v>
      </c>
      <c r="D61" s="36">
        <f>SUM(Jul!D61, Aug!D61, Sep!D61)</f>
        <v>182274.69</v>
      </c>
      <c r="E61" s="36">
        <f t="shared" si="6"/>
        <v>-132936.99</v>
      </c>
      <c r="F61" s="71">
        <f t="shared" si="7"/>
        <v>-0.72932226630038421</v>
      </c>
      <c r="G61" s="72">
        <f>SUM(Jul!G61,Aug!G61,Sep!G61)</f>
        <v>105264.66</v>
      </c>
      <c r="H61" s="72">
        <f>SUM(Jul!H61, Aug!H61, Sep!H61)</f>
        <v>-55926.960000000006</v>
      </c>
      <c r="I61" s="71">
        <f t="shared" si="8"/>
        <v>-0.53129853836985752</v>
      </c>
    </row>
    <row r="62" spans="1:9" ht="15.6">
      <c r="A62" s="47" t="str">
        <v>CA: Stockton - SUSD - Franklin - South</v>
      </c>
      <c r="B62" s="27" t="str">
        <v>CA</v>
      </c>
      <c r="C62" s="28">
        <f>SUM(Jul!C62, Aug!C62, Sep!C62)</f>
        <v>100627.5</v>
      </c>
      <c r="D62" s="29">
        <f>SUM(Jul!D62, Aug!D62, Sep!D62)</f>
        <v>263495.49</v>
      </c>
      <c r="E62" s="29">
        <f t="shared" si="6"/>
        <v>-162867.99</v>
      </c>
      <c r="F62" s="30">
        <f t="shared" si="7"/>
        <v>-0.6181054180471931</v>
      </c>
      <c r="G62" s="31">
        <f>SUM(Jul!G62,Aug!G62,Sep!G62)</f>
        <v>264455.42000000004</v>
      </c>
      <c r="H62" s="31">
        <f>SUM(Jul!H62, Aug!H62, Sep!H62)</f>
        <v>-163827.92000000001</v>
      </c>
      <c r="I62" s="32">
        <f t="shared" si="8"/>
        <v>-0.61949163303213817</v>
      </c>
    </row>
    <row r="63" spans="1:9" ht="15.6">
      <c r="A63" s="48" t="str">
        <v>CA: Stockton - SUSD - Chavez HS - Small</v>
      </c>
      <c r="B63" s="34" t="str">
        <v>CA</v>
      </c>
      <c r="C63" s="35">
        <f>SUM(Jul!C63, Aug!C63, Sep!C63)</f>
        <v>63440.75</v>
      </c>
      <c r="D63" s="36">
        <f>SUM(Jul!D63, Aug!D63, Sep!D63)</f>
        <v>68255.17</v>
      </c>
      <c r="E63" s="36">
        <f t="shared" si="6"/>
        <v>-4814.4199999999983</v>
      </c>
      <c r="F63" s="71">
        <f t="shared" si="7"/>
        <v>-7.0535609243959074E-2</v>
      </c>
      <c r="G63" s="72">
        <f>SUM(Jul!G63,Aug!G63,Sep!G63)</f>
        <v>99652.75</v>
      </c>
      <c r="H63" s="72">
        <f>SUM(Jul!H63, Aug!H63, Sep!H63)</f>
        <v>-36212</v>
      </c>
      <c r="I63" s="71">
        <f t="shared" si="8"/>
        <v>-0.36338184345138491</v>
      </c>
    </row>
    <row r="64" spans="1:9" ht="15.6">
      <c r="A64" s="47" t="str">
        <v>CA: Stockton - SUSD - Facilities</v>
      </c>
      <c r="B64" s="27" t="str">
        <v>CA</v>
      </c>
      <c r="C64" s="28">
        <f>SUM(Jul!C64, Aug!C64, Sep!C64)</f>
        <v>55088</v>
      </c>
      <c r="D64" s="29">
        <f>SUM(Jul!D64, Aug!D64, Sep!D64)</f>
        <v>150771.90999999997</v>
      </c>
      <c r="E64" s="29">
        <f t="shared" si="6"/>
        <v>-95683.909999999974</v>
      </c>
      <c r="F64" s="30">
        <f t="shared" si="7"/>
        <v>-0.63462690099236652</v>
      </c>
      <c r="G64" s="31">
        <f>SUM(Jul!G64,Aug!G64,Sep!G64)</f>
        <v>170536.59</v>
      </c>
      <c r="H64" s="31">
        <f>SUM(Jul!H64, Aug!H64, Sep!H64)</f>
        <v>-115448.59</v>
      </c>
      <c r="I64" s="32">
        <f t="shared" si="8"/>
        <v>-0.6769725488236864</v>
      </c>
    </row>
    <row r="65" spans="1:9" ht="15.6">
      <c r="A65" s="48" t="str">
        <v>CA: Stockton - SUSD - Harrison</v>
      </c>
      <c r="B65" s="34" t="str">
        <v>CA</v>
      </c>
      <c r="C65" s="35">
        <f>SUM(Jul!C65, Aug!C65, Sep!C65)</f>
        <v>39732.25</v>
      </c>
      <c r="D65" s="36">
        <f>SUM(Jul!D65, Aug!D65, Sep!D65)</f>
        <v>59912.310000000005</v>
      </c>
      <c r="E65" s="36">
        <f t="shared" si="6"/>
        <v>-20180.060000000005</v>
      </c>
      <c r="F65" s="71">
        <f t="shared" si="7"/>
        <v>-0.33682660541715054</v>
      </c>
      <c r="G65" s="72">
        <f>SUM(Jul!G65,Aug!G65,Sep!G65)</f>
        <v>60887.64</v>
      </c>
      <c r="H65" s="72">
        <f>SUM(Jul!H65, Aug!H65, Sep!H65)</f>
        <v>-21155.390000000003</v>
      </c>
      <c r="I65" s="71">
        <f t="shared" si="8"/>
        <v>-0.34744966301863567</v>
      </c>
    </row>
    <row r="66" spans="1:9" ht="15.6">
      <c r="A66" s="47" t="str">
        <v>CA: Stockton - SUSD - Commodore Skills School</v>
      </c>
      <c r="B66" s="27" t="str">
        <v>CA</v>
      </c>
      <c r="C66" s="28">
        <f>SUM(Jul!C66, Aug!C66, Sep!C66)</f>
        <v>18963.5</v>
      </c>
      <c r="D66" s="29">
        <f>SUM(Jul!D66, Aug!D66, Sep!D66)</f>
        <v>119959.59</v>
      </c>
      <c r="E66" s="29">
        <f t="shared" si="6"/>
        <v>-100996.09</v>
      </c>
      <c r="F66" s="30">
        <f t="shared" si="7"/>
        <v>-0.84191759908482511</v>
      </c>
      <c r="G66" s="31">
        <f>SUM(Jul!G66,Aug!G66,Sep!G66)</f>
        <v>132974.52000000002</v>
      </c>
      <c r="H66" s="31">
        <f>SUM(Jul!H66, Aug!H66, Sep!H66)</f>
        <v>-114011.02</v>
      </c>
      <c r="I66" s="32">
        <f t="shared" si="8"/>
        <v>-0.85738997215406376</v>
      </c>
    </row>
    <row r="67" spans="1:9" ht="15.6">
      <c r="A67" s="48" t="str">
        <v>CA: Stockton - SUSD - Nightingale ES</v>
      </c>
      <c r="B67" s="34" t="str">
        <v>CA</v>
      </c>
      <c r="C67" s="35">
        <f>SUM(Jul!C67, Aug!C67, Sep!C67)</f>
        <v>50600</v>
      </c>
      <c r="D67" s="36">
        <f>SUM(Jul!D67, Aug!D67, Sep!D67)</f>
        <v>58606.89</v>
      </c>
      <c r="E67" s="36">
        <f t="shared" si="6"/>
        <v>-8006.8899999999994</v>
      </c>
      <c r="F67" s="71">
        <f t="shared" si="7"/>
        <v>-0.13662028474809018</v>
      </c>
      <c r="G67" s="72">
        <f>SUM(Jul!G67,Aug!G67,Sep!G67)</f>
        <v>61576.92</v>
      </c>
      <c r="H67" s="72">
        <f>SUM(Jul!H67, Aug!H67, Sep!H67)</f>
        <v>-10976.919999999998</v>
      </c>
      <c r="I67" s="71">
        <f t="shared" si="8"/>
        <v>-0.1782635441980534</v>
      </c>
    </row>
    <row r="68" spans="1:9" ht="15.6">
      <c r="A68" s="47" t="str">
        <v>CA: Stockton - SUSD - Weber Institute</v>
      </c>
      <c r="B68" s="27" t="str">
        <v>CA</v>
      </c>
      <c r="C68" s="28">
        <f>SUM(Jul!C68, Aug!C68, Sep!C68)</f>
        <v>22237</v>
      </c>
      <c r="D68" s="29">
        <f>SUM(Jul!D68, Aug!D68, Sep!D68)</f>
        <v>120924.38</v>
      </c>
      <c r="E68" s="29">
        <f t="shared" si="6"/>
        <v>-98687.38</v>
      </c>
      <c r="F68" s="30">
        <f t="shared" si="7"/>
        <v>-0.81610821572953285</v>
      </c>
      <c r="G68" s="31">
        <f>SUM(Jul!G68,Aug!G68,Sep!G68)</f>
        <v>127679.29</v>
      </c>
      <c r="H68" s="31">
        <f>SUM(Jul!H68, Aug!H68, Sep!H68)</f>
        <v>-105442.29</v>
      </c>
      <c r="I68" s="32">
        <f t="shared" si="8"/>
        <v>-0.82583706410021551</v>
      </c>
    </row>
    <row r="69" spans="1:9" ht="15.6">
      <c r="A69" s="48" t="str">
        <v>CA: Stockton - SUSD - Warehouse</v>
      </c>
      <c r="B69" s="34" t="str">
        <v>CA</v>
      </c>
      <c r="C69" s="35">
        <f>SUM(Jul!C69, Aug!C69, Sep!C69)</f>
        <v>49973.25</v>
      </c>
      <c r="D69" s="36">
        <f>SUM(Jul!D69, Aug!D69, Sep!D69)</f>
        <v>105383.63</v>
      </c>
      <c r="E69" s="36">
        <f t="shared" si="6"/>
        <v>-55410.380000000005</v>
      </c>
      <c r="F69" s="71">
        <f t="shared" si="7"/>
        <v>-0.52579684339968169</v>
      </c>
      <c r="G69" s="72">
        <f>SUM(Jul!G69,Aug!G69,Sep!G69)</f>
        <v>120139.17</v>
      </c>
      <c r="H69" s="72">
        <f>SUM(Jul!H69, Aug!H69, Sep!H69)</f>
        <v>-70165.919999999998</v>
      </c>
      <c r="I69" s="71">
        <f t="shared" si="8"/>
        <v>-0.58403866116271652</v>
      </c>
    </row>
    <row r="70" spans="1:9" ht="15.6">
      <c r="A70" s="47" t="str">
        <v>CA: Stockton - SUSD - Walton Special Center</v>
      </c>
      <c r="B70" s="27" t="str">
        <v>CA</v>
      </c>
      <c r="C70" s="28">
        <f>SUM(Jul!C70, Aug!C70, Sep!C70)</f>
        <v>37112</v>
      </c>
      <c r="D70" s="29">
        <f>SUM(Jul!D70, Aug!D70, Sep!D70)</f>
        <v>83256.179999999993</v>
      </c>
      <c r="E70" s="29">
        <f t="shared" si="6"/>
        <v>-46144.179999999993</v>
      </c>
      <c r="F70" s="30">
        <f t="shared" si="7"/>
        <v>-0.55424330061744365</v>
      </c>
      <c r="G70" s="31">
        <f>SUM(Jul!G70,Aug!G70,Sep!G70)</f>
        <v>87379.89</v>
      </c>
      <c r="H70" s="31">
        <f>SUM(Jul!H70, Aug!H70, Sep!H70)</f>
        <v>-50267.89</v>
      </c>
      <c r="I70" s="32">
        <f t="shared" si="8"/>
        <v>-0.57527984986019098</v>
      </c>
    </row>
    <row r="71" spans="1:9" ht="15.6">
      <c r="A71" s="48" t="str">
        <v>CA: Stockton - SUSD - Stagg HS</v>
      </c>
      <c r="B71" s="34" t="str">
        <v>CA</v>
      </c>
      <c r="C71" s="35">
        <f>SUM(Jul!C71, Aug!C71, Sep!C71)</f>
        <v>208042</v>
      </c>
      <c r="D71" s="36">
        <f>SUM(Jul!D71, Aug!D71, Sep!D71)</f>
        <v>323543.03000000003</v>
      </c>
      <c r="E71" s="36">
        <f t="shared" si="6"/>
        <v>-115501.03000000003</v>
      </c>
      <c r="F71" s="71">
        <f t="shared" si="7"/>
        <v>-0.35698815703123016</v>
      </c>
      <c r="G71" s="72">
        <f>SUM(Jul!G71,Aug!G71,Sep!G71)</f>
        <v>334220.51</v>
      </c>
      <c r="H71" s="72">
        <f>SUM(Jul!H71, Aug!H71, Sep!H71)</f>
        <v>-126178.51</v>
      </c>
      <c r="I71" s="71">
        <f t="shared" si="8"/>
        <v>-0.37753072066103899</v>
      </c>
    </row>
    <row r="72" spans="1:9" ht="15.6">
      <c r="A72" s="47" t="str">
        <v>CA: Stockton - SUSD - School for Adults</v>
      </c>
      <c r="B72" s="27" t="str">
        <v>CA</v>
      </c>
      <c r="C72" s="28">
        <f>SUM(Jul!C72, Aug!C72, Sep!C72)</f>
        <v>24897.125</v>
      </c>
      <c r="D72" s="29">
        <f>SUM(Jul!D72, Aug!D72, Sep!D72)</f>
        <v>70237.61</v>
      </c>
      <c r="E72" s="29">
        <f t="shared" si="6"/>
        <v>-45340.485000000001</v>
      </c>
      <c r="F72" s="30">
        <f t="shared" si="7"/>
        <v>-0.64553000878019628</v>
      </c>
      <c r="G72" s="31">
        <f>SUM(Jul!G72,Aug!G72,Sep!G72)</f>
        <v>72428.850000000006</v>
      </c>
      <c r="H72" s="31">
        <f>SUM(Jul!H72, Aug!H72, Sep!H72)</f>
        <v>-47531.725000000006</v>
      </c>
      <c r="I72" s="32">
        <f t="shared" si="8"/>
        <v>-0.65625403413142691</v>
      </c>
    </row>
    <row r="73" spans="1:9" ht="15.6">
      <c r="A73" s="48" t="str">
        <v>CA: Stockton - SUSD - San Joaquin</v>
      </c>
      <c r="B73" s="34" t="str">
        <v>CA</v>
      </c>
      <c r="C73" s="35">
        <f>SUM(Jul!C73, Aug!C73, Sep!C73)</f>
        <v>31946.875</v>
      </c>
      <c r="D73" s="36">
        <f>SUM(Jul!D73, Aug!D73, Sep!D73)</f>
        <v>62495.01</v>
      </c>
      <c r="E73" s="36">
        <f t="shared" si="6"/>
        <v>-30548.135000000002</v>
      </c>
      <c r="F73" s="71">
        <f t="shared" si="7"/>
        <v>-0.48880918652545219</v>
      </c>
      <c r="G73" s="72">
        <f>SUM(Jul!G73,Aug!G73,Sep!G73)</f>
        <v>68174.070000000007</v>
      </c>
      <c r="H73" s="72">
        <f>SUM(Jul!H73, Aug!H73, Sep!H73)</f>
        <v>-36227.195</v>
      </c>
      <c r="I73" s="71">
        <f t="shared" si="8"/>
        <v>-0.53139258078621388</v>
      </c>
    </row>
    <row r="74" spans="1:9" ht="15.6">
      <c r="A74" s="47" t="str">
        <v>CA: Stockton - SUSD - Rio Calaveras</v>
      </c>
      <c r="B74" s="27" t="str">
        <v>CA</v>
      </c>
      <c r="C74" s="28">
        <f>SUM(Jul!C74, Aug!C74, Sep!C74)</f>
        <v>14948.625</v>
      </c>
      <c r="D74" s="29">
        <f>SUM(Jul!D74, Aug!D74, Sep!D74)</f>
        <v>64704.82</v>
      </c>
      <c r="E74" s="29">
        <f t="shared" si="6"/>
        <v>-49756.195</v>
      </c>
      <c r="F74" s="30">
        <f t="shared" si="7"/>
        <v>-0.76897200239487573</v>
      </c>
      <c r="G74" s="31">
        <f>SUM(Jul!G74,Aug!G74,Sep!G74)</f>
        <v>0</v>
      </c>
      <c r="H74" s="31">
        <f>SUM(Jul!H74, Aug!H74, Sep!H74)</f>
        <v>14948.625</v>
      </c>
      <c r="I74" s="32" t="str">
        <f t="shared" si="8"/>
        <v/>
      </c>
    </row>
    <row r="75" spans="1:9" ht="15.6">
      <c r="A75" s="48" t="str">
        <v>CA: Stockton - SUSD - Peyton</v>
      </c>
      <c r="B75" s="34" t="str">
        <v>CA</v>
      </c>
      <c r="C75" s="35">
        <f>SUM(Jul!C75, Aug!C75, Sep!C75)</f>
        <v>117440</v>
      </c>
      <c r="D75" s="36">
        <f>SUM(Jul!D75, Aug!D75, Sep!D75)</f>
        <v>147504.32999999999</v>
      </c>
      <c r="E75" s="36">
        <f t="shared" si="6"/>
        <v>-30064.329999999987</v>
      </c>
      <c r="F75" s="71">
        <f t="shared" si="7"/>
        <v>-0.20381998277609878</v>
      </c>
      <c r="G75" s="72">
        <f>SUM(Jul!G75,Aug!G75,Sep!G75)</f>
        <v>147961.60000000001</v>
      </c>
      <c r="H75" s="72">
        <f>SUM(Jul!H75, Aug!H75, Sep!H75)</f>
        <v>-30521.599999999999</v>
      </c>
      <c r="I75" s="71">
        <f t="shared" si="8"/>
        <v>-0.20628054846662916</v>
      </c>
    </row>
    <row r="76" spans="1:9" ht="15.6">
      <c r="A76" s="47" t="str">
        <v>TX: Barnhart - 42917 Ranch RD 2469</v>
      </c>
      <c r="B76" s="27" t="str">
        <v>TX</v>
      </c>
      <c r="C76" s="28">
        <f>SUM(Jul!C76, Aug!C76, Sep!C76)</f>
        <v>696070</v>
      </c>
      <c r="D76" s="29">
        <f>SUM(Jul!D76, Aug!D76, Sep!D76)</f>
        <v>787566.7</v>
      </c>
      <c r="E76" s="29">
        <f t="shared" si="6"/>
        <v>-91496.699999999953</v>
      </c>
      <c r="F76" s="30">
        <f t="shared" si="7"/>
        <v>-0.11617644575373738</v>
      </c>
      <c r="G76" s="31">
        <f>SUM(Jul!G76,Aug!G76,Sep!G76)</f>
        <v>767290.1</v>
      </c>
      <c r="H76" s="31">
        <f>SUM(Jul!H76, Aug!H76, Sep!H76)</f>
        <v>-71220.100000000006</v>
      </c>
      <c r="I76" s="32">
        <f t="shared" si="8"/>
        <v>-9.2820303559240508E-2</v>
      </c>
    </row>
    <row r="77" spans="1:9" ht="15.6">
      <c r="A77" s="48" t="str">
        <v>AZ: San Manuel - Senior &amp; Junior HS</v>
      </c>
      <c r="B77" s="34" t="str">
        <v>AZ</v>
      </c>
      <c r="C77" s="35">
        <f>SUM(Jul!C77, Aug!C77, Sep!C77)</f>
        <v>98262</v>
      </c>
      <c r="D77" s="36">
        <f>SUM(Jul!D77, Aug!D77, Sep!D77)</f>
        <v>0</v>
      </c>
      <c r="E77" s="36">
        <f t="shared" si="6"/>
        <v>98262</v>
      </c>
      <c r="F77" s="71" t="str">
        <f t="shared" si="7"/>
        <v/>
      </c>
      <c r="G77" s="72">
        <f>SUM(Jul!G77,Aug!G77,Sep!G77)</f>
        <v>138630</v>
      </c>
      <c r="H77" s="72">
        <f>SUM(Jul!H77, Aug!H77, Sep!H77)</f>
        <v>-40368</v>
      </c>
      <c r="I77" s="71">
        <f t="shared" si="8"/>
        <v>-0.29119238260116859</v>
      </c>
    </row>
    <row r="78" spans="1:9" ht="15.6">
      <c r="A78" s="47" t="str">
        <v>AZ: Sierra Vista - Colonel Smith MS</v>
      </c>
      <c r="B78" s="27" t="str">
        <v>AZ</v>
      </c>
      <c r="C78" s="28">
        <f>SUM(Jul!C78, Aug!C78, Sep!C78)</f>
        <v>112090</v>
      </c>
      <c r="D78" s="29">
        <f>SUM(Jul!D78, Aug!D78, Sep!D78)</f>
        <v>185354.5</v>
      </c>
      <c r="E78" s="29">
        <f t="shared" si="6"/>
        <v>-73264.5</v>
      </c>
      <c r="F78" s="30">
        <f t="shared" si="7"/>
        <v>-0.39526690746650339</v>
      </c>
      <c r="G78" s="31">
        <f>SUM(Jul!G78,Aug!G78,Sep!G78)</f>
        <v>168323.32</v>
      </c>
      <c r="H78" s="31">
        <f>SUM(Jul!H78, Aug!H78, Sep!H78)</f>
        <v>-56233.320000000007</v>
      </c>
      <c r="I78" s="32">
        <f t="shared" si="8"/>
        <v>-0.33407919948347031</v>
      </c>
    </row>
    <row r="79" spans="1:9" ht="15.6">
      <c r="A79" s="48" t="str">
        <v>AZ: Sierra Vista - Colonel Johnston ES</v>
      </c>
      <c r="B79" s="34" t="str">
        <v>AZ</v>
      </c>
      <c r="C79" s="35">
        <f>SUM(Jul!C79, Aug!C79, Sep!C79)</f>
        <v>36480</v>
      </c>
      <c r="D79" s="36">
        <f>SUM(Jul!D79, Aug!D79, Sep!D79)</f>
        <v>61926.17</v>
      </c>
      <c r="E79" s="36">
        <f t="shared" si="6"/>
        <v>-25446.17</v>
      </c>
      <c r="F79" s="71">
        <f t="shared" si="7"/>
        <v>-0.41091141273552034</v>
      </c>
      <c r="G79" s="72">
        <f>SUM(Jul!G79,Aug!G79,Sep!G79)</f>
        <v>55452.739999999991</v>
      </c>
      <c r="H79" s="72">
        <f>SUM(Jul!H79, Aug!H79, Sep!H79)</f>
        <v>-18972.739999999998</v>
      </c>
      <c r="I79" s="71">
        <f t="shared" si="8"/>
        <v>-0.34214251631208847</v>
      </c>
    </row>
    <row r="80" spans="1:9" ht="15.6">
      <c r="A80" s="47" t="str">
        <v>NH: Dover - Dover HS</v>
      </c>
      <c r="B80" s="27" t="str">
        <v>NH</v>
      </c>
      <c r="C80" s="28">
        <f>SUM(Jul!C80, Aug!C80, Sep!C80)</f>
        <v>289567.5</v>
      </c>
      <c r="D80" s="29">
        <f>SUM(Jul!D80, Aug!D80, Sep!D80)</f>
        <v>415620.4</v>
      </c>
      <c r="E80" s="29">
        <f t="shared" si="6"/>
        <v>-126052.90000000002</v>
      </c>
      <c r="F80" s="30">
        <f t="shared" si="7"/>
        <v>-0.30328852962944075</v>
      </c>
      <c r="G80" s="31">
        <f>SUM(Jul!G80,Aug!G80,Sep!G80)</f>
        <v>369426.9</v>
      </c>
      <c r="H80" s="31">
        <f>SUM(Jul!H80, Aug!H80, Sep!H80)</f>
        <v>-79859.400000000009</v>
      </c>
      <c r="I80" s="32">
        <f t="shared" si="8"/>
        <v>-0.21617104764163086</v>
      </c>
    </row>
    <row r="81" spans="1:9" ht="15.6">
      <c r="A81" s="48" t="str">
        <v>MA: Somerville - 30 Inner Belt Rd</v>
      </c>
      <c r="B81" s="34" t="str">
        <v>MA</v>
      </c>
      <c r="C81" s="35">
        <f>SUM(Jul!C81, Aug!C81, Sep!C81)</f>
        <v>293764</v>
      </c>
      <c r="D81" s="36">
        <f>SUM(Jul!D81, Aug!D81, Sep!D81)</f>
        <v>284797.55</v>
      </c>
      <c r="E81" s="36">
        <f t="shared" si="6"/>
        <v>8966.4500000000116</v>
      </c>
      <c r="F81" s="71">
        <f t="shared" si="7"/>
        <v>3.1483592467702097E-2</v>
      </c>
      <c r="G81" s="72">
        <f>SUM(Jul!G81,Aug!G81,Sep!G81)</f>
        <v>521446.77999999991</v>
      </c>
      <c r="H81" s="72">
        <f>SUM(Jul!H81, Aug!H81, Sep!H81)</f>
        <v>-227682.77999999997</v>
      </c>
      <c r="I81" s="71">
        <f t="shared" si="8"/>
        <v>-0.43663665925792083</v>
      </c>
    </row>
    <row r="82" spans="1:9" ht="15.6">
      <c r="A82" s="47" t="str">
        <v>MA: Boxborough - 1414 Massachusetts Ave</v>
      </c>
      <c r="B82" s="27" t="str">
        <v>MA</v>
      </c>
      <c r="C82" s="28">
        <f>SUM(Jul!C82, Aug!C82, Sep!C82)</f>
        <v>2092462.8979404429</v>
      </c>
      <c r="D82" s="29">
        <f>SUM(Jul!D82, Aug!D82, Sep!D82)</f>
        <v>604281.59999999998</v>
      </c>
      <c r="E82" s="29">
        <f t="shared" si="6"/>
        <v>1488181.2979404428</v>
      </c>
      <c r="F82" s="30">
        <f t="shared" si="7"/>
        <v>2.4627281352608499</v>
      </c>
      <c r="G82" s="31">
        <f>SUM(Jul!G82,Aug!G82,Sep!G82)</f>
        <v>2151400</v>
      </c>
      <c r="H82" s="31">
        <f>SUM(Jul!H82, Aug!H82, Sep!H82)</f>
        <v>-58937.102059557103</v>
      </c>
      <c r="I82" s="32">
        <f t="shared" si="8"/>
        <v>-2.7394767156064471E-2</v>
      </c>
    </row>
    <row r="83" spans="1:9" ht="15.6">
      <c r="A83" s="48" t="str">
        <v>NY: Amsterdam - 153 NY Route 67</v>
      </c>
      <c r="B83" s="34" t="str">
        <v>NY</v>
      </c>
      <c r="C83" s="35">
        <f>SUM(Jul!C83, Aug!C83, Sep!C83)</f>
        <v>1162888</v>
      </c>
      <c r="D83" s="36">
        <f>SUM(Jul!D83, Aug!D83, Sep!D83)</f>
        <v>911727.8</v>
      </c>
      <c r="E83" s="36">
        <f t="shared" si="6"/>
        <v>251160.19999999995</v>
      </c>
      <c r="F83" s="71">
        <f t="shared" si="7"/>
        <v>0.27547717641164388</v>
      </c>
      <c r="G83" s="72">
        <f>SUM(Jul!G83,Aug!G83,Sep!G83)</f>
        <v>1099775</v>
      </c>
      <c r="H83" s="72">
        <f>SUM(Jul!H83, Aug!H83, Sep!H83)</f>
        <v>63113</v>
      </c>
      <c r="I83" s="71">
        <f t="shared" si="8"/>
        <v>5.738719283489805E-2</v>
      </c>
    </row>
    <row r="84" spans="1:9" ht="15.6">
      <c r="A84" s="47" t="str">
        <v>CA: San Jose - GE Mobile Water</v>
      </c>
      <c r="B84" s="27" t="str">
        <v>CA</v>
      </c>
      <c r="C84" s="28">
        <f>SUM(Jul!C84, Aug!C84, Sep!C84)</f>
        <v>78390</v>
      </c>
      <c r="D84" s="29">
        <f>SUM(Jul!D84, Aug!D84, Sep!D84)</f>
        <v>89675.845000000001</v>
      </c>
      <c r="E84" s="29">
        <f t="shared" si="6"/>
        <v>-11285.845000000001</v>
      </c>
      <c r="F84" s="30">
        <f t="shared" si="7"/>
        <v>-0.12585156013863044</v>
      </c>
      <c r="G84" s="31">
        <f>SUM(Jul!G84,Aug!G84,Sep!G84)</f>
        <v>92921.271999999997</v>
      </c>
      <c r="H84" s="31">
        <f>SUM(Jul!H84, Aug!H84, Sep!H84)</f>
        <v>-14531.272000000001</v>
      </c>
      <c r="I84" s="32">
        <f t="shared" si="8"/>
        <v>-0.15638262033261879</v>
      </c>
    </row>
    <row r="85" spans="1:9" ht="15.6">
      <c r="A85" s="48" t="str">
        <v>NY: Rome - 7776 Tannery RD</v>
      </c>
      <c r="B85" s="34" t="str">
        <v>NY</v>
      </c>
      <c r="C85" s="35">
        <f>SUM(Jul!C85, Aug!C85, Sep!C85)</f>
        <v>1067992.4968504459</v>
      </c>
      <c r="D85" s="36">
        <f>SUM(Jul!D85, Aug!D85, Sep!D85)</f>
        <v>1175527.5</v>
      </c>
      <c r="E85" s="36">
        <f t="shared" si="6"/>
        <v>-107535.00314955413</v>
      </c>
      <c r="F85" s="71">
        <f t="shared" si="7"/>
        <v>-9.1478083796044024E-2</v>
      </c>
      <c r="G85" s="72">
        <f>SUM(Jul!G85,Aug!G85,Sep!G85)</f>
        <v>1159047.7</v>
      </c>
      <c r="H85" s="72">
        <f>SUM(Jul!H85, Aug!H85, Sep!H85)</f>
        <v>-91055.20314955397</v>
      </c>
      <c r="I85" s="71">
        <f t="shared" si="8"/>
        <v>-7.8560358775185843E-2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tabSelected="1" workbookViewId="0">
      <pane xSplit="2" ySplit="3" topLeftCell="C4" activePane="bottomRight" state="frozen"/>
      <selection pane="bottomRight" activeCell="L11" sqref="L1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8" t="str" cm="1">
        <f t="array" ref="A1">portfolio</f>
        <v>Clean Capital</v>
      </c>
      <c r="B1" s="118"/>
      <c r="C1" s="118"/>
      <c r="D1" s="119" t="s">
        <v>16</v>
      </c>
      <c r="E1" s="119"/>
      <c r="F1" s="119"/>
      <c r="G1" s="117" t="s">
        <v>17</v>
      </c>
      <c r="H1" s="117"/>
      <c r="I1" s="117"/>
    </row>
    <row r="2" spans="1:9" ht="19.5" customHeight="1">
      <c r="A2" s="120" t="s">
        <v>2</v>
      </c>
      <c r="B2" s="120"/>
      <c r="C2" s="5">
        <f>SUM(C4:C178)</f>
        <v>4329592.5193510633</v>
      </c>
      <c r="D2" s="5">
        <f>SUM(D4:D178)</f>
        <v>3150845.59</v>
      </c>
      <c r="E2" s="5">
        <f>C2-D2</f>
        <v>1178746.9293510634</v>
      </c>
      <c r="F2" s="6">
        <f>IFERROR(E2/D2, 0)</f>
        <v>0.37410494918954867</v>
      </c>
      <c r="G2" s="5">
        <f>SUM(G4:G178)</f>
        <v>4636831.0599999977</v>
      </c>
      <c r="H2" s="7">
        <f>C2-G2</f>
        <v>-307238.54064893443</v>
      </c>
      <c r="I2" s="6">
        <f>IFERROR(H2/G2, 0)</f>
        <v>-6.6260456047094921E-2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26318.2</v>
      </c>
      <c r="D4" s="29">
        <f>SUM(Oct!D4, Nov!D4, Dec!D4)</f>
        <v>0</v>
      </c>
      <c r="E4" s="29">
        <f>IF(AND(ISNUMBER(C4),ISNUMBER(D4)), C4-D4, "")</f>
        <v>26318.2</v>
      </c>
      <c r="F4" s="30" t="str">
        <f>IFERROR(E4/D4, "")</f>
        <v/>
      </c>
      <c r="G4" s="31">
        <f>SUM(Oct!G4,Nov!G4,Dec!G4)</f>
        <v>0</v>
      </c>
      <c r="H4" s="31">
        <f>SUM(Oct!H4, Nov!H4, Dec!H4)</f>
        <v>0</v>
      </c>
      <c r="I4" s="32" t="str">
        <f>IFERROR(H4/G4, "")</f>
        <v/>
      </c>
    </row>
    <row r="5" spans="1:9" ht="15.6">
      <c r="A5" s="48" t="str">
        <v>Pacoima - Whiteman Airport</v>
      </c>
      <c r="B5" s="34" t="str">
        <v>CA</v>
      </c>
      <c r="C5" s="35">
        <f>SUM(Oct!C5, Nov!C5, Dec!C5)</f>
        <v>25774.5</v>
      </c>
      <c r="D5" s="36">
        <f>SUM(Oct!D5, Nov!D5, Dec!D5)</f>
        <v>0</v>
      </c>
      <c r="E5" s="36">
        <f t="shared" ref="E5:E7" si="0">IF(AND(ISNUMBER(C5),ISNUMBER(D5)), C5-D5, "")</f>
        <v>25774.5</v>
      </c>
      <c r="F5" s="37" t="str">
        <f>IFERROR(E5/D5, "")</f>
        <v/>
      </c>
      <c r="G5" s="36">
        <f>SUM(Oct!G5,Nov!G5,Dec!G5)</f>
        <v>40040</v>
      </c>
      <c r="H5" s="38">
        <f>SUM(Oct!H5, Nov!H5, Dec!H5)</f>
        <v>-14265.5</v>
      </c>
      <c r="I5" s="37">
        <f>IFERROR(H5/G5, "")</f>
        <v>-0.35628121878121877</v>
      </c>
    </row>
    <row r="6" spans="1:9" ht="15.6">
      <c r="A6" s="47" t="str">
        <v>Hyannis - Sturgis Charter School</v>
      </c>
      <c r="B6" s="27" t="str">
        <v>MA</v>
      </c>
      <c r="C6" s="28">
        <f>SUM(Oct!C6, Nov!C6, Dec!C6)</f>
        <v>20955.60413</v>
      </c>
      <c r="D6" s="29">
        <f>SUM(Oct!D6, Nov!D6, Dec!D6)</f>
        <v>0</v>
      </c>
      <c r="E6" s="29">
        <f t="shared" si="0"/>
        <v>20955.60413</v>
      </c>
      <c r="F6" s="30" t="str">
        <f t="shared" ref="F6:F7" si="1">IFERROR(E6/D6, "")</f>
        <v/>
      </c>
      <c r="G6" s="31">
        <f>SUM(Oct!G6,Nov!G6,Dec!G6)</f>
        <v>20840</v>
      </c>
      <c r="H6" s="31">
        <f>SUM(Oct!H6, Nov!H6, Dec!H6)</f>
        <v>115.60412999999971</v>
      </c>
      <c r="I6" s="32">
        <f t="shared" ref="I6:I7" si="2">IFERROR(H6/G6, "")</f>
        <v>5.5472231285988343E-3</v>
      </c>
    </row>
    <row r="7" spans="1:9" ht="15.6">
      <c r="A7" s="48" t="str">
        <v>South Dennis - Tony Kent Arena</v>
      </c>
      <c r="B7" s="34" t="str">
        <v>MA</v>
      </c>
      <c r="C7" s="35">
        <f>SUM(Oct!C7, Nov!C7, Dec!C7)</f>
        <v>22120.2</v>
      </c>
      <c r="D7" s="36">
        <f>SUM(Oct!D7, Nov!D7, Dec!D7)</f>
        <v>0</v>
      </c>
      <c r="E7" s="36">
        <f t="shared" si="0"/>
        <v>22120.2</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46950.9</v>
      </c>
      <c r="D8" s="29">
        <f>SUM(Oct!D8, Nov!D8, Dec!D8)</f>
        <v>0</v>
      </c>
      <c r="E8" s="29">
        <f t="shared" ref="E8:E24" si="3">IF(AND(ISNUMBER(C8),ISNUMBER(D8)), C8-D8, "")</f>
        <v>46950.9</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123287</v>
      </c>
      <c r="D9" s="36">
        <f>SUM(Oct!D9, Nov!D9, Dec!D9)</f>
        <v>0</v>
      </c>
      <c r="E9" s="36">
        <f t="shared" si="3"/>
        <v>123287</v>
      </c>
      <c r="F9" s="71" t="str">
        <f t="shared" si="4"/>
        <v/>
      </c>
      <c r="G9" s="36">
        <f>SUM(Oct!G9,Nov!G9,Dec!G9)</f>
        <v>156550.79999999999</v>
      </c>
      <c r="H9" s="72">
        <f>SUM(Oct!H9, Nov!H9, Dec!H9)</f>
        <v>-33263.799999999988</v>
      </c>
      <c r="I9" s="71">
        <f t="shared" si="5"/>
        <v>-0.21247927190407198</v>
      </c>
    </row>
    <row r="10" spans="1:9" ht="15.6">
      <c r="A10" s="47" t="str">
        <v>Zumbrota - Eastlake Brenda Luhman</v>
      </c>
      <c r="B10" s="27" t="str">
        <v>MN</v>
      </c>
      <c r="C10" s="28">
        <f>SUM(Oct!C10, Nov!C10, Dec!C10)</f>
        <v>149182</v>
      </c>
      <c r="D10" s="29">
        <f>SUM(Oct!D10, Nov!D10, Dec!D10)</f>
        <v>0</v>
      </c>
      <c r="E10" s="29">
        <f t="shared" si="3"/>
        <v>149182</v>
      </c>
      <c r="F10" s="30" t="str">
        <f t="shared" si="4"/>
        <v/>
      </c>
      <c r="G10" s="31">
        <f>SUM(Oct!G10,Nov!G10,Dec!G10)</f>
        <v>138962.20000000001</v>
      </c>
      <c r="H10" s="31">
        <f>SUM(Oct!H10, Nov!H10, Dec!H10)</f>
        <v>10219.799999999988</v>
      </c>
      <c r="I10" s="32">
        <f t="shared" si="5"/>
        <v>7.3543740671923638E-2</v>
      </c>
    </row>
    <row r="11" spans="1:9" ht="15.6">
      <c r="A11" s="48" t="str">
        <v>Cokato - Eastlake Carlson</v>
      </c>
      <c r="B11" s="34" t="str">
        <v>MN</v>
      </c>
      <c r="C11" s="35">
        <f>SUM(Oct!C11, Nov!C11, Dec!C11)</f>
        <v>120234</v>
      </c>
      <c r="D11" s="36">
        <f>SUM(Oct!D11, Nov!D11, Dec!D11)</f>
        <v>0</v>
      </c>
      <c r="E11" s="36">
        <f t="shared" si="3"/>
        <v>120234</v>
      </c>
      <c r="F11" s="71" t="str">
        <f t="shared" si="4"/>
        <v/>
      </c>
      <c r="G11" s="36">
        <f>SUM(Oct!G11,Nov!G11,Dec!G11)</f>
        <v>141771.6</v>
      </c>
      <c r="H11" s="72">
        <f>SUM(Oct!H11, Nov!H11, Dec!H11)</f>
        <v>-21537.600000000006</v>
      </c>
      <c r="I11" s="71">
        <f t="shared" si="5"/>
        <v>-0.15191759139348082</v>
      </c>
    </row>
    <row r="12" spans="1:9" ht="15.6">
      <c r="A12" s="47" t="str">
        <v>North Branch - Cornille 2</v>
      </c>
      <c r="B12" s="27" t="str">
        <v>MN</v>
      </c>
      <c r="C12" s="28">
        <f>SUM(Oct!C12, Nov!C12, Dec!C12)</f>
        <v>135138</v>
      </c>
      <c r="D12" s="29">
        <f>SUM(Oct!D12, Nov!D12, Dec!D12)</f>
        <v>0</v>
      </c>
      <c r="E12" s="29">
        <f t="shared" si="3"/>
        <v>135138</v>
      </c>
      <c r="F12" s="30" t="str">
        <f t="shared" si="4"/>
        <v/>
      </c>
      <c r="G12" s="31">
        <f>SUM(Oct!G12,Nov!G12,Dec!G12)</f>
        <v>147992.29999999999</v>
      </c>
      <c r="H12" s="31">
        <f>SUM(Oct!H12, Nov!H12, Dec!H12)</f>
        <v>-12854.299999999988</v>
      </c>
      <c r="I12" s="32">
        <f t="shared" si="5"/>
        <v>-8.6857897336550541E-2</v>
      </c>
    </row>
    <row r="13" spans="1:9" ht="15.6">
      <c r="A13" s="48" t="str">
        <v>Clear Lake - Eastlake Hammer</v>
      </c>
      <c r="B13" s="34" t="str">
        <v>MN</v>
      </c>
      <c r="C13" s="35">
        <f>SUM(Oct!C13, Nov!C13, Dec!C13)</f>
        <v>129622</v>
      </c>
      <c r="D13" s="36">
        <f>SUM(Oct!D13, Nov!D13, Dec!D13)</f>
        <v>0</v>
      </c>
      <c r="E13" s="36">
        <f t="shared" si="3"/>
        <v>129622</v>
      </c>
      <c r="F13" s="71" t="str">
        <f t="shared" si="4"/>
        <v/>
      </c>
      <c r="G13" s="36">
        <f>SUM(Oct!G13,Nov!G13,Dec!G13)</f>
        <v>151553.60000000001</v>
      </c>
      <c r="H13" s="72">
        <f>SUM(Oct!H13, Nov!H13, Dec!H13)</f>
        <v>-21931.600000000006</v>
      </c>
      <c r="I13" s="71">
        <f t="shared" si="5"/>
        <v>-0.14471183792400844</v>
      </c>
    </row>
    <row r="14" spans="1:9" ht="15.6">
      <c r="A14" s="47" t="str">
        <v>Eastlake - Hertzberg CSG 1</v>
      </c>
      <c r="B14" s="27" t="str">
        <v>MN</v>
      </c>
      <c r="C14" s="28">
        <f>SUM(Oct!C14, Nov!C14, Dec!C14)</f>
        <v>112037.22500000001</v>
      </c>
      <c r="D14" s="29">
        <f>SUM(Oct!D14, Nov!D14, Dec!D14)</f>
        <v>0</v>
      </c>
      <c r="E14" s="29">
        <f t="shared" si="3"/>
        <v>112037.22500000001</v>
      </c>
      <c r="F14" s="30" t="str">
        <f t="shared" si="4"/>
        <v/>
      </c>
      <c r="G14" s="31">
        <f>SUM(Oct!G14,Nov!G14,Dec!G14)</f>
        <v>154680.70000000001</v>
      </c>
      <c r="H14" s="31">
        <f>SUM(Oct!H14, Nov!H14, Dec!H14)</f>
        <v>-42643.475000000006</v>
      </c>
      <c r="I14" s="32">
        <f t="shared" si="5"/>
        <v>-0.27568710899291249</v>
      </c>
    </row>
    <row r="15" spans="1:9" ht="15.6">
      <c r="A15" s="48" t="str">
        <v>Cokato - Eastlake Laurel Village</v>
      </c>
      <c r="B15" s="34" t="str">
        <v>MN</v>
      </c>
      <c r="C15" s="35">
        <f>SUM(Oct!C15, Nov!C15, Dec!C15)</f>
        <v>129368.05</v>
      </c>
      <c r="D15" s="36">
        <f>SUM(Oct!D15, Nov!D15, Dec!D15)</f>
        <v>0</v>
      </c>
      <c r="E15" s="36">
        <f t="shared" si="3"/>
        <v>129368.05</v>
      </c>
      <c r="F15" s="71" t="str">
        <f t="shared" si="4"/>
        <v/>
      </c>
      <c r="G15" s="36">
        <f>SUM(Oct!G15,Nov!G15,Dec!G15)</f>
        <v>150906.9</v>
      </c>
      <c r="H15" s="72">
        <f>SUM(Oct!H15, Nov!H15, Dec!H15)</f>
        <v>-21538.849999999991</v>
      </c>
      <c r="I15" s="71">
        <f t="shared" si="5"/>
        <v>-0.142729391432731</v>
      </c>
    </row>
    <row r="16" spans="1:9" ht="15.6">
      <c r="A16" s="47" t="str">
        <v>St. Peter - Eastlake Paulson</v>
      </c>
      <c r="B16" s="27" t="str">
        <v>MN</v>
      </c>
      <c r="C16" s="28">
        <f>SUM(Oct!C16, Nov!C16, Dec!C16)</f>
        <v>129541.346136363</v>
      </c>
      <c r="D16" s="29">
        <f>SUM(Oct!D16, Nov!D16, Dec!D16)</f>
        <v>0</v>
      </c>
      <c r="E16" s="29">
        <f t="shared" si="3"/>
        <v>129541.346136363</v>
      </c>
      <c r="F16" s="30" t="str">
        <f t="shared" si="4"/>
        <v/>
      </c>
      <c r="G16" s="31">
        <f>SUM(Oct!G16,Nov!G16,Dec!G16)</f>
        <v>145203.79999999999</v>
      </c>
      <c r="H16" s="31">
        <f>SUM(Oct!H16, Nov!H16, Dec!H16)</f>
        <v>-15662.453863636983</v>
      </c>
      <c r="I16" s="32">
        <f t="shared" si="5"/>
        <v>-0.10786531663521881</v>
      </c>
    </row>
    <row r="17" spans="1:9" ht="15.6">
      <c r="A17" s="48" t="str">
        <v>Felician Sisters Convent</v>
      </c>
      <c r="B17" s="34" t="str">
        <v>NJ</v>
      </c>
      <c r="C17" s="35">
        <f>SUM(Oct!C17, Nov!C17, Dec!C17)</f>
        <v>9548.2000000000007</v>
      </c>
      <c r="D17" s="36">
        <f>SUM(Oct!D17, Nov!D17, Dec!D17)</f>
        <v>0</v>
      </c>
      <c r="E17" s="36">
        <f t="shared" si="3"/>
        <v>9548.2000000000007</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41830.06</v>
      </c>
      <c r="D18" s="29">
        <f>SUM(Oct!D18, Nov!D18, Dec!D18)</f>
        <v>0</v>
      </c>
      <c r="E18" s="29">
        <f t="shared" si="3"/>
        <v>41830.06</v>
      </c>
      <c r="F18" s="30" t="str">
        <f t="shared" si="4"/>
        <v/>
      </c>
      <c r="G18" s="31">
        <f>SUM(Oct!G18,Nov!G18,Dec!G18)</f>
        <v>0</v>
      </c>
      <c r="H18" s="31">
        <f>SUM(Oct!H18, Nov!H18, Dec!H18)</f>
        <v>0</v>
      </c>
      <c r="I18" s="32" t="str">
        <f t="shared" si="5"/>
        <v/>
      </c>
    </row>
    <row r="19" spans="1:9" ht="15.6">
      <c r="A19" s="48" t="str">
        <v>Gateway Church</v>
      </c>
      <c r="B19" s="34" t="str">
        <v>NJ</v>
      </c>
      <c r="C19" s="35">
        <f>SUM(Oct!C19, Nov!C19, Dec!C19)</f>
        <v>18528</v>
      </c>
      <c r="D19" s="36">
        <f>SUM(Oct!D19, Nov!D19, Dec!D19)</f>
        <v>0</v>
      </c>
      <c r="E19" s="36">
        <f t="shared" si="3"/>
        <v>18528</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26741</v>
      </c>
      <c r="D20" s="29">
        <f>SUM(Oct!D20, Nov!D20, Dec!D20)</f>
        <v>0</v>
      </c>
      <c r="E20" s="29">
        <f t="shared" si="3"/>
        <v>26741</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10271</v>
      </c>
      <c r="D21" s="36">
        <f>SUM(Oct!D21, Nov!D21, Dec!D21)</f>
        <v>0</v>
      </c>
      <c r="E21" s="36">
        <f t="shared" si="3"/>
        <v>10271</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11421</v>
      </c>
      <c r="D22" s="29">
        <f>SUM(Oct!D22, Nov!D22, Dec!D22)</f>
        <v>0</v>
      </c>
      <c r="E22" s="29">
        <f t="shared" si="3"/>
        <v>11421</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3950.7</v>
      </c>
      <c r="D23" s="36">
        <f>SUM(Oct!D23, Nov!D23, Dec!D23)</f>
        <v>0</v>
      </c>
      <c r="E23" s="36">
        <f t="shared" si="3"/>
        <v>3950.7</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7840.6</v>
      </c>
      <c r="D24" s="29">
        <f>SUM(Oct!D24, Nov!D24, Dec!D24)</f>
        <v>0</v>
      </c>
      <c r="E24" s="29">
        <f t="shared" si="3"/>
        <v>7840.6</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207831.78099999999</v>
      </c>
      <c r="D25" s="36">
        <f>SUM(Oct!D25, Nov!D25, Dec!D25)</f>
        <v>64379.8</v>
      </c>
      <c r="E25" s="36">
        <f t="shared" ref="E25:E56" si="6">IF(AND(ISNUMBER(C25),ISNUMBER(D25)), C25-D25, "")</f>
        <v>143451.98099999997</v>
      </c>
      <c r="F25" s="71">
        <f t="shared" ref="F25:F56" si="7">IFERROR(E25/D25, "")</f>
        <v>2.2282141448093964</v>
      </c>
      <c r="G25" s="36">
        <f>SUM(Oct!G25,Nov!G25,Dec!G25)</f>
        <v>279526.59999999998</v>
      </c>
      <c r="H25" s="72">
        <f>SUM(Oct!H25, Nov!H25, Dec!H25)</f>
        <v>-71694.818999999989</v>
      </c>
      <c r="I25" s="71">
        <f t="shared" ref="I25:I56" si="8">IFERROR(H25/G25, "")</f>
        <v>-0.25648657050885315</v>
      </c>
    </row>
    <row r="26" spans="1:9" ht="15.6">
      <c r="A26" s="47" t="str">
        <v>Taos County - Kit Carson Electric Co-Op</v>
      </c>
      <c r="B26" s="27" t="str">
        <v>NM</v>
      </c>
      <c r="C26" s="28">
        <f>SUM(Oct!C26, Nov!C26, Dec!C26)</f>
        <v>204520</v>
      </c>
      <c r="D26" s="29">
        <f>SUM(Oct!D26, Nov!D26, Dec!D26)</f>
        <v>171068.4</v>
      </c>
      <c r="E26" s="29">
        <f t="shared" si="6"/>
        <v>33451.600000000006</v>
      </c>
      <c r="F26" s="30">
        <f t="shared" si="7"/>
        <v>0.19554517374336819</v>
      </c>
      <c r="G26" s="31">
        <f>SUM(Oct!G26,Nov!G26,Dec!G26)</f>
        <v>137591.1</v>
      </c>
      <c r="H26" s="31">
        <f>SUM(Oct!H26, Nov!H26, Dec!H26)</f>
        <v>66928.899999999994</v>
      </c>
      <c r="I26" s="32">
        <f t="shared" si="8"/>
        <v>0.48643335215722522</v>
      </c>
    </row>
    <row r="27" spans="1:9" ht="15.6">
      <c r="A27" s="48" t="str">
        <v>Commerce City - Adams City HS</v>
      </c>
      <c r="B27" s="34" t="str">
        <v>CO</v>
      </c>
      <c r="C27" s="35">
        <f>SUM(Oct!C27, Nov!C27, Dec!C27)</f>
        <v>11839</v>
      </c>
      <c r="D27" s="36">
        <f>SUM(Oct!D27, Nov!D27, Dec!D27)</f>
        <v>9858.1630000000005</v>
      </c>
      <c r="E27" s="36">
        <f t="shared" si="6"/>
        <v>1980.8369999999995</v>
      </c>
      <c r="F27" s="71">
        <f t="shared" si="7"/>
        <v>0.20093368308071183</v>
      </c>
      <c r="G27" s="36">
        <f>SUM(Oct!G27,Nov!G27,Dec!G27)</f>
        <v>10098.799999999999</v>
      </c>
      <c r="H27" s="72">
        <f>SUM(Oct!H27, Nov!H27, Dec!H27)</f>
        <v>1740.2000000000007</v>
      </c>
      <c r="I27" s="71">
        <f t="shared" si="8"/>
        <v>0.17231750306967172</v>
      </c>
    </row>
    <row r="28" spans="1:9" ht="15.6">
      <c r="A28" s="47" t="str">
        <v>Commerce City - Adams City MS</v>
      </c>
      <c r="B28" s="27" t="str">
        <v>CO</v>
      </c>
      <c r="C28" s="28">
        <f>SUM(Oct!C28, Nov!C28, Dec!C28)</f>
        <v>9349</v>
      </c>
      <c r="D28" s="29">
        <f>SUM(Oct!D28, Nov!D28, Dec!D28)</f>
        <v>8958.2139999999999</v>
      </c>
      <c r="E28" s="29">
        <f t="shared" si="6"/>
        <v>390.78600000000006</v>
      </c>
      <c r="F28" s="30">
        <f t="shared" si="7"/>
        <v>4.3623204357475728E-2</v>
      </c>
      <c r="G28" s="31">
        <f>SUM(Oct!G28,Nov!G28,Dec!G28)</f>
        <v>8884.5110000000004</v>
      </c>
      <c r="H28" s="31">
        <f>SUM(Oct!H28, Nov!H28, Dec!H28)</f>
        <v>464.48899999999958</v>
      </c>
      <c r="I28" s="32">
        <f t="shared" si="8"/>
        <v>5.2280761428513012E-2</v>
      </c>
    </row>
    <row r="29" spans="1:9" ht="15.6">
      <c r="A29" s="48" t="str">
        <v>Commerce City - Central ES</v>
      </c>
      <c r="B29" s="34" t="str">
        <v>CO</v>
      </c>
      <c r="C29" s="35">
        <f>SUM(Oct!C29, Nov!C29, Dec!C29)</f>
        <v>2418.6</v>
      </c>
      <c r="D29" s="36">
        <f>SUM(Oct!D29, Nov!D29, Dec!D29)</f>
        <v>2496.8470000000002</v>
      </c>
      <c r="E29" s="36">
        <f t="shared" si="6"/>
        <v>-78.247000000000298</v>
      </c>
      <c r="F29" s="71">
        <f t="shared" si="7"/>
        <v>-3.1338323894095348E-2</v>
      </c>
      <c r="G29" s="36">
        <f>SUM(Oct!G29,Nov!G29,Dec!G29)</f>
        <v>2528.56</v>
      </c>
      <c r="H29" s="72">
        <f>SUM(Oct!H29, Nov!H29, Dec!H29)</f>
        <v>-109.96000000000004</v>
      </c>
      <c r="I29" s="71">
        <f t="shared" si="8"/>
        <v>-4.3487202202043863E-2</v>
      </c>
    </row>
    <row r="30" spans="1:9" ht="15.6">
      <c r="A30" s="47" t="str">
        <v>Commerce City - Dupont ES</v>
      </c>
      <c r="B30" s="27" t="str">
        <v>CO</v>
      </c>
      <c r="C30" s="28">
        <f>SUM(Oct!C30, Nov!C30, Dec!C30)</f>
        <v>7310</v>
      </c>
      <c r="D30" s="29">
        <f>SUM(Oct!D30, Nov!D30, Dec!D30)</f>
        <v>6849.4110000000001</v>
      </c>
      <c r="E30" s="29">
        <f t="shared" si="6"/>
        <v>460.58899999999994</v>
      </c>
      <c r="F30" s="30">
        <f t="shared" si="7"/>
        <v>6.724505216579936E-2</v>
      </c>
      <c r="G30" s="31">
        <f>SUM(Oct!G30,Nov!G30,Dec!G30)</f>
        <v>7042.3270000000002</v>
      </c>
      <c r="H30" s="31">
        <f>SUM(Oct!H30, Nov!H30, Dec!H30)</f>
        <v>267.67299999999977</v>
      </c>
      <c r="I30" s="32">
        <f t="shared" si="8"/>
        <v>3.8009169412326321E-2</v>
      </c>
    </row>
    <row r="31" spans="1:9" ht="15.6">
      <c r="A31" s="48" t="str">
        <v>Commerce City - Educational Support Services</v>
      </c>
      <c r="B31" s="34" t="str">
        <v>CO</v>
      </c>
      <c r="C31" s="35">
        <f>SUM(Oct!C31, Nov!C31, Dec!C31)</f>
        <v>0</v>
      </c>
      <c r="D31" s="36">
        <f>SUM(Oct!D31, Nov!D31, Dec!D31)</f>
        <v>7561.4089999999997</v>
      </c>
      <c r="E31" s="36">
        <f t="shared" si="6"/>
        <v>-7561.4089999999997</v>
      </c>
      <c r="F31" s="71">
        <f t="shared" si="7"/>
        <v>-1</v>
      </c>
      <c r="G31" s="36">
        <f>SUM(Oct!G31,Nov!G31,Dec!G31)</f>
        <v>7688.9650000000001</v>
      </c>
      <c r="H31" s="72">
        <f>SUM(Oct!H31, Nov!H31, Dec!H31)</f>
        <v>-7688.9650000000001</v>
      </c>
      <c r="I31" s="71">
        <f t="shared" si="8"/>
        <v>-1</v>
      </c>
    </row>
    <row r="32" spans="1:9" ht="15.6">
      <c r="A32" s="47" t="str">
        <v>Commerce City - Hanson ES</v>
      </c>
      <c r="B32" s="27" t="str">
        <v>CO</v>
      </c>
      <c r="C32" s="28">
        <f>SUM(Oct!C32, Nov!C32, Dec!C32)</f>
        <v>10151</v>
      </c>
      <c r="D32" s="29">
        <f>SUM(Oct!D32, Nov!D32, Dec!D32)</f>
        <v>9860.5310000000009</v>
      </c>
      <c r="E32" s="29">
        <f t="shared" si="6"/>
        <v>290.46899999999914</v>
      </c>
      <c r="F32" s="30">
        <f t="shared" si="7"/>
        <v>2.9457744212760865E-2</v>
      </c>
      <c r="G32" s="31">
        <f>SUM(Oct!G32,Nov!G32,Dec!G32)</f>
        <v>10060.69</v>
      </c>
      <c r="H32" s="31">
        <f>SUM(Oct!H32, Nov!H32, Dec!H32)</f>
        <v>90.309999999999491</v>
      </c>
      <c r="I32" s="32">
        <f t="shared" si="8"/>
        <v>8.9765214910706402E-3</v>
      </c>
    </row>
    <row r="33" spans="1:9" ht="15.6">
      <c r="A33" s="48" t="str">
        <v>Commerce City - Kemp ES</v>
      </c>
      <c r="B33" s="34" t="str">
        <v>CO</v>
      </c>
      <c r="C33" s="35">
        <f>SUM(Oct!C33, Nov!C33, Dec!C33)</f>
        <v>9449</v>
      </c>
      <c r="D33" s="36">
        <f>SUM(Oct!D33, Nov!D33, Dec!D33)</f>
        <v>9855.2710000000006</v>
      </c>
      <c r="E33" s="36">
        <f t="shared" si="6"/>
        <v>-406.27100000000064</v>
      </c>
      <c r="F33" s="71">
        <f t="shared" si="7"/>
        <v>-4.1223726876714058E-2</v>
      </c>
      <c r="G33" s="36">
        <f>SUM(Oct!G33,Nov!G33,Dec!G33)</f>
        <v>10055.719999999999</v>
      </c>
      <c r="H33" s="72">
        <f>SUM(Oct!H33, Nov!H33, Dec!H33)</f>
        <v>-606.71999999999935</v>
      </c>
      <c r="I33" s="71">
        <f t="shared" si="8"/>
        <v>-6.0335808872959806E-2</v>
      </c>
    </row>
    <row r="34" spans="1:9" ht="15.6">
      <c r="A34" s="47" t="str">
        <v>Commerce City -  Lester Arnold HS</v>
      </c>
      <c r="B34" s="27" t="str">
        <v>CO</v>
      </c>
      <c r="C34" s="28">
        <f>SUM(Oct!C34, Nov!C34, Dec!C34)</f>
        <v>9939</v>
      </c>
      <c r="D34" s="29">
        <f>SUM(Oct!D34, Nov!D34, Dec!D34)</f>
        <v>9527.3070000000007</v>
      </c>
      <c r="E34" s="29">
        <f t="shared" si="6"/>
        <v>411.6929999999993</v>
      </c>
      <c r="F34" s="30">
        <f t="shared" si="7"/>
        <v>4.3211896079343226E-2</v>
      </c>
      <c r="G34" s="31">
        <f>SUM(Oct!G34,Nov!G34,Dec!G34)</f>
        <v>9754.6569999999992</v>
      </c>
      <c r="H34" s="31">
        <f>SUM(Oct!H34, Nov!H34, Dec!H34)</f>
        <v>184.34300000000076</v>
      </c>
      <c r="I34" s="32">
        <f t="shared" si="8"/>
        <v>1.889794792374563E-2</v>
      </c>
    </row>
    <row r="35" spans="1:9" ht="15.6">
      <c r="A35" s="48" t="str">
        <v>Commerce City - Monaco ES</v>
      </c>
      <c r="B35" s="34" t="str">
        <v>CO</v>
      </c>
      <c r="C35" s="35">
        <f>SUM(Oct!C35, Nov!C35, Dec!C35)</f>
        <v>10527</v>
      </c>
      <c r="D35" s="36">
        <f>SUM(Oct!D35, Nov!D35, Dec!D35)</f>
        <v>9860.7330000000002</v>
      </c>
      <c r="E35" s="36">
        <f t="shared" si="6"/>
        <v>666.26699999999983</v>
      </c>
      <c r="F35" s="71">
        <f t="shared" si="7"/>
        <v>6.7567695018210083E-2</v>
      </c>
      <c r="G35" s="36">
        <f>SUM(Oct!G35,Nov!G35,Dec!G35)</f>
        <v>10060.69</v>
      </c>
      <c r="H35" s="72">
        <f>SUM(Oct!H35, Nov!H35, Dec!H35)</f>
        <v>466.30999999999949</v>
      </c>
      <c r="I35" s="71">
        <f t="shared" si="8"/>
        <v>4.6349703648556853E-2</v>
      </c>
    </row>
    <row r="36" spans="1:9" ht="15.6">
      <c r="A36" s="47" t="str">
        <v>Denver - Northgate / Old Fort Logan ES</v>
      </c>
      <c r="B36" s="27" t="str">
        <v>CO</v>
      </c>
      <c r="C36" s="28">
        <f>SUM(Oct!C36, Nov!C36, Dec!C36)</f>
        <v>10066</v>
      </c>
      <c r="D36" s="29">
        <f>SUM(Oct!D36, Nov!D36, Dec!D36)</f>
        <v>8524.4570000000003</v>
      </c>
      <c r="E36" s="29">
        <f t="shared" si="6"/>
        <v>1541.5429999999997</v>
      </c>
      <c r="F36" s="30">
        <f t="shared" si="7"/>
        <v>0.1808376768162476</v>
      </c>
      <c r="G36" s="31">
        <f>SUM(Oct!G36,Nov!G36,Dec!G36)</f>
        <v>9439.0650000000005</v>
      </c>
      <c r="H36" s="31">
        <f>SUM(Oct!H36, Nov!H36, Dec!H36)</f>
        <v>626.93499999999949</v>
      </c>
      <c r="I36" s="32">
        <f t="shared" si="8"/>
        <v>6.6419184527280975E-2</v>
      </c>
    </row>
    <row r="37" spans="1:9" ht="15.6">
      <c r="A37" s="48" t="str">
        <v>Denver - Sheridan High School</v>
      </c>
      <c r="B37" s="34" t="str">
        <v>CO</v>
      </c>
      <c r="C37" s="35">
        <f>SUM(Oct!C37, Nov!C37, Dec!C37)</f>
        <v>11220</v>
      </c>
      <c r="D37" s="36">
        <f>SUM(Oct!D37, Nov!D37, Dec!D37)</f>
        <v>9851.9459999999999</v>
      </c>
      <c r="E37" s="36">
        <f t="shared" si="6"/>
        <v>1368.0540000000001</v>
      </c>
      <c r="F37" s="71">
        <f t="shared" si="7"/>
        <v>0.13886129704730416</v>
      </c>
      <c r="G37" s="36">
        <f>SUM(Oct!G37,Nov!G37,Dec!G37)</f>
        <v>9400.8119999999999</v>
      </c>
      <c r="H37" s="72">
        <f>SUM(Oct!H37, Nov!H37, Dec!H37)</f>
        <v>1819.1880000000001</v>
      </c>
      <c r="I37" s="71">
        <f t="shared" si="8"/>
        <v>0.19351392198886649</v>
      </c>
    </row>
    <row r="38" spans="1:9" ht="15.6">
      <c r="A38" s="47" t="str">
        <v>Englewood -  Alice Terry Elementary</v>
      </c>
      <c r="B38" s="27" t="str">
        <v>CO</v>
      </c>
      <c r="C38" s="28">
        <f>SUM(Oct!C38, Nov!C38, Dec!C38)</f>
        <v>11325</v>
      </c>
      <c r="D38" s="29">
        <f>SUM(Oct!D38, Nov!D38, Dec!D38)</f>
        <v>9852.5930000000008</v>
      </c>
      <c r="E38" s="29">
        <f t="shared" si="6"/>
        <v>1472.4069999999992</v>
      </c>
      <c r="F38" s="30">
        <f t="shared" si="7"/>
        <v>0.14944360332351078</v>
      </c>
      <c r="G38" s="31">
        <f>SUM(Oct!G38,Nov!G38,Dec!G38)</f>
        <v>9439.0650000000005</v>
      </c>
      <c r="H38" s="31">
        <f>SUM(Oct!H38, Nov!H38, Dec!H38)</f>
        <v>1885.9349999999995</v>
      </c>
      <c r="I38" s="32">
        <f t="shared" si="8"/>
        <v>0.19980103961568221</v>
      </c>
    </row>
    <row r="39" spans="1:9" ht="15.6">
      <c r="A39" s="48" t="str">
        <v>Englewood - Sheridan Middle School</v>
      </c>
      <c r="B39" s="34" t="str">
        <v>CO</v>
      </c>
      <c r="C39" s="35">
        <f>SUM(Oct!C39, Nov!C39, Dec!C39)</f>
        <v>4329</v>
      </c>
      <c r="D39" s="36">
        <f>SUM(Oct!D39, Nov!D39, Dec!D39)</f>
        <v>5161.7489999999998</v>
      </c>
      <c r="E39" s="36">
        <f t="shared" si="6"/>
        <v>-832.7489999999998</v>
      </c>
      <c r="F39" s="71">
        <f t="shared" si="7"/>
        <v>-0.16133078148511287</v>
      </c>
      <c r="G39" s="36">
        <f>SUM(Oct!G39,Nov!G39,Dec!G39)</f>
        <v>5528.8230000000003</v>
      </c>
      <c r="H39" s="72">
        <f>SUM(Oct!H39, Nov!H39, Dec!H39)</f>
        <v>-1199.8230000000003</v>
      </c>
      <c r="I39" s="71">
        <f t="shared" si="8"/>
        <v>-0.21701237315790364</v>
      </c>
    </row>
    <row r="40" spans="1:9" ht="15.6">
      <c r="A40" s="47" t="str">
        <v>Goshen - NIPSCO</v>
      </c>
      <c r="B40" s="27" t="str">
        <v>IN</v>
      </c>
      <c r="C40" s="28">
        <f>SUM(Oct!C40, Nov!C40, Dec!C40)</f>
        <v>35723</v>
      </c>
      <c r="D40" s="29">
        <f>SUM(Oct!D40, Nov!D40, Dec!D40)</f>
        <v>34904.03</v>
      </c>
      <c r="E40" s="29">
        <f t="shared" si="6"/>
        <v>818.97000000000116</v>
      </c>
      <c r="F40" s="30">
        <f t="shared" si="7"/>
        <v>2.3463479718531105E-2</v>
      </c>
      <c r="G40" s="31">
        <f>SUM(Oct!G40,Nov!G40,Dec!G40)</f>
        <v>38078.199999999997</v>
      </c>
      <c r="H40" s="31">
        <f>SUM(Oct!H40, Nov!H40, Dec!H40)</f>
        <v>-2355.1999999999971</v>
      </c>
      <c r="I40" s="32">
        <f t="shared" si="8"/>
        <v>-6.1851663156346604E-2</v>
      </c>
    </row>
    <row r="41" spans="1:9" ht="15.6">
      <c r="A41" s="48" t="str">
        <v>Alamogordo - City of Alamogordo - Effluent</v>
      </c>
      <c r="B41" s="34" t="str">
        <v>NM</v>
      </c>
      <c r="C41" s="35">
        <f>SUM(Oct!C41, Nov!C41, Dec!C41)</f>
        <v>23568</v>
      </c>
      <c r="D41" s="36">
        <f>SUM(Oct!D41, Nov!D41, Dec!D41)</f>
        <v>28036.240000000002</v>
      </c>
      <c r="E41" s="36">
        <f t="shared" si="6"/>
        <v>-4468.2400000000016</v>
      </c>
      <c r="F41" s="71">
        <f t="shared" si="7"/>
        <v>-0.15937372486467519</v>
      </c>
      <c r="G41" s="36">
        <f>SUM(Oct!G41,Nov!G41,Dec!G41)</f>
        <v>23355.99</v>
      </c>
      <c r="H41" s="72">
        <f>SUM(Oct!H41, Nov!H41, Dec!H41)</f>
        <v>212.0099999999984</v>
      </c>
      <c r="I41" s="71">
        <f t="shared" si="8"/>
        <v>9.0773287709062372E-3</v>
      </c>
    </row>
    <row r="42" spans="1:9" ht="15.6">
      <c r="A42" s="47" t="str">
        <v>Alamogordo - City of Alamogordo - WWTP</v>
      </c>
      <c r="B42" s="27" t="str">
        <v>NM</v>
      </c>
      <c r="C42" s="28">
        <f>SUM(Oct!C42, Nov!C42, Dec!C42)</f>
        <v>90070</v>
      </c>
      <c r="D42" s="29">
        <f>SUM(Oct!D42, Nov!D42, Dec!D42)</f>
        <v>0</v>
      </c>
      <c r="E42" s="29">
        <f t="shared" si="6"/>
        <v>90070</v>
      </c>
      <c r="F42" s="30" t="str">
        <f t="shared" si="7"/>
        <v/>
      </c>
      <c r="G42" s="31">
        <f>SUM(Oct!G42,Nov!G42,Dec!G42)</f>
        <v>99051.99</v>
      </c>
      <c r="H42" s="31">
        <f>SUM(Oct!H42, Nov!H42, Dec!H42)</f>
        <v>-8981.9900000000052</v>
      </c>
      <c r="I42" s="32">
        <f t="shared" si="8"/>
        <v>-9.0679551213458762E-2</v>
      </c>
    </row>
    <row r="43" spans="1:9" ht="15.6">
      <c r="A43" s="48" t="str">
        <v>Deming - Bilbo Booster</v>
      </c>
      <c r="B43" s="34" t="str">
        <v>NM</v>
      </c>
      <c r="C43" s="35">
        <f>SUM(Oct!C43, Nov!C43, Dec!C43)</f>
        <v>12172</v>
      </c>
      <c r="D43" s="36">
        <f>SUM(Oct!D43, Nov!D43, Dec!D43)</f>
        <v>0</v>
      </c>
      <c r="E43" s="36">
        <f t="shared" si="6"/>
        <v>12172</v>
      </c>
      <c r="F43" s="71" t="str">
        <f t="shared" si="7"/>
        <v/>
      </c>
      <c r="G43" s="36">
        <f>SUM(Oct!G43,Nov!G43,Dec!G43)</f>
        <v>9360.6550000000007</v>
      </c>
      <c r="H43" s="72">
        <f>SUM(Oct!H43, Nov!H43, Dec!H43)</f>
        <v>2811.3449999999993</v>
      </c>
      <c r="I43" s="71">
        <f t="shared" si="8"/>
        <v>0.30033635466748848</v>
      </c>
    </row>
    <row r="44" spans="1:9" ht="15.6">
      <c r="A44" s="47" t="str">
        <v>Deming - Bilbo Well</v>
      </c>
      <c r="B44" s="27" t="str">
        <v>NM</v>
      </c>
      <c r="C44" s="28">
        <f>SUM(Oct!C44, Nov!C44, Dec!C44)</f>
        <v>21935.999999999902</v>
      </c>
      <c r="D44" s="29">
        <f>SUM(Oct!D44, Nov!D44, Dec!D44)</f>
        <v>0</v>
      </c>
      <c r="E44" s="29">
        <f t="shared" si="6"/>
        <v>21935.999999999902</v>
      </c>
      <c r="F44" s="30" t="str">
        <f t="shared" si="7"/>
        <v/>
      </c>
      <c r="G44" s="31">
        <f>SUM(Oct!G44,Nov!G44,Dec!G44)</f>
        <v>16921.759999999998</v>
      </c>
      <c r="H44" s="31">
        <f>SUM(Oct!H44, Nov!H44, Dec!H44)</f>
        <v>5014.2399999999034</v>
      </c>
      <c r="I44" s="32">
        <f t="shared" si="8"/>
        <v>0.29631905901040456</v>
      </c>
    </row>
    <row r="45" spans="1:9" ht="15.6">
      <c r="A45" s="48" t="str">
        <v>Deming - WWTP</v>
      </c>
      <c r="B45" s="34" t="str">
        <v>NM</v>
      </c>
      <c r="C45" s="35">
        <f>SUM(Oct!C45, Nov!C45, Dec!C45)</f>
        <v>35160</v>
      </c>
      <c r="D45" s="36">
        <f>SUM(Oct!D45, Nov!D45, Dec!D45)</f>
        <v>72092.28</v>
      </c>
      <c r="E45" s="36">
        <f t="shared" si="6"/>
        <v>-36932.28</v>
      </c>
      <c r="F45" s="71">
        <f t="shared" si="7"/>
        <v>-0.5122917460787757</v>
      </c>
      <c r="G45" s="36">
        <f>SUM(Oct!G45,Nov!G45,Dec!G45)</f>
        <v>81586.7</v>
      </c>
      <c r="H45" s="72">
        <f>SUM(Oct!H45, Nov!H45, Dec!H45)</f>
        <v>-46426.7</v>
      </c>
      <c r="I45" s="71">
        <f t="shared" si="8"/>
        <v>-0.56904740601102877</v>
      </c>
    </row>
    <row r="46" spans="1:9" ht="15.6">
      <c r="A46" s="47" t="str">
        <v>Truth or Consequences - Walmart</v>
      </c>
      <c r="B46" s="27" t="str">
        <v>NM</v>
      </c>
      <c r="C46" s="28">
        <f>SUM(Oct!C46, Nov!C46, Dec!C46)</f>
        <v>126300</v>
      </c>
      <c r="D46" s="29">
        <f>SUM(Oct!D46, Nov!D46, Dec!D46)</f>
        <v>295232.59999999998</v>
      </c>
      <c r="E46" s="29">
        <f t="shared" si="6"/>
        <v>-168932.59999999998</v>
      </c>
      <c r="F46" s="30">
        <f t="shared" si="7"/>
        <v>-0.57220171485127314</v>
      </c>
      <c r="G46" s="31">
        <f>SUM(Oct!G46,Nov!G46,Dec!G46)</f>
        <v>138441.79999999999</v>
      </c>
      <c r="H46" s="31">
        <f>SUM(Oct!H46, Nov!H46, Dec!H46)</f>
        <v>-12141.799999999988</v>
      </c>
      <c r="I46" s="32">
        <f t="shared" si="8"/>
        <v>-8.7703280367634556E-2</v>
      </c>
    </row>
    <row r="47" spans="1:9" ht="15.6">
      <c r="A47" s="48" t="str">
        <v>CA: Stockton - SUSD - Merlo</v>
      </c>
      <c r="B47" s="34" t="str">
        <v>CA</v>
      </c>
      <c r="C47" s="35">
        <f>SUM(Oct!C47, Nov!C47, Dec!C47)</f>
        <v>0</v>
      </c>
      <c r="D47" s="36">
        <f>SUM(Oct!D47, Nov!D47, Dec!D47)</f>
        <v>8885.8960000000006</v>
      </c>
      <c r="E47" s="36">
        <f t="shared" si="6"/>
        <v>-8885.8960000000006</v>
      </c>
      <c r="F47" s="71">
        <f t="shared" si="7"/>
        <v>-1</v>
      </c>
      <c r="G47" s="36">
        <f>SUM(Oct!G47,Nov!G47,Dec!G47)</f>
        <v>11085.42</v>
      </c>
      <c r="H47" s="72">
        <f>SUM(Oct!H47, Nov!H47, Dec!H47)</f>
        <v>-11085.42</v>
      </c>
      <c r="I47" s="71">
        <f t="shared" si="8"/>
        <v>-1</v>
      </c>
    </row>
    <row r="48" spans="1:9" ht="15.6">
      <c r="A48" s="47" t="str">
        <v>Stockton Unified School Dist. - Bush Elementary</v>
      </c>
      <c r="B48" s="27" t="str">
        <v>CA</v>
      </c>
      <c r="C48" s="28">
        <f>SUM(Oct!C48, Nov!C48, Dec!C48)</f>
        <v>15877.5</v>
      </c>
      <c r="D48" s="29">
        <f>SUM(Oct!D48, Nov!D48, Dec!D48)</f>
        <v>20691.12</v>
      </c>
      <c r="E48" s="29">
        <f t="shared" si="6"/>
        <v>-4813.619999999999</v>
      </c>
      <c r="F48" s="30">
        <f t="shared" si="7"/>
        <v>-0.23264182895850971</v>
      </c>
      <c r="G48" s="31">
        <f>SUM(Oct!G48,Nov!G48,Dec!G48)</f>
        <v>21267.8</v>
      </c>
      <c r="H48" s="31">
        <f>SUM(Oct!H48, Nov!H48, Dec!H48)</f>
        <v>-5390.2999999999993</v>
      </c>
      <c r="I48" s="32">
        <f t="shared" si="8"/>
        <v>-0.25344887576524133</v>
      </c>
    </row>
    <row r="49" spans="1:9" ht="15.6">
      <c r="A49" s="48" t="str">
        <v>CA: Stockton - SUSD - Marshall JHS</v>
      </c>
      <c r="B49" s="34" t="str">
        <v>CA</v>
      </c>
      <c r="C49" s="35">
        <f>SUM(Oct!C49, Nov!C49, Dec!C49)</f>
        <v>2336.375</v>
      </c>
      <c r="D49" s="36">
        <f>SUM(Oct!D49, Nov!D49, Dec!D49)</f>
        <v>12671.21</v>
      </c>
      <c r="E49" s="36">
        <f t="shared" si="6"/>
        <v>-10334.834999999999</v>
      </c>
      <c r="F49" s="71">
        <f t="shared" si="7"/>
        <v>-0.81561547792199796</v>
      </c>
      <c r="G49" s="36">
        <f>SUM(Oct!G49,Nov!G49,Dec!G49)</f>
        <v>13854.54</v>
      </c>
      <c r="H49" s="72">
        <f>SUM(Oct!H49, Nov!H49, Dec!H49)</f>
        <v>-11518.165000000001</v>
      </c>
      <c r="I49" s="71">
        <f t="shared" si="8"/>
        <v>-0.83136394279420323</v>
      </c>
    </row>
    <row r="50" spans="1:9" ht="15.6">
      <c r="A50" s="47" t="str">
        <v>CA: Stockton - SUSD - Hong-Kingston ES</v>
      </c>
      <c r="B50" s="27" t="str">
        <v>CA</v>
      </c>
      <c r="C50" s="28">
        <f>SUM(Oct!C50, Nov!C50, Dec!C50)</f>
        <v>2877.5</v>
      </c>
      <c r="D50" s="29">
        <f>SUM(Oct!D50, Nov!D50, Dec!D50)</f>
        <v>21841.24</v>
      </c>
      <c r="E50" s="29">
        <f t="shared" si="6"/>
        <v>-18963.740000000002</v>
      </c>
      <c r="F50" s="30">
        <f t="shared" si="7"/>
        <v>-0.86825381709097105</v>
      </c>
      <c r="G50" s="31">
        <f>SUM(Oct!G50,Nov!G50,Dec!G50)</f>
        <v>22726.880000000001</v>
      </c>
      <c r="H50" s="31">
        <f>SUM(Oct!H50, Nov!H50, Dec!H50)</f>
        <v>-19849.38</v>
      </c>
      <c r="I50" s="32">
        <f t="shared" si="8"/>
        <v>-0.87338781214139383</v>
      </c>
    </row>
    <row r="51" spans="1:9" ht="15.6">
      <c r="A51" s="48" t="str">
        <v>CA: Stockton - SUSD - Hamilton ES</v>
      </c>
      <c r="B51" s="34" t="str">
        <v>CA</v>
      </c>
      <c r="C51" s="35">
        <f>SUM(Oct!C51, Nov!C51, Dec!C51)</f>
        <v>3766.25</v>
      </c>
      <c r="D51" s="36">
        <f>SUM(Oct!D51, Nov!D51, Dec!D51)</f>
        <v>11204.07</v>
      </c>
      <c r="E51" s="36">
        <f t="shared" si="6"/>
        <v>-7437.82</v>
      </c>
      <c r="F51" s="71">
        <f t="shared" si="7"/>
        <v>-0.66384983314099255</v>
      </c>
      <c r="G51" s="36">
        <f>SUM(Oct!G51,Nov!G51,Dec!G51)</f>
        <v>12208.34</v>
      </c>
      <c r="H51" s="72">
        <f>SUM(Oct!H51, Nov!H51, Dec!H51)</f>
        <v>-8442.09</v>
      </c>
      <c r="I51" s="71">
        <f t="shared" si="8"/>
        <v>-0.69150187494778159</v>
      </c>
    </row>
    <row r="52" spans="1:9" ht="15.6">
      <c r="A52" s="47" t="str">
        <v>CA: Stockton - SUSD - Franklin - North</v>
      </c>
      <c r="B52" s="27" t="str">
        <v>CA</v>
      </c>
      <c r="C52" s="28">
        <f>SUM(Oct!C52, Nov!C52, Dec!C52)</f>
        <v>16376.9999999991</v>
      </c>
      <c r="D52" s="29">
        <f>SUM(Oct!D52, Nov!D52, Dec!D52)</f>
        <v>54420.45</v>
      </c>
      <c r="E52" s="29">
        <f t="shared" si="6"/>
        <v>-38043.450000000899</v>
      </c>
      <c r="F52" s="30">
        <f t="shared" si="7"/>
        <v>-0.69906533297686624</v>
      </c>
      <c r="G52" s="31">
        <f>SUM(Oct!G52,Nov!G52,Dec!G52)</f>
        <v>32239.52</v>
      </c>
      <c r="H52" s="31">
        <f>SUM(Oct!H52, Nov!H52, Dec!H52)</f>
        <v>-15862.520000000901</v>
      </c>
      <c r="I52" s="32">
        <f t="shared" si="8"/>
        <v>-0.49202097301699593</v>
      </c>
    </row>
    <row r="53" spans="1:9" ht="15.6">
      <c r="A53" s="48" t="str">
        <v>Stockton Unified School Dist. - Fillmore Elementary</v>
      </c>
      <c r="B53" s="34" t="str">
        <v>CA</v>
      </c>
      <c r="C53" s="35">
        <f>SUM(Oct!C53, Nov!C53, Dec!C53)</f>
        <v>2871.375</v>
      </c>
      <c r="D53" s="36">
        <f>SUM(Oct!D53, Nov!D53, Dec!D53)</f>
        <v>9574.0429999999997</v>
      </c>
      <c r="E53" s="36">
        <f t="shared" si="6"/>
        <v>-6702.6679999999997</v>
      </c>
      <c r="F53" s="71">
        <f t="shared" si="7"/>
        <v>-0.70008751788559964</v>
      </c>
      <c r="G53" s="36">
        <f>SUM(Oct!G53,Nov!G53,Dec!G53)</f>
        <v>10222.56</v>
      </c>
      <c r="H53" s="72">
        <f>SUM(Oct!H53, Nov!H53, Dec!H53)</f>
        <v>-7351.1849999999995</v>
      </c>
      <c r="I53" s="71">
        <f t="shared" si="8"/>
        <v>-0.71911390101892281</v>
      </c>
    </row>
    <row r="54" spans="1:9" ht="15.6">
      <c r="A54" s="47" t="str">
        <v>CA: Stockton - SUSD - El Dorado ES</v>
      </c>
      <c r="B54" s="27" t="str">
        <v>CA</v>
      </c>
      <c r="C54" s="28">
        <f>SUM(Oct!C54, Nov!C54, Dec!C54)</f>
        <v>3306</v>
      </c>
      <c r="D54" s="29">
        <f>SUM(Oct!D54, Nov!D54, Dec!D54)</f>
        <v>11936.56</v>
      </c>
      <c r="E54" s="29">
        <f t="shared" si="6"/>
        <v>-8630.56</v>
      </c>
      <c r="F54" s="30">
        <f t="shared" si="7"/>
        <v>-0.72303578250350187</v>
      </c>
      <c r="G54" s="31">
        <f>SUM(Oct!G54,Nov!G54,Dec!G54)</f>
        <v>0</v>
      </c>
      <c r="H54" s="31">
        <f>SUM(Oct!H54, Nov!H54, Dec!H54)</f>
        <v>3306</v>
      </c>
      <c r="I54" s="32" t="str">
        <f t="shared" si="8"/>
        <v/>
      </c>
    </row>
    <row r="55" spans="1:9" ht="15.6">
      <c r="A55" s="48" t="str">
        <v>CA: Stockton - SUSD - Edison HS</v>
      </c>
      <c r="B55" s="34" t="str">
        <v>CA</v>
      </c>
      <c r="C55" s="35">
        <f>SUM(Oct!C55, Nov!C55, Dec!C55)</f>
        <v>20615</v>
      </c>
      <c r="D55" s="36">
        <f>SUM(Oct!D55, Nov!D55, Dec!D55)</f>
        <v>29666.78</v>
      </c>
      <c r="E55" s="36">
        <f t="shared" si="6"/>
        <v>-9051.7799999999988</v>
      </c>
      <c r="F55" s="71">
        <f t="shared" si="7"/>
        <v>-0.30511501416736159</v>
      </c>
      <c r="G55" s="36">
        <f>SUM(Oct!G55,Nov!G55,Dec!G55)</f>
        <v>34056.26</v>
      </c>
      <c r="H55" s="72">
        <f>SUM(Oct!H55, Nov!H55, Dec!H55)</f>
        <v>-13441.260000000002</v>
      </c>
      <c r="I55" s="71">
        <f t="shared" si="8"/>
        <v>-0.39467810029639194</v>
      </c>
    </row>
    <row r="56" spans="1:9" ht="15.6">
      <c r="A56" s="47" t="str">
        <v>CA: Stockton - SUSD - Chavez HS - Large</v>
      </c>
      <c r="B56" s="27" t="str">
        <v>CA</v>
      </c>
      <c r="C56" s="28">
        <f>SUM(Oct!C56, Nov!C56, Dec!C56)</f>
        <v>22326</v>
      </c>
      <c r="D56" s="29">
        <f>SUM(Oct!D56, Nov!D56, Dec!D56)</f>
        <v>74657.62</v>
      </c>
      <c r="E56" s="29">
        <f t="shared" si="6"/>
        <v>-52331.619999999995</v>
      </c>
      <c r="F56" s="30">
        <f t="shared" si="7"/>
        <v>-0.70095483890324928</v>
      </c>
      <c r="G56" s="31">
        <f>SUM(Oct!G56,Nov!G56,Dec!G56)</f>
        <v>69575.91</v>
      </c>
      <c r="H56" s="31">
        <f>SUM(Oct!H56, Nov!H56, Dec!H56)</f>
        <v>-47249.91</v>
      </c>
      <c r="I56" s="32">
        <f t="shared" si="8"/>
        <v>-0.67911307232632678</v>
      </c>
    </row>
    <row r="57" spans="1:9" ht="15.6">
      <c r="A57" s="48" t="str">
        <v>CA: San Jose - GE Mobile Water</v>
      </c>
      <c r="B57" s="34" t="str">
        <v>CA</v>
      </c>
      <c r="C57" s="35">
        <f>SUM(Oct!C57, Nov!C57, Dec!C57)</f>
        <v>19410</v>
      </c>
      <c r="D57" s="36">
        <f>SUM(Oct!D57, Nov!D57, Dec!D57)</f>
        <v>20633.2</v>
      </c>
      <c r="E57" s="36">
        <f t="shared" ref="E57:E85" si="9">IF(AND(ISNUMBER(C57),ISNUMBER(D57)), C57-D57, "")</f>
        <v>-1223.2000000000007</v>
      </c>
      <c r="F57" s="71">
        <f t="shared" ref="F57:F85" si="10">IFERROR(E57/D57, "")</f>
        <v>-5.9283097144408076E-2</v>
      </c>
      <c r="G57" s="36">
        <f>SUM(Oct!G57,Nov!G57,Dec!G57)</f>
        <v>20411.77</v>
      </c>
      <c r="H57" s="72">
        <f>SUM(Oct!H57, Nov!H57, Dec!H57)</f>
        <v>-1001.7700000000004</v>
      </c>
      <c r="I57" s="71">
        <f t="shared" ref="I57:I85" si="11">IFERROR(H57/G57, "")</f>
        <v>-4.9078056435086247E-2</v>
      </c>
    </row>
    <row r="58" spans="1:9" ht="15.6">
      <c r="A58" s="47" t="str">
        <v>CA: San Marcos - Vallecitos Water - Lift Station</v>
      </c>
      <c r="B58" s="27" t="str">
        <v>CA</v>
      </c>
      <c r="C58" s="28">
        <f>SUM(Oct!C58, Nov!C58, Dec!C58)</f>
        <v>28211.125</v>
      </c>
      <c r="D58" s="29">
        <f>SUM(Oct!D58, Nov!D58, Dec!D58)</f>
        <v>30183.1</v>
      </c>
      <c r="E58" s="29">
        <f t="shared" si="9"/>
        <v>-1971.9749999999985</v>
      </c>
      <c r="F58" s="30">
        <f t="shared" si="10"/>
        <v>-6.5333746368000586E-2</v>
      </c>
      <c r="G58" s="31">
        <f>SUM(Oct!G58,Nov!G58,Dec!G58)</f>
        <v>27776.09</v>
      </c>
      <c r="H58" s="31">
        <f>SUM(Oct!H58, Nov!H58, Dec!H58)</f>
        <v>435.03499999999985</v>
      </c>
      <c r="I58" s="32">
        <f t="shared" si="11"/>
        <v>1.5662211635978997E-2</v>
      </c>
    </row>
    <row r="59" spans="1:9" ht="15.6">
      <c r="A59" s="48" t="str">
        <v>CA: San Marcos - Vallecitos Water - Twin Oaks Reservoir</v>
      </c>
      <c r="B59" s="34" t="str">
        <v>CA</v>
      </c>
      <c r="C59" s="35">
        <f>SUM(Oct!C59, Nov!C59, Dec!C59)</f>
        <v>244186</v>
      </c>
      <c r="D59" s="36">
        <f>SUM(Oct!D59, Nov!D59, Dec!D59)</f>
        <v>307726.8</v>
      </c>
      <c r="E59" s="36">
        <f t="shared" si="9"/>
        <v>-63540.799999999988</v>
      </c>
      <c r="F59" s="71">
        <f t="shared" si="10"/>
        <v>-0.20648445309280827</v>
      </c>
      <c r="G59" s="36">
        <f>SUM(Oct!G59,Nov!G59,Dec!G59)</f>
        <v>196686</v>
      </c>
      <c r="H59" s="72">
        <f>SUM(Oct!H59, Nov!H59, Dec!H59)</f>
        <v>47500</v>
      </c>
      <c r="I59" s="71">
        <f t="shared" si="11"/>
        <v>0.24150168288541127</v>
      </c>
    </row>
    <row r="60" spans="1:9" ht="15.6">
      <c r="A60" s="47" t="str">
        <v>CA: Stockton - SUSD - Wilhelmina Henry ES</v>
      </c>
      <c r="B60" s="27" t="str">
        <v>CA</v>
      </c>
      <c r="C60" s="28">
        <f>SUM(Oct!C60, Nov!C60, Dec!C60)</f>
        <v>5084.75</v>
      </c>
      <c r="D60" s="29">
        <f>SUM(Oct!D60, Nov!D60, Dec!D60)</f>
        <v>28466.42</v>
      </c>
      <c r="E60" s="29">
        <f t="shared" si="9"/>
        <v>-23381.67</v>
      </c>
      <c r="F60" s="30">
        <f t="shared" si="10"/>
        <v>-0.82137725783572357</v>
      </c>
      <c r="G60" s="31">
        <f>SUM(Oct!G60,Nov!G60,Dec!G60)</f>
        <v>22527.49</v>
      </c>
      <c r="H60" s="31">
        <f>SUM(Oct!H60, Nov!H60, Dec!H60)</f>
        <v>-17442.740000000002</v>
      </c>
      <c r="I60" s="32">
        <f t="shared" si="11"/>
        <v>-0.77428688238236931</v>
      </c>
    </row>
    <row r="61" spans="1:9" ht="15.6">
      <c r="A61" s="48" t="str">
        <v>Stockton Unified School Dist. - Franklin (North)</v>
      </c>
      <c r="B61" s="34" t="str">
        <v>CA</v>
      </c>
      <c r="C61" s="35">
        <f>SUM(Oct!C61, Nov!C61, Dec!C61)</f>
        <v>16377</v>
      </c>
      <c r="D61" s="36">
        <f>SUM(Oct!D61, Nov!D61, Dec!D61)</f>
        <v>54420.45</v>
      </c>
      <c r="E61" s="36">
        <f t="shared" si="9"/>
        <v>-38043.449999999997</v>
      </c>
      <c r="F61" s="71">
        <f t="shared" si="10"/>
        <v>-0.6990653329768497</v>
      </c>
      <c r="G61" s="36">
        <f>SUM(Oct!G61,Nov!G61,Dec!G61)</f>
        <v>32239.52</v>
      </c>
      <c r="H61" s="72">
        <f>SUM(Oct!H61, Nov!H61, Dec!H61)</f>
        <v>-15862.52</v>
      </c>
      <c r="I61" s="71">
        <f t="shared" si="11"/>
        <v>-0.49202097301696801</v>
      </c>
    </row>
    <row r="62" spans="1:9" ht="15.6">
      <c r="A62" s="47" t="str">
        <v>CA: Stockton - SUSD - Franklin - South</v>
      </c>
      <c r="B62" s="27" t="str">
        <v>CA</v>
      </c>
      <c r="C62" s="28">
        <f>SUM(Oct!C62, Nov!C62, Dec!C62)</f>
        <v>22759.5</v>
      </c>
      <c r="D62" s="29">
        <f>SUM(Oct!D62, Nov!D62, Dec!D62)</f>
        <v>50060.06</v>
      </c>
      <c r="E62" s="29">
        <f t="shared" si="9"/>
        <v>-27300.559999999998</v>
      </c>
      <c r="F62" s="30">
        <f t="shared" si="10"/>
        <v>-0.54535611823078112</v>
      </c>
      <c r="G62" s="31">
        <f>SUM(Oct!G62,Nov!G62,Dec!G62)</f>
        <v>52596.34</v>
      </c>
      <c r="H62" s="31">
        <f>SUM(Oct!H62, Nov!H62, Dec!H62)</f>
        <v>-29836.839999999997</v>
      </c>
      <c r="I62" s="32">
        <f t="shared" si="11"/>
        <v>-0.56727977650155881</v>
      </c>
    </row>
    <row r="63" spans="1:9" ht="15.6">
      <c r="A63" s="48" t="str">
        <v>CA: Stockton - SUSD - Chavez HS - Small</v>
      </c>
      <c r="B63" s="34" t="str">
        <v>CA</v>
      </c>
      <c r="C63" s="35">
        <f>SUM(Oct!C63, Nov!C63, Dec!C63)</f>
        <v>16064.5</v>
      </c>
      <c r="D63" s="36">
        <f>SUM(Oct!D63, Nov!D63, Dec!D63)</f>
        <v>15516.81</v>
      </c>
      <c r="E63" s="36">
        <f t="shared" si="9"/>
        <v>547.69000000000051</v>
      </c>
      <c r="F63" s="71">
        <f t="shared" si="10"/>
        <v>3.5296559022118625E-2</v>
      </c>
      <c r="G63" s="36">
        <f>SUM(Oct!G63,Nov!G63,Dec!G63)</f>
        <v>19632.71</v>
      </c>
      <c r="H63" s="72">
        <f>SUM(Oct!H63, Nov!H63, Dec!H63)</f>
        <v>-3568.2099999999991</v>
      </c>
      <c r="I63" s="71">
        <f t="shared" si="11"/>
        <v>-0.1817482150961329</v>
      </c>
    </row>
    <row r="64" spans="1:9" ht="15.6">
      <c r="A64" s="47" t="str">
        <v>CA: Stockton - SUSD - Facilities</v>
      </c>
      <c r="B64" s="27" t="str">
        <v>CA</v>
      </c>
      <c r="C64" s="28">
        <f>SUM(Oct!C64, Nov!C64, Dec!C64)</f>
        <v>11497</v>
      </c>
      <c r="D64" s="29">
        <f>SUM(Oct!D64, Nov!D64, Dec!D64)</f>
        <v>28760.41</v>
      </c>
      <c r="E64" s="29">
        <f t="shared" si="9"/>
        <v>-17263.41</v>
      </c>
      <c r="F64" s="30">
        <f t="shared" si="10"/>
        <v>-0.600249092415581</v>
      </c>
      <c r="G64" s="31">
        <f>SUM(Oct!G64,Nov!G64,Dec!G64)</f>
        <v>34187.79</v>
      </c>
      <c r="H64" s="31">
        <f>SUM(Oct!H64, Nov!H64, Dec!H64)</f>
        <v>-22690.79</v>
      </c>
      <c r="I64" s="32">
        <f t="shared" si="11"/>
        <v>-0.66371034805116091</v>
      </c>
    </row>
    <row r="65" spans="1:9" ht="15.6">
      <c r="A65" s="48" t="str">
        <v>CA: Stockton - SUSD - Harrison</v>
      </c>
      <c r="B65" s="34" t="str">
        <v>CA</v>
      </c>
      <c r="C65" s="35">
        <f>SUM(Oct!C65, Nov!C65, Dec!C65)</f>
        <v>8831.75</v>
      </c>
      <c r="D65" s="36">
        <f>SUM(Oct!D65, Nov!D65, Dec!D65)</f>
        <v>11287.92</v>
      </c>
      <c r="E65" s="36">
        <f t="shared" si="9"/>
        <v>-2456.17</v>
      </c>
      <c r="F65" s="71">
        <f t="shared" si="10"/>
        <v>-0.21759278945988278</v>
      </c>
      <c r="G65" s="36">
        <f>SUM(Oct!G65,Nov!G65,Dec!G65)</f>
        <v>12080.82</v>
      </c>
      <c r="H65" s="72">
        <f>SUM(Oct!H65, Nov!H65, Dec!H65)</f>
        <v>-3249.0699999999997</v>
      </c>
      <c r="I65" s="71">
        <f t="shared" si="11"/>
        <v>-0.26894449217851102</v>
      </c>
    </row>
    <row r="66" spans="1:9" ht="15.6">
      <c r="A66" s="47" t="str">
        <v>CA: Stockton - SUSD - Commodore Skills School</v>
      </c>
      <c r="B66" s="27" t="str">
        <v>CA</v>
      </c>
      <c r="C66" s="28">
        <f>SUM(Oct!C66, Nov!C66, Dec!C66)</f>
        <v>7075</v>
      </c>
      <c r="D66" s="29">
        <f>SUM(Oct!D66, Nov!D66, Dec!D66)</f>
        <v>24426.400000000001</v>
      </c>
      <c r="E66" s="29">
        <f t="shared" si="9"/>
        <v>-17351.400000000001</v>
      </c>
      <c r="F66" s="30">
        <f t="shared" si="10"/>
        <v>-0.71035437068090268</v>
      </c>
      <c r="G66" s="31">
        <f>SUM(Oct!G66,Nov!G66,Dec!G66)</f>
        <v>26986.03</v>
      </c>
      <c r="H66" s="31">
        <f>SUM(Oct!H66, Nov!H66, Dec!H66)</f>
        <v>-19911.03</v>
      </c>
      <c r="I66" s="32">
        <f t="shared" si="11"/>
        <v>-0.73782731287262338</v>
      </c>
    </row>
    <row r="67" spans="1:9" ht="15.6">
      <c r="A67" s="48" t="str">
        <v>CA: Stockton - SUSD - Nightingale ES</v>
      </c>
      <c r="B67" s="34" t="str">
        <v>CA</v>
      </c>
      <c r="C67" s="35">
        <f>SUM(Oct!C67, Nov!C67, Dec!C67)</f>
        <v>11720</v>
      </c>
      <c r="D67" s="36">
        <f>SUM(Oct!D67, Nov!D67, Dec!D67)</f>
        <v>12108.65</v>
      </c>
      <c r="E67" s="36">
        <f t="shared" si="9"/>
        <v>-388.64999999999964</v>
      </c>
      <c r="F67" s="71">
        <f t="shared" si="10"/>
        <v>-3.2096889413766164E-2</v>
      </c>
      <c r="G67" s="36">
        <f>SUM(Oct!G67,Nov!G67,Dec!G67)</f>
        <v>12507.14</v>
      </c>
      <c r="H67" s="72">
        <f>SUM(Oct!H67, Nov!H67, Dec!H67)</f>
        <v>-787.13999999999942</v>
      </c>
      <c r="I67" s="71">
        <f t="shared" si="11"/>
        <v>-6.2935251384409183E-2</v>
      </c>
    </row>
    <row r="68" spans="1:9" ht="15.6">
      <c r="A68" s="47" t="str">
        <v>CA: Stockton - SUSD - Weber Institute</v>
      </c>
      <c r="B68" s="27" t="str">
        <v>CA</v>
      </c>
      <c r="C68" s="28">
        <f>SUM(Oct!C68, Nov!C68, Dec!C68)</f>
        <v>5443.5</v>
      </c>
      <c r="D68" s="29">
        <f>SUM(Oct!D68, Nov!D68, Dec!D68)</f>
        <v>46280.34</v>
      </c>
      <c r="E68" s="29">
        <f t="shared" si="9"/>
        <v>-40836.839999999997</v>
      </c>
      <c r="F68" s="30">
        <f t="shared" si="10"/>
        <v>-0.88237986151354986</v>
      </c>
      <c r="G68" s="31">
        <f>SUM(Oct!G68,Nov!G68,Dec!G68)</f>
        <v>26112.99</v>
      </c>
      <c r="H68" s="31">
        <f>SUM(Oct!H68, Nov!H68, Dec!H68)</f>
        <v>-20669.490000000002</v>
      </c>
      <c r="I68" s="32">
        <f t="shared" si="11"/>
        <v>-0.79154053212596487</v>
      </c>
    </row>
    <row r="69" spans="1:9" ht="15.6">
      <c r="A69" s="48" t="str">
        <v>CA: Stockton - SUSD - Warehouse</v>
      </c>
      <c r="B69" s="34" t="str">
        <v>CA</v>
      </c>
      <c r="C69" s="35">
        <f>SUM(Oct!C69, Nov!C69, Dec!C69)</f>
        <v>9211.25</v>
      </c>
      <c r="D69" s="36">
        <f>SUM(Oct!D69, Nov!D69, Dec!D69)</f>
        <v>20184.71</v>
      </c>
      <c r="E69" s="36">
        <f t="shared" si="9"/>
        <v>-10973.46</v>
      </c>
      <c r="F69" s="71">
        <f t="shared" si="10"/>
        <v>-0.54365210102102035</v>
      </c>
      <c r="G69" s="36">
        <f>SUM(Oct!G69,Nov!G69,Dec!G69)</f>
        <v>23945.84</v>
      </c>
      <c r="H69" s="72">
        <f>SUM(Oct!H69, Nov!H69, Dec!H69)</f>
        <v>-14734.59</v>
      </c>
      <c r="I69" s="71">
        <f t="shared" si="11"/>
        <v>-0.61532984434874705</v>
      </c>
    </row>
    <row r="70" spans="1:9" ht="15.6">
      <c r="A70" s="47" t="str">
        <v>CA: Stockton - SUSD - Walton Special Center</v>
      </c>
      <c r="B70" s="27" t="str">
        <v>CA</v>
      </c>
      <c r="C70" s="28">
        <f>SUM(Oct!C70, Nov!C70, Dec!C70)</f>
        <v>9518.5</v>
      </c>
      <c r="D70" s="29">
        <f>SUM(Oct!D70, Nov!D70, Dec!D70)</f>
        <v>16238.66</v>
      </c>
      <c r="E70" s="29">
        <f t="shared" si="9"/>
        <v>-6720.16</v>
      </c>
      <c r="F70" s="30">
        <f t="shared" si="10"/>
        <v>-0.41383710232248228</v>
      </c>
      <c r="G70" s="31">
        <f>SUM(Oct!G70,Nov!G70,Dec!G70)</f>
        <v>17097.36</v>
      </c>
      <c r="H70" s="31">
        <f>SUM(Oct!H70, Nov!H70, Dec!H70)</f>
        <v>-7578.8600000000006</v>
      </c>
      <c r="I70" s="32">
        <f t="shared" si="11"/>
        <v>-0.44327662282364061</v>
      </c>
    </row>
    <row r="71" spans="1:9" ht="15.6">
      <c r="A71" s="48" t="str">
        <v>CA: Stockton - SUSD - Stagg HS</v>
      </c>
      <c r="B71" s="34" t="str">
        <v>CA</v>
      </c>
      <c r="C71" s="35">
        <f>SUM(Oct!C71, Nov!C71, Dec!C71)</f>
        <v>55911</v>
      </c>
      <c r="D71" s="36">
        <f>SUM(Oct!D71, Nov!D71, Dec!D71)</f>
        <v>66469.119999999995</v>
      </c>
      <c r="E71" s="36">
        <f t="shared" si="9"/>
        <v>-10558.119999999995</v>
      </c>
      <c r="F71" s="71">
        <f t="shared" si="10"/>
        <v>-0.15884248204278914</v>
      </c>
      <c r="G71" s="36">
        <f>SUM(Oct!G71,Nov!G71,Dec!G71)</f>
        <v>68223.509999999995</v>
      </c>
      <c r="H71" s="72">
        <f>SUM(Oct!H71, Nov!H71, Dec!H71)</f>
        <v>-12312.509999999995</v>
      </c>
      <c r="I71" s="71">
        <f t="shared" si="11"/>
        <v>-0.18047312429395668</v>
      </c>
    </row>
    <row r="72" spans="1:9" ht="15.6">
      <c r="A72" s="47" t="str">
        <v>CA: Stockton - SUSD - School for Adults</v>
      </c>
      <c r="B72" s="27" t="str">
        <v>CA</v>
      </c>
      <c r="C72" s="28">
        <f>SUM(Oct!C72, Nov!C72, Dec!C72)</f>
        <v>3313.25</v>
      </c>
      <c r="D72" s="29">
        <f>SUM(Oct!D72, Nov!D72, Dec!D72)</f>
        <v>13935.62</v>
      </c>
      <c r="E72" s="29">
        <f t="shared" si="9"/>
        <v>-10622.37</v>
      </c>
      <c r="F72" s="30">
        <f t="shared" si="10"/>
        <v>-0.76224595676403351</v>
      </c>
      <c r="G72" s="31">
        <f>SUM(Oct!G72,Nov!G72,Dec!G72)</f>
        <v>14894.81</v>
      </c>
      <c r="H72" s="31">
        <f>SUM(Oct!H72, Nov!H72, Dec!H72)</f>
        <v>-11581.56</v>
      </c>
      <c r="I72" s="32">
        <f t="shared" si="11"/>
        <v>-0.77755674627605187</v>
      </c>
    </row>
    <row r="73" spans="1:9" ht="15.6">
      <c r="A73" s="48" t="str">
        <v>CA: Stockton - SUSD - San Joaquin</v>
      </c>
      <c r="B73" s="34" t="str">
        <v>CA</v>
      </c>
      <c r="C73" s="35">
        <f>SUM(Oct!C73, Nov!C73, Dec!C73)</f>
        <v>6373</v>
      </c>
      <c r="D73" s="36">
        <f>SUM(Oct!D73, Nov!D73, Dec!D73)</f>
        <v>11645.14</v>
      </c>
      <c r="E73" s="36">
        <f t="shared" si="9"/>
        <v>-5272.1399999999994</v>
      </c>
      <c r="F73" s="71">
        <f t="shared" si="10"/>
        <v>-0.45273307147874559</v>
      </c>
      <c r="G73" s="36">
        <f>SUM(Oct!G73,Nov!G73,Dec!G73)</f>
        <v>13285.86</v>
      </c>
      <c r="H73" s="72">
        <f>SUM(Oct!H73, Nov!H73, Dec!H73)</f>
        <v>-6912.8600000000006</v>
      </c>
      <c r="I73" s="71">
        <f t="shared" si="11"/>
        <v>-0.52031708899536799</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27793</v>
      </c>
      <c r="D75" s="36">
        <f>SUM(Oct!D75, Nov!D75, Dec!D75)</f>
        <v>31669.48</v>
      </c>
      <c r="E75" s="36">
        <f t="shared" si="9"/>
        <v>-3876.4799999999996</v>
      </c>
      <c r="F75" s="71">
        <f t="shared" si="10"/>
        <v>-0.12240428324052051</v>
      </c>
      <c r="G75" s="36">
        <f>SUM(Oct!G75,Nov!G75,Dec!G75)</f>
        <v>29649.49</v>
      </c>
      <c r="H75" s="72">
        <f>SUM(Oct!H75, Nov!H75, Dec!H75)</f>
        <v>-1856.4900000000016</v>
      </c>
      <c r="I75" s="71">
        <f t="shared" si="11"/>
        <v>-6.261456773792741E-2</v>
      </c>
    </row>
    <row r="76" spans="1:9" ht="15.6">
      <c r="A76" s="47" t="str">
        <v>TX: Barnhart - 42917 Ranch RD 2469</v>
      </c>
      <c r="B76" s="27" t="str">
        <v>TX</v>
      </c>
      <c r="C76" s="28">
        <f>SUM(Oct!C76, Nov!C76, Dec!C76)</f>
        <v>220860</v>
      </c>
      <c r="D76" s="29">
        <f>SUM(Oct!D76, Nov!D76, Dec!D76)</f>
        <v>237693.9</v>
      </c>
      <c r="E76" s="29">
        <f t="shared" si="9"/>
        <v>-16833.899999999994</v>
      </c>
      <c r="F76" s="30">
        <f t="shared" si="10"/>
        <v>-7.0821758572685273E-2</v>
      </c>
      <c r="G76" s="31">
        <f>SUM(Oct!G76,Nov!G76,Dec!G76)</f>
        <v>201711.6</v>
      </c>
      <c r="H76" s="31">
        <f>SUM(Oct!H76, Nov!H76, Dec!H76)</f>
        <v>19148.399999999994</v>
      </c>
      <c r="I76" s="32">
        <f t="shared" si="11"/>
        <v>9.4929592546982883E-2</v>
      </c>
    </row>
    <row r="77" spans="1:9" ht="15.6">
      <c r="A77" s="48" t="str">
        <v>AZ: San Manuel - Senior &amp; Junior HS</v>
      </c>
      <c r="B77" s="34" t="str">
        <v>AZ</v>
      </c>
      <c r="C77" s="35">
        <f>SUM(Oct!C77, Nov!C77, Dec!C77)</f>
        <v>37594</v>
      </c>
      <c r="D77" s="36">
        <f>SUM(Oct!D77, Nov!D77, Dec!D77)</f>
        <v>0</v>
      </c>
      <c r="E77" s="36">
        <f t="shared" si="9"/>
        <v>37594</v>
      </c>
      <c r="F77" s="71" t="str">
        <f t="shared" si="10"/>
        <v/>
      </c>
      <c r="G77" s="36">
        <f>SUM(Oct!G77,Nov!G77,Dec!G77)</f>
        <v>35690</v>
      </c>
      <c r="H77" s="72">
        <f>SUM(Oct!H77, Nov!H77, Dec!H77)</f>
        <v>1904</v>
      </c>
      <c r="I77" s="71">
        <f t="shared" si="11"/>
        <v>5.3348276828243203E-2</v>
      </c>
    </row>
    <row r="78" spans="1:9" ht="15.6">
      <c r="A78" s="47" t="str">
        <v>AZ: Sierra Vista - Colonel Smith MS</v>
      </c>
      <c r="B78" s="27" t="str">
        <v>AZ</v>
      </c>
      <c r="C78" s="28">
        <f>SUM(Oct!C78, Nov!C78, Dec!C78)</f>
        <v>34420</v>
      </c>
      <c r="D78" s="29">
        <f>SUM(Oct!D78, Nov!D78, Dec!D78)</f>
        <v>60818.23</v>
      </c>
      <c r="E78" s="29">
        <f t="shared" si="9"/>
        <v>-26398.230000000003</v>
      </c>
      <c r="F78" s="30">
        <f t="shared" si="10"/>
        <v>-0.43405127048255104</v>
      </c>
      <c r="G78" s="31">
        <f>SUM(Oct!G78,Nov!G78,Dec!G78)</f>
        <v>48040.27</v>
      </c>
      <c r="H78" s="31">
        <f>SUM(Oct!H78, Nov!H78, Dec!H78)</f>
        <v>-13620.269999999997</v>
      </c>
      <c r="I78" s="32">
        <f t="shared" si="11"/>
        <v>-0.28351776540806284</v>
      </c>
    </row>
    <row r="79" spans="1:9" ht="15.6">
      <c r="A79" s="48" t="str">
        <v>AZ: Sierra Vista - Colonel Johnston ES</v>
      </c>
      <c r="B79" s="34" t="str">
        <v>AZ</v>
      </c>
      <c r="C79" s="35">
        <f>SUM(Oct!C79, Nov!C79, Dec!C79)</f>
        <v>11490</v>
      </c>
      <c r="D79" s="36">
        <f>SUM(Oct!D79, Nov!D79, Dec!D79)</f>
        <v>20598.810000000001</v>
      </c>
      <c r="E79" s="36">
        <f t="shared" si="9"/>
        <v>-9108.8100000000013</v>
      </c>
      <c r="F79" s="71">
        <f t="shared" si="10"/>
        <v>-0.44220078732703494</v>
      </c>
      <c r="G79" s="36">
        <f>SUM(Oct!G79,Nov!G79,Dec!G79)</f>
        <v>16215.11</v>
      </c>
      <c r="H79" s="72">
        <f>SUM(Oct!H79, Nov!H79, Dec!H79)</f>
        <v>-4725.1100000000006</v>
      </c>
      <c r="I79" s="71">
        <f t="shared" si="11"/>
        <v>-0.29140166178336135</v>
      </c>
    </row>
    <row r="80" spans="1:9" ht="15.6">
      <c r="A80" s="47" t="str">
        <v>NH: Dover - Dover HS</v>
      </c>
      <c r="B80" s="27" t="str">
        <v>NH</v>
      </c>
      <c r="C80" s="28">
        <f>SUM(Oct!C80, Nov!C80, Dec!C80)</f>
        <v>66369.5</v>
      </c>
      <c r="D80" s="29">
        <f>SUM(Oct!D80, Nov!D80, Dec!D80)</f>
        <v>88229.68</v>
      </c>
      <c r="E80" s="29">
        <f t="shared" si="9"/>
        <v>-21860.179999999993</v>
      </c>
      <c r="F80" s="30">
        <f t="shared" si="10"/>
        <v>-0.24776447109408076</v>
      </c>
      <c r="G80" s="31">
        <f>SUM(Oct!G80,Nov!G80,Dec!G80)</f>
        <v>70388.639999999999</v>
      </c>
      <c r="H80" s="31">
        <f>SUM(Oct!H80, Nov!H80, Dec!H80)</f>
        <v>-4019.1399999999994</v>
      </c>
      <c r="I80" s="32">
        <f t="shared" si="11"/>
        <v>-5.7099270564113749E-2</v>
      </c>
    </row>
    <row r="81" spans="1:9" ht="15.6">
      <c r="A81" s="48" t="str">
        <v>MA: Somerville - 30 Inner Belt Rd</v>
      </c>
      <c r="B81" s="34" t="str">
        <v>MA</v>
      </c>
      <c r="C81" s="35">
        <f>SUM(Oct!C81, Nov!C81, Dec!C81)</f>
        <v>59318.5</v>
      </c>
      <c r="D81" s="36">
        <f>SUM(Oct!D81, Nov!D81, Dec!D81)</f>
        <v>58694.21</v>
      </c>
      <c r="E81" s="36">
        <f t="shared" si="9"/>
        <v>624.29000000000087</v>
      </c>
      <c r="F81" s="71">
        <f t="shared" si="10"/>
        <v>1.0636313190006321E-2</v>
      </c>
      <c r="G81" s="36">
        <f>SUM(Oct!G81,Nov!G81,Dec!G81)</f>
        <v>110638.8</v>
      </c>
      <c r="H81" s="72">
        <f>SUM(Oct!H81, Nov!H81, Dec!H81)</f>
        <v>-51320.3</v>
      </c>
      <c r="I81" s="71">
        <f t="shared" si="11"/>
        <v>-0.46385445250671559</v>
      </c>
    </row>
    <row r="82" spans="1:9" ht="15.6">
      <c r="A82" s="47" t="str">
        <v>MA: Boxborough - 1414 Massachusetts Ave</v>
      </c>
      <c r="B82" s="27" t="str">
        <v>MA</v>
      </c>
      <c r="C82" s="28">
        <f>SUM(Oct!C82, Nov!C82, Dec!C82)</f>
        <v>544017.11264845706</v>
      </c>
      <c r="D82" s="29">
        <f>SUM(Oct!D82, Nov!D82, Dec!D82)</f>
        <v>294017.3</v>
      </c>
      <c r="E82" s="29">
        <f t="shared" si="9"/>
        <v>249999.81264845707</v>
      </c>
      <c r="F82" s="30">
        <f t="shared" si="10"/>
        <v>0.85028946476434231</v>
      </c>
      <c r="G82" s="31">
        <f>SUM(Oct!G82,Nov!G82,Dec!G82)</f>
        <v>545300</v>
      </c>
      <c r="H82" s="31">
        <f>SUM(Oct!H82, Nov!H82, Dec!H82)</f>
        <v>-1282.8873515429441</v>
      </c>
      <c r="I82" s="32">
        <f t="shared" si="11"/>
        <v>-2.3526267220666496E-3</v>
      </c>
    </row>
    <row r="83" spans="1:9" ht="15.6">
      <c r="A83" s="48" t="str">
        <v>NY: Amsterdam - 153 NY Route 67</v>
      </c>
      <c r="B83" s="34" t="str">
        <v>NY</v>
      </c>
      <c r="C83" s="35">
        <f>SUM(Oct!C83, Nov!C83, Dec!C83)</f>
        <v>283742</v>
      </c>
      <c r="D83" s="36">
        <f>SUM(Oct!D83, Nov!D83, Dec!D83)</f>
        <v>242979.8</v>
      </c>
      <c r="E83" s="36">
        <f t="shared" si="9"/>
        <v>40762.200000000012</v>
      </c>
      <c r="F83" s="71">
        <f t="shared" si="10"/>
        <v>0.1677596244626097</v>
      </c>
      <c r="G83" s="36">
        <f>SUM(Oct!G83,Nov!G83,Dec!G83)</f>
        <v>262933.59999999998</v>
      </c>
      <c r="H83" s="72">
        <f>SUM(Oct!H83, Nov!H83, Dec!H83)</f>
        <v>20808.400000000023</v>
      </c>
      <c r="I83" s="71">
        <f t="shared" si="11"/>
        <v>7.9139372069602462E-2</v>
      </c>
    </row>
    <row r="84" spans="1:9" ht="15.6">
      <c r="A84" s="47" t="str">
        <v>CA: San Jose - GE Mobile Water</v>
      </c>
      <c r="B84" s="27" t="str">
        <v>CA</v>
      </c>
      <c r="C84" s="28">
        <f>SUM(Oct!C84, Nov!C84, Dec!C84)</f>
        <v>19410</v>
      </c>
      <c r="D84" s="29">
        <f>SUM(Oct!D84, Nov!D84, Dec!D84)</f>
        <v>20633.2</v>
      </c>
      <c r="E84" s="29">
        <f t="shared" si="9"/>
        <v>-1223.2000000000007</v>
      </c>
      <c r="F84" s="30">
        <f t="shared" si="10"/>
        <v>-5.9283097144408076E-2</v>
      </c>
      <c r="G84" s="31">
        <f>SUM(Oct!G84,Nov!G84,Dec!G84)</f>
        <v>20411.77</v>
      </c>
      <c r="H84" s="31">
        <f>SUM(Oct!H84, Nov!H84, Dec!H84)</f>
        <v>-1001.7700000000004</v>
      </c>
      <c r="I84" s="32">
        <f t="shared" si="11"/>
        <v>-4.9078056435086247E-2</v>
      </c>
    </row>
    <row r="85" spans="1:9" ht="15.6">
      <c r="A85" s="48" t="str">
        <v>NY: Rome - 7776 Tannery RD</v>
      </c>
      <c r="B85" s="34" t="str">
        <v>NY</v>
      </c>
      <c r="C85" s="35">
        <f>SUM(Oct!C85, Nov!C85, Dec!C85)</f>
        <v>287375.31543624401</v>
      </c>
      <c r="D85" s="36">
        <f>SUM(Oct!D85, Nov!D85, Dec!D85)</f>
        <v>307686.2</v>
      </c>
      <c r="E85" s="36">
        <f t="shared" si="9"/>
        <v>-20310.884563756001</v>
      </c>
      <c r="F85" s="71">
        <f t="shared" si="10"/>
        <v>-6.6011685164157508E-2</v>
      </c>
      <c r="G85" s="36">
        <f>SUM(Oct!G85,Nov!G85,Dec!G85)</f>
        <v>265023.09999999998</v>
      </c>
      <c r="H85" s="72">
        <f>SUM(Oct!H85, Nov!H85, Dec!H85)</f>
        <v>22352.215436244034</v>
      </c>
      <c r="I85" s="71">
        <f t="shared" si="11"/>
        <v>8.4340630821404E-2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18" t="str" cm="1">
        <f t="array" ref="A1">portfolio</f>
        <v>Clean Capital</v>
      </c>
      <c r="B1" s="118"/>
      <c r="C1" s="118"/>
      <c r="D1" s="119" t="s">
        <v>18</v>
      </c>
      <c r="E1" s="119"/>
      <c r="F1" s="119"/>
      <c r="G1" s="117" t="s">
        <v>19</v>
      </c>
      <c r="H1" s="117"/>
      <c r="I1" s="117"/>
      <c r="J1" s="4"/>
      <c r="K1" s="4"/>
    </row>
    <row r="2" spans="1:11" ht="15.6">
      <c r="A2" s="120" t="s">
        <v>2</v>
      </c>
      <c r="B2" s="120"/>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18" t="str" cm="1">
        <f t="array" ref="A1">portfolio</f>
        <v>Clean Capital</v>
      </c>
      <c r="B1" s="118"/>
      <c r="C1" s="118"/>
      <c r="D1" s="119" t="s">
        <v>28</v>
      </c>
      <c r="E1" s="119"/>
      <c r="F1" s="119"/>
      <c r="G1" s="117" t="s">
        <v>29</v>
      </c>
      <c r="H1" s="117"/>
      <c r="I1" s="117"/>
      <c r="J1" s="4"/>
      <c r="K1" s="4"/>
    </row>
    <row r="2" spans="1:14" ht="19.5" customHeight="1">
      <c r="A2" s="120" t="s">
        <v>2</v>
      </c>
      <c r="B2" s="120"/>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6"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18" t="str" cm="1">
        <f t="array" ref="A1">portfolio</f>
        <v>Clean Capital</v>
      </c>
      <c r="B1" s="118"/>
      <c r="C1" s="118"/>
      <c r="D1" s="119" t="s">
        <v>40</v>
      </c>
      <c r="E1" s="119"/>
      <c r="F1" s="119"/>
      <c r="G1" s="117" t="s">
        <v>41</v>
      </c>
      <c r="H1" s="117"/>
      <c r="I1" s="117"/>
      <c r="J1" s="4"/>
      <c r="K1" s="4"/>
    </row>
    <row r="2" spans="1:16" ht="19.5" customHeight="1">
      <c r="A2" s="120" t="s">
        <v>2</v>
      </c>
      <c r="B2" s="120"/>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17"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18" t="str" cm="1">
        <f t="array" ref="A1">portfolio</f>
        <v>Clean Capital</v>
      </c>
      <c r="B1" s="118"/>
      <c r="C1" s="118"/>
      <c r="D1" s="119" t="s">
        <v>81</v>
      </c>
      <c r="E1" s="119"/>
      <c r="F1" s="119"/>
      <c r="G1" s="117" t="s">
        <v>82</v>
      </c>
      <c r="H1" s="117"/>
      <c r="I1" s="117"/>
      <c r="J1" s="4"/>
      <c r="K1" s="4"/>
    </row>
    <row r="2" spans="1:15" ht="19.5" customHeight="1">
      <c r="A2" s="120" t="s">
        <v>2</v>
      </c>
      <c r="B2" s="120"/>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5"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18" t="str" cm="1">
        <f t="array" ref="A1">portfolio</f>
        <v>Clean Capital</v>
      </c>
      <c r="B1" s="118"/>
      <c r="C1" s="118"/>
      <c r="D1" s="119" t="s">
        <v>128</v>
      </c>
      <c r="E1" s="119"/>
      <c r="F1" s="119"/>
      <c r="G1" s="117" t="s">
        <v>129</v>
      </c>
      <c r="H1" s="117"/>
      <c r="I1" s="117"/>
      <c r="J1" s="4"/>
      <c r="K1" s="4"/>
    </row>
    <row r="2" spans="1:16" ht="19.5" customHeight="1">
      <c r="A2" s="120" t="s">
        <v>2</v>
      </c>
      <c r="B2" s="120"/>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28.9">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21" activePane="bottomRight" state="frozen"/>
      <selection pane="bottomRight" activeCell="J73" sqref="J73"/>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18" t="str" cm="1">
        <f t="array" ref="A1">portfolio</f>
        <v>Clean Capital</v>
      </c>
      <c r="B1" s="118"/>
      <c r="C1" s="118"/>
      <c r="D1" s="119" t="s">
        <v>204</v>
      </c>
      <c r="E1" s="119"/>
      <c r="F1" s="119"/>
      <c r="G1" s="117" t="s">
        <v>205</v>
      </c>
      <c r="H1" s="117"/>
      <c r="I1" s="117"/>
      <c r="J1" s="4"/>
      <c r="K1" s="4"/>
    </row>
    <row r="2" spans="1:15" ht="19.5" customHeight="1">
      <c r="A2" s="120" t="s">
        <v>2</v>
      </c>
      <c r="B2" s="120"/>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70" zoomScaleNormal="70" workbookViewId="0">
      <pane xSplit="2" ySplit="3" topLeftCell="C18" activePane="bottomRight" state="frozen"/>
      <selection pane="bottomRight" activeCell="J81" sqref="J81"/>
      <selection pane="bottomLeft" activeCell="H13" sqref="H13"/>
      <selection pane="topRight" activeCell="H13" sqref="H13"/>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18" t="str" cm="1">
        <f t="array" ref="A1">portfolio</f>
        <v>Clean Capital</v>
      </c>
      <c r="B1" s="118"/>
      <c r="C1" s="118"/>
      <c r="D1" s="119" t="s">
        <v>345</v>
      </c>
      <c r="E1" s="119"/>
      <c r="F1" s="119"/>
      <c r="G1" s="117" t="s">
        <v>346</v>
      </c>
      <c r="H1" s="117"/>
      <c r="I1" s="117"/>
      <c r="J1" s="4"/>
      <c r="K1" s="4"/>
    </row>
    <row r="2" spans="1:16" ht="19.5" customHeight="1">
      <c r="A2" s="120" t="s">
        <v>2</v>
      </c>
      <c r="B2" s="120"/>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6">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57.6">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86.4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6">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28.9">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2">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28.9">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28.9">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3.1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57.6">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2">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57.6">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57.6">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72">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15.6">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6">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57.6">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28.9">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28.9">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6">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6">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6">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6">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6">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6">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6">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6">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6">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6">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3.1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57.6">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9.6">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3.1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28.9">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28.9">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29.6">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3.1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57.6">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3.1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57.6">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6">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00.9">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6">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28.9">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3.1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57.6">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28.9">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6">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3.1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28.9">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6"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57.6">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28.9">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3.1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6">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6">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6">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3.1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28.9">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6">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57.6">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28.9">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28.9">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28.9">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6">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0.9">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2">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2">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3.1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57.6">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2">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86.45">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2">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6">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2">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zoomScale="80" zoomScaleNormal="80" workbookViewId="0">
      <pane xSplit="2" ySplit="3" topLeftCell="G11" activePane="bottomRight" state="frozen"/>
      <selection pane="bottomRight" activeCell="J15" sqref="J15"/>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18" t="str" cm="1">
        <f t="array" ref="A1">portfolio</f>
        <v>Clean Capital</v>
      </c>
      <c r="B1" s="118"/>
      <c r="C1" s="118"/>
      <c r="D1" s="119" t="s">
        <v>468</v>
      </c>
      <c r="E1" s="119"/>
      <c r="F1" s="119"/>
      <c r="G1" s="117" t="s">
        <v>469</v>
      </c>
      <c r="H1" s="117"/>
      <c r="I1" s="117"/>
      <c r="J1" s="4"/>
      <c r="K1" s="4"/>
    </row>
    <row r="2" spans="1:13" ht="19.5" customHeight="1">
      <c r="A2" s="120" t="s">
        <v>2</v>
      </c>
      <c r="B2" s="120"/>
      <c r="C2" s="5">
        <f>SUM(C4:C85)</f>
        <v>5944538.9439786756</v>
      </c>
      <c r="D2" s="5">
        <f>SUM(D4:D85)</f>
        <v>3903144.4592646202</v>
      </c>
      <c r="E2" s="5">
        <f>C2-D2</f>
        <v>2041394.4847140554</v>
      </c>
      <c r="F2" s="6">
        <f>IFERROR(E2/D2, 0)</f>
        <v>0.52301279289536429</v>
      </c>
      <c r="G2" s="5">
        <f>SUM(G4:G85)</f>
        <v>6702857.8789999997</v>
      </c>
      <c r="H2" s="7">
        <f>C2-G2</f>
        <v>-758318.93502132408</v>
      </c>
      <c r="I2" s="6">
        <f>IFERROR(H2/G2, 0)</f>
        <v>-0.11313367353306583</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42</v>
      </c>
      <c r="K3" s="10" t="s">
        <v>21</v>
      </c>
    </row>
    <row r="4" spans="1:13" ht="43.15">
      <c r="A4" s="39" t="str" cm="1">
        <f t="array" ref="A4:A85">Sites[Site]</f>
        <v>Lexington - Cotting School</v>
      </c>
      <c r="B4" s="40" t="str" cm="1">
        <f t="array" ref="B4:B85">Sites[State]</f>
        <v>MA</v>
      </c>
      <c r="C4" s="28">
        <v>45808.800000000003</v>
      </c>
      <c r="D4" s="29" t="s">
        <v>43</v>
      </c>
      <c r="E4" s="29" t="str">
        <f>IF(AND(ISNUMBER(C4),ISNUMBER(D4)), C4-D4, "")</f>
        <v/>
      </c>
      <c r="F4" s="30" t="str">
        <f>IFERROR(E4/D4, "")</f>
        <v/>
      </c>
      <c r="G4" s="84" t="s">
        <v>43</v>
      </c>
      <c r="H4" s="31" t="str">
        <f>IF(AND(ISNUMBER(C4),ISNUMBER(G4)), C4-G4, "")</f>
        <v/>
      </c>
      <c r="I4" s="32" t="str">
        <f>IFERROR(H4/G4, "")</f>
        <v/>
      </c>
      <c r="J4" s="62" t="s">
        <v>470</v>
      </c>
      <c r="K4" s="78" t="s">
        <v>207</v>
      </c>
    </row>
    <row r="5" spans="1:13" ht="129.6">
      <c r="A5" s="41" t="str">
        <v>Pacoima - Whiteman Airport</v>
      </c>
      <c r="B5" s="42" t="str">
        <v>CA</v>
      </c>
      <c r="C5" s="35">
        <v>33646</v>
      </c>
      <c r="D5" s="36" t="s">
        <v>43</v>
      </c>
      <c r="E5" s="36" t="str">
        <f t="shared" ref="E5:E6" si="0">IF(AND(ISNUMBER(C5),ISNUMBER(D5)), C5-D5, "")</f>
        <v/>
      </c>
      <c r="F5" s="37" t="str">
        <f>IFERROR(E5/D5, "")</f>
        <v/>
      </c>
      <c r="G5" s="38">
        <v>62900</v>
      </c>
      <c r="H5" s="38">
        <f t="shared" ref="H5:H6" si="1">IF(AND(ISNUMBER(C5),ISNUMBER(G5)), C5-G5, "")</f>
        <v>-29254</v>
      </c>
      <c r="I5" s="37">
        <f t="shared" ref="I5:I6" si="2">IFERROR(H5/G5, "")</f>
        <v>-0.46508744038155803</v>
      </c>
      <c r="J5" s="60" t="s">
        <v>471</v>
      </c>
      <c r="K5" s="75" t="s">
        <v>472</v>
      </c>
      <c r="L5" s="76" t="s">
        <v>135</v>
      </c>
      <c r="M5" s="76" t="s">
        <v>136</v>
      </c>
    </row>
    <row r="6" spans="1:13" ht="15.6">
      <c r="A6" s="43" t="str">
        <v>Hyannis - Sturgis Charter School</v>
      </c>
      <c r="B6" s="40" t="str">
        <v>MA</v>
      </c>
      <c r="C6" s="28">
        <v>39438.369259999999</v>
      </c>
      <c r="D6" s="29" t="s">
        <v>43</v>
      </c>
      <c r="E6" s="29" t="str">
        <f t="shared" si="0"/>
        <v/>
      </c>
      <c r="F6" s="30" t="str">
        <f t="shared" ref="F6:F69" si="3">IFERROR(E6/D6, "")</f>
        <v/>
      </c>
      <c r="G6" s="31">
        <v>33890</v>
      </c>
      <c r="H6" s="31">
        <f t="shared" si="1"/>
        <v>5548.3692599999995</v>
      </c>
      <c r="I6" s="32">
        <f t="shared" si="2"/>
        <v>0.16371700383593979</v>
      </c>
      <c r="J6" s="62"/>
      <c r="K6" s="62"/>
    </row>
    <row r="7" spans="1:13" ht="57.6">
      <c r="A7" s="41" t="str">
        <v>South Dennis - Tony Kent Arena</v>
      </c>
      <c r="B7" s="42" t="str">
        <v>MA</v>
      </c>
      <c r="C7" s="35">
        <v>43650.6</v>
      </c>
      <c r="D7" s="36" t="s">
        <v>43</v>
      </c>
      <c r="E7" s="36" t="str">
        <f t="shared" ref="E7:E70" si="4">IF(AND(ISNUMBER(C7),ISNUMBER(D7)), C7-D7, "")</f>
        <v/>
      </c>
      <c r="F7" s="37" t="str">
        <f t="shared" si="3"/>
        <v/>
      </c>
      <c r="G7" s="83" t="s">
        <v>43</v>
      </c>
      <c r="H7" s="38" t="str">
        <f t="shared" ref="H7:H70" si="5">IF(AND(ISNUMBER(C7),ISNUMBER(G7)), C7-G7, "")</f>
        <v/>
      </c>
      <c r="I7" s="37" t="str">
        <f t="shared" ref="I7:I70" si="6">IFERROR(H7/G7, "")</f>
        <v/>
      </c>
      <c r="J7" s="60" t="s">
        <v>91</v>
      </c>
      <c r="K7" s="75" t="s">
        <v>473</v>
      </c>
      <c r="L7" s="76" t="s">
        <v>53</v>
      </c>
    </row>
    <row r="8" spans="1:13" ht="86.45">
      <c r="A8" s="43" t="str">
        <v xml:space="preserve"> Caropolis - Felician Sisters</v>
      </c>
      <c r="B8" s="40" t="str">
        <v>PA</v>
      </c>
      <c r="C8" s="28">
        <v>33772.699999999997</v>
      </c>
      <c r="D8" s="29" t="s">
        <v>43</v>
      </c>
      <c r="E8" s="29" t="str">
        <f t="shared" si="4"/>
        <v/>
      </c>
      <c r="F8" s="30" t="str">
        <f t="shared" si="3"/>
        <v/>
      </c>
      <c r="G8" s="73" t="s">
        <v>43</v>
      </c>
      <c r="H8" s="31" t="str">
        <f t="shared" si="5"/>
        <v/>
      </c>
      <c r="I8" s="32" t="str">
        <f t="shared" si="6"/>
        <v/>
      </c>
      <c r="J8" s="62" t="s">
        <v>209</v>
      </c>
      <c r="K8" s="78" t="s">
        <v>210</v>
      </c>
      <c r="L8" s="76" t="s">
        <v>95</v>
      </c>
    </row>
    <row r="9" spans="1:13" ht="57.6">
      <c r="A9" s="41" t="str">
        <v>Clear Lake - Eastlake Gohman</v>
      </c>
      <c r="B9" s="42" t="str">
        <v>MN</v>
      </c>
      <c r="C9" s="35">
        <v>49207</v>
      </c>
      <c r="D9" s="36" t="s">
        <v>43</v>
      </c>
      <c r="E9" s="36" t="str">
        <f t="shared" si="4"/>
        <v/>
      </c>
      <c r="F9" s="37" t="str">
        <f t="shared" si="3"/>
        <v/>
      </c>
      <c r="G9" s="38">
        <v>200183.1</v>
      </c>
      <c r="H9" s="38">
        <f t="shared" si="5"/>
        <v>-150976.1</v>
      </c>
      <c r="I9" s="37">
        <f t="shared" si="6"/>
        <v>-0.75419003901927784</v>
      </c>
      <c r="J9" s="60" t="s">
        <v>474</v>
      </c>
      <c r="K9" s="75" t="s">
        <v>475</v>
      </c>
      <c r="L9" s="76" t="s">
        <v>354</v>
      </c>
      <c r="M9" s="76" t="s">
        <v>476</v>
      </c>
    </row>
    <row r="10" spans="1:13" ht="15.6">
      <c r="A10" s="43" t="str">
        <v>Zumbrota - Eastlake Brenda Luhman</v>
      </c>
      <c r="B10" s="40" t="str">
        <v>MN</v>
      </c>
      <c r="C10" s="28">
        <v>187373</v>
      </c>
      <c r="D10" s="29" t="s">
        <v>43</v>
      </c>
      <c r="E10" s="29" t="str">
        <f t="shared" si="4"/>
        <v/>
      </c>
      <c r="F10" s="30" t="str">
        <f t="shared" si="3"/>
        <v/>
      </c>
      <c r="G10" s="31">
        <v>187551.3</v>
      </c>
      <c r="H10" s="31">
        <f t="shared" si="5"/>
        <v>-178.29999999998836</v>
      </c>
      <c r="I10" s="32">
        <f t="shared" si="6"/>
        <v>-9.5067322913777925E-4</v>
      </c>
      <c r="J10" s="62"/>
      <c r="K10" s="62"/>
    </row>
    <row r="11" spans="1:13" ht="57.6">
      <c r="A11" s="41" t="str">
        <v>Cokato - Eastlake Carlson</v>
      </c>
      <c r="B11" s="42" t="str">
        <v>MN</v>
      </c>
      <c r="C11" s="35">
        <v>174063</v>
      </c>
      <c r="D11" s="36" t="s">
        <v>43</v>
      </c>
      <c r="E11" s="36" t="str">
        <f t="shared" si="4"/>
        <v/>
      </c>
      <c r="F11" s="37" t="str">
        <f t="shared" si="3"/>
        <v/>
      </c>
      <c r="G11" s="38">
        <v>202940.3</v>
      </c>
      <c r="H11" s="38">
        <f t="shared" si="5"/>
        <v>-28877.299999999988</v>
      </c>
      <c r="I11" s="37">
        <f t="shared" si="6"/>
        <v>-0.14229455657649068</v>
      </c>
      <c r="J11" s="60" t="s">
        <v>477</v>
      </c>
      <c r="K11" s="75" t="s">
        <v>478</v>
      </c>
      <c r="L11" s="76" t="s">
        <v>479</v>
      </c>
      <c r="M11" s="76" t="s">
        <v>100</v>
      </c>
    </row>
    <row r="12" spans="1:13" ht="28.9">
      <c r="A12" s="43" t="str">
        <v>North Branch - Cornille 2</v>
      </c>
      <c r="B12" s="40" t="str">
        <v>MN</v>
      </c>
      <c r="C12" s="28">
        <v>183459</v>
      </c>
      <c r="D12" s="29" t="s">
        <v>43</v>
      </c>
      <c r="E12" s="29" t="str">
        <f t="shared" si="4"/>
        <v/>
      </c>
      <c r="F12" s="30" t="str">
        <f t="shared" si="3"/>
        <v/>
      </c>
      <c r="G12" s="31">
        <v>197065</v>
      </c>
      <c r="H12" s="31">
        <f t="shared" si="5"/>
        <v>-13606</v>
      </c>
      <c r="I12" s="32">
        <f t="shared" si="6"/>
        <v>-6.9043209093446328E-2</v>
      </c>
      <c r="J12" s="62" t="s">
        <v>480</v>
      </c>
      <c r="K12" s="78" t="s">
        <v>481</v>
      </c>
    </row>
    <row r="13" spans="1:13" ht="43.15">
      <c r="A13" s="41" t="str">
        <v>Clear Lake - Eastlake Hammer</v>
      </c>
      <c r="B13" s="42" t="str">
        <v>MN</v>
      </c>
      <c r="C13" s="35">
        <v>202837.314676618</v>
      </c>
      <c r="D13" s="36" t="s">
        <v>43</v>
      </c>
      <c r="E13" s="36" t="str">
        <f t="shared" si="4"/>
        <v/>
      </c>
      <c r="F13" s="37" t="str">
        <f t="shared" si="3"/>
        <v/>
      </c>
      <c r="G13" s="38">
        <v>246223.7</v>
      </c>
      <c r="H13" s="38">
        <f t="shared" si="5"/>
        <v>-43386.385323382012</v>
      </c>
      <c r="I13" s="37">
        <f t="shared" si="6"/>
        <v>-0.17620718608071445</v>
      </c>
      <c r="J13" s="60" t="s">
        <v>482</v>
      </c>
      <c r="K13" s="75" t="s">
        <v>361</v>
      </c>
    </row>
    <row r="14" spans="1:13" ht="57.6">
      <c r="A14" s="43" t="str">
        <v>Eastlake - Hertzberg CSG 1</v>
      </c>
      <c r="B14" s="40" t="str">
        <v>MN</v>
      </c>
      <c r="C14" s="28">
        <v>191655.00570000001</v>
      </c>
      <c r="D14" s="29" t="s">
        <v>43</v>
      </c>
      <c r="E14" s="29" t="str">
        <f t="shared" si="4"/>
        <v/>
      </c>
      <c r="F14" s="30" t="str">
        <f t="shared" si="3"/>
        <v/>
      </c>
      <c r="G14" s="31">
        <v>245960.4</v>
      </c>
      <c r="H14" s="31">
        <f t="shared" si="5"/>
        <v>-54305.394299999985</v>
      </c>
      <c r="I14" s="32">
        <f t="shared" si="6"/>
        <v>-0.22078917703825487</v>
      </c>
      <c r="J14" s="62" t="s">
        <v>483</v>
      </c>
      <c r="K14" s="78" t="s">
        <v>484</v>
      </c>
      <c r="L14" s="76" t="s">
        <v>485</v>
      </c>
    </row>
    <row r="15" spans="1:13" ht="21" customHeight="1">
      <c r="A15" s="41" t="str">
        <v>Cokato - Eastlake Laurel Village</v>
      </c>
      <c r="B15" s="42" t="str">
        <v>MN</v>
      </c>
      <c r="C15" s="35">
        <v>214719</v>
      </c>
      <c r="D15" s="36" t="s">
        <v>43</v>
      </c>
      <c r="E15" s="36" t="str">
        <f t="shared" si="4"/>
        <v/>
      </c>
      <c r="F15" s="37" t="str">
        <f t="shared" si="3"/>
        <v/>
      </c>
      <c r="G15" s="38">
        <v>232306.3</v>
      </c>
      <c r="H15" s="38">
        <f t="shared" si="5"/>
        <v>-17587.299999999988</v>
      </c>
      <c r="I15" s="37">
        <f t="shared" si="6"/>
        <v>-7.5707374272673572E-2</v>
      </c>
      <c r="J15" s="60" t="s">
        <v>486</v>
      </c>
      <c r="K15" s="75" t="s">
        <v>487</v>
      </c>
    </row>
    <row r="16" spans="1:13" ht="15.6">
      <c r="A16" s="43" t="str">
        <v>St. Peter - Eastlake Paulson</v>
      </c>
      <c r="B16" s="40" t="str">
        <v>MN</v>
      </c>
      <c r="C16" s="28">
        <v>186643.950269258</v>
      </c>
      <c r="D16" s="29" t="s">
        <v>43</v>
      </c>
      <c r="E16" s="29" t="str">
        <f t="shared" si="4"/>
        <v/>
      </c>
      <c r="F16" s="30" t="str">
        <f t="shared" si="3"/>
        <v/>
      </c>
      <c r="G16" s="31">
        <v>207053.5</v>
      </c>
      <c r="H16" s="31">
        <f t="shared" si="5"/>
        <v>-20409.549730742001</v>
      </c>
      <c r="I16" s="32">
        <f t="shared" si="6"/>
        <v>-9.857138242406914E-2</v>
      </c>
      <c r="J16" s="62" t="s">
        <v>488</v>
      </c>
      <c r="K16" s="78" t="s">
        <v>489</v>
      </c>
    </row>
    <row r="17" spans="1:21" ht="57.6">
      <c r="A17" s="41" t="str">
        <v>Felician Sisters Convent</v>
      </c>
      <c r="B17" s="42" t="str">
        <v>NJ</v>
      </c>
      <c r="C17" s="35">
        <v>4488</v>
      </c>
      <c r="D17" s="36" t="s">
        <v>43</v>
      </c>
      <c r="E17" s="36" t="str">
        <f t="shared" si="4"/>
        <v/>
      </c>
      <c r="F17" s="37" t="str">
        <f t="shared" si="3"/>
        <v/>
      </c>
      <c r="G17" s="74" t="s">
        <v>43</v>
      </c>
      <c r="H17" s="38" t="str">
        <f t="shared" si="5"/>
        <v/>
      </c>
      <c r="I17" s="37" t="str">
        <f t="shared" si="6"/>
        <v/>
      </c>
      <c r="J17" s="60" t="s">
        <v>370</v>
      </c>
      <c r="K17" s="75" t="s">
        <v>490</v>
      </c>
    </row>
    <row r="18" spans="1:21" ht="72">
      <c r="A18" s="43" t="str">
        <v>Sussex County Fairgrounds</v>
      </c>
      <c r="B18" s="40" t="str">
        <v>NJ</v>
      </c>
      <c r="C18" s="28">
        <v>58853.64</v>
      </c>
      <c r="D18" s="29" t="s">
        <v>43</v>
      </c>
      <c r="E18" s="29" t="str">
        <f t="shared" si="4"/>
        <v/>
      </c>
      <c r="F18" s="30" t="str">
        <f t="shared" si="3"/>
        <v/>
      </c>
      <c r="G18" s="84" t="s">
        <v>43</v>
      </c>
      <c r="H18" s="31" t="str">
        <f t="shared" si="5"/>
        <v/>
      </c>
      <c r="I18" s="32" t="str">
        <f t="shared" si="6"/>
        <v/>
      </c>
      <c r="J18" s="62" t="s">
        <v>491</v>
      </c>
      <c r="K18" s="78" t="s">
        <v>492</v>
      </c>
      <c r="L18" s="76" t="s">
        <v>493</v>
      </c>
      <c r="M18" s="76" t="s">
        <v>494</v>
      </c>
    </row>
    <row r="19" spans="1:21" ht="158.44999999999999">
      <c r="A19" s="41" t="str">
        <v>Gateway Church</v>
      </c>
      <c r="B19" s="42" t="str">
        <v>NJ</v>
      </c>
      <c r="C19" s="35">
        <v>32387</v>
      </c>
      <c r="D19" s="36" t="s">
        <v>43</v>
      </c>
      <c r="E19" s="36" t="str">
        <f t="shared" si="4"/>
        <v/>
      </c>
      <c r="F19" s="37" t="str">
        <f t="shared" si="3"/>
        <v/>
      </c>
      <c r="G19" s="83" t="s">
        <v>43</v>
      </c>
      <c r="H19" s="38" t="str">
        <f t="shared" si="5"/>
        <v/>
      </c>
      <c r="I19" s="37" t="str">
        <f t="shared" si="6"/>
        <v/>
      </c>
      <c r="J19" s="60" t="s">
        <v>495</v>
      </c>
      <c r="K19" s="75" t="s">
        <v>496</v>
      </c>
      <c r="L19" s="76" t="s">
        <v>497</v>
      </c>
      <c r="M19" s="76" t="s">
        <v>498</v>
      </c>
      <c r="N19" s="76" t="s">
        <v>499</v>
      </c>
      <c r="O19" s="76" t="s">
        <v>500</v>
      </c>
      <c r="P19" s="76" t="s">
        <v>501</v>
      </c>
      <c r="Q19" s="76" t="s">
        <v>502</v>
      </c>
      <c r="R19" s="76" t="s">
        <v>503</v>
      </c>
      <c r="S19" s="76" t="s">
        <v>504</v>
      </c>
      <c r="T19" s="76" t="s">
        <v>505</v>
      </c>
      <c r="U19" s="103" t="s">
        <v>506</v>
      </c>
    </row>
    <row r="20" spans="1:21" ht="57.6">
      <c r="A20" s="43" t="str">
        <v>Beaver Falls - Felician Sisters</v>
      </c>
      <c r="B20" s="40" t="str">
        <v>PA</v>
      </c>
      <c r="C20" s="28">
        <v>50613</v>
      </c>
      <c r="D20" s="29" t="s">
        <v>43</v>
      </c>
      <c r="E20" s="29" t="str">
        <f t="shared" si="4"/>
        <v/>
      </c>
      <c r="F20" s="30" t="str">
        <f t="shared" si="3"/>
        <v/>
      </c>
      <c r="G20" s="84" t="s">
        <v>43</v>
      </c>
      <c r="H20" s="31" t="str">
        <f t="shared" si="5"/>
        <v/>
      </c>
      <c r="I20" s="32" t="str">
        <f t="shared" si="6"/>
        <v/>
      </c>
      <c r="J20" s="62" t="s">
        <v>507</v>
      </c>
      <c r="K20" s="78" t="s">
        <v>242</v>
      </c>
    </row>
    <row r="21" spans="1:21" ht="105.75" customHeight="1">
      <c r="A21" s="41" t="str">
        <v>Livonia - Felician Sisters Ground</v>
      </c>
      <c r="B21" s="42" t="str">
        <v>MI</v>
      </c>
      <c r="C21" s="35">
        <v>6402.6</v>
      </c>
      <c r="D21" s="36" t="s">
        <v>43</v>
      </c>
      <c r="E21" s="36" t="str">
        <f t="shared" si="4"/>
        <v/>
      </c>
      <c r="F21" s="37" t="str">
        <f t="shared" si="3"/>
        <v/>
      </c>
      <c r="G21" s="83" t="s">
        <v>43</v>
      </c>
      <c r="H21" s="38" t="str">
        <f t="shared" si="5"/>
        <v/>
      </c>
      <c r="I21" s="37" t="str">
        <f t="shared" si="6"/>
        <v/>
      </c>
      <c r="J21" s="60" t="s">
        <v>508</v>
      </c>
      <c r="K21" s="75" t="s">
        <v>509</v>
      </c>
      <c r="L21" s="76" t="s">
        <v>127</v>
      </c>
      <c r="M21" s="76" t="s">
        <v>80</v>
      </c>
    </row>
    <row r="22" spans="1:21" ht="15.6">
      <c r="A22" s="43" t="str">
        <v>Livonia - Felician Sisters Roof</v>
      </c>
      <c r="B22" s="40" t="str">
        <v>MI</v>
      </c>
      <c r="C22" s="28">
        <v>15821</v>
      </c>
      <c r="D22" s="29" t="s">
        <v>43</v>
      </c>
      <c r="E22" s="29" t="str">
        <f t="shared" si="4"/>
        <v/>
      </c>
      <c r="F22" s="30" t="str">
        <f t="shared" si="3"/>
        <v/>
      </c>
      <c r="G22" s="84" t="s">
        <v>43</v>
      </c>
      <c r="H22" s="31" t="str">
        <f t="shared" si="5"/>
        <v/>
      </c>
      <c r="I22" s="32" t="str">
        <f t="shared" si="6"/>
        <v/>
      </c>
      <c r="J22" s="62" t="s">
        <v>377</v>
      </c>
      <c r="K22" s="78" t="s">
        <v>510</v>
      </c>
    </row>
    <row r="23" spans="1:21" ht="15.6">
      <c r="A23" s="41" t="str">
        <v>Monmouth Worship Ctr</v>
      </c>
      <c r="B23" s="42" t="str">
        <v>NJ</v>
      </c>
      <c r="C23" s="35">
        <v>8408.5</v>
      </c>
      <c r="D23" s="36" t="s">
        <v>43</v>
      </c>
      <c r="E23" s="36" t="str">
        <f t="shared" si="4"/>
        <v/>
      </c>
      <c r="F23" s="37" t="str">
        <f t="shared" si="3"/>
        <v/>
      </c>
      <c r="G23" s="83" t="s">
        <v>43</v>
      </c>
      <c r="H23" s="38" t="str">
        <f t="shared" si="5"/>
        <v/>
      </c>
      <c r="I23" s="37" t="str">
        <f t="shared" si="6"/>
        <v/>
      </c>
      <c r="J23" s="60"/>
      <c r="K23" s="59"/>
    </row>
    <row r="24" spans="1:21" ht="15.6">
      <c r="A24" s="43" t="str">
        <v xml:space="preserve"> Audubon - Senior Citizens United</v>
      </c>
      <c r="B24" s="40" t="str">
        <v>NJ</v>
      </c>
      <c r="C24" s="28">
        <v>13045.3</v>
      </c>
      <c r="D24" s="29" t="s">
        <v>43</v>
      </c>
      <c r="E24" s="29" t="str">
        <f t="shared" si="4"/>
        <v/>
      </c>
      <c r="F24" s="30" t="str">
        <f t="shared" si="3"/>
        <v/>
      </c>
      <c r="G24" s="84" t="s">
        <v>43</v>
      </c>
      <c r="H24" s="31" t="str">
        <f t="shared" si="5"/>
        <v/>
      </c>
      <c r="I24" s="32" t="str">
        <f t="shared" si="6"/>
        <v/>
      </c>
      <c r="J24" s="62"/>
      <c r="K24" s="62"/>
    </row>
    <row r="25" spans="1:21" ht="115.15">
      <c r="A25" s="41" t="str">
        <v>Hollister - PG&amp;E (Enerparc)</v>
      </c>
      <c r="B25" s="42" t="str">
        <v>CA</v>
      </c>
      <c r="C25" s="35">
        <v>367875.141</v>
      </c>
      <c r="D25" s="36"/>
      <c r="E25" s="36" t="str">
        <f t="shared" si="4"/>
        <v/>
      </c>
      <c r="F25" s="37" t="str">
        <f t="shared" si="3"/>
        <v/>
      </c>
      <c r="G25" s="38">
        <v>384780</v>
      </c>
      <c r="H25" s="38">
        <f t="shared" si="5"/>
        <v>-16904.858999999997</v>
      </c>
      <c r="I25" s="37">
        <f t="shared" si="6"/>
        <v>-4.3933829720879454E-2</v>
      </c>
      <c r="J25" s="60" t="s">
        <v>511</v>
      </c>
      <c r="K25" s="75" t="s">
        <v>512</v>
      </c>
      <c r="L25" s="76" t="s">
        <v>251</v>
      </c>
      <c r="M25" s="76" t="s">
        <v>513</v>
      </c>
    </row>
    <row r="26" spans="1:21" ht="28.9">
      <c r="A26" s="43" t="str">
        <v>Taos County - Kit Carson Electric Co-Op</v>
      </c>
      <c r="B26" s="40" t="str">
        <v>NM</v>
      </c>
      <c r="C26" s="28">
        <v>304300</v>
      </c>
      <c r="D26" s="29">
        <v>221106.5</v>
      </c>
      <c r="E26" s="29">
        <f t="shared" si="4"/>
        <v>83193.5</v>
      </c>
      <c r="F26" s="30">
        <f t="shared" si="3"/>
        <v>0.37625985667540301</v>
      </c>
      <c r="G26" s="31">
        <v>198905.5</v>
      </c>
      <c r="H26" s="31">
        <f t="shared" si="5"/>
        <v>105394.5</v>
      </c>
      <c r="I26" s="32">
        <f t="shared" si="6"/>
        <v>0.52987222575544668</v>
      </c>
      <c r="J26" s="62" t="s">
        <v>514</v>
      </c>
      <c r="K26" s="62"/>
    </row>
    <row r="27" spans="1:21" ht="28.9">
      <c r="A27" s="41" t="str">
        <v>Commerce City - Adams City HS</v>
      </c>
      <c r="B27" s="42" t="str">
        <v>CO</v>
      </c>
      <c r="C27" s="35">
        <v>15201</v>
      </c>
      <c r="D27" s="36">
        <v>12649.09</v>
      </c>
      <c r="E27" s="36">
        <f t="shared" si="4"/>
        <v>2551.91</v>
      </c>
      <c r="F27" s="37">
        <f t="shared" si="3"/>
        <v>0.20174652880167662</v>
      </c>
      <c r="G27" s="38">
        <v>13868.77</v>
      </c>
      <c r="H27" s="38">
        <f t="shared" si="5"/>
        <v>1332.2299999999996</v>
      </c>
      <c r="I27" s="37">
        <f t="shared" si="6"/>
        <v>9.6059708250984005E-2</v>
      </c>
      <c r="J27" s="60" t="s">
        <v>515</v>
      </c>
      <c r="K27" s="59"/>
    </row>
    <row r="28" spans="1:21" ht="15.6">
      <c r="A28" s="43" t="str">
        <v>Commerce City - Adams City MS</v>
      </c>
      <c r="B28" s="40" t="str">
        <v>CO</v>
      </c>
      <c r="C28" s="28">
        <v>12467</v>
      </c>
      <c r="D28" s="29">
        <v>11493.86</v>
      </c>
      <c r="E28" s="29">
        <f t="shared" si="4"/>
        <v>973.13999999999942</v>
      </c>
      <c r="F28" s="30">
        <f t="shared" si="3"/>
        <v>8.4666073886405388E-2</v>
      </c>
      <c r="G28" s="31">
        <v>12203.7</v>
      </c>
      <c r="H28" s="31">
        <f t="shared" si="5"/>
        <v>263.29999999999927</v>
      </c>
      <c r="I28" s="32">
        <f t="shared" si="6"/>
        <v>2.1575423846866053E-2</v>
      </c>
      <c r="J28" s="62"/>
      <c r="K28" s="62"/>
    </row>
    <row r="29" spans="1:21" ht="15.6">
      <c r="A29" s="41" t="str">
        <v>Commerce City - Central ES</v>
      </c>
      <c r="B29" s="42" t="str">
        <v>CO</v>
      </c>
      <c r="C29" s="35">
        <v>3220.4</v>
      </c>
      <c r="D29" s="36">
        <v>3280.5309999999999</v>
      </c>
      <c r="E29" s="36">
        <f t="shared" si="4"/>
        <v>-60.130999999999858</v>
      </c>
      <c r="F29" s="37">
        <f t="shared" si="3"/>
        <v>-1.8329654558972269E-2</v>
      </c>
      <c r="G29" s="38">
        <v>3573.96</v>
      </c>
      <c r="H29" s="38">
        <f t="shared" si="5"/>
        <v>-353.55999999999995</v>
      </c>
      <c r="I29" s="37">
        <f t="shared" si="6"/>
        <v>-9.8926680768671144E-2</v>
      </c>
      <c r="J29" s="60"/>
      <c r="K29" s="59"/>
    </row>
    <row r="30" spans="1:21" ht="15.6">
      <c r="A30" s="43" t="str">
        <v>Commerce City - Dupont ES</v>
      </c>
      <c r="B30" s="40" t="str">
        <v>CO</v>
      </c>
      <c r="C30" s="28">
        <v>9964</v>
      </c>
      <c r="D30" s="29">
        <v>9235.5849999999991</v>
      </c>
      <c r="E30" s="29">
        <f t="shared" si="4"/>
        <v>728.41500000000087</v>
      </c>
      <c r="F30" s="30">
        <f t="shared" si="3"/>
        <v>7.8870477614574594E-2</v>
      </c>
      <c r="G30" s="31">
        <v>10198.86</v>
      </c>
      <c r="H30" s="31">
        <f t="shared" si="5"/>
        <v>-234.86000000000058</v>
      </c>
      <c r="I30" s="32">
        <f t="shared" si="6"/>
        <v>-2.3028063920869642E-2</v>
      </c>
      <c r="J30" s="62"/>
      <c r="K30" s="62"/>
    </row>
    <row r="31" spans="1:21" ht="28.9">
      <c r="A31" s="41" t="str">
        <v>Commerce City - Educational Support Services</v>
      </c>
      <c r="B31" s="42" t="str">
        <v>CO</v>
      </c>
      <c r="C31" s="35">
        <v>3105</v>
      </c>
      <c r="D31" s="36">
        <v>9666.0550000000003</v>
      </c>
      <c r="E31" s="36">
        <f t="shared" si="4"/>
        <v>-6561.0550000000003</v>
      </c>
      <c r="F31" s="37">
        <f t="shared" si="3"/>
        <v>-0.67877277751885334</v>
      </c>
      <c r="G31" s="38">
        <v>10576.4</v>
      </c>
      <c r="H31" s="38">
        <f t="shared" si="5"/>
        <v>-7471.4</v>
      </c>
      <c r="I31" s="37">
        <f t="shared" si="6"/>
        <v>-0.70642184486214588</v>
      </c>
      <c r="J31" s="60" t="s">
        <v>516</v>
      </c>
      <c r="K31" s="75" t="s">
        <v>517</v>
      </c>
    </row>
    <row r="32" spans="1:21" ht="15.6">
      <c r="A32" s="43" t="str">
        <v>Commerce City - Hanson ES</v>
      </c>
      <c r="B32" s="40" t="str">
        <v>CO</v>
      </c>
      <c r="C32" s="28">
        <v>12960</v>
      </c>
      <c r="D32" s="29">
        <v>12604.85</v>
      </c>
      <c r="E32" s="29">
        <f t="shared" si="4"/>
        <v>355.14999999999964</v>
      </c>
      <c r="F32" s="30">
        <f t="shared" si="3"/>
        <v>2.8175662542592704E-2</v>
      </c>
      <c r="G32" s="31">
        <v>13821.1</v>
      </c>
      <c r="H32" s="31">
        <f t="shared" si="5"/>
        <v>-861.10000000000036</v>
      </c>
      <c r="I32" s="32">
        <f t="shared" si="6"/>
        <v>-6.2303289897330916E-2</v>
      </c>
      <c r="J32" s="62"/>
      <c r="K32" s="62"/>
    </row>
    <row r="33" spans="1:14" ht="39.6">
      <c r="A33" s="41" t="str">
        <v>Commerce City - Kemp ES</v>
      </c>
      <c r="B33" s="42" t="str">
        <v>CO</v>
      </c>
      <c r="C33" s="35">
        <v>11902</v>
      </c>
      <c r="D33" s="36">
        <v>12598.39</v>
      </c>
      <c r="E33" s="36">
        <f t="shared" si="4"/>
        <v>-696.38999999999942</v>
      </c>
      <c r="F33" s="37">
        <f t="shared" si="3"/>
        <v>-5.527611067763416E-2</v>
      </c>
      <c r="G33" s="38">
        <v>13814.27</v>
      </c>
      <c r="H33" s="38">
        <f t="shared" si="5"/>
        <v>-1912.2700000000004</v>
      </c>
      <c r="I33" s="37">
        <f t="shared" si="6"/>
        <v>-0.13842714815911375</v>
      </c>
      <c r="J33" s="60" t="s">
        <v>386</v>
      </c>
      <c r="K33" s="75" t="s">
        <v>387</v>
      </c>
      <c r="L33" s="76" t="s">
        <v>388</v>
      </c>
    </row>
    <row r="34" spans="1:14" ht="28.9">
      <c r="A34" s="43" t="str">
        <v>Commerce City -  Lester Arnold HS</v>
      </c>
      <c r="B34" s="40" t="str">
        <v>CO</v>
      </c>
      <c r="C34" s="28">
        <v>13777</v>
      </c>
      <c r="D34" s="29">
        <v>12179.06</v>
      </c>
      <c r="E34" s="29">
        <f t="shared" si="4"/>
        <v>1597.9400000000005</v>
      </c>
      <c r="F34" s="30">
        <f t="shared" si="3"/>
        <v>0.13120388601419161</v>
      </c>
      <c r="G34" s="31">
        <v>13419.1</v>
      </c>
      <c r="H34" s="31">
        <f t="shared" si="5"/>
        <v>357.89999999999964</v>
      </c>
      <c r="I34" s="32">
        <f t="shared" si="6"/>
        <v>2.6670939183700816E-2</v>
      </c>
      <c r="J34" s="62" t="s">
        <v>518</v>
      </c>
      <c r="K34" s="62"/>
    </row>
    <row r="35" spans="1:14" ht="15.6">
      <c r="A35" s="41" t="str">
        <v>Commerce City - Monaco ES</v>
      </c>
      <c r="B35" s="42" t="str">
        <v>CO</v>
      </c>
      <c r="C35" s="35">
        <v>13486</v>
      </c>
      <c r="D35" s="36">
        <v>12605.18</v>
      </c>
      <c r="E35" s="36">
        <f t="shared" si="4"/>
        <v>880.81999999999971</v>
      </c>
      <c r="F35" s="37">
        <f t="shared" si="3"/>
        <v>6.9877621739633994E-2</v>
      </c>
      <c r="G35" s="38">
        <v>13821.1</v>
      </c>
      <c r="H35" s="38">
        <f t="shared" si="5"/>
        <v>-335.10000000000036</v>
      </c>
      <c r="I35" s="37">
        <f t="shared" si="6"/>
        <v>-2.42455376200158E-2</v>
      </c>
      <c r="J35" s="60"/>
      <c r="K35" s="59"/>
    </row>
    <row r="36" spans="1:14" ht="28.9">
      <c r="A36" s="43" t="str">
        <v>Denver - Northgate / Old Fort Logan ES</v>
      </c>
      <c r="B36" s="40" t="str">
        <v>CO</v>
      </c>
      <c r="C36" s="28">
        <v>12123.9999999998</v>
      </c>
      <c r="D36" s="29">
        <v>10953.74</v>
      </c>
      <c r="E36" s="29">
        <f t="shared" si="4"/>
        <v>1170.2599999998001</v>
      </c>
      <c r="F36" s="30">
        <f t="shared" si="3"/>
        <v>0.10683656906223812</v>
      </c>
      <c r="G36" s="31">
        <v>12477.808000000001</v>
      </c>
      <c r="H36" s="31">
        <f t="shared" si="5"/>
        <v>-353.80800000020099</v>
      </c>
      <c r="I36" s="32">
        <f t="shared" si="6"/>
        <v>-2.8354980297837645E-2</v>
      </c>
      <c r="J36" s="62" t="s">
        <v>519</v>
      </c>
      <c r="K36" s="62"/>
    </row>
    <row r="37" spans="1:14" ht="15.6">
      <c r="A37" s="41" t="str">
        <v>Denver - Sheridan High School</v>
      </c>
      <c r="B37" s="42" t="str">
        <v>CO</v>
      </c>
      <c r="C37" s="35">
        <v>14044</v>
      </c>
      <c r="D37" s="36">
        <v>12641.54</v>
      </c>
      <c r="E37" s="36">
        <f t="shared" si="4"/>
        <v>1402.4599999999991</v>
      </c>
      <c r="F37" s="37">
        <f t="shared" si="3"/>
        <v>0.11094059742721211</v>
      </c>
      <c r="G37" s="38">
        <v>13667.96</v>
      </c>
      <c r="H37" s="38">
        <f t="shared" si="5"/>
        <v>376.04000000000087</v>
      </c>
      <c r="I37" s="37">
        <f t="shared" si="6"/>
        <v>2.7512518327533948E-2</v>
      </c>
      <c r="J37" s="60"/>
      <c r="K37" s="59"/>
    </row>
    <row r="38" spans="1:14" ht="15.6">
      <c r="A38" s="43" t="str">
        <v>Englewood -  Alice Terry Elementary</v>
      </c>
      <c r="B38" s="40" t="str">
        <v>CO</v>
      </c>
      <c r="C38" s="28">
        <v>13429</v>
      </c>
      <c r="D38" s="29">
        <v>12641.91</v>
      </c>
      <c r="E38" s="29">
        <f t="shared" si="4"/>
        <v>787.09000000000015</v>
      </c>
      <c r="F38" s="30">
        <f t="shared" si="3"/>
        <v>6.2260370466171659E-2</v>
      </c>
      <c r="G38" s="31">
        <v>13715.81</v>
      </c>
      <c r="H38" s="31">
        <f t="shared" si="5"/>
        <v>-286.80999999999949</v>
      </c>
      <c r="I38" s="32">
        <f t="shared" si="6"/>
        <v>-2.0910905006703905E-2</v>
      </c>
      <c r="J38" s="62"/>
      <c r="K38" s="62"/>
    </row>
    <row r="39" spans="1:14" ht="26.45">
      <c r="A39" s="41" t="str">
        <v>Englewood - Sheridan Middle School</v>
      </c>
      <c r="B39" s="42" t="str">
        <v>CO</v>
      </c>
      <c r="C39" s="35">
        <v>6738</v>
      </c>
      <c r="D39" s="36">
        <v>7376.9250000000002</v>
      </c>
      <c r="E39" s="36">
        <f t="shared" si="4"/>
        <v>-638.92500000000018</v>
      </c>
      <c r="F39" s="37">
        <f t="shared" si="3"/>
        <v>-8.6611291290070072E-2</v>
      </c>
      <c r="G39" s="38">
        <v>8024.991</v>
      </c>
      <c r="H39" s="38">
        <f t="shared" si="5"/>
        <v>-1286.991</v>
      </c>
      <c r="I39" s="37">
        <f t="shared" si="6"/>
        <v>-0.16037289013782072</v>
      </c>
      <c r="J39" s="60" t="s">
        <v>520</v>
      </c>
      <c r="K39" s="75" t="s">
        <v>521</v>
      </c>
      <c r="L39" s="76" t="s">
        <v>522</v>
      </c>
    </row>
    <row r="40" spans="1:14" ht="43.15">
      <c r="A40" s="43" t="str">
        <v>Goshen - NIPSCO</v>
      </c>
      <c r="B40" s="40" t="str">
        <v>IN</v>
      </c>
      <c r="C40" s="28">
        <v>60213</v>
      </c>
      <c r="D40" s="29">
        <v>56833.8</v>
      </c>
      <c r="E40" s="29">
        <f t="shared" si="4"/>
        <v>3379.1999999999971</v>
      </c>
      <c r="F40" s="30">
        <f t="shared" si="3"/>
        <v>5.9457576301426208E-2</v>
      </c>
      <c r="G40" s="31">
        <v>66122.14</v>
      </c>
      <c r="H40" s="31">
        <f t="shared" si="5"/>
        <v>-5909.1399999999994</v>
      </c>
      <c r="I40" s="32">
        <f t="shared" si="6"/>
        <v>-8.93670410546301E-2</v>
      </c>
      <c r="J40" s="62" t="s">
        <v>390</v>
      </c>
      <c r="K40" s="78" t="s">
        <v>190</v>
      </c>
    </row>
    <row r="41" spans="1:14" ht="72">
      <c r="A41" s="41" t="str">
        <v>Alamogordo - City of Alamogordo - Effluent</v>
      </c>
      <c r="B41" s="42" t="str">
        <v>NM</v>
      </c>
      <c r="C41" s="35">
        <v>23398</v>
      </c>
      <c r="D41" s="36">
        <v>29703.08</v>
      </c>
      <c r="E41" s="36">
        <f t="shared" si="4"/>
        <v>-6305.0800000000017</v>
      </c>
      <c r="F41" s="37">
        <f t="shared" si="3"/>
        <v>-0.21227024268190375</v>
      </c>
      <c r="G41" s="38">
        <v>29884.94</v>
      </c>
      <c r="H41" s="38">
        <f t="shared" si="5"/>
        <v>-6486.9399999999987</v>
      </c>
      <c r="I41" s="37">
        <f t="shared" si="6"/>
        <v>-0.21706384553557742</v>
      </c>
      <c r="J41" s="60" t="s">
        <v>523</v>
      </c>
      <c r="K41" s="75" t="s">
        <v>524</v>
      </c>
      <c r="L41" s="76" t="s">
        <v>525</v>
      </c>
    </row>
    <row r="42" spans="1:14" ht="43.15">
      <c r="A42" s="43" t="str">
        <v>Alamogordo - City of Alamogordo - WWTP</v>
      </c>
      <c r="B42" s="40" t="str">
        <v>NM</v>
      </c>
      <c r="C42" s="28">
        <v>83060</v>
      </c>
      <c r="D42" s="29">
        <v>3.2646210000000001E-3</v>
      </c>
      <c r="E42" s="29">
        <f t="shared" si="4"/>
        <v>83059.996735378998</v>
      </c>
      <c r="F42" s="30">
        <f t="shared" si="3"/>
        <v>25442462.305847753</v>
      </c>
      <c r="G42" s="31">
        <v>126736.9</v>
      </c>
      <c r="H42" s="31">
        <f t="shared" si="5"/>
        <v>-43676.899999999994</v>
      </c>
      <c r="I42" s="32">
        <f t="shared" si="6"/>
        <v>-0.34462654522873759</v>
      </c>
      <c r="J42" s="62" t="s">
        <v>526</v>
      </c>
      <c r="K42" s="78" t="s">
        <v>272</v>
      </c>
      <c r="L42" s="76" t="s">
        <v>273</v>
      </c>
      <c r="M42" s="76" t="s">
        <v>274</v>
      </c>
    </row>
    <row r="43" spans="1:14" ht="28.9">
      <c r="A43" s="41" t="str">
        <v>Deming - Bilbo Booster</v>
      </c>
      <c r="B43" s="42" t="str">
        <v>NM</v>
      </c>
      <c r="C43" s="35">
        <v>12726</v>
      </c>
      <c r="D43" s="36">
        <v>0</v>
      </c>
      <c r="E43" s="36">
        <f t="shared" si="4"/>
        <v>12726</v>
      </c>
      <c r="F43" s="37" t="str">
        <f t="shared" si="3"/>
        <v/>
      </c>
      <c r="G43" s="38">
        <v>11978.8</v>
      </c>
      <c r="H43" s="38">
        <f t="shared" si="5"/>
        <v>747.20000000000073</v>
      </c>
      <c r="I43" s="37">
        <f t="shared" si="6"/>
        <v>6.2376865796240091E-2</v>
      </c>
      <c r="J43" s="60" t="s">
        <v>527</v>
      </c>
      <c r="K43" s="75" t="s">
        <v>528</v>
      </c>
    </row>
    <row r="44" spans="1:14" ht="28.9">
      <c r="A44" s="43" t="str">
        <v>Deming - Bilbo Well</v>
      </c>
      <c r="B44" s="40" t="str">
        <v>NM</v>
      </c>
      <c r="C44" s="28">
        <v>22901</v>
      </c>
      <c r="D44" s="29">
        <v>0</v>
      </c>
      <c r="E44" s="29">
        <f t="shared" si="4"/>
        <v>22901</v>
      </c>
      <c r="F44" s="30" t="str">
        <f t="shared" si="3"/>
        <v/>
      </c>
      <c r="G44" s="31">
        <v>21655</v>
      </c>
      <c r="H44" s="31">
        <f t="shared" si="5"/>
        <v>1246</v>
      </c>
      <c r="I44" s="32">
        <f t="shared" si="6"/>
        <v>5.7538674670976682E-2</v>
      </c>
      <c r="J44" s="62" t="s">
        <v>277</v>
      </c>
      <c r="K44" s="78" t="s">
        <v>278</v>
      </c>
    </row>
    <row r="45" spans="1:14" ht="28.9">
      <c r="A45" s="41" t="str">
        <v>Deming - WWTP</v>
      </c>
      <c r="B45" s="42" t="str">
        <v>NM</v>
      </c>
      <c r="C45" s="35">
        <v>81630</v>
      </c>
      <c r="D45" s="36">
        <v>74950.460000000006</v>
      </c>
      <c r="E45" s="36">
        <f t="shared" si="4"/>
        <v>6679.5399999999936</v>
      </c>
      <c r="F45" s="37">
        <f t="shared" si="3"/>
        <v>8.9119399667460256E-2</v>
      </c>
      <c r="G45" s="38">
        <v>90067.199999999997</v>
      </c>
      <c r="H45" s="38">
        <f t="shared" si="5"/>
        <v>-8437.1999999999971</v>
      </c>
      <c r="I45" s="37">
        <f t="shared" si="6"/>
        <v>-9.3676721381368552E-2</v>
      </c>
      <c r="J45" s="60" t="s">
        <v>397</v>
      </c>
      <c r="K45" s="75" t="s">
        <v>398</v>
      </c>
      <c r="L45" s="76" t="s">
        <v>399</v>
      </c>
    </row>
    <row r="46" spans="1:14" ht="72">
      <c r="A46" s="43" t="str">
        <v>Truth or Consequences - Walmart</v>
      </c>
      <c r="B46" s="40" t="str">
        <v>NM</v>
      </c>
      <c r="C46" s="28">
        <v>171100</v>
      </c>
      <c r="D46" s="29">
        <v>346115.8</v>
      </c>
      <c r="E46" s="29">
        <f t="shared" si="4"/>
        <v>-175015.8</v>
      </c>
      <c r="F46" s="30">
        <f t="shared" si="3"/>
        <v>-0.50565677729823366</v>
      </c>
      <c r="G46" s="31">
        <v>186308.6</v>
      </c>
      <c r="H46" s="31">
        <f t="shared" si="5"/>
        <v>-15208.600000000006</v>
      </c>
      <c r="I46" s="32">
        <f t="shared" si="6"/>
        <v>-8.1631229046860987E-2</v>
      </c>
      <c r="J46" s="62" t="s">
        <v>529</v>
      </c>
      <c r="K46" s="78" t="s">
        <v>530</v>
      </c>
      <c r="L46" s="76" t="s">
        <v>531</v>
      </c>
      <c r="M46" s="76" t="s">
        <v>532</v>
      </c>
      <c r="N46" s="76" t="s">
        <v>533</v>
      </c>
    </row>
    <row r="47" spans="1:14" ht="43.15">
      <c r="A47" s="41" t="str">
        <v>CA: Stockton - SUSD - Merlo</v>
      </c>
      <c r="B47" s="42" t="str">
        <v>CA</v>
      </c>
      <c r="C47" s="35">
        <v>1930.375</v>
      </c>
      <c r="D47" s="36">
        <v>16698.5</v>
      </c>
      <c r="E47" s="36">
        <f t="shared" si="4"/>
        <v>-14768.125</v>
      </c>
      <c r="F47" s="37">
        <f t="shared" si="3"/>
        <v>-0.88439829924843549</v>
      </c>
      <c r="G47" s="38">
        <v>17660.580000000002</v>
      </c>
      <c r="H47" s="38">
        <f t="shared" si="5"/>
        <v>-15730.205000000002</v>
      </c>
      <c r="I47" s="37">
        <f t="shared" si="6"/>
        <v>-0.89069583218671189</v>
      </c>
      <c r="J47" s="60" t="s">
        <v>534</v>
      </c>
      <c r="K47" s="75" t="s">
        <v>535</v>
      </c>
      <c r="L47" s="76" t="s">
        <v>536</v>
      </c>
    </row>
    <row r="48" spans="1:14" ht="86.45">
      <c r="A48" s="43" t="str">
        <v>Stockton Unified School Dist. - Bush Elementary</v>
      </c>
      <c r="B48" s="40" t="str">
        <v>CA</v>
      </c>
      <c r="C48" s="28">
        <v>24841.25</v>
      </c>
      <c r="D48" s="29">
        <v>34993.839999999997</v>
      </c>
      <c r="E48" s="29">
        <f t="shared" si="4"/>
        <v>-10152.589999999997</v>
      </c>
      <c r="F48" s="30">
        <f t="shared" si="3"/>
        <v>-0.29012506201091387</v>
      </c>
      <c r="G48" s="31">
        <v>38220.69</v>
      </c>
      <c r="H48" s="31">
        <f t="shared" si="5"/>
        <v>-13379.440000000002</v>
      </c>
      <c r="I48" s="32">
        <f t="shared" si="6"/>
        <v>-0.35005752120121331</v>
      </c>
      <c r="J48" s="62" t="s">
        <v>537</v>
      </c>
      <c r="K48" s="78" t="s">
        <v>538</v>
      </c>
      <c r="L48" s="76" t="s">
        <v>288</v>
      </c>
    </row>
    <row r="49" spans="1:14" ht="43.15">
      <c r="A49" s="41" t="str">
        <v>CA: Stockton - SUSD - Marshall JHS</v>
      </c>
      <c r="B49" s="42" t="str">
        <v>CA</v>
      </c>
      <c r="C49" s="35">
        <v>7190.375</v>
      </c>
      <c r="D49" s="36">
        <v>23249.65</v>
      </c>
      <c r="E49" s="36">
        <f t="shared" si="4"/>
        <v>-16059.275000000001</v>
      </c>
      <c r="F49" s="37">
        <f t="shared" si="3"/>
        <v>-0.69073190349102032</v>
      </c>
      <c r="G49" s="38">
        <v>25053.7</v>
      </c>
      <c r="H49" s="38">
        <f t="shared" si="5"/>
        <v>-17863.325000000001</v>
      </c>
      <c r="I49" s="37">
        <f t="shared" si="6"/>
        <v>-0.71300147283634752</v>
      </c>
      <c r="J49" s="60" t="s">
        <v>289</v>
      </c>
      <c r="K49" s="75" t="s">
        <v>539</v>
      </c>
    </row>
    <row r="50" spans="1:14" ht="28.9">
      <c r="A50" s="43" t="str">
        <v>CA: Stockton - SUSD - Hong-Kingston ES</v>
      </c>
      <c r="B50" s="40" t="str">
        <v>CA</v>
      </c>
      <c r="C50" s="28">
        <v>5469</v>
      </c>
      <c r="D50" s="29">
        <v>39358.15</v>
      </c>
      <c r="E50" s="29">
        <f t="shared" si="4"/>
        <v>-33889.15</v>
      </c>
      <c r="F50" s="30">
        <f t="shared" si="3"/>
        <v>-0.86104529811487585</v>
      </c>
      <c r="G50" s="31">
        <v>40675.83</v>
      </c>
      <c r="H50" s="31">
        <f t="shared" si="5"/>
        <v>-35206.83</v>
      </c>
      <c r="I50" s="32">
        <f t="shared" si="6"/>
        <v>-0.86554668952053349</v>
      </c>
      <c r="J50" s="62" t="s">
        <v>291</v>
      </c>
      <c r="K50" s="78" t="s">
        <v>540</v>
      </c>
    </row>
    <row r="51" spans="1:14" ht="15.6">
      <c r="A51" s="41" t="str">
        <v>CA: Stockton - SUSD - Hamilton ES</v>
      </c>
      <c r="B51" s="42" t="str">
        <v>CA</v>
      </c>
      <c r="C51" s="35">
        <v>5902.5</v>
      </c>
      <c r="D51" s="36">
        <v>20146.32</v>
      </c>
      <c r="E51" s="36">
        <f t="shared" si="4"/>
        <v>-14243.82</v>
      </c>
      <c r="F51" s="37">
        <f t="shared" si="3"/>
        <v>-0.70701845299786759</v>
      </c>
      <c r="G51" s="38">
        <v>21701.919999999998</v>
      </c>
      <c r="H51" s="38">
        <f t="shared" si="5"/>
        <v>-15799.419999999998</v>
      </c>
      <c r="I51" s="37">
        <f t="shared" si="6"/>
        <v>-0.72801945634303322</v>
      </c>
      <c r="J51" s="60" t="s">
        <v>541</v>
      </c>
      <c r="K51" s="75" t="s">
        <v>542</v>
      </c>
    </row>
    <row r="52" spans="1:14" ht="100.9">
      <c r="A52" s="43" t="str">
        <v>CA: Stockton - SUSD - Franklin - North</v>
      </c>
      <c r="B52" s="40" t="str">
        <v>CA</v>
      </c>
      <c r="C52" s="28">
        <v>23597.75</v>
      </c>
      <c r="D52" s="29">
        <v>101441.3</v>
      </c>
      <c r="E52" s="29">
        <f t="shared" si="4"/>
        <v>-77843.55</v>
      </c>
      <c r="F52" s="30">
        <f t="shared" si="3"/>
        <v>-0.76737531951976168</v>
      </c>
      <c r="G52" s="31">
        <v>57399.27</v>
      </c>
      <c r="H52" s="31">
        <f t="shared" si="5"/>
        <v>-33801.519999999997</v>
      </c>
      <c r="I52" s="32">
        <f t="shared" si="6"/>
        <v>-0.58888414434538972</v>
      </c>
      <c r="J52" s="62" t="s">
        <v>543</v>
      </c>
      <c r="K52" s="78" t="s">
        <v>544</v>
      </c>
      <c r="L52" s="76" t="s">
        <v>298</v>
      </c>
      <c r="M52" s="76" t="s">
        <v>317</v>
      </c>
      <c r="N52" s="76" t="s">
        <v>545</v>
      </c>
    </row>
    <row r="53" spans="1:14" ht="15.6">
      <c r="A53" s="41" t="str">
        <v>Stockton Unified School Dist. - Fillmore Elementary</v>
      </c>
      <c r="B53" s="42" t="str">
        <v>CA</v>
      </c>
      <c r="C53" s="35">
        <v>4248</v>
      </c>
      <c r="D53" s="36">
        <v>16447.349999999999</v>
      </c>
      <c r="E53" s="36">
        <f t="shared" si="4"/>
        <v>-12199.349999999999</v>
      </c>
      <c r="F53" s="37">
        <f t="shared" si="3"/>
        <v>-0.74172131072786796</v>
      </c>
      <c r="G53" s="38">
        <v>17629.73</v>
      </c>
      <c r="H53" s="38">
        <f t="shared" si="5"/>
        <v>-13381.73</v>
      </c>
      <c r="I53" s="37">
        <f t="shared" si="6"/>
        <v>-0.75904338863953102</v>
      </c>
      <c r="J53" s="60" t="s">
        <v>410</v>
      </c>
      <c r="K53" s="75" t="s">
        <v>546</v>
      </c>
    </row>
    <row r="54" spans="1:14" ht="28.9">
      <c r="A54" s="43" t="str">
        <v>CA: Stockton - SUSD - El Dorado ES</v>
      </c>
      <c r="B54" s="40" t="str">
        <v>CA</v>
      </c>
      <c r="C54" s="28">
        <v>5071.5</v>
      </c>
      <c r="D54" s="29">
        <v>21454.560000000001</v>
      </c>
      <c r="E54" s="29">
        <f t="shared" si="4"/>
        <v>-16383.060000000001</v>
      </c>
      <c r="F54" s="30">
        <f t="shared" si="3"/>
        <v>-0.76361668568360297</v>
      </c>
      <c r="G54" s="31">
        <v>0</v>
      </c>
      <c r="H54" s="31">
        <f t="shared" si="5"/>
        <v>5071.5</v>
      </c>
      <c r="I54" s="32" t="str">
        <f t="shared" si="6"/>
        <v/>
      </c>
      <c r="J54" s="62" t="s">
        <v>411</v>
      </c>
      <c r="K54" s="78" t="s">
        <v>547</v>
      </c>
    </row>
    <row r="55" spans="1:14" ht="15.6">
      <c r="A55" s="41" t="str">
        <v>CA: Stockton - SUSD - Edison HS</v>
      </c>
      <c r="B55" s="42" t="str">
        <v>CA</v>
      </c>
      <c r="C55" s="35">
        <v>37711.5</v>
      </c>
      <c r="D55" s="36">
        <v>55052.82</v>
      </c>
      <c r="E55" s="36">
        <f t="shared" si="4"/>
        <v>-17341.32</v>
      </c>
      <c r="F55" s="37">
        <f t="shared" si="3"/>
        <v>-0.31499421827982654</v>
      </c>
      <c r="G55" s="38">
        <v>59700.480000000003</v>
      </c>
      <c r="H55" s="38">
        <f t="shared" si="5"/>
        <v>-21988.980000000003</v>
      </c>
      <c r="I55" s="37">
        <f t="shared" si="6"/>
        <v>-0.36832166173538305</v>
      </c>
      <c r="J55" s="60" t="s">
        <v>548</v>
      </c>
      <c r="K55" s="75" t="s">
        <v>549</v>
      </c>
    </row>
    <row r="56" spans="1:14" ht="86.45">
      <c r="A56" s="43" t="str">
        <v>CA: Stockton - SUSD - Chavez HS - Large</v>
      </c>
      <c r="B56" s="40" t="str">
        <v>CA</v>
      </c>
      <c r="C56" s="28">
        <v>33494</v>
      </c>
      <c r="D56" s="29">
        <v>125616</v>
      </c>
      <c r="E56" s="29">
        <f t="shared" si="4"/>
        <v>-92122</v>
      </c>
      <c r="F56" s="30">
        <f t="shared" si="3"/>
        <v>-0.73336199210291686</v>
      </c>
      <c r="G56" s="31">
        <v>124394.1</v>
      </c>
      <c r="H56" s="31">
        <f t="shared" si="5"/>
        <v>-90900.1</v>
      </c>
      <c r="I56" s="32">
        <f t="shared" si="6"/>
        <v>-0.73074285677536155</v>
      </c>
      <c r="J56" s="62" t="s">
        <v>550</v>
      </c>
      <c r="K56" s="78" t="s">
        <v>551</v>
      </c>
      <c r="L56" s="76" t="s">
        <v>308</v>
      </c>
    </row>
    <row r="57" spans="1:14" ht="57.6">
      <c r="A57" s="41" t="str">
        <v>CA: San Jose - GE Mobile Water</v>
      </c>
      <c r="B57" s="42" t="str">
        <v>CA</v>
      </c>
      <c r="C57" s="35">
        <v>26770</v>
      </c>
      <c r="D57" s="36">
        <v>31066.95</v>
      </c>
      <c r="E57" s="36">
        <f t="shared" si="4"/>
        <v>-4296.9500000000007</v>
      </c>
      <c r="F57" s="37">
        <f t="shared" si="3"/>
        <v>-0.13831257976724462</v>
      </c>
      <c r="G57" s="38">
        <v>31803.599999999999</v>
      </c>
      <c r="H57" s="38">
        <f t="shared" si="5"/>
        <v>-5033.5999999999985</v>
      </c>
      <c r="I57" s="37">
        <f t="shared" si="6"/>
        <v>-0.15827139066017679</v>
      </c>
      <c r="J57" s="60" t="s">
        <v>552</v>
      </c>
      <c r="K57" s="75" t="s">
        <v>553</v>
      </c>
      <c r="L57" s="76" t="s">
        <v>554</v>
      </c>
    </row>
    <row r="58" spans="1:14" ht="15.6">
      <c r="A58" s="43" t="str">
        <v>CA: San Marcos - Vallecitos Water - Lift Station</v>
      </c>
      <c r="B58" s="40" t="str">
        <v>CA</v>
      </c>
      <c r="C58" s="28">
        <v>38633.625</v>
      </c>
      <c r="D58" s="29">
        <v>40409.49</v>
      </c>
      <c r="E58" s="29">
        <f t="shared" si="4"/>
        <v>-1775.864999999998</v>
      </c>
      <c r="F58" s="30">
        <f t="shared" si="3"/>
        <v>-4.3946731324745698E-2</v>
      </c>
      <c r="G58" s="31">
        <v>39827.83</v>
      </c>
      <c r="H58" s="31">
        <f t="shared" si="5"/>
        <v>-1194.2050000000017</v>
      </c>
      <c r="I58" s="32">
        <f t="shared" si="6"/>
        <v>-2.9984184425814856E-2</v>
      </c>
      <c r="J58" s="62"/>
      <c r="K58" s="62"/>
    </row>
    <row r="59" spans="1:14" ht="15.6">
      <c r="A59" s="41" t="str">
        <v>CA: San Marcos - Vallecitos Water - Twin Oaks Reservoir</v>
      </c>
      <c r="B59" s="42" t="str">
        <v>CA</v>
      </c>
      <c r="C59" s="35">
        <v>298630</v>
      </c>
      <c r="D59" s="36">
        <v>333287.59999999998</v>
      </c>
      <c r="E59" s="36">
        <f t="shared" si="4"/>
        <v>-34657.599999999977</v>
      </c>
      <c r="F59" s="37">
        <f t="shared" si="3"/>
        <v>-0.10398706702559585</v>
      </c>
      <c r="G59" s="38">
        <v>258228</v>
      </c>
      <c r="H59" s="38">
        <f t="shared" si="5"/>
        <v>40402</v>
      </c>
      <c r="I59" s="37">
        <f t="shared" si="6"/>
        <v>0.15645863345570582</v>
      </c>
      <c r="J59" s="60" t="s">
        <v>555</v>
      </c>
      <c r="K59" s="75" t="s">
        <v>556</v>
      </c>
    </row>
    <row r="60" spans="1:14" ht="28.9">
      <c r="A60" s="43" t="str">
        <v>CA: Stockton - SUSD - Wilhelmina Henry ES</v>
      </c>
      <c r="B60" s="40" t="str">
        <v>CA</v>
      </c>
      <c r="C60" s="28">
        <v>7622.25</v>
      </c>
      <c r="D60" s="29">
        <v>48297.74</v>
      </c>
      <c r="E60" s="29">
        <f t="shared" si="4"/>
        <v>-40675.49</v>
      </c>
      <c r="F60" s="30">
        <f t="shared" si="3"/>
        <v>-0.84218205655171441</v>
      </c>
      <c r="G60" s="31">
        <v>40062.410000000003</v>
      </c>
      <c r="H60" s="31">
        <f t="shared" si="5"/>
        <v>-32440.160000000003</v>
      </c>
      <c r="I60" s="32">
        <f t="shared" si="6"/>
        <v>-0.80974060222537791</v>
      </c>
      <c r="J60" s="62" t="s">
        <v>421</v>
      </c>
      <c r="K60" s="78" t="s">
        <v>557</v>
      </c>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72">
      <c r="A62" s="43" t="str">
        <v>CA: Stockton - SUSD - Franklin - South</v>
      </c>
      <c r="B62" s="40" t="str">
        <v>CA</v>
      </c>
      <c r="C62" s="28">
        <v>33051</v>
      </c>
      <c r="D62" s="29">
        <v>93204.15</v>
      </c>
      <c r="E62" s="29">
        <f t="shared" si="4"/>
        <v>-60153.149999999994</v>
      </c>
      <c r="F62" s="30">
        <f t="shared" si="3"/>
        <v>-0.64539132645917585</v>
      </c>
      <c r="G62" s="31">
        <v>93184.13</v>
      </c>
      <c r="H62" s="31">
        <f t="shared" si="5"/>
        <v>-60133.130000000005</v>
      </c>
      <c r="I62" s="32">
        <f t="shared" si="6"/>
        <v>-0.64531514110825527</v>
      </c>
      <c r="J62" s="62" t="s">
        <v>558</v>
      </c>
      <c r="K62" s="78" t="s">
        <v>559</v>
      </c>
      <c r="L62" s="76" t="s">
        <v>424</v>
      </c>
      <c r="M62" s="76" t="s">
        <v>320</v>
      </c>
    </row>
    <row r="63" spans="1:14" ht="28.9">
      <c r="A63" s="41" t="str">
        <v>CA: Stockton - SUSD - Chavez HS - Small</v>
      </c>
      <c r="B63" s="42" t="str">
        <v>CA</v>
      </c>
      <c r="C63" s="35">
        <v>21585.25</v>
      </c>
      <c r="D63" s="36">
        <v>23827.7</v>
      </c>
      <c r="E63" s="36">
        <f t="shared" si="4"/>
        <v>-2242.4500000000007</v>
      </c>
      <c r="F63" s="37">
        <f t="shared" si="3"/>
        <v>-9.4111055620139619E-2</v>
      </c>
      <c r="G63" s="38">
        <v>35082.370000000003</v>
      </c>
      <c r="H63" s="38">
        <f t="shared" si="5"/>
        <v>-13497.120000000003</v>
      </c>
      <c r="I63" s="37">
        <f t="shared" si="6"/>
        <v>-0.38472657348976141</v>
      </c>
      <c r="J63" s="60" t="s">
        <v>425</v>
      </c>
      <c r="K63" s="75" t="s">
        <v>560</v>
      </c>
    </row>
    <row r="64" spans="1:14" ht="43.15">
      <c r="A64" s="43" t="str">
        <v>CA: Stockton - SUSD - Facilities</v>
      </c>
      <c r="B64" s="40" t="str">
        <v>CA</v>
      </c>
      <c r="C64" s="28">
        <v>18136</v>
      </c>
      <c r="D64" s="29">
        <v>53149.77</v>
      </c>
      <c r="E64" s="29">
        <f t="shared" si="4"/>
        <v>-35013.769999999997</v>
      </c>
      <c r="F64" s="30">
        <f t="shared" si="3"/>
        <v>-0.65877556948976446</v>
      </c>
      <c r="G64" s="31">
        <v>60065.86</v>
      </c>
      <c r="H64" s="31">
        <f t="shared" si="5"/>
        <v>-41929.86</v>
      </c>
      <c r="I64" s="32">
        <f t="shared" si="6"/>
        <v>-0.69806475758442488</v>
      </c>
      <c r="J64" s="62" t="s">
        <v>561</v>
      </c>
      <c r="K64" s="78" t="s">
        <v>562</v>
      </c>
    </row>
    <row r="65" spans="1:17" ht="28.9">
      <c r="A65" s="41" t="str">
        <v>CA: Stockton - SUSD - Harrison</v>
      </c>
      <c r="B65" s="42" t="str">
        <v>CA</v>
      </c>
      <c r="C65" s="35">
        <v>13665.125</v>
      </c>
      <c r="D65" s="36">
        <v>20970.91</v>
      </c>
      <c r="E65" s="36">
        <f t="shared" si="4"/>
        <v>-7305.7849999999999</v>
      </c>
      <c r="F65" s="37">
        <f t="shared" si="3"/>
        <v>-0.34837710905249225</v>
      </c>
      <c r="G65" s="38">
        <v>21458.99</v>
      </c>
      <c r="H65" s="38">
        <f t="shared" si="5"/>
        <v>-7793.8650000000016</v>
      </c>
      <c r="I65" s="37">
        <f t="shared" si="6"/>
        <v>-0.36319812815048619</v>
      </c>
      <c r="J65" s="60" t="s">
        <v>563</v>
      </c>
      <c r="K65" s="75" t="s">
        <v>564</v>
      </c>
    </row>
    <row r="66" spans="1:17" ht="15.6">
      <c r="A66" s="43" t="str">
        <v>CA: Stockton - SUSD - Commodore Skills School</v>
      </c>
      <c r="B66" s="40" t="str">
        <v>CA</v>
      </c>
      <c r="C66" s="28">
        <v>6365.5</v>
      </c>
      <c r="D66" s="29">
        <v>42040.41</v>
      </c>
      <c r="E66" s="29">
        <f t="shared" si="4"/>
        <v>-35674.910000000003</v>
      </c>
      <c r="F66" s="30">
        <f t="shared" si="3"/>
        <v>-0.84858615793708958</v>
      </c>
      <c r="G66" s="31">
        <v>46751.18</v>
      </c>
      <c r="H66" s="31">
        <f t="shared" si="5"/>
        <v>-40385.68</v>
      </c>
      <c r="I66" s="32">
        <f t="shared" si="6"/>
        <v>-0.86384300888234267</v>
      </c>
      <c r="J66" s="62" t="s">
        <v>429</v>
      </c>
      <c r="K66" s="78" t="s">
        <v>565</v>
      </c>
    </row>
    <row r="67" spans="1:17" ht="15.6">
      <c r="A67" s="41" t="str">
        <v>CA: Stockton - SUSD - Nightingale ES</v>
      </c>
      <c r="B67" s="42" t="str">
        <v>CA</v>
      </c>
      <c r="C67" s="35">
        <v>17410</v>
      </c>
      <c r="D67" s="36">
        <v>20517.650000000001</v>
      </c>
      <c r="E67" s="36">
        <f t="shared" si="4"/>
        <v>-3107.6500000000015</v>
      </c>
      <c r="F67" s="37">
        <f t="shared" si="3"/>
        <v>-0.1514622776000176</v>
      </c>
      <c r="G67" s="38">
        <v>21652.34</v>
      </c>
      <c r="H67" s="38">
        <f t="shared" si="5"/>
        <v>-4242.34</v>
      </c>
      <c r="I67" s="37">
        <f t="shared" si="6"/>
        <v>-0.19592986254603428</v>
      </c>
      <c r="J67" s="60" t="s">
        <v>430</v>
      </c>
      <c r="K67" s="75" t="s">
        <v>566</v>
      </c>
    </row>
    <row r="68" spans="1:17" ht="43.15">
      <c r="A68" s="43" t="str">
        <v>CA: Stockton - SUSD - Weber Institute</v>
      </c>
      <c r="B68" s="40" t="str">
        <v>CA</v>
      </c>
      <c r="C68" s="28">
        <v>7706.75</v>
      </c>
      <c r="D68" s="29">
        <v>42520.68</v>
      </c>
      <c r="E68" s="29">
        <f t="shared" si="4"/>
        <v>-34813.93</v>
      </c>
      <c r="F68" s="30">
        <f t="shared" si="3"/>
        <v>-0.81875289858958045</v>
      </c>
      <c r="G68" s="31">
        <v>44905.38</v>
      </c>
      <c r="H68" s="31">
        <f t="shared" si="5"/>
        <v>-37198.629999999997</v>
      </c>
      <c r="I68" s="32">
        <f t="shared" si="6"/>
        <v>-0.82837802508296332</v>
      </c>
      <c r="J68" s="62" t="s">
        <v>432</v>
      </c>
      <c r="K68" s="78" t="s">
        <v>330</v>
      </c>
    </row>
    <row r="69" spans="1:17" ht="28.9">
      <c r="A69" s="41" t="str">
        <v>CA: Stockton - SUSD - Warehouse</v>
      </c>
      <c r="B69" s="42" t="str">
        <v>CA</v>
      </c>
      <c r="C69" s="35">
        <v>17649.75</v>
      </c>
      <c r="D69" s="36">
        <v>37104.230000000003</v>
      </c>
      <c r="E69" s="36">
        <f t="shared" si="4"/>
        <v>-19454.480000000003</v>
      </c>
      <c r="F69" s="37">
        <f t="shared" si="3"/>
        <v>-0.52431973389556941</v>
      </c>
      <c r="G69" s="38">
        <v>42317.17</v>
      </c>
      <c r="H69" s="38">
        <f t="shared" si="5"/>
        <v>-24667.42</v>
      </c>
      <c r="I69" s="37">
        <f t="shared" si="6"/>
        <v>-0.58291752496681604</v>
      </c>
      <c r="J69" s="60" t="s">
        <v>567</v>
      </c>
      <c r="K69" s="75" t="s">
        <v>568</v>
      </c>
    </row>
    <row r="70" spans="1:17" ht="28.9">
      <c r="A70" s="43" t="str">
        <v>CA: Stockton - SUSD - Walton Special Center</v>
      </c>
      <c r="B70" s="40" t="str">
        <v>CA</v>
      </c>
      <c r="C70" s="28">
        <v>12840.5</v>
      </c>
      <c r="D70" s="29">
        <v>29254.84</v>
      </c>
      <c r="E70" s="29">
        <f t="shared" si="4"/>
        <v>-16414.34</v>
      </c>
      <c r="F70" s="30">
        <f t="shared" ref="F70:F85" si="7">IFERROR(E70/D70, "")</f>
        <v>-0.56108117494404341</v>
      </c>
      <c r="G70" s="31">
        <v>30721.52</v>
      </c>
      <c r="H70" s="31">
        <f t="shared" si="5"/>
        <v>-17881.02</v>
      </c>
      <c r="I70" s="32">
        <f t="shared" si="6"/>
        <v>-0.58203565448584571</v>
      </c>
      <c r="J70" s="62" t="s">
        <v>569</v>
      </c>
      <c r="K70" s="78" t="s">
        <v>570</v>
      </c>
      <c r="L70" s="76" t="s">
        <v>571</v>
      </c>
    </row>
    <row r="71" spans="1:17" ht="57.6">
      <c r="A71" s="41" t="str">
        <v>CA: Stockton - SUSD - Stagg HS</v>
      </c>
      <c r="B71" s="42" t="str">
        <v>CA</v>
      </c>
      <c r="C71" s="35">
        <v>72265</v>
      </c>
      <c r="D71" s="36">
        <v>113651</v>
      </c>
      <c r="E71" s="36">
        <f t="shared" ref="E71:E85" si="8">IF(AND(ISNUMBER(C71),ISNUMBER(D71)), C71-D71, "")</f>
        <v>-41386</v>
      </c>
      <c r="F71" s="37">
        <f t="shared" si="7"/>
        <v>-0.36414989749320287</v>
      </c>
      <c r="G71" s="38">
        <v>117620.7</v>
      </c>
      <c r="H71" s="38">
        <f t="shared" ref="H71:H85" si="9">IF(AND(ISNUMBER(C71),ISNUMBER(G71)), C71-G71, "")</f>
        <v>-45355.7</v>
      </c>
      <c r="I71" s="37">
        <f t="shared" ref="I71:I85" si="10">IFERROR(H71/G71, "")</f>
        <v>-0.38560984588597075</v>
      </c>
      <c r="J71" s="60" t="s">
        <v>572</v>
      </c>
      <c r="K71" s="75" t="s">
        <v>573</v>
      </c>
      <c r="L71" s="76" t="s">
        <v>437</v>
      </c>
    </row>
    <row r="72" spans="1:17" ht="28.9">
      <c r="A72" s="43" t="str">
        <v>CA: Stockton - SUSD - School for Adults</v>
      </c>
      <c r="B72" s="40" t="str">
        <v>CA</v>
      </c>
      <c r="C72" s="28">
        <v>8772.125</v>
      </c>
      <c r="D72" s="29">
        <v>24781.07</v>
      </c>
      <c r="E72" s="29">
        <f t="shared" si="8"/>
        <v>-16008.945</v>
      </c>
      <c r="F72" s="30">
        <f t="shared" si="7"/>
        <v>-0.64601508328736412</v>
      </c>
      <c r="G72" s="31">
        <v>25460.69</v>
      </c>
      <c r="H72" s="31">
        <f t="shared" si="9"/>
        <v>-16688.564999999999</v>
      </c>
      <c r="I72" s="32">
        <f t="shared" si="10"/>
        <v>-0.65546397210759011</v>
      </c>
      <c r="J72" s="62" t="s">
        <v>438</v>
      </c>
      <c r="K72" s="78" t="s">
        <v>574</v>
      </c>
    </row>
    <row r="73" spans="1:17" ht="28.9">
      <c r="A73" s="41" t="str">
        <v>CA: Stockton - SUSD - San Joaquin</v>
      </c>
      <c r="B73" s="42" t="str">
        <v>CA</v>
      </c>
      <c r="C73" s="35">
        <v>11071.375</v>
      </c>
      <c r="D73" s="36">
        <v>21802.17</v>
      </c>
      <c r="E73" s="36">
        <f t="shared" si="8"/>
        <v>-10730.794999999998</v>
      </c>
      <c r="F73" s="37">
        <f t="shared" si="7"/>
        <v>-0.49218930959624657</v>
      </c>
      <c r="G73" s="38">
        <v>24027.39</v>
      </c>
      <c r="H73" s="38">
        <f t="shared" si="9"/>
        <v>-12956.014999999999</v>
      </c>
      <c r="I73" s="37">
        <f t="shared" si="10"/>
        <v>-0.53921857513446114</v>
      </c>
      <c r="J73" s="60" t="s">
        <v>575</v>
      </c>
      <c r="K73" s="75" t="s">
        <v>576</v>
      </c>
    </row>
    <row r="74" spans="1:17" ht="28.9">
      <c r="A74" s="43" t="str">
        <v>CA: Stockton - SUSD - Rio Calaveras</v>
      </c>
      <c r="B74" s="40" t="str">
        <v>CA</v>
      </c>
      <c r="C74" s="28">
        <v>5516.125</v>
      </c>
      <c r="D74" s="29">
        <v>23855.98</v>
      </c>
      <c r="E74" s="29">
        <f t="shared" si="8"/>
        <v>-18339.855</v>
      </c>
      <c r="F74" s="30">
        <f t="shared" si="7"/>
        <v>-0.76877390909952137</v>
      </c>
      <c r="G74" s="31">
        <v>0</v>
      </c>
      <c r="H74" s="31">
        <f t="shared" si="9"/>
        <v>5516.125</v>
      </c>
      <c r="I74" s="32" t="str">
        <f t="shared" si="10"/>
        <v/>
      </c>
      <c r="J74" s="62" t="s">
        <v>440</v>
      </c>
      <c r="K74" s="78" t="s">
        <v>577</v>
      </c>
    </row>
    <row r="75" spans="1:17" ht="28.9">
      <c r="A75" s="41" t="str">
        <v>CA: Stockton - SUSD - Peyton</v>
      </c>
      <c r="B75" s="42" t="str">
        <v>CA</v>
      </c>
      <c r="C75" s="35">
        <v>40097.5</v>
      </c>
      <c r="D75" s="36">
        <v>51731.14</v>
      </c>
      <c r="E75" s="36">
        <f t="shared" si="8"/>
        <v>-11633.64</v>
      </c>
      <c r="F75" s="37">
        <f t="shared" si="7"/>
        <v>-0.22488659635182986</v>
      </c>
      <c r="G75" s="38">
        <v>52024.800000000003</v>
      </c>
      <c r="H75" s="38">
        <f t="shared" si="9"/>
        <v>-11927.300000000003</v>
      </c>
      <c r="I75" s="37">
        <f t="shared" si="10"/>
        <v>-0.22926181359659245</v>
      </c>
      <c r="J75" s="60" t="s">
        <v>578</v>
      </c>
      <c r="K75" s="75" t="s">
        <v>579</v>
      </c>
    </row>
    <row r="76" spans="1:17" ht="201.6">
      <c r="A76" s="43" t="str">
        <v>TX: Barnhart - 42917 Ranch RD 2469</v>
      </c>
      <c r="B76" s="40" t="str">
        <v>TX</v>
      </c>
      <c r="C76" s="28">
        <v>249240</v>
      </c>
      <c r="D76" s="29">
        <v>277355.2</v>
      </c>
      <c r="E76" s="29">
        <f t="shared" si="8"/>
        <v>-28115.200000000012</v>
      </c>
      <c r="F76" s="30">
        <f t="shared" si="7"/>
        <v>-0.1013689305266316</v>
      </c>
      <c r="G76" s="31">
        <v>262609.59999999998</v>
      </c>
      <c r="H76" s="31">
        <f t="shared" si="9"/>
        <v>-13369.599999999977</v>
      </c>
      <c r="I76" s="32">
        <f t="shared" si="10"/>
        <v>-5.09105531557109E-2</v>
      </c>
      <c r="J76" s="62" t="s">
        <v>580</v>
      </c>
      <c r="K76" s="78" t="s">
        <v>581</v>
      </c>
      <c r="L76" s="76" t="s">
        <v>582</v>
      </c>
      <c r="M76" s="76" t="s">
        <v>583</v>
      </c>
      <c r="N76" s="76" t="s">
        <v>584</v>
      </c>
      <c r="O76" s="76" t="s">
        <v>445</v>
      </c>
      <c r="P76" s="76" t="s">
        <v>445</v>
      </c>
      <c r="Q76" s="76" t="s">
        <v>585</v>
      </c>
    </row>
    <row r="77" spans="1:17" ht="28.9">
      <c r="A77" s="41" t="str">
        <v>AZ: San Manuel - Senior &amp; Junior HS</v>
      </c>
      <c r="B77" s="42" t="str">
        <v>AZ</v>
      </c>
      <c r="C77" s="35">
        <v>33259</v>
      </c>
      <c r="D77" s="36" t="s">
        <v>43</v>
      </c>
      <c r="E77" s="36" t="str">
        <f t="shared" si="8"/>
        <v/>
      </c>
      <c r="F77" s="37" t="str">
        <f t="shared" si="7"/>
        <v/>
      </c>
      <c r="G77" s="38">
        <v>47773</v>
      </c>
      <c r="H77" s="38">
        <f t="shared" si="9"/>
        <v>-14514</v>
      </c>
      <c r="I77" s="37">
        <f t="shared" si="10"/>
        <v>-0.30381177652648989</v>
      </c>
      <c r="J77" s="60" t="s">
        <v>586</v>
      </c>
      <c r="K77" s="75" t="s">
        <v>587</v>
      </c>
      <c r="L77" s="76" t="s">
        <v>588</v>
      </c>
    </row>
    <row r="78" spans="1:17" ht="72">
      <c r="A78" s="43" t="str">
        <v>AZ: Sierra Vista - Colonel Smith MS</v>
      </c>
      <c r="B78" s="40" t="str">
        <v>AZ</v>
      </c>
      <c r="C78" s="28">
        <v>39570</v>
      </c>
      <c r="D78" s="29">
        <v>66177.73</v>
      </c>
      <c r="E78" s="29">
        <f t="shared" si="8"/>
        <v>-26607.729999999996</v>
      </c>
      <c r="F78" s="30">
        <f t="shared" si="7"/>
        <v>-0.40206471270622302</v>
      </c>
      <c r="G78" s="31">
        <v>54833.120000000003</v>
      </c>
      <c r="H78" s="31">
        <f t="shared" si="9"/>
        <v>-15263.120000000003</v>
      </c>
      <c r="I78" s="32">
        <f t="shared" si="10"/>
        <v>-0.27835585500150278</v>
      </c>
      <c r="J78" s="62" t="s">
        <v>449</v>
      </c>
      <c r="K78" s="78" t="s">
        <v>450</v>
      </c>
    </row>
    <row r="79" spans="1:17" ht="43.15">
      <c r="A79" s="41" t="str">
        <v>AZ: Sierra Vista - Colonel Johnston ES</v>
      </c>
      <c r="B79" s="42" t="str">
        <v>AZ</v>
      </c>
      <c r="C79" s="35">
        <v>13120</v>
      </c>
      <c r="D79" s="36">
        <v>22119.75</v>
      </c>
      <c r="E79" s="36">
        <f t="shared" si="8"/>
        <v>-8999.75</v>
      </c>
      <c r="F79" s="37">
        <f t="shared" si="7"/>
        <v>-0.40686490579685575</v>
      </c>
      <c r="G79" s="38">
        <v>18050.89</v>
      </c>
      <c r="H79" s="38">
        <f t="shared" si="9"/>
        <v>-4930.8899999999994</v>
      </c>
      <c r="I79" s="37">
        <f t="shared" si="10"/>
        <v>-0.2731660322565812</v>
      </c>
      <c r="J79" s="60" t="s">
        <v>451</v>
      </c>
      <c r="K79" s="75" t="s">
        <v>452</v>
      </c>
    </row>
    <row r="80" spans="1:17" ht="57.6">
      <c r="A80" s="43" t="str">
        <v>NH: Dover - Dover HS</v>
      </c>
      <c r="B80" s="40" t="str">
        <v>NH</v>
      </c>
      <c r="C80" s="28">
        <v>101448</v>
      </c>
      <c r="D80" s="29">
        <v>151536.29999999999</v>
      </c>
      <c r="E80" s="29">
        <f t="shared" si="8"/>
        <v>-50088.299999999988</v>
      </c>
      <c r="F80" s="30">
        <f t="shared" si="7"/>
        <v>-0.33053664369527297</v>
      </c>
      <c r="G80" s="31">
        <v>127504.3</v>
      </c>
      <c r="H80" s="31">
        <f t="shared" si="9"/>
        <v>-26056.300000000003</v>
      </c>
      <c r="I80" s="32">
        <f t="shared" si="10"/>
        <v>-0.20435624524035662</v>
      </c>
      <c r="J80" s="62" t="s">
        <v>453</v>
      </c>
      <c r="K80" s="78" t="s">
        <v>454</v>
      </c>
    </row>
    <row r="81" spans="1:14" ht="72">
      <c r="A81" s="41" t="str">
        <v>MA: Somerville - 30 Inner Belt Rd</v>
      </c>
      <c r="B81" s="42" t="str">
        <v>MA</v>
      </c>
      <c r="C81" s="35">
        <v>107038.5</v>
      </c>
      <c r="D81" s="36">
        <v>103026.4</v>
      </c>
      <c r="E81" s="36">
        <f t="shared" si="8"/>
        <v>4012.1000000000058</v>
      </c>
      <c r="F81" s="37">
        <f t="shared" si="7"/>
        <v>3.894244581971229E-2</v>
      </c>
      <c r="G81" s="38">
        <v>179551.4</v>
      </c>
      <c r="H81" s="38">
        <f t="shared" si="9"/>
        <v>-72512.899999999994</v>
      </c>
      <c r="I81" s="37">
        <f t="shared" si="10"/>
        <v>-0.40385594320066565</v>
      </c>
      <c r="J81" s="60" t="s">
        <v>455</v>
      </c>
      <c r="K81" s="59"/>
    </row>
    <row r="82" spans="1:14" ht="72">
      <c r="A82" s="43" t="str">
        <v>MA: Boxborough - 1414 Massachusetts Ave</v>
      </c>
      <c r="B82" s="40" t="str">
        <v>MA</v>
      </c>
      <c r="C82" s="28">
        <v>749542.92820371396</v>
      </c>
      <c r="D82" s="29">
        <v>152204.1</v>
      </c>
      <c r="E82" s="29">
        <f t="shared" si="8"/>
        <v>597338.82820371399</v>
      </c>
      <c r="F82" s="30">
        <f t="shared" si="7"/>
        <v>3.9245909157750281</v>
      </c>
      <c r="G82" s="31">
        <v>728700</v>
      </c>
      <c r="H82" s="31">
        <f t="shared" si="9"/>
        <v>20842.928203713964</v>
      </c>
      <c r="I82" s="32">
        <f t="shared" si="10"/>
        <v>2.8602893102393254E-2</v>
      </c>
      <c r="J82" s="62" t="s">
        <v>589</v>
      </c>
      <c r="K82" s="78" t="s">
        <v>590</v>
      </c>
      <c r="L82" s="76" t="s">
        <v>591</v>
      </c>
      <c r="M82" s="76" t="s">
        <v>592</v>
      </c>
    </row>
    <row r="83" spans="1:14" ht="72">
      <c r="A83" s="41" t="str">
        <v>NY: Amsterdam - 153 NY Route 67</v>
      </c>
      <c r="B83" s="42" t="str">
        <v>NY</v>
      </c>
      <c r="C83" s="35">
        <v>404966</v>
      </c>
      <c r="D83" s="36">
        <v>318839.40000000002</v>
      </c>
      <c r="E83" s="36">
        <f t="shared" si="8"/>
        <v>86126.599999999977</v>
      </c>
      <c r="F83" s="37">
        <f t="shared" si="7"/>
        <v>0.27012533582737885</v>
      </c>
      <c r="G83" s="38">
        <v>385582</v>
      </c>
      <c r="H83" s="38">
        <f t="shared" si="9"/>
        <v>19384</v>
      </c>
      <c r="I83" s="37">
        <f t="shared" si="10"/>
        <v>5.0272056268186795E-2</v>
      </c>
      <c r="J83" s="60" t="s">
        <v>593</v>
      </c>
      <c r="K83" s="75" t="s">
        <v>460</v>
      </c>
      <c r="L83" s="76" t="s">
        <v>461</v>
      </c>
      <c r="M83" s="76" t="s">
        <v>462</v>
      </c>
    </row>
    <row r="84" spans="1:14" ht="15.6">
      <c r="A84" s="43" t="str">
        <v>CA: San Jose - GE Mobile Water</v>
      </c>
      <c r="B84" s="40" t="str">
        <v>CA</v>
      </c>
      <c r="C84" s="28">
        <v>26770</v>
      </c>
      <c r="D84" s="29">
        <v>31066.95</v>
      </c>
      <c r="E84" s="29">
        <f t="shared" si="8"/>
        <v>-4296.9500000000007</v>
      </c>
      <c r="F84" s="30">
        <f t="shared" si="7"/>
        <v>-0.13831257976724462</v>
      </c>
      <c r="G84" s="31">
        <v>31803.599999999999</v>
      </c>
      <c r="H84" s="31">
        <f t="shared" si="9"/>
        <v>-5033.5999999999985</v>
      </c>
      <c r="I84" s="32">
        <f t="shared" si="10"/>
        <v>-0.15827139066017679</v>
      </c>
      <c r="J84" s="62" t="s">
        <v>463</v>
      </c>
      <c r="K84" s="78" t="s">
        <v>310</v>
      </c>
    </row>
    <row r="85" spans="1:14" ht="72">
      <c r="A85" s="41" t="str">
        <v>NY: Rome - 7776 Tannery RD</v>
      </c>
      <c r="B85" s="42" t="str">
        <v>NY</v>
      </c>
      <c r="C85" s="35">
        <v>366427.06986908597</v>
      </c>
      <c r="D85" s="36">
        <v>406250.3</v>
      </c>
      <c r="E85" s="36">
        <f t="shared" si="8"/>
        <v>-39823.230130914017</v>
      </c>
      <c r="F85" s="37">
        <f t="shared" si="7"/>
        <v>-9.8026340241260168E-2</v>
      </c>
      <c r="G85" s="38">
        <v>393122.8</v>
      </c>
      <c r="H85" s="38">
        <f t="shared" si="9"/>
        <v>-26695.730130914017</v>
      </c>
      <c r="I85" s="37">
        <f t="shared" si="10"/>
        <v>-6.7906847760837122E-2</v>
      </c>
      <c r="J85" s="60" t="s">
        <v>594</v>
      </c>
      <c r="K85" s="75" t="s">
        <v>595</v>
      </c>
      <c r="L85" s="76" t="s">
        <v>467</v>
      </c>
      <c r="M85" s="76" t="s">
        <v>596</v>
      </c>
      <c r="N85" s="76" t="s">
        <v>597</v>
      </c>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099290" xr:uid="{77BAD1AD-2C2E-4C96-89E1-2839BE468072}"/>
    <hyperlink ref="K5" r:id="rId2" display="https://us3.assetplanner.com/service_request?ID=105924" xr:uid="{B4C77790-3598-409D-9805-0918EBB99D23}"/>
    <hyperlink ref="L5" r:id="rId3" display="https://us3.assetplanner.com/service_request?ID=101243" xr:uid="{951825BB-3B73-45B9-AAF6-E2172222DF49}"/>
    <hyperlink ref="M5" r:id="rId4" display="https://us3.assetplanner.com/service_request?ID=101245" xr:uid="{DEB6724E-4F94-4392-B3C2-D4D4C20E60F7}"/>
    <hyperlink ref="K7" r:id="rId5" display="https://us3.assetplanner.com/service_request?ID=096262" xr:uid="{8B627DA9-98EC-4E9E-8CB0-8C3384F1BC5A}"/>
    <hyperlink ref="L7" r:id="rId6" display="https://us3.assetplanner.com/service_request?ID=099066" xr:uid="{2140066C-0E78-4063-93A6-AB1120BBB54E}"/>
    <hyperlink ref="K8" r:id="rId7" display="https://us3.assetplanner.com/service_request?ID=098870" xr:uid="{B2BD93B7-EF61-43C4-B04C-F6E7E90FC9CC}"/>
    <hyperlink ref="L8" r:id="rId8" display="https://us3.assetplanner.com/service_request?ID=099461" xr:uid="{53DEECDF-631E-4576-9039-4FD74F9A505F}"/>
    <hyperlink ref="K9" r:id="rId9" display="https://us3.assetplanner.com/service_request?ID=104023" xr:uid="{2232CDE3-E900-456E-8A7E-E51443207F61}"/>
    <hyperlink ref="L9" r:id="rId10" display="https://us3.assetplanner.com/service_request?ID=104137" xr:uid="{12F82141-F565-4726-82C0-E790FEE8E22F}"/>
    <hyperlink ref="M9" r:id="rId11" display="https://us3.assetplanner.com/service_request?ID=105956" xr:uid="{7C35E5C7-A710-4204-A26A-48AC969D5570}"/>
    <hyperlink ref="K11" r:id="rId12" display="https://us3.assetplanner.com/service_request?ID=106384" xr:uid="{B335B660-A849-4452-8972-A6D4D33D8FEF}"/>
    <hyperlink ref="L11" r:id="rId13" display="https://us3.assetplanner.com/service_request?ID=107143" xr:uid="{304864FB-8992-41FD-9A02-2A39A2AB19DB}"/>
    <hyperlink ref="M11" r:id="rId14" display="https://us3.assetplanner.com/service_request?ID=100417" xr:uid="{83A3D759-02FC-45B2-803B-D70E6D7DD0B8}"/>
    <hyperlink ref="K12" r:id="rId15" display="https://us3.assetplanner.com/service_request?ID=102209" xr:uid="{ECAFFA67-4C44-441F-A4DE-33D2BE37D763}"/>
    <hyperlink ref="K13" r:id="rId16" display="https://us3.assetplanner.com/service_request?ID=103184" xr:uid="{C1171D29-5B1B-4340-AD4E-27E7D1E5AE16}"/>
    <hyperlink ref="K14" r:id="rId17" display="https://us3.assetplanner.com/service_request?ID=103740" xr:uid="{AD534990-88C1-4F0B-A882-BC6F32F2D037}"/>
    <hyperlink ref="L14" r:id="rId18" display="https://us3.assetplanner.com/service_request?ID=106599" xr:uid="{A2E024F8-9BE1-4FC5-848C-3241FD90CE4D}"/>
    <hyperlink ref="K15" r:id="rId19" display="https://us3.assetplanner.com/service_request?ID=106946" xr:uid="{BEEE305A-A632-4B47-92CD-BC2F3535597E}"/>
    <hyperlink ref="K16" r:id="rId20" display="https://us3.assetplanner.com/service_request?ID=103239" xr:uid="{75868A60-67BE-4570-8DD2-554D8A43401A}"/>
    <hyperlink ref="K17" r:id="rId21" display="https://us3.assetplanner.com/service_request?ID=103048" xr:uid="{5EBD028A-BE76-40E0-9F99-2F33D8D49CE6}"/>
    <hyperlink ref="K18" r:id="rId22" display="https://us3.assetplanner.com/service_request?ID=103686" xr:uid="{137E8463-74D5-4B3E-B1CC-CA4B9B4E3750}"/>
    <hyperlink ref="L18" r:id="rId23" display="https://us3.assetplanner.com/service_request?ID=105968" xr:uid="{79B9660D-6D93-45A2-94C7-E58A973D988D}"/>
    <hyperlink ref="M18" r:id="rId24" display="https://us3.assetplanner.com/service_request?ID=106026" xr:uid="{5B22401B-2E25-4EF4-88BA-6900D637E52E}"/>
    <hyperlink ref="K19" r:id="rId25" display="https://us3.assetplanner.com/service_request?ID=099730" xr:uid="{96B0EA9A-CBF0-45E3-A0AD-E8DAF5B3BEE5}"/>
    <hyperlink ref="L19" r:id="rId26" display="https://us3.assetplanner.com/service_request?ID=106719" xr:uid="{542A368F-6261-45FD-91EB-6CC6B11851F7}"/>
    <hyperlink ref="M19" r:id="rId27" display="https://us3.assetplanner.com/service_request?ID=104823" xr:uid="{4FC31EB5-63FF-468A-B2BB-7C1F07F571BB}"/>
    <hyperlink ref="N19" r:id="rId28" display="https://us3.assetplanner.com/service_request?ID=104824" xr:uid="{8527070F-1314-4113-8493-F256C4983F58}"/>
    <hyperlink ref="O19" r:id="rId29" display="https://us3.assetplanner.com/service_request?ID=104825" xr:uid="{42545ADB-6F37-4362-97D8-AC0E3F2036AF}"/>
    <hyperlink ref="P19" r:id="rId30" display="https://us3.assetplanner.com/service_request?ID=104826" xr:uid="{C67FE293-3287-4AAB-9188-66034018C989}"/>
    <hyperlink ref="Q19" r:id="rId31" display="https://us3.assetplanner.com/service_request?ID=104828" xr:uid="{176A6D44-0F5F-48C2-9A18-C9E5BA724B5D}"/>
    <hyperlink ref="R19" r:id="rId32" display="https://us3.assetplanner.com/service_request?ID=104827" xr:uid="{BC2BF5D3-47AC-49CE-B496-DFBEFF4F9DAF}"/>
    <hyperlink ref="S19" r:id="rId33" display="https://us3.assetplanner.com/service_request?ID=104829" xr:uid="{19A55918-678E-4E83-BB91-84BC1A123DCA}"/>
    <hyperlink ref="T19" r:id="rId34" display="https://us3.assetplanner.com/service_request?ID=104831" xr:uid="{7D16684A-B403-4F63-A6C8-E6C3F49705EE}"/>
    <hyperlink ref="U19" r:id="rId35" display="https://us3.assetplanner.com/service_request?ID=104832" xr:uid="{4D94D3F9-C00C-417B-B4C2-A58E746E25D2}"/>
    <hyperlink ref="K20" r:id="rId36" display="https://us3.assetplanner.com/service_request?ID=103950" xr:uid="{65D94EDE-5EC4-4A2E-82DB-8EC09EEC40D4}"/>
    <hyperlink ref="K21" r:id="rId37" display="https://us3.assetplanner.com/service_request?ID=102316" xr:uid="{6790D369-C693-4B43-A50C-4FAD1044EF4F}"/>
    <hyperlink ref="L21" r:id="rId38" display="https://us3.assetplanner.com/service_request?ID=099500" xr:uid="{BB0F809F-A923-49B5-B98D-028AC3CFB6AA}"/>
    <hyperlink ref="M21" r:id="rId39" display="https://us3.assetplanner.com/service_request?ID=098016" xr:uid="{332B4D3E-55C4-4F74-A33A-FA2A1B63BC16}"/>
    <hyperlink ref="K22" r:id="rId40" display="https://us3.assetplanner.com/service_request?ID=103914" xr:uid="{EC80BDAD-AF7C-461B-B7B3-2FB4AB3AF08D}"/>
    <hyperlink ref="K25" r:id="rId41" display="https://us3.assetplanner.com/service_request?ID=104192" xr:uid="{46DE0C07-075C-472D-9915-791D7CF42959}"/>
    <hyperlink ref="L25" r:id="rId42" display="https://us3.assetplanner.com/service_request?ID=102794" xr:uid="{F42AB130-6232-4803-B8B0-F6DD94079605}"/>
    <hyperlink ref="M25" r:id="rId43" display="https://us3.assetplanner.com/service_request?ID=105489" xr:uid="{727CA1DD-1F64-47ED-A008-BFA96FA8C01F}"/>
    <hyperlink ref="K31" r:id="rId44" display="https://us3.assetplanner.com/service_request?ID=105973" xr:uid="{71EBFDEC-5D95-48FD-A1F6-E3D23C10FEE5}"/>
    <hyperlink ref="K33" r:id="rId45" display="https://us3.assetplanner.com/service_request?ID=102723" xr:uid="{760BA10F-A8C8-4D4A-88E2-8FF61574B76D}"/>
    <hyperlink ref="L33" r:id="rId46" display="https://us3.assetplanner.com/service_request?ID=105641" xr:uid="{E3C2B765-0E76-451B-B2D8-DFCA4626607D}"/>
    <hyperlink ref="K39" r:id="rId47" display="https://us3.assetplanner.com/service_request?ID=106082" xr:uid="{4DC02833-BFF0-4EDB-8E07-9236040D9797}"/>
    <hyperlink ref="L39" r:id="rId48" display="https://us3.assetplanner.com/service_request?ID=100857" xr:uid="{4428EE94-6A42-4793-8FEC-3BB672BCD4D1}"/>
    <hyperlink ref="K40" r:id="rId49" display="https://us3.assetplanner.com/service_request?ID=101963" xr:uid="{5962046C-87EE-49C9-8E65-FE181C56436D}"/>
    <hyperlink ref="K41" r:id="rId50" display="https://us3.assetplanner.com/service_request?ID=101818" xr:uid="{B23030AB-3826-41CA-862A-C2732D8F0426}"/>
    <hyperlink ref="L41" r:id="rId51" display="https://us3.assetplanner.com/service_request?ID=105928" xr:uid="{C0C4D3D9-547D-4326-A4D1-14C2F8C8032A}"/>
    <hyperlink ref="K42" r:id="rId52" display="https://us3.assetplanner.com/service_request?ID=101034" xr:uid="{B14E21C3-377D-4C8F-91E5-DC2C329494A4}"/>
    <hyperlink ref="L42" r:id="rId53" display="https://us3.assetplanner.com/service_request?ID=103779" xr:uid="{2CCA676E-FA38-4A01-AC9B-CC72B3F96EA0}"/>
    <hyperlink ref="M42" r:id="rId54" display="https://us3.assetplanner.com/service_request?ID=102621" xr:uid="{7185ED5C-F45F-4367-8A4D-3C4B1718A2F6}"/>
    <hyperlink ref="K43" r:id="rId55" display="https://us3.assetplanner.com/service_request?ID=101021" xr:uid="{16565541-61E6-4241-B63F-1010B348DB49}"/>
    <hyperlink ref="K44" r:id="rId56" display="https://us3.assetplanner.com/service_request?ID=100915" xr:uid="{7E4C3A18-70A0-41FF-82D6-37955662AB1E}"/>
    <hyperlink ref="K45" r:id="rId57" display="https://us3.assetplanner.com/service_request?ID=105366" xr:uid="{64B2A79C-86A2-47F9-8287-DEE75C6EFE28}"/>
    <hyperlink ref="L45" r:id="rId58" display="https://us3.assetplanner.com/service_request?ID=101100" xr:uid="{CC5D6353-0DE1-4DC0-9DA1-6AA7D7AD371F}"/>
    <hyperlink ref="K46" r:id="rId59" display="https://us3.assetplanner.com/service_request?ID=105192" xr:uid="{BEBF02D7-1324-4F76-BF12-67DECB03F726}"/>
    <hyperlink ref="L46" r:id="rId60" display="https://us3.assetplanner.com/service_request?ID=105872" xr:uid="{F3A84B2F-B21C-4898-A40B-05B45E9D9488}"/>
    <hyperlink ref="M46" r:id="rId61" display="https://us3.assetplanner.com/service_request?ID=106435" xr:uid="{4E4BD6B6-8591-4BEE-A10B-BE5E5A582BE0}"/>
    <hyperlink ref="N46" r:id="rId62" display="https://us3.assetplanner.com/service_request?ID=106650" xr:uid="{7D20C1B6-77D3-448D-BBA1-72FAAB140CF6}"/>
    <hyperlink ref="K47" r:id="rId63" display="https://us3.assetplanner.com/service_request?ID=102419" xr:uid="{25B431BF-09CF-4116-BD77-A66BD68B3C17}"/>
    <hyperlink ref="L47" r:id="rId64" display="https://us3.assetplanner.com/service_request?ID=107209" xr:uid="{F0F0A75B-CA9E-40FF-BCCB-EEE6821493ED}"/>
    <hyperlink ref="K48" r:id="rId65" display="https://us3.assetplanner.com/service_request?ID=106774" xr:uid="{F051EAA1-25F9-4C0D-908E-ABBBD45BBF86}"/>
    <hyperlink ref="L48" r:id="rId66" display="https://us3.assetplanner.com/service_request?ID=102283" xr:uid="{A8D4719D-FBFB-4FEA-A902-F1C612315475}"/>
    <hyperlink ref="K49" r:id="rId67" display="https://us3.assetplanner.com/service_request?ID=102418" xr:uid="{16C22117-206C-48E8-B82B-C16A2081DAD0}"/>
    <hyperlink ref="K50" r:id="rId68" display="https://us3.assetplanner.com/service_request?ID=102416" xr:uid="{FF6989D3-C34F-48A6-9241-974C055B265E}"/>
    <hyperlink ref="K51" r:id="rId69" display="https://us3.assetplanner.com/service_request?ID=102392" xr:uid="{6316113F-8246-449D-8676-0F8CEDC40AD5}"/>
    <hyperlink ref="K52" r:id="rId70" display="https://us3.assetplanner.com/service_request?ID=102321" xr:uid="{31DF031A-E807-40AE-8A21-593BCDAB23FB}"/>
    <hyperlink ref="L52" r:id="rId71" display="https://us3.assetplanner.com/service_request?ID=103636" xr:uid="{D2C18A74-84A8-43B3-B055-5B10F9FE638D}"/>
    <hyperlink ref="M52" r:id="rId72" display="https://us3.assetplanner.com/service_request?ID=102539" xr:uid="{4B681C39-773E-407F-BB10-3DB5AB7D331D}"/>
    <hyperlink ref="N52" r:id="rId73" display="https://us3.assetplanner.com/service_request?ID=104882" xr:uid="{3E0082EB-2171-459F-9A35-EA680FDE8948}"/>
    <hyperlink ref="K54" r:id="rId74" display="https://us3.assetplanner.com/service_request?ID=102317" xr:uid="{26B2BC8B-A809-4756-87D7-305C70C156A0}"/>
    <hyperlink ref="K55" r:id="rId75" display="https://us3.assetplanner.com/service_request?ID=105794" xr:uid="{AF891FEB-6322-4E80-AF79-55C3D3F611DD}"/>
    <hyperlink ref="K56" r:id="rId76" display="https://us3.assetplanner.com/service_request?ID=106474" xr:uid="{AFAE005E-262D-4510-B369-564C428E31AE}"/>
    <hyperlink ref="L56" r:id="rId77" display="https://us3.assetplanner.com/service_request?ID=102286" xr:uid="{22948E80-7FEE-4A91-8B6B-20A511494694}"/>
    <hyperlink ref="K57" r:id="rId78" display="https://us3.assetplanner.com/service_request?ID=102281" xr:uid="{FE22CBBE-947B-4F04-A33E-CDCFECE6498B}"/>
    <hyperlink ref="L57" r:id="rId79" display="https://us3.assetplanner.com/service_request?ID=106885" xr:uid="{E9C8B81D-C541-4642-86CE-B95ED47DEEC8}"/>
    <hyperlink ref="K59" r:id="rId80" display="https://us3.assetplanner.com/service_request?ID=101986" xr:uid="{92C78E2F-EBD5-408D-9BE5-0F3FA301491A}"/>
    <hyperlink ref="K60" r:id="rId81" display="https://us3.assetplanner.com/service_request?ID=102451" xr:uid="{3D2CCA32-2D8F-4B0C-B18F-68A27ABD0387}"/>
    <hyperlink ref="K62" r:id="rId82" display="https://us3.assetplanner.com/service_request?ID=106828" xr:uid="{A86E313D-10D1-4A7D-84A9-1BD0249662D3}"/>
    <hyperlink ref="L62" r:id="rId83" display="https://us3.assetplanner.com/service_request?ID=105139" xr:uid="{7E2704BD-7228-4DF5-801E-20A6ABD1C3B0}"/>
    <hyperlink ref="M62" r:id="rId84" display="https://us3.assetplanner.com/service_request?ID=102329" xr:uid="{694FA8E3-8EB2-4F3F-8C3B-92B66E8523F1}"/>
    <hyperlink ref="K63" r:id="rId85" display="https://us3.assetplanner.com/service_request?ID=102303" xr:uid="{2350FB29-B23E-4FE7-AC21-9CFBD085FA66}"/>
    <hyperlink ref="K64" r:id="rId86" display="https://us3.assetplanner.com/service_request?ID=102411" xr:uid="{C7893DCC-2C63-460A-BAC7-00900B7680C4}"/>
    <hyperlink ref="K65" r:id="rId87" display="https://us3.assetplanner.com/service_request?ID=106531" xr:uid="{F65BE0D1-0A38-436F-928A-A4C23DFB3914}"/>
    <hyperlink ref="K66" r:id="rId88" display="https://us3.assetplanner.com/service_request?ID=102310" xr:uid="{B6376868-B6D0-4068-8701-00C00D3AFA5A}"/>
    <hyperlink ref="K67" r:id="rId89" display="https://us3.assetplanner.com/service_request?ID=104289" xr:uid="{9D87F2B9-7BEE-44C4-8C21-4538059194DE}"/>
    <hyperlink ref="K69" r:id="rId90" display="https://us3.assetplanner.com/service_request?ID=102413" xr:uid="{ECF6F7F9-BA44-4B45-92B3-78AE3425B0FE}"/>
    <hyperlink ref="K70" r:id="rId91" display="https://us3.assetplanner.com/service_request?ID=102425" xr:uid="{46D376BF-E9D6-464D-B732-59C60235EC8D}"/>
    <hyperlink ref="L70" r:id="rId92" display="https://us3.assetplanner.com/service_request?ID=106842" xr:uid="{9D0D8107-B265-41AE-B2BF-69BBF27CF6F0}"/>
    <hyperlink ref="K71" r:id="rId93" display="https://us3.assetplanner.com/service_request?ID=104290" xr:uid="{9766F8E8-F71E-4A0C-BEDA-D9AAE332075F}"/>
    <hyperlink ref="L71" r:id="rId94" display="https://us3.assetplanner.com/service_request?ID=104290" xr:uid="{D57307B5-CB53-470A-A552-32C423D92CC2}"/>
    <hyperlink ref="K72" r:id="rId95" display="https://us3.assetplanner.com/service_request?ID=102424" xr:uid="{3ED87EC7-263E-49BF-831C-85E01418E58B}"/>
    <hyperlink ref="K73" r:id="rId96" display="https://us3.assetplanner.com/service_request?ID=102423" xr:uid="{F1BC54E9-93DA-4DF5-97AE-DB40E401EC02}"/>
    <hyperlink ref="K74" r:id="rId97" display="https://us3.assetplanner.com/service_request?ID=102421" xr:uid="{92DAEEC4-C9F1-4793-8519-0DB13AE10934}"/>
    <hyperlink ref="K75" r:id="rId98" display="https://us3.assetplanner.com/service_request?ID=102420" xr:uid="{BF73C46C-F7CD-48DD-BDB6-AA16D7D1F623}"/>
    <hyperlink ref="K76" r:id="rId99" display="https://us3.assetplanner.com/service_request?ID=107231" xr:uid="{B4D5A201-51CA-427B-BB0D-379726DC82C4}"/>
    <hyperlink ref="L76" r:id="rId100" display="https://us3.assetplanner.com/service_request?ID=107145" xr:uid="{5C461BA0-34ED-42DA-80BE-4ABF934F4973}"/>
    <hyperlink ref="M76" r:id="rId101" display="https://us3.assetplanner.com/service_request?ID=106851" xr:uid="{C2BF15BF-C03D-449A-966A-C1077A56CF52}"/>
    <hyperlink ref="N76" r:id="rId102" display="https://us3.assetplanner.com/service_request?ID=106520" xr:uid="{E57FC490-97E2-4E0E-8103-2362D3AF721C}"/>
    <hyperlink ref="O76" r:id="rId103" display="https://us3.assetplanner.com/service_request?ID=104246" xr:uid="{FC65D546-77E2-48B4-9C21-FB27D3566A44}"/>
    <hyperlink ref="P76" r:id="rId104" display="https://us3.assetplanner.com/service_request?ID=104246" xr:uid="{D9665983-0E56-4D52-9D77-AA012C17B8D3}"/>
    <hyperlink ref="Q76" r:id="rId105" display="https://us3.assetplanner.com/service_request?ID=103869" xr:uid="{1CA389BD-F7B3-4380-8FF0-E5E7937A978E}"/>
    <hyperlink ref="K77" r:id="rId106" display="https://us3.assetplanner.com/service_request?ID=105626" xr:uid="{0B8E614F-3ADE-4DD2-8F38-535AE71FE4C8}"/>
    <hyperlink ref="L77" r:id="rId107" display="https://us3.assetplanner.com/service_request?ID=106301" xr:uid="{C96061CE-4B07-4797-B661-065815E43C95}"/>
    <hyperlink ref="K78" r:id="rId108" display="https://us3.assetplanner.com/service_request?ID=103867" xr:uid="{66C7473C-3F29-409A-8C9D-50DC58D1188A}"/>
    <hyperlink ref="K79" r:id="rId109" display="https://us3.assetplanner.com/service_request?ID=103866" xr:uid="{55093D44-AF70-4B38-A88E-101B800D25BC}"/>
    <hyperlink ref="K80" r:id="rId110" display="https://us3.assetplanner.com/service_request?ID=104456" xr:uid="{A1ACAC89-35C9-46F8-BF1F-5FD5FC41C7C9}"/>
    <hyperlink ref="K82" r:id="rId111" display="https://us3.assetplanner.com/service_request?ID=104776" xr:uid="{CE90367D-2C62-48A6-92F9-A53B6445B356}"/>
    <hyperlink ref="L82" r:id="rId112" display="https://us3.assetplanner.com/service_request?ID=103944" xr:uid="{D9B36E41-018E-4004-A781-6DA280E9B38F}"/>
    <hyperlink ref="M82" r:id="rId113" display="https://us3.assetplanner.com/service_request?ID=106611" xr:uid="{1EC8646B-22C7-4052-9CAB-70BE6C60CF64}"/>
    <hyperlink ref="K83" r:id="rId114" display="https://us3.assetplanner.com/service_request?ID=103946" xr:uid="{D9C591C3-DFE2-471C-BCE6-BA6AAB9E2114}"/>
    <hyperlink ref="L83" r:id="rId115" display="https://us3.assetplanner.com/service_request?ID=103946" xr:uid="{895543B5-555E-4A09-9777-4A08727CF1FD}"/>
    <hyperlink ref="M83" r:id="rId116" display="https://us3.assetplanner.com/service_request?ID=104855" xr:uid="{6F0A3105-643C-4FC8-8CA0-076B27729456}"/>
    <hyperlink ref="K84" r:id="rId117" display="https://us3.assetplanner.com/service_request?ID=102281" xr:uid="{9682888D-BB20-425E-AD2C-A79439D5F3E7}"/>
    <hyperlink ref="K85" r:id="rId118" display="https://us3.assetplanner.com/service_request?ID=104665" xr:uid="{A1929B6E-DDBC-4E55-8D84-EE496E748404}"/>
    <hyperlink ref="L85" r:id="rId119" display="https://us3.assetplanner.com/service_request?ID=105155" xr:uid="{367253A8-4F15-4B37-A10F-0A02CAC1CBE5}"/>
    <hyperlink ref="M85" r:id="rId120" display="https://us3.assetplanner.com/service_request?ID=106781" xr:uid="{3BDA9F63-3DE0-44E1-9ECB-FC42BE36E0B7}"/>
    <hyperlink ref="N85" r:id="rId121" display="https://us3.assetplanner.com/service_request?ID=107162" xr:uid="{E14E92B7-9897-4F38-A5A2-9C8C6B11018E}"/>
    <hyperlink ref="K68" r:id="rId122" display="https://us3.assetplanner.com/service_request?ID=102450" xr:uid="{F7323529-32D6-431C-89BA-C10128ED0B5C}"/>
    <hyperlink ref="K53" r:id="rId123" display="https://us3.assetplanner.com/service_request?ID=102320" xr:uid="{A5F84644-52B0-44E3-80A4-9B54F380DB0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B326"/>
  <sheetViews>
    <sheetView zoomScale="70" zoomScaleNormal="70" workbookViewId="0">
      <pane xSplit="2" ySplit="3" topLeftCell="C19" activePane="bottomRight" state="frozen"/>
      <selection pane="bottomRight" activeCell="J12" sqref="J12:K12"/>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style="77" customWidth="1"/>
    <col min="11" max="11" width="20.5703125" style="77" bestFit="1" customWidth="1"/>
    <col min="12" max="28" width="8.85546875" style="77"/>
  </cols>
  <sheetData>
    <row r="1" spans="1:17" ht="19.5" customHeight="1">
      <c r="A1" s="118" t="str" cm="1">
        <f t="array" ref="A1">portfolio</f>
        <v>Clean Capital</v>
      </c>
      <c r="B1" s="118"/>
      <c r="C1" s="118"/>
      <c r="D1" s="119" t="s">
        <v>598</v>
      </c>
      <c r="E1" s="119"/>
      <c r="F1" s="119"/>
      <c r="G1" s="117" t="s">
        <v>599</v>
      </c>
      <c r="H1" s="117"/>
      <c r="I1" s="117"/>
      <c r="J1" s="106"/>
      <c r="K1" s="106"/>
    </row>
    <row r="2" spans="1:17" ht="19.5" customHeight="1">
      <c r="A2" s="120" t="s">
        <v>2</v>
      </c>
      <c r="B2" s="120"/>
      <c r="C2" s="5">
        <f>SUM(C4:C84)</f>
        <v>4713599.5813685525</v>
      </c>
      <c r="D2" s="5">
        <f>SUM(D4:D84)</f>
        <v>3064029.3226034199</v>
      </c>
      <c r="E2" s="5">
        <f>C2-D2</f>
        <v>1649570.2587651326</v>
      </c>
      <c r="F2" s="6">
        <f>IFERROR(E2/D2, 0)</f>
        <v>0.53836634218746282</v>
      </c>
      <c r="G2" s="5">
        <f>SUM(G4:G84)</f>
        <v>5274797.8299999991</v>
      </c>
      <c r="H2" s="7">
        <f>C2-G2</f>
        <v>-561198.24863144662</v>
      </c>
      <c r="I2" s="6">
        <f>IFERROR(H2/G2, 0)</f>
        <v>-0.10639237118049825</v>
      </c>
      <c r="J2" s="107" t="str">
        <f ca="1">IF(AND(TODAY()&gt;DATE(2024, 9, 1), COUNTA(Sites[Site])&lt;&gt;(COUNT(C:C)-1)), "Some sites are missing actual data; if new sites were added, make sure they are aligned correctly (including prior months!)", "")</f>
        <v/>
      </c>
      <c r="K2" s="106"/>
    </row>
    <row r="3" spans="1:17" ht="14.25" customHeight="1">
      <c r="A3" s="12" t="s">
        <v>3</v>
      </c>
      <c r="B3" s="12" t="s">
        <v>4</v>
      </c>
      <c r="C3" s="19" t="s">
        <v>5</v>
      </c>
      <c r="D3" s="20" t="s">
        <v>6</v>
      </c>
      <c r="E3" s="20" t="s">
        <v>7</v>
      </c>
      <c r="F3" s="21" t="s">
        <v>8</v>
      </c>
      <c r="G3" s="22" t="s">
        <v>9</v>
      </c>
      <c r="H3" s="23" t="s">
        <v>7</v>
      </c>
      <c r="I3" s="24" t="s">
        <v>8</v>
      </c>
      <c r="J3" s="108" t="s">
        <v>42</v>
      </c>
      <c r="K3" s="108" t="s">
        <v>21</v>
      </c>
    </row>
    <row r="4" spans="1:17" ht="43.15">
      <c r="A4" s="39" t="str" cm="1">
        <f t="array" ref="A4:A85">Sites[Site]</f>
        <v>Lexington - Cotting School</v>
      </c>
      <c r="B4" s="40" t="str" cm="1">
        <f t="array" ref="B4:B85">Sites[State]</f>
        <v>MA</v>
      </c>
      <c r="C4" s="28">
        <v>35020</v>
      </c>
      <c r="D4" s="29" t="s">
        <v>43</v>
      </c>
      <c r="E4" s="29" t="str">
        <f>IF(AND(ISNUMBER(C4),ISNUMBER(D4)), C4-D4, "")</f>
        <v/>
      </c>
      <c r="F4" s="30" t="str">
        <f>IFERROR(E4/D4, "")</f>
        <v/>
      </c>
      <c r="G4" s="73" t="s">
        <v>43</v>
      </c>
      <c r="H4" s="31" t="str">
        <f>IF(AND(ISNUMBER(C4),ISNUMBER(G4)), C4-G4, "")</f>
        <v/>
      </c>
      <c r="I4" s="32" t="str">
        <f>IFERROR(H4/G4, "")</f>
        <v/>
      </c>
      <c r="J4" s="62" t="s">
        <v>470</v>
      </c>
      <c r="K4" s="78" t="s">
        <v>207</v>
      </c>
    </row>
    <row r="5" spans="1:17" ht="201.6">
      <c r="A5" s="41" t="str">
        <v>Pacoima - Whiteman Airport</v>
      </c>
      <c r="B5" s="42" t="str">
        <v>CA</v>
      </c>
      <c r="C5" s="61">
        <v>2232</v>
      </c>
      <c r="D5" s="36" t="s">
        <v>43</v>
      </c>
      <c r="E5" s="36" t="str">
        <f t="shared" ref="E5:E12" si="0">IF(AND(ISNUMBER(C5),ISNUMBER(D5)), C5-D5, "")</f>
        <v/>
      </c>
      <c r="F5" s="37" t="str">
        <f>IFERROR(E5/D5, "")</f>
        <v/>
      </c>
      <c r="G5" s="38">
        <v>3278.9</v>
      </c>
      <c r="H5" s="38">
        <f t="shared" ref="H5:H12" si="1">IF(AND(ISNUMBER(C5),ISNUMBER(G5)), C5-G5, "")</f>
        <v>-1046.9000000000001</v>
      </c>
      <c r="I5" s="37">
        <f t="shared" ref="I5:I13" si="2">IFERROR(H5/G5, "")</f>
        <v>-0.31928390618805091</v>
      </c>
      <c r="J5" s="60" t="s">
        <v>600</v>
      </c>
      <c r="K5" s="75" t="s">
        <v>601</v>
      </c>
      <c r="L5" s="76" t="s">
        <v>602</v>
      </c>
      <c r="M5" s="76" t="s">
        <v>135</v>
      </c>
      <c r="N5" s="76" t="s">
        <v>603</v>
      </c>
      <c r="O5" s="76" t="s">
        <v>604</v>
      </c>
      <c r="P5" s="76" t="s">
        <v>349</v>
      </c>
      <c r="Q5" s="76" t="s">
        <v>136</v>
      </c>
    </row>
    <row r="6" spans="1:17" ht="15.6">
      <c r="A6" s="43" t="str">
        <v>Hyannis - Sturgis Charter School</v>
      </c>
      <c r="B6" s="40" t="str">
        <v>MA</v>
      </c>
      <c r="C6" s="28">
        <v>28703.850829999999</v>
      </c>
      <c r="D6" s="29" t="s">
        <v>43</v>
      </c>
      <c r="E6" s="29" t="str">
        <f t="shared" si="0"/>
        <v/>
      </c>
      <c r="F6" s="30" t="str">
        <f t="shared" ref="F6:F12" si="3">IFERROR(E6/D6, "")</f>
        <v/>
      </c>
      <c r="G6" s="73">
        <v>28080</v>
      </c>
      <c r="H6" s="31">
        <f t="shared" si="1"/>
        <v>623.85082999999941</v>
      </c>
      <c r="I6" s="32">
        <f t="shared" si="2"/>
        <v>2.2216909900284878E-2</v>
      </c>
      <c r="J6" s="62"/>
      <c r="K6" s="62"/>
    </row>
    <row r="7" spans="1:17" ht="57.6">
      <c r="A7" s="41" t="str">
        <v>South Dennis - Tony Kent Arena</v>
      </c>
      <c r="B7" s="42" t="str">
        <v>MA</v>
      </c>
      <c r="C7" s="35">
        <v>31300</v>
      </c>
      <c r="D7" s="36" t="s">
        <v>43</v>
      </c>
      <c r="E7" s="36" t="str">
        <f t="shared" si="0"/>
        <v/>
      </c>
      <c r="F7" s="37" t="str">
        <f t="shared" si="3"/>
        <v/>
      </c>
      <c r="G7" s="74" t="s">
        <v>43</v>
      </c>
      <c r="H7" s="38" t="str">
        <f t="shared" si="1"/>
        <v/>
      </c>
      <c r="I7" s="37" t="str">
        <f t="shared" si="2"/>
        <v/>
      </c>
      <c r="J7" s="60" t="s">
        <v>91</v>
      </c>
      <c r="K7" s="75" t="s">
        <v>473</v>
      </c>
      <c r="L7" s="76" t="s">
        <v>53</v>
      </c>
    </row>
    <row r="8" spans="1:17" ht="100.9">
      <c r="A8" s="43" t="str">
        <v xml:space="preserve"> Caropolis - Felician Sisters</v>
      </c>
      <c r="B8" s="40" t="str">
        <v>PA</v>
      </c>
      <c r="C8" s="28">
        <v>39708.199999999997</v>
      </c>
      <c r="D8" s="29" t="s">
        <v>43</v>
      </c>
      <c r="E8" s="29" t="str">
        <f t="shared" si="0"/>
        <v/>
      </c>
      <c r="F8" s="30" t="str">
        <f t="shared" si="3"/>
        <v/>
      </c>
      <c r="G8" s="73" t="s">
        <v>43</v>
      </c>
      <c r="H8" s="31" t="str">
        <f t="shared" si="1"/>
        <v/>
      </c>
      <c r="I8" s="32" t="str">
        <f t="shared" si="2"/>
        <v/>
      </c>
      <c r="J8" s="62" t="s">
        <v>605</v>
      </c>
      <c r="K8" s="78" t="s">
        <v>606</v>
      </c>
      <c r="L8" s="76" t="s">
        <v>95</v>
      </c>
      <c r="M8" s="76" t="s">
        <v>607</v>
      </c>
    </row>
    <row r="9" spans="1:17" ht="72">
      <c r="A9" s="41" t="str">
        <v>Clear Lake - Eastlake Gohman</v>
      </c>
      <c r="B9" s="42" t="str">
        <v>MN</v>
      </c>
      <c r="C9" s="35">
        <v>260863.09597857099</v>
      </c>
      <c r="D9" s="36" t="s">
        <v>43</v>
      </c>
      <c r="E9" s="36" t="str">
        <f t="shared" si="0"/>
        <v/>
      </c>
      <c r="F9" s="37" t="str">
        <f t="shared" si="3"/>
        <v/>
      </c>
      <c r="G9" s="38">
        <v>160409.1</v>
      </c>
      <c r="H9" s="38">
        <f t="shared" si="1"/>
        <v>100453.99597857098</v>
      </c>
      <c r="I9" s="37">
        <f t="shared" si="2"/>
        <v>0.62623626701085522</v>
      </c>
      <c r="J9" s="60" t="s">
        <v>608</v>
      </c>
      <c r="K9" s="75" t="s">
        <v>475</v>
      </c>
      <c r="L9" s="76" t="s">
        <v>354</v>
      </c>
      <c r="M9" s="76" t="s">
        <v>476</v>
      </c>
    </row>
    <row r="10" spans="1:17" ht="15.6">
      <c r="A10" s="43" t="str">
        <v>Zumbrota - Eastlake Brenda Luhman</v>
      </c>
      <c r="B10" s="40" t="str">
        <v>MN</v>
      </c>
      <c r="C10" s="28">
        <v>169987</v>
      </c>
      <c r="D10" s="29" t="s">
        <v>43</v>
      </c>
      <c r="E10" s="29" t="str">
        <f t="shared" si="0"/>
        <v/>
      </c>
      <c r="F10" s="30" t="str">
        <f t="shared" si="3"/>
        <v/>
      </c>
      <c r="G10" s="31">
        <v>162319.29999999999</v>
      </c>
      <c r="H10" s="31">
        <f t="shared" si="1"/>
        <v>7667.7000000000116</v>
      </c>
      <c r="I10" s="32">
        <f t="shared" si="2"/>
        <v>4.7238375227098763E-2</v>
      </c>
      <c r="J10" s="62"/>
      <c r="K10" s="62"/>
    </row>
    <row r="11" spans="1:17" ht="57.6">
      <c r="A11" s="41" t="str">
        <v>Cokato - Eastlake Carlson</v>
      </c>
      <c r="B11" s="42" t="str">
        <v>MN</v>
      </c>
      <c r="C11" s="35">
        <v>159734</v>
      </c>
      <c r="D11" s="36" t="s">
        <v>43</v>
      </c>
      <c r="E11" s="36" t="str">
        <f t="shared" si="0"/>
        <v/>
      </c>
      <c r="F11" s="37" t="str">
        <f t="shared" si="3"/>
        <v/>
      </c>
      <c r="G11" s="38">
        <v>179322.9</v>
      </c>
      <c r="H11" s="38">
        <f t="shared" si="1"/>
        <v>-19588.899999999994</v>
      </c>
      <c r="I11" s="37">
        <f>IFERROR(H11/G11, "")</f>
        <v>-0.10923813969102661</v>
      </c>
      <c r="J11" s="60" t="s">
        <v>609</v>
      </c>
      <c r="K11" s="75" t="s">
        <v>610</v>
      </c>
      <c r="L11" s="76" t="s">
        <v>100</v>
      </c>
    </row>
    <row r="12" spans="1:17" ht="28.9">
      <c r="A12" s="43" t="str">
        <v>North Branch - Cornille 2</v>
      </c>
      <c r="B12" s="40" t="str">
        <v>MN</v>
      </c>
      <c r="C12" s="28">
        <v>165821</v>
      </c>
      <c r="D12" s="29" t="s">
        <v>43</v>
      </c>
      <c r="E12" s="29" t="str">
        <f t="shared" si="0"/>
        <v/>
      </c>
      <c r="F12" s="30" t="str">
        <f t="shared" si="3"/>
        <v/>
      </c>
      <c r="G12" s="31">
        <v>164362.6</v>
      </c>
      <c r="H12" s="31">
        <f t="shared" si="1"/>
        <v>1458.3999999999942</v>
      </c>
      <c r="I12" s="32">
        <f t="shared" si="2"/>
        <v>8.8730647969793262E-3</v>
      </c>
      <c r="J12" s="62" t="s">
        <v>480</v>
      </c>
      <c r="K12" s="78" t="s">
        <v>481</v>
      </c>
    </row>
    <row r="13" spans="1:17" ht="43.15">
      <c r="A13" s="41" t="str">
        <v>Clear Lake - Eastlake Hammer</v>
      </c>
      <c r="B13" s="42" t="str">
        <v>MN</v>
      </c>
      <c r="C13" s="35">
        <v>168808</v>
      </c>
      <c r="D13" s="36" t="s">
        <v>43</v>
      </c>
      <c r="E13" s="36" t="str">
        <f t="shared" ref="E13:E76" si="4">IF(AND(ISNUMBER(C13),ISNUMBER(D13)), C13-D13, "")</f>
        <v/>
      </c>
      <c r="F13" s="37" t="str">
        <f t="shared" ref="F13:F76" si="5">IFERROR(E13/D13, "")</f>
        <v/>
      </c>
      <c r="G13" s="38">
        <v>177088.9</v>
      </c>
      <c r="H13" s="38">
        <f t="shared" ref="H13:H76" si="6">IF(AND(ISNUMBER(C13),ISNUMBER(G13)), C13-G13, "")</f>
        <v>-8280.8999999999942</v>
      </c>
      <c r="I13" s="37">
        <f t="shared" si="2"/>
        <v>-4.6761259457820309E-2</v>
      </c>
      <c r="J13" s="60" t="s">
        <v>482</v>
      </c>
      <c r="K13" s="75" t="s">
        <v>611</v>
      </c>
      <c r="L13" s="76" t="s">
        <v>612</v>
      </c>
    </row>
    <row r="14" spans="1:17" ht="115.15">
      <c r="A14" s="43" t="str">
        <v>Eastlake - Hertzberg CSG 1</v>
      </c>
      <c r="B14" s="40" t="str">
        <v>MN</v>
      </c>
      <c r="C14" s="28">
        <v>116447.77499999999</v>
      </c>
      <c r="D14" s="29" t="s">
        <v>43</v>
      </c>
      <c r="E14" s="29" t="str">
        <f t="shared" si="4"/>
        <v/>
      </c>
      <c r="F14" s="30" t="str">
        <f t="shared" si="5"/>
        <v/>
      </c>
      <c r="G14" s="31">
        <v>188114</v>
      </c>
      <c r="H14" s="31">
        <f t="shared" si="6"/>
        <v>-71666.225000000006</v>
      </c>
      <c r="I14" s="32">
        <f t="shared" ref="I14:I77" si="7">IFERROR(H14/G14, "")</f>
        <v>-0.38097230934433379</v>
      </c>
      <c r="J14" s="62" t="s">
        <v>613</v>
      </c>
      <c r="K14" s="78" t="s">
        <v>614</v>
      </c>
      <c r="L14" s="76" t="s">
        <v>485</v>
      </c>
      <c r="M14" s="76" t="s">
        <v>615</v>
      </c>
      <c r="N14" s="76" t="s">
        <v>616</v>
      </c>
    </row>
    <row r="15" spans="1:17" ht="63" customHeight="1">
      <c r="A15" s="41" t="str">
        <v>Cokato - Eastlake Laurel Village</v>
      </c>
      <c r="B15" s="42" t="str">
        <v>MN</v>
      </c>
      <c r="C15" s="35">
        <v>132967.95000000001</v>
      </c>
      <c r="D15" s="36" t="s">
        <v>43</v>
      </c>
      <c r="E15" s="36" t="str">
        <f t="shared" si="4"/>
        <v/>
      </c>
      <c r="F15" s="37" t="str">
        <f t="shared" si="5"/>
        <v/>
      </c>
      <c r="G15" s="38">
        <v>180519.2</v>
      </c>
      <c r="H15" s="38">
        <f t="shared" si="6"/>
        <v>-47551.25</v>
      </c>
      <c r="I15" s="37">
        <f t="shared" si="7"/>
        <v>-0.26341380861426372</v>
      </c>
      <c r="J15" s="60" t="s">
        <v>617</v>
      </c>
      <c r="K15" s="75" t="s">
        <v>618</v>
      </c>
      <c r="L15" s="76" t="s">
        <v>619</v>
      </c>
      <c r="M15" s="76" t="s">
        <v>620</v>
      </c>
      <c r="N15" s="76" t="s">
        <v>621</v>
      </c>
    </row>
    <row r="16" spans="1:17" ht="28.9">
      <c r="A16" s="43" t="str">
        <v>St. Peter - Eastlake Paulson</v>
      </c>
      <c r="B16" s="40" t="str">
        <v>MN</v>
      </c>
      <c r="C16" s="28">
        <v>163523.05368190099</v>
      </c>
      <c r="D16" s="29" t="s">
        <v>43</v>
      </c>
      <c r="E16" s="29" t="str">
        <f t="shared" si="4"/>
        <v/>
      </c>
      <c r="F16" s="30" t="str">
        <f t="shared" si="5"/>
        <v/>
      </c>
      <c r="G16" s="31">
        <v>178757.9</v>
      </c>
      <c r="H16" s="31">
        <f t="shared" si="6"/>
        <v>-15234.846318099007</v>
      </c>
      <c r="I16" s="32">
        <f t="shared" si="7"/>
        <v>-8.5226142833961502E-2</v>
      </c>
      <c r="J16" s="62" t="s">
        <v>622</v>
      </c>
      <c r="K16" s="78" t="s">
        <v>623</v>
      </c>
      <c r="L16" s="76" t="s">
        <v>624</v>
      </c>
    </row>
    <row r="17" spans="1:22" ht="57.6">
      <c r="A17" s="41" t="str">
        <v>Felician Sisters Convent</v>
      </c>
      <c r="B17" s="42" t="str">
        <v>NJ</v>
      </c>
      <c r="C17" s="35">
        <v>3805.7</v>
      </c>
      <c r="D17" s="36" t="s">
        <v>43</v>
      </c>
      <c r="E17" s="36" t="str">
        <f t="shared" si="4"/>
        <v/>
      </c>
      <c r="F17" s="37" t="str">
        <f t="shared" si="5"/>
        <v/>
      </c>
      <c r="G17" s="38" t="s">
        <v>625</v>
      </c>
      <c r="H17" s="38" t="str">
        <f t="shared" si="6"/>
        <v/>
      </c>
      <c r="I17" s="37" t="str">
        <f t="shared" si="7"/>
        <v/>
      </c>
      <c r="J17" s="60" t="s">
        <v>370</v>
      </c>
      <c r="K17" s="75" t="s">
        <v>490</v>
      </c>
    </row>
    <row r="18" spans="1:22" ht="28.9">
      <c r="A18" s="43" t="str">
        <v>Sussex County Fairgrounds</v>
      </c>
      <c r="B18" s="40" t="str">
        <v>NJ</v>
      </c>
      <c r="C18" s="28">
        <v>50116.32</v>
      </c>
      <c r="D18" s="29" t="s">
        <v>43</v>
      </c>
      <c r="E18" s="29" t="str">
        <f t="shared" si="4"/>
        <v/>
      </c>
      <c r="F18" s="30" t="str">
        <f t="shared" si="5"/>
        <v/>
      </c>
      <c r="G18" s="31" t="s">
        <v>625</v>
      </c>
      <c r="H18" s="31" t="str">
        <f t="shared" si="6"/>
        <v/>
      </c>
      <c r="I18" s="32" t="str">
        <f t="shared" si="7"/>
        <v/>
      </c>
      <c r="J18" s="62" t="s">
        <v>626</v>
      </c>
      <c r="K18" s="78" t="s">
        <v>627</v>
      </c>
      <c r="L18" s="76" t="s">
        <v>628</v>
      </c>
    </row>
    <row r="19" spans="1:22" ht="172.9">
      <c r="A19" s="41" t="str">
        <v>Gateway Church</v>
      </c>
      <c r="B19" s="42" t="str">
        <v>NJ</v>
      </c>
      <c r="C19" s="61">
        <v>24848</v>
      </c>
      <c r="D19" s="36" t="s">
        <v>43</v>
      </c>
      <c r="E19" s="36" t="str">
        <f t="shared" si="4"/>
        <v/>
      </c>
      <c r="F19" s="37" t="str">
        <f t="shared" si="5"/>
        <v/>
      </c>
      <c r="G19" s="38" t="s">
        <v>625</v>
      </c>
      <c r="H19" s="38" t="str">
        <f t="shared" si="6"/>
        <v/>
      </c>
      <c r="I19" s="37" t="str">
        <f t="shared" si="7"/>
        <v/>
      </c>
      <c r="J19" s="60" t="s">
        <v>629</v>
      </c>
      <c r="K19" s="75" t="s">
        <v>630</v>
      </c>
      <c r="L19" s="76" t="s">
        <v>497</v>
      </c>
      <c r="M19" s="76" t="s">
        <v>498</v>
      </c>
      <c r="N19" s="76" t="s">
        <v>499</v>
      </c>
      <c r="O19" s="76" t="s">
        <v>500</v>
      </c>
      <c r="P19" s="76" t="s">
        <v>501</v>
      </c>
      <c r="Q19" s="76" t="s">
        <v>502</v>
      </c>
      <c r="R19" s="76" t="s">
        <v>503</v>
      </c>
      <c r="S19" s="76" t="s">
        <v>504</v>
      </c>
      <c r="T19" s="76" t="s">
        <v>505</v>
      </c>
      <c r="U19" s="76" t="s">
        <v>506</v>
      </c>
      <c r="V19" s="76" t="s">
        <v>631</v>
      </c>
    </row>
    <row r="20" spans="1:22" ht="57.6">
      <c r="A20" s="43" t="str">
        <v>Beaver Falls - Felician Sisters</v>
      </c>
      <c r="B20" s="40" t="str">
        <v>PA</v>
      </c>
      <c r="C20" s="28">
        <v>40813</v>
      </c>
      <c r="D20" s="29" t="s">
        <v>43</v>
      </c>
      <c r="E20" s="29" t="str">
        <f t="shared" si="4"/>
        <v/>
      </c>
      <c r="F20" s="30" t="str">
        <f t="shared" si="5"/>
        <v/>
      </c>
      <c r="G20" s="31" t="s">
        <v>625</v>
      </c>
      <c r="H20" s="31" t="str">
        <f t="shared" si="6"/>
        <v/>
      </c>
      <c r="I20" s="32" t="str">
        <f t="shared" si="7"/>
        <v/>
      </c>
      <c r="J20" s="62" t="s">
        <v>507</v>
      </c>
      <c r="K20" s="78" t="s">
        <v>242</v>
      </c>
    </row>
    <row r="21" spans="1:22" ht="111" customHeight="1">
      <c r="A21" s="41" t="str">
        <v>Livonia - Felician Sisters Ground</v>
      </c>
      <c r="B21" s="42" t="str">
        <v>MI</v>
      </c>
      <c r="C21" s="35">
        <v>7503.2</v>
      </c>
      <c r="D21" s="36" t="s">
        <v>43</v>
      </c>
      <c r="E21" s="36" t="str">
        <f t="shared" si="4"/>
        <v/>
      </c>
      <c r="F21" s="37" t="str">
        <f t="shared" si="5"/>
        <v/>
      </c>
      <c r="G21" s="38" t="s">
        <v>625</v>
      </c>
      <c r="H21" s="38" t="str">
        <f t="shared" si="6"/>
        <v/>
      </c>
      <c r="I21" s="37" t="str">
        <f t="shared" si="7"/>
        <v/>
      </c>
      <c r="J21" s="60" t="s">
        <v>632</v>
      </c>
      <c r="K21" s="75" t="s">
        <v>633</v>
      </c>
      <c r="L21" s="76" t="s">
        <v>80</v>
      </c>
      <c r="M21" s="76" t="s">
        <v>634</v>
      </c>
      <c r="N21" s="76" t="s">
        <v>635</v>
      </c>
      <c r="O21" s="76" t="s">
        <v>636</v>
      </c>
    </row>
    <row r="22" spans="1:22" ht="15.6">
      <c r="A22" s="43" t="str">
        <v>Livonia - Felician Sisters Roof</v>
      </c>
      <c r="B22" s="40" t="str">
        <v>MI</v>
      </c>
      <c r="C22" s="28">
        <v>13030</v>
      </c>
      <c r="D22" s="29" t="s">
        <v>43</v>
      </c>
      <c r="E22" s="29" t="str">
        <f t="shared" si="4"/>
        <v/>
      </c>
      <c r="F22" s="30" t="str">
        <f t="shared" si="5"/>
        <v/>
      </c>
      <c r="G22" s="31" t="s">
        <v>625</v>
      </c>
      <c r="H22" s="31" t="str">
        <f t="shared" si="6"/>
        <v/>
      </c>
      <c r="I22" s="32" t="str">
        <f t="shared" si="7"/>
        <v/>
      </c>
      <c r="J22" s="62" t="s">
        <v>377</v>
      </c>
      <c r="K22" s="78" t="s">
        <v>510</v>
      </c>
    </row>
    <row r="23" spans="1:22" ht="15.6">
      <c r="A23" s="41" t="str">
        <v>Monmouth Worship Ctr</v>
      </c>
      <c r="B23" s="42" t="str">
        <v>NJ</v>
      </c>
      <c r="C23" s="35">
        <v>5007.07</v>
      </c>
      <c r="D23" s="36" t="s">
        <v>43</v>
      </c>
      <c r="E23" s="36" t="str">
        <f t="shared" si="4"/>
        <v/>
      </c>
      <c r="F23" s="37" t="str">
        <f t="shared" si="5"/>
        <v/>
      </c>
      <c r="G23" s="38" t="s">
        <v>625</v>
      </c>
      <c r="H23" s="38" t="str">
        <f t="shared" si="6"/>
        <v/>
      </c>
      <c r="I23" s="37" t="str">
        <f t="shared" si="7"/>
        <v/>
      </c>
      <c r="J23" s="60"/>
      <c r="K23" s="59"/>
    </row>
    <row r="24" spans="1:22" ht="15.6">
      <c r="A24" s="43" t="str">
        <v xml:space="preserve"> Audubon - Senior Citizens United</v>
      </c>
      <c r="B24" s="40" t="str">
        <v>NJ</v>
      </c>
      <c r="C24" s="28">
        <v>9311</v>
      </c>
      <c r="D24" s="29" t="s">
        <v>43</v>
      </c>
      <c r="E24" s="29" t="str">
        <f t="shared" si="4"/>
        <v/>
      </c>
      <c r="F24" s="30" t="str">
        <f t="shared" si="5"/>
        <v/>
      </c>
      <c r="G24" s="31" t="s">
        <v>625</v>
      </c>
      <c r="H24" s="31" t="str">
        <f t="shared" si="6"/>
        <v/>
      </c>
      <c r="I24" s="32" t="str">
        <f t="shared" si="7"/>
        <v/>
      </c>
      <c r="J24" s="62"/>
      <c r="K24" s="62"/>
    </row>
    <row r="25" spans="1:22" ht="196.5" customHeight="1">
      <c r="A25" s="41" t="str">
        <v>Hollister - PG&amp;E (Enerparc)</v>
      </c>
      <c r="B25" s="42" t="str">
        <v>CA</v>
      </c>
      <c r="C25" s="35">
        <v>224148.81299999999</v>
      </c>
      <c r="D25" s="36">
        <v>0</v>
      </c>
      <c r="E25" s="36">
        <f t="shared" si="4"/>
        <v>224148.81299999999</v>
      </c>
      <c r="F25" s="37" t="str">
        <f t="shared" si="5"/>
        <v/>
      </c>
      <c r="G25" s="38">
        <v>347082.4</v>
      </c>
      <c r="H25" s="38">
        <f t="shared" si="6"/>
        <v>-122933.58700000003</v>
      </c>
      <c r="I25" s="37">
        <f t="shared" si="7"/>
        <v>-0.35419135917004152</v>
      </c>
      <c r="J25" s="60" t="s">
        <v>637</v>
      </c>
      <c r="K25" s="75" t="s">
        <v>638</v>
      </c>
      <c r="L25" s="76" t="s">
        <v>251</v>
      </c>
      <c r="M25" s="76" t="s">
        <v>513</v>
      </c>
      <c r="N25" s="76" t="s">
        <v>639</v>
      </c>
      <c r="O25" s="76" t="s">
        <v>640</v>
      </c>
    </row>
    <row r="26" spans="1:22" ht="57.6">
      <c r="A26" s="43" t="str">
        <v>Taos County - Kit Carson Electric Co-Op</v>
      </c>
      <c r="B26" s="40" t="str">
        <v>NM</v>
      </c>
      <c r="C26" s="28">
        <v>252200</v>
      </c>
      <c r="D26" s="29">
        <v>182265.4</v>
      </c>
      <c r="E26" s="29">
        <f t="shared" si="4"/>
        <v>69934.600000000006</v>
      </c>
      <c r="F26" s="30">
        <f t="shared" si="5"/>
        <v>0.38369652166565904</v>
      </c>
      <c r="G26" s="31">
        <v>164191.20000000001</v>
      </c>
      <c r="H26" s="31">
        <f t="shared" si="6"/>
        <v>88008.799999999988</v>
      </c>
      <c r="I26" s="32">
        <f t="shared" si="7"/>
        <v>0.53601411037863167</v>
      </c>
      <c r="J26" s="62" t="s">
        <v>641</v>
      </c>
      <c r="K26" s="78" t="s">
        <v>642</v>
      </c>
    </row>
    <row r="27" spans="1:22" ht="28.9">
      <c r="A27" s="41" t="str">
        <v>Commerce City - Adams City HS</v>
      </c>
      <c r="B27" s="42" t="str">
        <v>CO</v>
      </c>
      <c r="C27" s="35">
        <v>13260</v>
      </c>
      <c r="D27" s="36">
        <v>10997.74</v>
      </c>
      <c r="E27" s="36">
        <f t="shared" si="4"/>
        <v>2262.2600000000002</v>
      </c>
      <c r="F27" s="37">
        <f t="shared" si="5"/>
        <v>0.2057022624648337</v>
      </c>
      <c r="G27" s="38">
        <v>12284.28</v>
      </c>
      <c r="H27" s="38">
        <f t="shared" si="6"/>
        <v>975.71999999999935</v>
      </c>
      <c r="I27" s="37">
        <f t="shared" si="7"/>
        <v>7.9428342564643539E-2</v>
      </c>
      <c r="J27" s="60" t="s">
        <v>514</v>
      </c>
      <c r="K27" s="59"/>
    </row>
    <row r="28" spans="1:22" ht="15.6">
      <c r="A28" s="43" t="str">
        <v>Commerce City - Adams City MS</v>
      </c>
      <c r="B28" s="40" t="str">
        <v>CO</v>
      </c>
      <c r="C28" s="28">
        <v>10675</v>
      </c>
      <c r="D28" s="29">
        <v>9993.1200000000008</v>
      </c>
      <c r="E28" s="29">
        <f t="shared" si="4"/>
        <v>681.8799999999992</v>
      </c>
      <c r="F28" s="30">
        <f t="shared" si="5"/>
        <v>6.8234945642602018E-2</v>
      </c>
      <c r="G28" s="31">
        <v>10811.23</v>
      </c>
      <c r="H28" s="31">
        <f t="shared" si="6"/>
        <v>-136.22999999999956</v>
      </c>
      <c r="I28" s="32">
        <f t="shared" si="7"/>
        <v>-1.2600786404507125E-2</v>
      </c>
      <c r="J28" s="62"/>
      <c r="K28" s="62"/>
    </row>
    <row r="29" spans="1:22" ht="15.6">
      <c r="A29" s="41" t="str">
        <v>Commerce City - Central ES</v>
      </c>
      <c r="B29" s="42" t="str">
        <v>CO</v>
      </c>
      <c r="C29" s="35">
        <v>2798</v>
      </c>
      <c r="D29" s="36">
        <v>2831.2759999999998</v>
      </c>
      <c r="E29" s="36">
        <f t="shared" si="4"/>
        <v>-33.27599999999984</v>
      </c>
      <c r="F29" s="37">
        <f t="shared" si="5"/>
        <v>-1.1753004652319252E-2</v>
      </c>
      <c r="G29" s="38">
        <v>3130.43</v>
      </c>
      <c r="H29" s="38">
        <f t="shared" si="6"/>
        <v>-332.42999999999984</v>
      </c>
      <c r="I29" s="37">
        <f t="shared" si="7"/>
        <v>-0.10619307890609272</v>
      </c>
      <c r="J29" s="60"/>
      <c r="K29" s="59"/>
    </row>
    <row r="30" spans="1:22" ht="15.6">
      <c r="A30" s="43" t="str">
        <v>Commerce City - Dupont ES</v>
      </c>
      <c r="B30" s="40" t="str">
        <v>CO</v>
      </c>
      <c r="C30" s="28">
        <v>8635</v>
      </c>
      <c r="D30" s="29">
        <v>7895.92</v>
      </c>
      <c r="E30" s="29">
        <f t="shared" si="4"/>
        <v>739.07999999999993</v>
      </c>
      <c r="F30" s="30">
        <f t="shared" si="5"/>
        <v>9.3602772064559914E-2</v>
      </c>
      <c r="G30" s="31">
        <v>8854.3950000000004</v>
      </c>
      <c r="H30" s="31">
        <f t="shared" si="6"/>
        <v>-219.39500000000044</v>
      </c>
      <c r="I30" s="32">
        <f t="shared" si="7"/>
        <v>-2.4778090428538645E-2</v>
      </c>
      <c r="J30" s="62"/>
      <c r="K30" s="62"/>
    </row>
    <row r="31" spans="1:22" ht="28.9">
      <c r="A31" s="41" t="str">
        <v>Commerce City - Educational Support Services</v>
      </c>
      <c r="B31" s="42" t="str">
        <v>CO</v>
      </c>
      <c r="C31" s="35">
        <v>0</v>
      </c>
      <c r="D31" s="36">
        <v>8416.1409999999996</v>
      </c>
      <c r="E31" s="36">
        <f t="shared" si="4"/>
        <v>-8416.1409999999996</v>
      </c>
      <c r="F31" s="37">
        <f t="shared" si="5"/>
        <v>-1</v>
      </c>
      <c r="G31" s="38">
        <v>9366.4140000000007</v>
      </c>
      <c r="H31" s="38">
        <f t="shared" si="6"/>
        <v>-9366.4140000000007</v>
      </c>
      <c r="I31" s="37">
        <f t="shared" si="7"/>
        <v>-1</v>
      </c>
      <c r="J31" s="60" t="s">
        <v>516</v>
      </c>
      <c r="K31" s="75" t="s">
        <v>517</v>
      </c>
    </row>
    <row r="32" spans="1:22" ht="15.6">
      <c r="A32" s="43" t="str">
        <v>Commerce City - Hanson ES</v>
      </c>
      <c r="B32" s="40" t="str">
        <v>CO</v>
      </c>
      <c r="C32" s="28">
        <v>11492</v>
      </c>
      <c r="D32" s="29">
        <v>10974.89</v>
      </c>
      <c r="E32" s="29">
        <f t="shared" si="4"/>
        <v>517.11000000000058</v>
      </c>
      <c r="F32" s="30">
        <f t="shared" si="5"/>
        <v>4.7117556531318362E-2</v>
      </c>
      <c r="G32" s="31">
        <v>12246.18</v>
      </c>
      <c r="H32" s="31">
        <f t="shared" si="6"/>
        <v>-754.18000000000029</v>
      </c>
      <c r="I32" s="32">
        <f t="shared" si="7"/>
        <v>-6.1584918725676112E-2</v>
      </c>
      <c r="J32" s="62"/>
      <c r="K32" s="62"/>
    </row>
    <row r="33" spans="1:13" ht="39.6">
      <c r="A33" s="41" t="str">
        <v>Commerce City - Kemp ES</v>
      </c>
      <c r="B33" s="42" t="str">
        <v>CO</v>
      </c>
      <c r="C33" s="35">
        <v>10622</v>
      </c>
      <c r="D33" s="36">
        <v>10969.19</v>
      </c>
      <c r="E33" s="36">
        <f t="shared" si="4"/>
        <v>-347.19000000000051</v>
      </c>
      <c r="F33" s="37">
        <f t="shared" si="5"/>
        <v>-3.1651379910458341E-2</v>
      </c>
      <c r="G33" s="38">
        <v>12240.13</v>
      </c>
      <c r="H33" s="38">
        <f t="shared" si="6"/>
        <v>-1618.1299999999992</v>
      </c>
      <c r="I33" s="37">
        <f t="shared" si="7"/>
        <v>-0.1321987593269025</v>
      </c>
      <c r="J33" s="60" t="s">
        <v>386</v>
      </c>
      <c r="K33" s="75" t="s">
        <v>387</v>
      </c>
      <c r="L33" s="76" t="s">
        <v>388</v>
      </c>
    </row>
    <row r="34" spans="1:13" ht="28.9">
      <c r="A34" s="43" t="str">
        <v>Commerce City -  Lester Arnold HS</v>
      </c>
      <c r="B34" s="40" t="str">
        <v>CO</v>
      </c>
      <c r="C34" s="28">
        <v>11778</v>
      </c>
      <c r="D34" s="29">
        <v>10604.11</v>
      </c>
      <c r="E34" s="29">
        <f t="shared" si="4"/>
        <v>1173.8899999999994</v>
      </c>
      <c r="F34" s="30">
        <f t="shared" si="5"/>
        <v>0.11070141671483975</v>
      </c>
      <c r="G34" s="31">
        <v>11882.62</v>
      </c>
      <c r="H34" s="31">
        <f t="shared" si="6"/>
        <v>-104.6200000000008</v>
      </c>
      <c r="I34" s="32">
        <f t="shared" si="7"/>
        <v>-8.8044555830280521E-3</v>
      </c>
      <c r="J34" s="62" t="s">
        <v>518</v>
      </c>
      <c r="K34" s="62"/>
    </row>
    <row r="35" spans="1:13" ht="15.6">
      <c r="A35" s="41" t="str">
        <v>Commerce City - Monaco ES</v>
      </c>
      <c r="B35" s="42" t="str">
        <v>CO</v>
      </c>
      <c r="C35" s="35">
        <v>11864</v>
      </c>
      <c r="D35" s="36">
        <v>10975.12</v>
      </c>
      <c r="E35" s="36">
        <f t="shared" si="4"/>
        <v>888.8799999999992</v>
      </c>
      <c r="F35" s="37">
        <f t="shared" si="5"/>
        <v>8.0990458418677802E-2</v>
      </c>
      <c r="G35" s="38">
        <v>12246.18</v>
      </c>
      <c r="H35" s="38">
        <f t="shared" si="6"/>
        <v>-382.18000000000029</v>
      </c>
      <c r="I35" s="37">
        <f t="shared" si="7"/>
        <v>-3.1208099178682683E-2</v>
      </c>
      <c r="J35" s="60"/>
      <c r="K35" s="59"/>
    </row>
    <row r="36" spans="1:13" ht="28.9">
      <c r="A36" s="43" t="str">
        <v>Denver - Northgate / Old Fort Logan ES</v>
      </c>
      <c r="B36" s="40" t="str">
        <v>CO</v>
      </c>
      <c r="C36" s="28">
        <v>10905</v>
      </c>
      <c r="D36" s="29">
        <v>9516.2060000000001</v>
      </c>
      <c r="E36" s="29">
        <f t="shared" si="4"/>
        <v>1388.7939999999999</v>
      </c>
      <c r="F36" s="30">
        <f t="shared" si="5"/>
        <v>0.14593988402520919</v>
      </c>
      <c r="G36" s="31">
        <v>11892.19</v>
      </c>
      <c r="H36" s="31">
        <f t="shared" si="6"/>
        <v>-987.19000000000051</v>
      </c>
      <c r="I36" s="32">
        <f t="shared" si="7"/>
        <v>-8.3011623594981279E-2</v>
      </c>
      <c r="J36" s="62" t="s">
        <v>519</v>
      </c>
      <c r="K36" s="62"/>
    </row>
    <row r="37" spans="1:13" ht="15.6">
      <c r="A37" s="41" t="str">
        <v>Denver - Sheridan High School</v>
      </c>
      <c r="B37" s="42" t="str">
        <v>CO</v>
      </c>
      <c r="C37" s="35">
        <v>12495</v>
      </c>
      <c r="D37" s="36">
        <v>10991.63</v>
      </c>
      <c r="E37" s="36">
        <f t="shared" si="4"/>
        <v>1503.3700000000008</v>
      </c>
      <c r="F37" s="37">
        <f t="shared" si="5"/>
        <v>0.13677407263526892</v>
      </c>
      <c r="G37" s="38">
        <v>11844.35</v>
      </c>
      <c r="H37" s="38">
        <f t="shared" si="6"/>
        <v>650.64999999999964</v>
      </c>
      <c r="I37" s="37">
        <f t="shared" si="7"/>
        <v>5.4933364853284448E-2</v>
      </c>
      <c r="J37" s="60"/>
      <c r="K37" s="59"/>
    </row>
    <row r="38" spans="1:13" ht="15.6">
      <c r="A38" s="43" t="str">
        <v>Englewood -  Alice Terry Elementary</v>
      </c>
      <c r="B38" s="40" t="str">
        <v>CO</v>
      </c>
      <c r="C38" s="28">
        <v>12172</v>
      </c>
      <c r="D38" s="29">
        <v>10992.22</v>
      </c>
      <c r="E38" s="29">
        <f t="shared" si="4"/>
        <v>1179.7800000000007</v>
      </c>
      <c r="F38" s="30">
        <f t="shared" si="5"/>
        <v>0.10732863789116309</v>
      </c>
      <c r="G38" s="31">
        <v>11892.19</v>
      </c>
      <c r="H38" s="31">
        <f t="shared" si="6"/>
        <v>279.80999999999949</v>
      </c>
      <c r="I38" s="32">
        <f t="shared" si="7"/>
        <v>2.3528887446298746E-2</v>
      </c>
      <c r="J38" s="62"/>
      <c r="K38" s="62"/>
    </row>
    <row r="39" spans="1:13" ht="26.45">
      <c r="A39" s="41" t="str">
        <v>Englewood - Sheridan Middle School</v>
      </c>
      <c r="B39" s="42" t="str">
        <v>CO</v>
      </c>
      <c r="C39" s="35">
        <v>5628</v>
      </c>
      <c r="D39" s="36">
        <v>6142.5209999999997</v>
      </c>
      <c r="E39" s="36">
        <f t="shared" si="4"/>
        <v>-514.52099999999973</v>
      </c>
      <c r="F39" s="37">
        <f t="shared" si="5"/>
        <v>-8.3763816192081356E-2</v>
      </c>
      <c r="G39" s="38">
        <v>6959.5609999999997</v>
      </c>
      <c r="H39" s="38">
        <f t="shared" si="6"/>
        <v>-1331.5609999999997</v>
      </c>
      <c r="I39" s="37">
        <f t="shared" si="7"/>
        <v>-0.19132830360995468</v>
      </c>
      <c r="J39" s="60" t="s">
        <v>520</v>
      </c>
      <c r="K39" s="75" t="s">
        <v>521</v>
      </c>
      <c r="L39" s="76" t="s">
        <v>522</v>
      </c>
    </row>
    <row r="40" spans="1:13" ht="43.15">
      <c r="A40" s="43" t="str">
        <v>Goshen - NIPSCO</v>
      </c>
      <c r="B40" s="40" t="str">
        <v>IN</v>
      </c>
      <c r="C40" s="28">
        <v>48157</v>
      </c>
      <c r="D40" s="29">
        <v>48118.61</v>
      </c>
      <c r="E40" s="29">
        <f t="shared" si="4"/>
        <v>38.389999999999418</v>
      </c>
      <c r="F40" s="30">
        <f t="shared" si="5"/>
        <v>7.978202196613621E-4</v>
      </c>
      <c r="G40" s="31">
        <v>50434.87</v>
      </c>
      <c r="H40" s="31">
        <f t="shared" si="6"/>
        <v>-2277.8700000000026</v>
      </c>
      <c r="I40" s="32">
        <f t="shared" si="7"/>
        <v>-4.5164585533778563E-2</v>
      </c>
      <c r="J40" s="62" t="s">
        <v>390</v>
      </c>
      <c r="K40" s="78" t="s">
        <v>190</v>
      </c>
    </row>
    <row r="41" spans="1:13" ht="72">
      <c r="A41" s="41" t="str">
        <v>Alamogordo - City of Alamogordo - Effluent</v>
      </c>
      <c r="B41" s="42" t="str">
        <v>NM</v>
      </c>
      <c r="C41" s="35">
        <v>23503</v>
      </c>
      <c r="D41" s="36">
        <v>28483.33</v>
      </c>
      <c r="E41" s="36">
        <f t="shared" si="4"/>
        <v>-4980.3300000000017</v>
      </c>
      <c r="F41" s="37">
        <f t="shared" si="5"/>
        <v>-0.17485069337047324</v>
      </c>
      <c r="G41" s="38">
        <v>26270.63</v>
      </c>
      <c r="H41" s="38">
        <f t="shared" si="6"/>
        <v>-2767.630000000001</v>
      </c>
      <c r="I41" s="37">
        <f t="shared" si="7"/>
        <v>-0.10535072817058445</v>
      </c>
      <c r="J41" s="60" t="s">
        <v>643</v>
      </c>
      <c r="K41" s="75" t="s">
        <v>524</v>
      </c>
      <c r="L41" s="76" t="s">
        <v>525</v>
      </c>
    </row>
    <row r="42" spans="1:13" ht="43.15">
      <c r="A42" s="43" t="str">
        <v>Alamogordo - City of Alamogordo - WWTP</v>
      </c>
      <c r="B42" s="40" t="str">
        <v>NM</v>
      </c>
      <c r="C42" s="28">
        <v>83070</v>
      </c>
      <c r="D42" s="29">
        <v>5.8603420000000003E-2</v>
      </c>
      <c r="E42" s="29">
        <f t="shared" si="4"/>
        <v>83069.941396580005</v>
      </c>
      <c r="F42" s="30">
        <f t="shared" si="5"/>
        <v>1417493.0643395898</v>
      </c>
      <c r="G42" s="31">
        <v>111409.8</v>
      </c>
      <c r="H42" s="31">
        <f t="shared" si="6"/>
        <v>-28339.800000000003</v>
      </c>
      <c r="I42" s="32">
        <f t="shared" si="7"/>
        <v>-0.25437439076275159</v>
      </c>
      <c r="J42" s="62" t="s">
        <v>526</v>
      </c>
      <c r="K42" s="78" t="s">
        <v>272</v>
      </c>
      <c r="L42" s="76" t="s">
        <v>273</v>
      </c>
      <c r="M42" s="76" t="s">
        <v>274</v>
      </c>
    </row>
    <row r="43" spans="1:13" ht="28.9">
      <c r="A43" s="41" t="str">
        <v>Deming - Bilbo Booster</v>
      </c>
      <c r="B43" s="42" t="str">
        <v>NM</v>
      </c>
      <c r="C43" s="35">
        <v>11421</v>
      </c>
      <c r="D43" s="36">
        <v>0</v>
      </c>
      <c r="E43" s="36">
        <f>IF(AND(ISNUMBER(C43),ISNUMBER(D43)), C43-D43, "")</f>
        <v>11421</v>
      </c>
      <c r="F43" s="37" t="str">
        <f>IFERROR(E43/D43, "")</f>
        <v/>
      </c>
      <c r="G43" s="105">
        <v>10530.84</v>
      </c>
      <c r="H43" s="38">
        <f>IF(AND(ISNUMBER(C43),ISNUMBER(G43)), C43-G43, "")</f>
        <v>890.15999999999985</v>
      </c>
      <c r="I43" s="37">
        <f>IFERROR(H43/G43, "")</f>
        <v>8.4528869491892367E-2</v>
      </c>
      <c r="J43" s="60" t="s">
        <v>527</v>
      </c>
      <c r="K43" s="75" t="s">
        <v>528</v>
      </c>
    </row>
    <row r="44" spans="1:13" ht="28.9">
      <c r="A44" s="43" t="str">
        <v>Deming - Bilbo Well</v>
      </c>
      <c r="B44" s="40" t="str">
        <v>NM</v>
      </c>
      <c r="C44" s="28">
        <v>20739.000000000098</v>
      </c>
      <c r="D44" s="29">
        <v>0</v>
      </c>
      <c r="E44" s="29">
        <f t="shared" si="4"/>
        <v>20739.000000000098</v>
      </c>
      <c r="F44" s="30" t="str">
        <f t="shared" si="5"/>
        <v/>
      </c>
      <c r="G44" s="31">
        <v>19035.650000000001</v>
      </c>
      <c r="H44" s="31">
        <f t="shared" si="6"/>
        <v>1703.3500000000968</v>
      </c>
      <c r="I44" s="32">
        <f t="shared" si="7"/>
        <v>8.9482103316676692E-2</v>
      </c>
      <c r="J44" s="62" t="s">
        <v>277</v>
      </c>
      <c r="K44" s="78" t="s">
        <v>278</v>
      </c>
    </row>
    <row r="45" spans="1:13" ht="39.6">
      <c r="A45" s="41" t="str">
        <v>Deming - WWTP</v>
      </c>
      <c r="B45" s="42" t="str">
        <v>NM</v>
      </c>
      <c r="C45" s="35">
        <v>74210</v>
      </c>
      <c r="D45" s="36">
        <v>68064.639999999999</v>
      </c>
      <c r="E45" s="36">
        <f t="shared" si="4"/>
        <v>6145.3600000000006</v>
      </c>
      <c r="F45" s="37">
        <f t="shared" si="5"/>
        <v>9.0287115306861246E-2</v>
      </c>
      <c r="G45" s="38">
        <v>84217.76</v>
      </c>
      <c r="H45" s="38">
        <f t="shared" si="6"/>
        <v>-10007.759999999995</v>
      </c>
      <c r="I45" s="37">
        <f t="shared" si="7"/>
        <v>-0.11883194233615327</v>
      </c>
      <c r="J45" s="60" t="s">
        <v>397</v>
      </c>
      <c r="K45" s="75" t="s">
        <v>644</v>
      </c>
      <c r="L45" s="76" t="s">
        <v>399</v>
      </c>
      <c r="M45" s="76" t="s">
        <v>645</v>
      </c>
    </row>
    <row r="46" spans="1:13" ht="43.15">
      <c r="A46" s="43" t="str">
        <v>Truth or Consequences - Walmart</v>
      </c>
      <c r="B46" s="40" t="str">
        <v>NM</v>
      </c>
      <c r="C46" s="28">
        <v>145300</v>
      </c>
      <c r="D46" s="29">
        <v>310102.3</v>
      </c>
      <c r="E46" s="29">
        <f t="shared" si="4"/>
        <v>-164802.29999999999</v>
      </c>
      <c r="F46" s="30">
        <f t="shared" si="5"/>
        <v>-0.53144494574854817</v>
      </c>
      <c r="G46" s="31">
        <v>163878.39999999999</v>
      </c>
      <c r="H46" s="31">
        <f t="shared" si="6"/>
        <v>-18578.399999999994</v>
      </c>
      <c r="I46" s="32">
        <f t="shared" si="7"/>
        <v>-0.11336698430055453</v>
      </c>
      <c r="J46" s="62" t="s">
        <v>646</v>
      </c>
      <c r="K46" s="78" t="s">
        <v>647</v>
      </c>
      <c r="L46" s="76" t="s">
        <v>532</v>
      </c>
      <c r="M46" s="76" t="s">
        <v>533</v>
      </c>
    </row>
    <row r="47" spans="1:13" ht="43.15">
      <c r="A47" s="41" t="str">
        <v>CA: Stockton - SUSD - Merlo</v>
      </c>
      <c r="B47" s="42" t="str">
        <v>CA</v>
      </c>
      <c r="C47" s="35">
        <v>6.125</v>
      </c>
      <c r="D47" s="36">
        <v>11800.48</v>
      </c>
      <c r="E47" s="36">
        <f t="shared" si="4"/>
        <v>-11794.355</v>
      </c>
      <c r="F47" s="37">
        <f t="shared" si="5"/>
        <v>-0.99948095331715325</v>
      </c>
      <c r="G47" s="38">
        <v>14669.85</v>
      </c>
      <c r="H47" s="38">
        <f t="shared" si="6"/>
        <v>-14663.725</v>
      </c>
      <c r="I47" s="37">
        <f t="shared" si="7"/>
        <v>-0.99958247698510894</v>
      </c>
      <c r="J47" s="60" t="s">
        <v>648</v>
      </c>
      <c r="K47" s="75" t="s">
        <v>535</v>
      </c>
      <c r="L47" s="76" t="s">
        <v>536</v>
      </c>
    </row>
    <row r="48" spans="1:13" ht="57.6">
      <c r="A48" s="43" t="str">
        <v>Stockton Unified School Dist. - Bush Elementary</v>
      </c>
      <c r="B48" s="40" t="str">
        <v>CA</v>
      </c>
      <c r="C48" s="28">
        <v>18529.25</v>
      </c>
      <c r="D48" s="29">
        <v>25559.64</v>
      </c>
      <c r="E48" s="29">
        <f t="shared" si="4"/>
        <v>-7030.3899999999994</v>
      </c>
      <c r="F48" s="30">
        <f t="shared" si="5"/>
        <v>-0.27505825590657768</v>
      </c>
      <c r="G48" s="31">
        <v>28961.58</v>
      </c>
      <c r="H48" s="31">
        <f t="shared" si="6"/>
        <v>-10432.330000000002</v>
      </c>
      <c r="I48" s="32">
        <f t="shared" si="7"/>
        <v>-0.3602127370122763</v>
      </c>
      <c r="J48" s="62" t="s">
        <v>649</v>
      </c>
      <c r="K48" s="78" t="s">
        <v>650</v>
      </c>
      <c r="L48" s="76" t="s">
        <v>651</v>
      </c>
    </row>
    <row r="49" spans="1:14" ht="43.15">
      <c r="A49" s="41" t="str">
        <v>CA: Stockton - SUSD - Marshall JHS</v>
      </c>
      <c r="B49" s="42" t="str">
        <v>CA</v>
      </c>
      <c r="C49" s="35">
        <v>4484</v>
      </c>
      <c r="D49" s="36">
        <v>16741.830000000002</v>
      </c>
      <c r="E49" s="36">
        <f t="shared" si="4"/>
        <v>-12257.830000000002</v>
      </c>
      <c r="F49" s="37">
        <f t="shared" si="5"/>
        <v>-0.73216786934283773</v>
      </c>
      <c r="G49" s="38">
        <v>18912.37</v>
      </c>
      <c r="H49" s="38">
        <f t="shared" si="6"/>
        <v>-14428.369999999999</v>
      </c>
      <c r="I49" s="37">
        <f t="shared" si="7"/>
        <v>-0.76290649981995906</v>
      </c>
      <c r="J49" s="60" t="s">
        <v>289</v>
      </c>
      <c r="K49" s="75" t="s">
        <v>290</v>
      </c>
    </row>
    <row r="50" spans="1:14" ht="28.9">
      <c r="A50" s="43" t="str">
        <v>CA: Stockton - SUSD - Hong-Kingston ES</v>
      </c>
      <c r="B50" s="40" t="str">
        <v>CA</v>
      </c>
      <c r="C50" s="28">
        <v>3195.25</v>
      </c>
      <c r="D50" s="29">
        <v>28503.39</v>
      </c>
      <c r="E50" s="29">
        <f t="shared" si="4"/>
        <v>-25308.14</v>
      </c>
      <c r="F50" s="30">
        <f t="shared" si="5"/>
        <v>-0.88789929899566333</v>
      </c>
      <c r="G50" s="31">
        <v>30954.959999999999</v>
      </c>
      <c r="H50" s="31">
        <f t="shared" si="6"/>
        <v>-27759.71</v>
      </c>
      <c r="I50" s="32">
        <f t="shared" si="7"/>
        <v>-0.89677744697457207</v>
      </c>
      <c r="J50" s="62" t="s">
        <v>291</v>
      </c>
      <c r="K50" s="78" t="s">
        <v>292</v>
      </c>
    </row>
    <row r="51" spans="1:14" ht="15.6">
      <c r="A51" s="41" t="str">
        <v>CA: Stockton - SUSD - Hamilton ES</v>
      </c>
      <c r="B51" s="42" t="str">
        <v>CA</v>
      </c>
      <c r="C51" s="35">
        <v>4146.375</v>
      </c>
      <c r="D51" s="36">
        <v>14540.97</v>
      </c>
      <c r="E51" s="36">
        <f t="shared" si="4"/>
        <v>-10394.594999999999</v>
      </c>
      <c r="F51" s="37">
        <f t="shared" si="5"/>
        <v>-0.71484880307159704</v>
      </c>
      <c r="G51" s="38">
        <v>16527.310000000001</v>
      </c>
      <c r="H51" s="38">
        <f t="shared" si="6"/>
        <v>-12380.935000000001</v>
      </c>
      <c r="I51" s="37">
        <f t="shared" si="7"/>
        <v>-0.74911979021389452</v>
      </c>
      <c r="J51" s="60" t="s">
        <v>541</v>
      </c>
      <c r="K51" s="75" t="s">
        <v>294</v>
      </c>
    </row>
    <row r="52" spans="1:14" ht="100.9">
      <c r="A52" s="43" t="str">
        <v>CA: Stockton - SUSD - Franklin - North</v>
      </c>
      <c r="B52" s="40" t="str">
        <v>CA</v>
      </c>
      <c r="C52" s="28">
        <v>17184.5</v>
      </c>
      <c r="D52" s="29">
        <v>81177.59</v>
      </c>
      <c r="E52" s="29">
        <f t="shared" si="4"/>
        <v>-63993.09</v>
      </c>
      <c r="F52" s="30">
        <f t="shared" si="5"/>
        <v>-0.78830980323510469</v>
      </c>
      <c r="G52" s="31">
        <v>43715.26</v>
      </c>
      <c r="H52" s="31">
        <f t="shared" si="6"/>
        <v>-26530.760000000002</v>
      </c>
      <c r="I52" s="32">
        <f t="shared" si="7"/>
        <v>-0.60689928414013783</v>
      </c>
      <c r="J52" s="62" t="s">
        <v>543</v>
      </c>
      <c r="K52" s="78" t="s">
        <v>544</v>
      </c>
      <c r="L52" s="76" t="s">
        <v>298</v>
      </c>
      <c r="M52" s="76" t="s">
        <v>317</v>
      </c>
      <c r="N52" s="76" t="s">
        <v>545</v>
      </c>
    </row>
    <row r="53" spans="1:14" ht="15.6">
      <c r="A53" s="41" t="str">
        <v>Stockton Unified School Dist. - Fillmore Elementary</v>
      </c>
      <c r="B53" s="42" t="str">
        <v>CA</v>
      </c>
      <c r="C53" s="35">
        <v>3025.125</v>
      </c>
      <c r="D53" s="36">
        <v>12200.76</v>
      </c>
      <c r="E53" s="36">
        <f t="shared" si="4"/>
        <v>-9175.6350000000002</v>
      </c>
      <c r="F53" s="37">
        <f t="shared" si="5"/>
        <v>-0.75205438021893722</v>
      </c>
      <c r="G53" s="38">
        <v>13664.1</v>
      </c>
      <c r="H53" s="38">
        <f t="shared" si="6"/>
        <v>-10638.975</v>
      </c>
      <c r="I53" s="37">
        <f t="shared" si="7"/>
        <v>-0.77860781171097992</v>
      </c>
      <c r="J53" s="60" t="s">
        <v>410</v>
      </c>
      <c r="K53" s="75" t="s">
        <v>546</v>
      </c>
    </row>
    <row r="54" spans="1:14" ht="28.9">
      <c r="A54" s="43" t="str">
        <v>CA: Stockton - SUSD - El Dorado ES</v>
      </c>
      <c r="B54" s="40" t="str">
        <v>CA</v>
      </c>
      <c r="C54" s="28">
        <v>3600.5</v>
      </c>
      <c r="D54" s="29">
        <v>15445.86</v>
      </c>
      <c r="E54" s="29">
        <f t="shared" si="4"/>
        <v>-11845.36</v>
      </c>
      <c r="F54" s="30">
        <f t="shared" si="5"/>
        <v>-0.76689546584003743</v>
      </c>
      <c r="G54" s="31">
        <v>0</v>
      </c>
      <c r="H54" s="31">
        <f t="shared" si="6"/>
        <v>3600.5</v>
      </c>
      <c r="I54" s="32" t="str">
        <f t="shared" si="7"/>
        <v/>
      </c>
      <c r="J54" s="62" t="s">
        <v>411</v>
      </c>
      <c r="K54" s="78" t="s">
        <v>547</v>
      </c>
    </row>
    <row r="55" spans="1:14" ht="57.6">
      <c r="A55" s="41" t="str">
        <v>CA: Stockton - SUSD - Edison HS</v>
      </c>
      <c r="B55" s="42" t="str">
        <v>CA</v>
      </c>
      <c r="C55" s="35">
        <v>24313</v>
      </c>
      <c r="D55" s="36">
        <v>40084.18</v>
      </c>
      <c r="E55" s="36">
        <f t="shared" si="4"/>
        <v>-15771.18</v>
      </c>
      <c r="F55" s="37">
        <f t="shared" si="5"/>
        <v>-0.3934514813574832</v>
      </c>
      <c r="G55" s="38">
        <v>45887.89</v>
      </c>
      <c r="H55" s="38">
        <f t="shared" si="6"/>
        <v>-21574.89</v>
      </c>
      <c r="I55" s="37">
        <f t="shared" si="7"/>
        <v>-0.47016522224055191</v>
      </c>
      <c r="J55" s="60" t="s">
        <v>652</v>
      </c>
      <c r="K55" s="75" t="s">
        <v>653</v>
      </c>
      <c r="L55" s="76" t="s">
        <v>654</v>
      </c>
      <c r="M55" s="76" t="s">
        <v>654</v>
      </c>
    </row>
    <row r="56" spans="1:14" ht="57.6">
      <c r="A56" s="43" t="str">
        <v>CA: Stockton - SUSD - Chavez HS - Large</v>
      </c>
      <c r="B56" s="40" t="str">
        <v>CA</v>
      </c>
      <c r="C56" s="28">
        <v>21843</v>
      </c>
      <c r="D56" s="29">
        <v>94859.27</v>
      </c>
      <c r="E56" s="29">
        <f t="shared" si="4"/>
        <v>-73016.27</v>
      </c>
      <c r="F56" s="30">
        <f t="shared" si="5"/>
        <v>-0.7697325733162399</v>
      </c>
      <c r="G56" s="31">
        <v>94415.99</v>
      </c>
      <c r="H56" s="31">
        <f t="shared" si="6"/>
        <v>-72572.990000000005</v>
      </c>
      <c r="I56" s="32">
        <f t="shared" si="7"/>
        <v>-0.76865147524269994</v>
      </c>
      <c r="J56" s="62" t="s">
        <v>655</v>
      </c>
      <c r="K56" s="78" t="s">
        <v>656</v>
      </c>
    </row>
    <row r="57" spans="1:14" ht="43.15">
      <c r="A57" s="41" t="str">
        <v>CA: San Jose - GE Mobile Water</v>
      </c>
      <c r="B57" s="42" t="str">
        <v>CA</v>
      </c>
      <c r="C57" s="35">
        <v>20970</v>
      </c>
      <c r="D57" s="36">
        <v>24063.89</v>
      </c>
      <c r="E57" s="36">
        <f t="shared" si="4"/>
        <v>-3093.8899999999994</v>
      </c>
      <c r="F57" s="37">
        <f t="shared" si="5"/>
        <v>-0.12856981975898324</v>
      </c>
      <c r="G57" s="38">
        <v>26418.84</v>
      </c>
      <c r="H57" s="38">
        <f t="shared" si="6"/>
        <v>-5448.84</v>
      </c>
      <c r="I57" s="37">
        <f t="shared" si="7"/>
        <v>-0.20624826828127202</v>
      </c>
      <c r="J57" s="60" t="s">
        <v>657</v>
      </c>
      <c r="K57" s="75" t="s">
        <v>658</v>
      </c>
    </row>
    <row r="58" spans="1:14" ht="15.6">
      <c r="A58" s="43" t="str">
        <v>CA: San Marcos - Vallecitos Water - Lift Station</v>
      </c>
      <c r="B58" s="40" t="str">
        <v>CA</v>
      </c>
      <c r="C58" s="28">
        <v>31312.5</v>
      </c>
      <c r="D58" s="29">
        <v>33172.21</v>
      </c>
      <c r="E58" s="29">
        <f t="shared" si="4"/>
        <v>-1859.7099999999991</v>
      </c>
      <c r="F58" s="30">
        <f t="shared" si="5"/>
        <v>-5.6062288282872901E-2</v>
      </c>
      <c r="G58" s="31">
        <v>33784.54</v>
      </c>
      <c r="H58" s="31">
        <f t="shared" si="6"/>
        <v>-2472.0400000000009</v>
      </c>
      <c r="I58" s="32">
        <f t="shared" si="7"/>
        <v>-7.317074614601829E-2</v>
      </c>
      <c r="J58" s="62"/>
      <c r="K58" s="62"/>
    </row>
    <row r="59" spans="1:14" ht="15.6">
      <c r="A59" s="41" t="str">
        <v>CA: San Marcos - Vallecitos Water - Twin Oaks Reservoir</v>
      </c>
      <c r="B59" s="42" t="str">
        <v>CA</v>
      </c>
      <c r="C59" s="35">
        <v>250705</v>
      </c>
      <c r="D59" s="36">
        <v>295417.7</v>
      </c>
      <c r="E59" s="36">
        <f t="shared" si="4"/>
        <v>-44712.700000000012</v>
      </c>
      <c r="F59" s="37">
        <f t="shared" si="5"/>
        <v>-0.15135416733662205</v>
      </c>
      <c r="G59" s="38">
        <v>221544</v>
      </c>
      <c r="H59" s="38">
        <f t="shared" si="6"/>
        <v>29161</v>
      </c>
      <c r="I59" s="37">
        <f t="shared" si="7"/>
        <v>0.13162622323330805</v>
      </c>
      <c r="J59" s="60" t="s">
        <v>555</v>
      </c>
      <c r="K59" s="75" t="s">
        <v>556</v>
      </c>
    </row>
    <row r="60" spans="1:14" ht="28.9">
      <c r="A60" s="43" t="str">
        <v>CA: Stockton - SUSD - Wilhelmina Henry ES</v>
      </c>
      <c r="B60" s="40" t="str">
        <v>CA</v>
      </c>
      <c r="C60" s="28">
        <v>5478.5</v>
      </c>
      <c r="D60" s="29">
        <v>36503.79</v>
      </c>
      <c r="E60" s="29">
        <f t="shared" si="4"/>
        <v>-31025.29</v>
      </c>
      <c r="F60" s="30">
        <f t="shared" si="5"/>
        <v>-0.84991969327020567</v>
      </c>
      <c r="G60" s="31">
        <v>30538.27</v>
      </c>
      <c r="H60" s="31">
        <f t="shared" si="6"/>
        <v>-25059.77</v>
      </c>
      <c r="I60" s="32">
        <f t="shared" si="7"/>
        <v>-0.82060214936864462</v>
      </c>
      <c r="J60" s="62" t="s">
        <v>421</v>
      </c>
      <c r="K60" s="78" t="s">
        <v>557</v>
      </c>
    </row>
    <row r="61" spans="1:14" ht="100.9">
      <c r="A61" s="41" t="str">
        <v>Stockton Unified School Dist. - Franklin (North)</v>
      </c>
      <c r="B61" s="42" t="str">
        <v>CA</v>
      </c>
      <c r="C61" s="35">
        <v>17184.5</v>
      </c>
      <c r="D61" s="36">
        <v>81177.59</v>
      </c>
      <c r="E61" s="36">
        <f t="shared" si="4"/>
        <v>-63993.09</v>
      </c>
      <c r="F61" s="37">
        <f t="shared" si="5"/>
        <v>-0.78830980323510469</v>
      </c>
      <c r="G61" s="38">
        <v>43715.26</v>
      </c>
      <c r="H61" s="38">
        <f t="shared" si="6"/>
        <v>-26530.760000000002</v>
      </c>
      <c r="I61" s="37">
        <f t="shared" si="7"/>
        <v>-0.60689928414013783</v>
      </c>
      <c r="J61" s="60" t="s">
        <v>543</v>
      </c>
      <c r="K61" s="75" t="s">
        <v>544</v>
      </c>
      <c r="L61" s="76" t="s">
        <v>298</v>
      </c>
      <c r="M61" s="76" t="s">
        <v>317</v>
      </c>
      <c r="N61" s="76" t="s">
        <v>545</v>
      </c>
    </row>
    <row r="62" spans="1:14" ht="72">
      <c r="A62" s="43" t="str">
        <v>CA: Stockton - SUSD - Franklin - South</v>
      </c>
      <c r="B62" s="40" t="str">
        <v>CA</v>
      </c>
      <c r="C62" s="28">
        <v>23335.5</v>
      </c>
      <c r="D62" s="29">
        <v>66536.639999999999</v>
      </c>
      <c r="E62" s="29">
        <f t="shared" si="4"/>
        <v>-43201.14</v>
      </c>
      <c r="F62" s="30">
        <f t="shared" si="5"/>
        <v>-0.64928346246519208</v>
      </c>
      <c r="G62" s="31">
        <v>71238.19</v>
      </c>
      <c r="H62" s="31">
        <f t="shared" si="6"/>
        <v>-47902.69</v>
      </c>
      <c r="I62" s="32">
        <f t="shared" si="7"/>
        <v>-0.67242991434790811</v>
      </c>
      <c r="J62" s="62" t="s">
        <v>659</v>
      </c>
      <c r="K62" s="78" t="s">
        <v>660</v>
      </c>
      <c r="L62" s="76" t="s">
        <v>424</v>
      </c>
      <c r="M62" s="76" t="s">
        <v>424</v>
      </c>
    </row>
    <row r="63" spans="1:14" ht="28.9">
      <c r="A63" s="41" t="str">
        <v>CA: Stockton - SUSD - Chavez HS - Small</v>
      </c>
      <c r="B63" s="42" t="str">
        <v>CA</v>
      </c>
      <c r="C63" s="35">
        <v>15684.5</v>
      </c>
      <c r="D63" s="36">
        <v>18445.75</v>
      </c>
      <c r="E63" s="36">
        <f t="shared" si="4"/>
        <v>-2761.25</v>
      </c>
      <c r="F63" s="37">
        <f t="shared" si="5"/>
        <v>-0.14969572936855374</v>
      </c>
      <c r="G63" s="38">
        <v>26639.14</v>
      </c>
      <c r="H63" s="38">
        <f t="shared" si="6"/>
        <v>-10954.64</v>
      </c>
      <c r="I63" s="37">
        <f t="shared" si="7"/>
        <v>-0.41122348544284837</v>
      </c>
      <c r="J63" s="60" t="s">
        <v>425</v>
      </c>
      <c r="K63" s="75" t="s">
        <v>560</v>
      </c>
    </row>
    <row r="64" spans="1:14" ht="43.15">
      <c r="A64" s="43" t="str">
        <v>CA: Stockton - SUSD - Facilities</v>
      </c>
      <c r="B64" s="40" t="str">
        <v>CA</v>
      </c>
      <c r="C64" s="28">
        <v>13004.5</v>
      </c>
      <c r="D64" s="29">
        <v>38725.949999999997</v>
      </c>
      <c r="E64" s="29">
        <f t="shared" si="4"/>
        <v>-25721.449999999997</v>
      </c>
      <c r="F64" s="30">
        <f t="shared" si="5"/>
        <v>-0.66419158213032858</v>
      </c>
      <c r="G64" s="31">
        <v>46055.18</v>
      </c>
      <c r="H64" s="31">
        <f t="shared" si="6"/>
        <v>-33050.68</v>
      </c>
      <c r="I64" s="32">
        <f t="shared" si="7"/>
        <v>-0.7176321968560323</v>
      </c>
      <c r="J64" s="62" t="s">
        <v>561</v>
      </c>
      <c r="K64" s="78" t="s">
        <v>562</v>
      </c>
    </row>
    <row r="65" spans="1:14" ht="28.9">
      <c r="A65" s="41" t="str">
        <v>CA: Stockton - SUSD - Harrison</v>
      </c>
      <c r="B65" s="42" t="str">
        <v>CA</v>
      </c>
      <c r="C65" s="35">
        <v>9748.25</v>
      </c>
      <c r="D65" s="36">
        <v>15377.57</v>
      </c>
      <c r="E65" s="36">
        <f t="shared" si="4"/>
        <v>-5629.32</v>
      </c>
      <c r="F65" s="37">
        <f t="shared" si="5"/>
        <v>-0.36607344333337449</v>
      </c>
      <c r="G65" s="38">
        <v>16360.61</v>
      </c>
      <c r="H65" s="38">
        <f t="shared" si="6"/>
        <v>-6612.3600000000006</v>
      </c>
      <c r="I65" s="37">
        <f t="shared" si="7"/>
        <v>-0.40416341444481596</v>
      </c>
      <c r="J65" s="60" t="s">
        <v>661</v>
      </c>
      <c r="K65" s="75" t="s">
        <v>564</v>
      </c>
    </row>
    <row r="66" spans="1:14" ht="43.15">
      <c r="A66" s="43" t="str">
        <v>CA: Stockton - SUSD - Commodore Skills School</v>
      </c>
      <c r="B66" s="40" t="str">
        <v>CA</v>
      </c>
      <c r="C66" s="28">
        <v>5168.75</v>
      </c>
      <c r="D66" s="29">
        <v>30907.01</v>
      </c>
      <c r="E66" s="29">
        <f t="shared" si="4"/>
        <v>-25738.26</v>
      </c>
      <c r="F66" s="30">
        <f t="shared" si="5"/>
        <v>-0.83276447640842644</v>
      </c>
      <c r="G66" s="31">
        <v>36011.97</v>
      </c>
      <c r="H66" s="31">
        <f t="shared" si="6"/>
        <v>-30843.22</v>
      </c>
      <c r="I66" s="32">
        <f t="shared" si="7"/>
        <v>-0.85647133439242562</v>
      </c>
      <c r="J66" s="62" t="s">
        <v>662</v>
      </c>
      <c r="K66" s="78" t="s">
        <v>663</v>
      </c>
      <c r="L66" s="76" t="s">
        <v>664</v>
      </c>
      <c r="M66" s="76" t="s">
        <v>665</v>
      </c>
    </row>
    <row r="67" spans="1:14" ht="15.6">
      <c r="A67" s="41" t="str">
        <v>CA: Stockton - SUSD - Nightingale ES</v>
      </c>
      <c r="B67" s="42" t="str">
        <v>CA</v>
      </c>
      <c r="C67" s="35">
        <v>12580</v>
      </c>
      <c r="D67" s="36">
        <v>15162.25</v>
      </c>
      <c r="E67" s="36">
        <f t="shared" si="4"/>
        <v>-2582.25</v>
      </c>
      <c r="F67" s="37">
        <f t="shared" si="5"/>
        <v>-0.17030783689755807</v>
      </c>
      <c r="G67" s="38">
        <v>16679.89</v>
      </c>
      <c r="H67" s="38">
        <f t="shared" si="6"/>
        <v>-4099.8899999999994</v>
      </c>
      <c r="I67" s="37">
        <f t="shared" si="7"/>
        <v>-0.24579838356248149</v>
      </c>
      <c r="J67" s="60" t="s">
        <v>430</v>
      </c>
      <c r="K67" s="75" t="s">
        <v>566</v>
      </c>
    </row>
    <row r="68" spans="1:14" ht="43.15">
      <c r="A68" s="43" t="str">
        <v>CA: Stockton - SUSD - Weber Institute</v>
      </c>
      <c r="B68" s="40" t="str">
        <v>CA</v>
      </c>
      <c r="C68" s="28">
        <v>5601.25</v>
      </c>
      <c r="D68" s="29">
        <v>31512.65</v>
      </c>
      <c r="E68" s="29">
        <f t="shared" si="4"/>
        <v>-25911.4</v>
      </c>
      <c r="F68" s="30">
        <f t="shared" si="5"/>
        <v>-0.8222539202510738</v>
      </c>
      <c r="G68" s="31">
        <v>34743.339999999997</v>
      </c>
      <c r="H68" s="31">
        <f t="shared" si="6"/>
        <v>-29142.089999999997</v>
      </c>
      <c r="I68" s="32">
        <f t="shared" si="7"/>
        <v>-0.83878205146655449</v>
      </c>
      <c r="J68" s="62" t="s">
        <v>432</v>
      </c>
      <c r="K68" s="78" t="s">
        <v>666</v>
      </c>
    </row>
    <row r="69" spans="1:14" ht="28.9">
      <c r="A69" s="41" t="str">
        <v>CA: Stockton - SUSD - Warehouse</v>
      </c>
      <c r="B69" s="42" t="str">
        <v>CA</v>
      </c>
      <c r="C69" s="35">
        <v>11195</v>
      </c>
      <c r="D69" s="36">
        <v>27448.47</v>
      </c>
      <c r="E69" s="36">
        <f t="shared" si="4"/>
        <v>-16253.470000000001</v>
      </c>
      <c r="F69" s="37">
        <f t="shared" si="5"/>
        <v>-0.59214484450317273</v>
      </c>
      <c r="G69" s="38">
        <v>32383.53</v>
      </c>
      <c r="H69" s="38">
        <f t="shared" si="6"/>
        <v>-21188.53</v>
      </c>
      <c r="I69" s="37">
        <f t="shared" si="7"/>
        <v>-0.65429957759391888</v>
      </c>
      <c r="J69" s="60" t="s">
        <v>567</v>
      </c>
      <c r="K69" s="75" t="s">
        <v>568</v>
      </c>
    </row>
    <row r="70" spans="1:14" ht="43.15">
      <c r="A70" s="43" t="str">
        <v>CA: Stockton - SUSD - Walton Special Center</v>
      </c>
      <c r="B70" s="40" t="str">
        <v>CA</v>
      </c>
      <c r="C70" s="28">
        <v>8689.75</v>
      </c>
      <c r="D70" s="29">
        <v>21459.46</v>
      </c>
      <c r="E70" s="29">
        <f t="shared" si="4"/>
        <v>-12769.71</v>
      </c>
      <c r="F70" s="30">
        <f t="shared" si="5"/>
        <v>-0.59506203790775725</v>
      </c>
      <c r="G70" s="31">
        <v>23225.27</v>
      </c>
      <c r="H70" s="31">
        <f t="shared" si="6"/>
        <v>-14535.52</v>
      </c>
      <c r="I70" s="32">
        <f t="shared" si="7"/>
        <v>-0.62584934427027117</v>
      </c>
      <c r="J70" s="62" t="s">
        <v>667</v>
      </c>
      <c r="K70" s="78" t="s">
        <v>668</v>
      </c>
      <c r="L70" s="76" t="s">
        <v>669</v>
      </c>
    </row>
    <row r="71" spans="1:14" ht="57.6">
      <c r="A71" s="41" t="str">
        <v>CA: Stockton - SUSD - Stagg HS</v>
      </c>
      <c r="B71" s="42" t="str">
        <v>CA</v>
      </c>
      <c r="C71" s="35">
        <v>47703</v>
      </c>
      <c r="D71" s="36">
        <v>83706.429999999993</v>
      </c>
      <c r="E71" s="36">
        <f t="shared" si="4"/>
        <v>-36003.429999999993</v>
      </c>
      <c r="F71" s="37">
        <f t="shared" si="5"/>
        <v>-0.430115464248087</v>
      </c>
      <c r="G71" s="38">
        <v>90875.91</v>
      </c>
      <c r="H71" s="38">
        <f t="shared" si="6"/>
        <v>-43172.91</v>
      </c>
      <c r="I71" s="37">
        <f t="shared" si="7"/>
        <v>-0.4750754077730831</v>
      </c>
      <c r="J71" s="60" t="s">
        <v>435</v>
      </c>
      <c r="K71" s="75" t="s">
        <v>670</v>
      </c>
      <c r="L71" s="76" t="s">
        <v>437</v>
      </c>
    </row>
    <row r="72" spans="1:14" ht="28.9">
      <c r="A72" s="43" t="str">
        <v>CA: Stockton - SUSD - School for Adults</v>
      </c>
      <c r="B72" s="40" t="str">
        <v>CA</v>
      </c>
      <c r="C72" s="28">
        <v>5977.875</v>
      </c>
      <c r="D72" s="29">
        <v>18159.39</v>
      </c>
      <c r="E72" s="29">
        <f t="shared" si="4"/>
        <v>-12181.514999999999</v>
      </c>
      <c r="F72" s="30">
        <f t="shared" si="5"/>
        <v>-0.6708108036668633</v>
      </c>
      <c r="G72" s="31">
        <v>19811.16</v>
      </c>
      <c r="H72" s="31">
        <f t="shared" si="6"/>
        <v>-13833.285</v>
      </c>
      <c r="I72" s="32">
        <f t="shared" si="7"/>
        <v>-0.69825719442980627</v>
      </c>
      <c r="J72" s="62" t="s">
        <v>438</v>
      </c>
      <c r="K72" s="78" t="s">
        <v>574</v>
      </c>
    </row>
    <row r="73" spans="1:14" ht="28.9">
      <c r="A73" s="41" t="str">
        <v>CA: Stockton - SUSD - San Joaquin</v>
      </c>
      <c r="B73" s="42" t="str">
        <v>CA</v>
      </c>
      <c r="C73" s="35">
        <v>7421.25</v>
      </c>
      <c r="D73" s="36">
        <v>15507.79</v>
      </c>
      <c r="E73" s="36">
        <f t="shared" si="4"/>
        <v>-8086.5400000000009</v>
      </c>
      <c r="F73" s="37">
        <f t="shared" si="5"/>
        <v>-0.52145018729296699</v>
      </c>
      <c r="G73" s="38">
        <v>18147.78</v>
      </c>
      <c r="H73" s="38">
        <f t="shared" si="6"/>
        <v>-10726.529999999999</v>
      </c>
      <c r="I73" s="37">
        <f t="shared" si="7"/>
        <v>-0.59106568406714211</v>
      </c>
      <c r="J73" s="60" t="s">
        <v>575</v>
      </c>
      <c r="K73" s="75" t="s">
        <v>576</v>
      </c>
    </row>
    <row r="74" spans="1:14" ht="28.9">
      <c r="A74" s="43" t="str">
        <v>CA: Stockton - SUSD - Rio Calaveras</v>
      </c>
      <c r="B74" s="40" t="str">
        <v>CA</v>
      </c>
      <c r="C74" s="28">
        <v>2879.25</v>
      </c>
      <c r="D74" s="29">
        <v>13522.58</v>
      </c>
      <c r="E74" s="29">
        <f t="shared" si="4"/>
        <v>-10643.33</v>
      </c>
      <c r="F74" s="30">
        <f t="shared" si="5"/>
        <v>-0.78707835339114285</v>
      </c>
      <c r="G74" s="31">
        <v>0</v>
      </c>
      <c r="H74" s="31">
        <f t="shared" si="6"/>
        <v>2879.25</v>
      </c>
      <c r="I74" s="32" t="str">
        <f t="shared" si="7"/>
        <v/>
      </c>
      <c r="J74" s="62" t="s">
        <v>440</v>
      </c>
      <c r="K74" s="78" t="s">
        <v>577</v>
      </c>
    </row>
    <row r="75" spans="1:14" ht="28.9">
      <c r="A75" s="41" t="str">
        <v>CA: Stockton - SUSD - Peyton</v>
      </c>
      <c r="B75" s="42" t="str">
        <v>CA</v>
      </c>
      <c r="C75" s="35">
        <v>29705</v>
      </c>
      <c r="D75" s="36">
        <v>39288.839999999997</v>
      </c>
      <c r="E75" s="36">
        <f t="shared" si="4"/>
        <v>-9583.8399999999965</v>
      </c>
      <c r="F75" s="37">
        <f t="shared" si="5"/>
        <v>-0.24393288272191282</v>
      </c>
      <c r="G75" s="38">
        <v>39861.46</v>
      </c>
      <c r="H75" s="38">
        <f t="shared" si="6"/>
        <v>-10156.459999999999</v>
      </c>
      <c r="I75" s="37">
        <f t="shared" si="7"/>
        <v>-0.25479397894607975</v>
      </c>
      <c r="J75" s="60" t="s">
        <v>578</v>
      </c>
      <c r="K75" s="75" t="s">
        <v>579</v>
      </c>
    </row>
    <row r="76" spans="1:14" ht="86.45">
      <c r="A76" s="43" t="str">
        <v>TX: Barnhart - 42917 Ranch RD 2469</v>
      </c>
      <c r="B76" s="40" t="str">
        <v>TX</v>
      </c>
      <c r="C76" s="28">
        <v>205030</v>
      </c>
      <c r="D76" s="29">
        <v>231552.3</v>
      </c>
      <c r="E76" s="29">
        <f t="shared" si="4"/>
        <v>-26522.299999999988</v>
      </c>
      <c r="F76" s="30">
        <f t="shared" si="5"/>
        <v>-0.11454129369477214</v>
      </c>
      <c r="G76" s="31">
        <v>219540.1</v>
      </c>
      <c r="H76" s="31">
        <f t="shared" si="6"/>
        <v>-14510.100000000006</v>
      </c>
      <c r="I76" s="32">
        <f t="shared" si="7"/>
        <v>-6.6093164756689124E-2</v>
      </c>
      <c r="J76" s="62" t="s">
        <v>671</v>
      </c>
      <c r="K76" s="78" t="s">
        <v>672</v>
      </c>
      <c r="L76" s="76" t="s">
        <v>673</v>
      </c>
      <c r="M76" s="76" t="s">
        <v>583</v>
      </c>
      <c r="N76" s="76" t="s">
        <v>585</v>
      </c>
    </row>
    <row r="77" spans="1:14" ht="57.6">
      <c r="A77" s="41" t="str">
        <v>AZ: San Manuel - Senior &amp; Junior HS</v>
      </c>
      <c r="B77" s="42" t="str">
        <v>AZ</v>
      </c>
      <c r="C77" s="35">
        <v>28943</v>
      </c>
      <c r="D77" s="36" t="s">
        <v>43</v>
      </c>
      <c r="E77" s="36" t="str">
        <f t="shared" ref="E77:E85" si="8">IF(AND(ISNUMBER(C77),ISNUMBER(D77)), C77-D77, "")</f>
        <v/>
      </c>
      <c r="F77" s="37" t="str">
        <f t="shared" ref="F77:F85" si="9">IFERROR(E77/D77, "")</f>
        <v/>
      </c>
      <c r="G77" s="38">
        <v>41965</v>
      </c>
      <c r="H77" s="38">
        <f t="shared" ref="H77:H85" si="10">IF(AND(ISNUMBER(C77),ISNUMBER(G77)), C77-G77, "")</f>
        <v>-13022</v>
      </c>
      <c r="I77" s="37">
        <f t="shared" si="7"/>
        <v>-0.31030620755391397</v>
      </c>
      <c r="J77" s="60" t="s">
        <v>674</v>
      </c>
      <c r="K77" s="75" t="s">
        <v>675</v>
      </c>
      <c r="L77" s="76" t="s">
        <v>676</v>
      </c>
      <c r="M77" s="76" t="s">
        <v>588</v>
      </c>
    </row>
    <row r="78" spans="1:14" ht="72">
      <c r="A78" s="43" t="str">
        <v>AZ: Sierra Vista - Colonel Smith MS</v>
      </c>
      <c r="B78" s="40" t="str">
        <v>AZ</v>
      </c>
      <c r="C78" s="28">
        <v>30920</v>
      </c>
      <c r="D78" s="29">
        <v>52947.39</v>
      </c>
      <c r="E78" s="29">
        <f t="shared" si="8"/>
        <v>-22027.39</v>
      </c>
      <c r="F78" s="30">
        <f t="shared" si="9"/>
        <v>-0.41602409486095537</v>
      </c>
      <c r="G78" s="31">
        <v>53334.98</v>
      </c>
      <c r="H78" s="31">
        <f t="shared" si="10"/>
        <v>-22414.980000000003</v>
      </c>
      <c r="I78" s="32">
        <f t="shared" ref="I78:I85" si="11">IFERROR(H78/G78, "")</f>
        <v>-0.42026789922861135</v>
      </c>
      <c r="J78" s="62" t="s">
        <v>449</v>
      </c>
      <c r="K78" s="78" t="s">
        <v>677</v>
      </c>
    </row>
    <row r="79" spans="1:14" ht="43.15">
      <c r="A79" s="41" t="str">
        <v>AZ: Sierra Vista - Colonel Johnston ES</v>
      </c>
      <c r="B79" s="42" t="str">
        <v>AZ</v>
      </c>
      <c r="C79" s="35">
        <v>10200</v>
      </c>
      <c r="D79" s="36">
        <v>17760.939999999999</v>
      </c>
      <c r="E79" s="36">
        <f t="shared" si="8"/>
        <v>-7560.9399999999987</v>
      </c>
      <c r="F79" s="37">
        <f t="shared" si="9"/>
        <v>-0.4257060718633135</v>
      </c>
      <c r="G79" s="38">
        <v>17705.98</v>
      </c>
      <c r="H79" s="38">
        <f t="shared" si="10"/>
        <v>-7505.98</v>
      </c>
      <c r="I79" s="37">
        <f t="shared" si="11"/>
        <v>-0.42392344281423561</v>
      </c>
      <c r="J79" s="60" t="s">
        <v>451</v>
      </c>
      <c r="K79" s="75" t="s">
        <v>678</v>
      </c>
    </row>
    <row r="80" spans="1:14" ht="57.6">
      <c r="A80" s="43" t="str">
        <v>NH: Dover - Dover HS</v>
      </c>
      <c r="B80" s="40" t="str">
        <v>NH</v>
      </c>
      <c r="C80" s="28">
        <v>88938</v>
      </c>
      <c r="D80" s="29">
        <v>116594.5</v>
      </c>
      <c r="E80" s="29">
        <f t="shared" si="8"/>
        <v>-27656.5</v>
      </c>
      <c r="F80" s="30">
        <f t="shared" si="9"/>
        <v>-0.23720244093846624</v>
      </c>
      <c r="G80" s="31">
        <v>104850.5</v>
      </c>
      <c r="H80" s="31">
        <f t="shared" si="10"/>
        <v>-15912.5</v>
      </c>
      <c r="I80" s="32">
        <f t="shared" si="11"/>
        <v>-0.15176370165139891</v>
      </c>
      <c r="J80" s="62" t="s">
        <v>453</v>
      </c>
      <c r="K80" s="78" t="s">
        <v>679</v>
      </c>
    </row>
    <row r="81" spans="1:13" ht="72">
      <c r="A81" s="41" t="str">
        <v>MA: Somerville - 30 Inner Belt Rd</v>
      </c>
      <c r="B81" s="42" t="str">
        <v>MA</v>
      </c>
      <c r="C81" s="35">
        <v>80600</v>
      </c>
      <c r="D81" s="36">
        <v>78437.149999999994</v>
      </c>
      <c r="E81" s="36">
        <f t="shared" si="8"/>
        <v>2162.8500000000058</v>
      </c>
      <c r="F81" s="37">
        <f t="shared" si="9"/>
        <v>2.7574306307661688E-2</v>
      </c>
      <c r="G81" s="38">
        <v>144450.07999999999</v>
      </c>
      <c r="H81" s="38">
        <f t="shared" si="10"/>
        <v>-63850.079999999987</v>
      </c>
      <c r="I81" s="37">
        <f t="shared" si="11"/>
        <v>-0.44202176973526075</v>
      </c>
      <c r="J81" s="60" t="s">
        <v>455</v>
      </c>
      <c r="K81" s="59"/>
    </row>
    <row r="82" spans="1:13" ht="80.25" customHeight="1">
      <c r="A82" s="43" t="str">
        <v>MA: Boxborough - 1414 Massachusetts Ave</v>
      </c>
      <c r="B82" s="40" t="str">
        <v>MA</v>
      </c>
      <c r="C82" s="28">
        <v>633272.05287808098</v>
      </c>
      <c r="D82" s="29">
        <v>249775.1</v>
      </c>
      <c r="E82" s="29">
        <f t="shared" si="8"/>
        <v>383496.95287808101</v>
      </c>
      <c r="F82" s="30">
        <f t="shared" si="9"/>
        <v>1.5353690294912543</v>
      </c>
      <c r="G82" s="31">
        <v>671700</v>
      </c>
      <c r="H82" s="31">
        <f t="shared" si="10"/>
        <v>-38427.947121919016</v>
      </c>
      <c r="I82" s="32">
        <f t="shared" si="11"/>
        <v>-5.7209985293909506E-2</v>
      </c>
      <c r="J82" s="62" t="s">
        <v>680</v>
      </c>
      <c r="K82" s="78" t="s">
        <v>681</v>
      </c>
      <c r="L82" s="76" t="s">
        <v>682</v>
      </c>
    </row>
    <row r="83" spans="1:13" ht="43.15">
      <c r="A83" s="41" t="str">
        <v>NY: Amsterdam - 153 NY Route 67</v>
      </c>
      <c r="B83" s="42" t="str">
        <v>NY</v>
      </c>
      <c r="C83" s="35">
        <v>355432</v>
      </c>
      <c r="D83" s="36">
        <v>287553.7</v>
      </c>
      <c r="E83" s="36">
        <f t="shared" si="8"/>
        <v>67878.299999999988</v>
      </c>
      <c r="F83" s="37">
        <f t="shared" si="9"/>
        <v>0.23605434393645425</v>
      </c>
      <c r="G83" s="38">
        <v>324134.2</v>
      </c>
      <c r="H83" s="38">
        <f t="shared" si="10"/>
        <v>31297.799999999988</v>
      </c>
      <c r="I83" s="37">
        <f t="shared" si="11"/>
        <v>9.6558153999176846E-2</v>
      </c>
      <c r="J83" s="60" t="s">
        <v>683</v>
      </c>
      <c r="K83" s="75" t="s">
        <v>684</v>
      </c>
      <c r="L83" s="76" t="s">
        <v>462</v>
      </c>
      <c r="M83" s="76" t="s">
        <v>461</v>
      </c>
    </row>
    <row r="84" spans="1:13" ht="28.9">
      <c r="A84" s="43" t="str">
        <v>CA: San Jose - GE Mobile Water</v>
      </c>
      <c r="B84" s="40" t="str">
        <v>CA</v>
      </c>
      <c r="C84" s="28">
        <v>20970</v>
      </c>
      <c r="D84" s="29">
        <v>24063.89</v>
      </c>
      <c r="E84" s="29">
        <f t="shared" si="8"/>
        <v>-3093.8899999999994</v>
      </c>
      <c r="F84" s="30">
        <f t="shared" si="9"/>
        <v>-0.12856981975898324</v>
      </c>
      <c r="G84" s="31">
        <v>26418.84</v>
      </c>
      <c r="H84" s="31">
        <f t="shared" si="10"/>
        <v>-5448.84</v>
      </c>
      <c r="I84" s="32">
        <f t="shared" si="11"/>
        <v>-0.20624826828127202</v>
      </c>
      <c r="J84" s="62" t="s">
        <v>685</v>
      </c>
      <c r="K84" s="78" t="s">
        <v>658</v>
      </c>
    </row>
    <row r="85" spans="1:13" ht="15.6">
      <c r="A85" s="41" t="str">
        <v>NY: Rome - 7776 Tannery RD</v>
      </c>
      <c r="B85" s="42" t="str">
        <v>NY</v>
      </c>
      <c r="C85" s="35">
        <v>329475.04242328601</v>
      </c>
      <c r="D85" s="36">
        <v>353709.7</v>
      </c>
      <c r="E85" s="36">
        <f t="shared" si="8"/>
        <v>-24234.657576714002</v>
      </c>
      <c r="F85" s="37">
        <f t="shared" si="9"/>
        <v>-6.8515671401474146E-2</v>
      </c>
      <c r="G85" s="38">
        <v>335268.59999999998</v>
      </c>
      <c r="H85" s="38">
        <f t="shared" si="10"/>
        <v>-5793.5575767139671</v>
      </c>
      <c r="I85" s="37">
        <f t="shared" si="11"/>
        <v>-1.7280346494464343E-2</v>
      </c>
      <c r="J85" s="60" t="s">
        <v>686</v>
      </c>
      <c r="K85" s="75" t="s">
        <v>687</v>
      </c>
    </row>
    <row r="86" spans="1:13" ht="14.45">
      <c r="A86" s="8"/>
      <c r="B86" s="13"/>
      <c r="C86" s="8"/>
      <c r="D86" s="8"/>
      <c r="E86" s="8"/>
      <c r="F86" s="9"/>
      <c r="G86" s="8"/>
      <c r="H86" s="8"/>
      <c r="I86" s="9"/>
      <c r="J86" s="94"/>
      <c r="K86" s="94"/>
    </row>
    <row r="87" spans="1:13" ht="14.45">
      <c r="A87" s="8"/>
      <c r="B87" s="13"/>
      <c r="C87" s="8"/>
      <c r="D87" s="8"/>
      <c r="E87" s="8"/>
      <c r="F87" s="9"/>
      <c r="G87" s="8"/>
      <c r="H87" s="8"/>
      <c r="I87" s="9"/>
      <c r="J87" s="94"/>
      <c r="K87" s="94"/>
    </row>
    <row r="88" spans="1:13" ht="14.45">
      <c r="A88" s="8"/>
      <c r="B88" s="13"/>
      <c r="C88" s="8"/>
      <c r="D88" s="8"/>
      <c r="E88" s="8"/>
      <c r="F88" s="9"/>
      <c r="G88" s="8"/>
      <c r="H88" s="8"/>
      <c r="I88" s="9"/>
      <c r="J88" s="94"/>
      <c r="K88" s="94"/>
    </row>
    <row r="89" spans="1:13" ht="14.45">
      <c r="A89" s="8"/>
      <c r="B89" s="13"/>
      <c r="C89" s="8"/>
      <c r="D89" s="8"/>
      <c r="E89" s="8"/>
      <c r="F89" s="9"/>
      <c r="G89" s="8"/>
      <c r="H89" s="8"/>
      <c r="I89" s="9"/>
      <c r="J89" s="94"/>
      <c r="K89" s="94"/>
    </row>
    <row r="90" spans="1:13" ht="14.45">
      <c r="A90" s="8"/>
      <c r="B90" s="13"/>
      <c r="C90" s="8"/>
      <c r="D90" s="8"/>
      <c r="E90" s="8"/>
      <c r="F90" s="9"/>
      <c r="G90" s="8"/>
      <c r="H90" s="8"/>
      <c r="I90" s="9"/>
      <c r="J90" s="94"/>
      <c r="K90" s="94"/>
    </row>
    <row r="91" spans="1:13" ht="14.45">
      <c r="A91" s="8"/>
      <c r="B91" s="13"/>
      <c r="C91" s="8"/>
      <c r="D91" s="8"/>
      <c r="E91" s="8"/>
      <c r="F91" s="9"/>
      <c r="G91" s="8"/>
      <c r="H91" s="8"/>
      <c r="I91" s="9"/>
      <c r="J91" s="94"/>
      <c r="K91" s="94"/>
    </row>
    <row r="92" spans="1:13" ht="14.45">
      <c r="A92" s="8"/>
      <c r="B92" s="13"/>
      <c r="C92" s="8"/>
      <c r="D92" s="8"/>
      <c r="E92" s="8"/>
      <c r="F92" s="9"/>
      <c r="G92" s="8"/>
      <c r="H92" s="8"/>
      <c r="I92" s="9"/>
      <c r="J92" s="94"/>
      <c r="K92" s="94"/>
    </row>
    <row r="93" spans="1:13" ht="14.45">
      <c r="A93" s="8"/>
      <c r="B93" s="13"/>
      <c r="C93" s="8"/>
      <c r="D93" s="8"/>
      <c r="E93" s="8"/>
      <c r="F93" s="9"/>
      <c r="G93" s="8"/>
      <c r="H93" s="8"/>
      <c r="I93" s="9"/>
      <c r="J93" s="94"/>
      <c r="K93" s="94"/>
    </row>
    <row r="94" spans="1:13" ht="14.45">
      <c r="A94" s="8"/>
      <c r="B94" s="13"/>
      <c r="C94" s="8"/>
      <c r="D94" s="8"/>
      <c r="E94" s="8"/>
      <c r="F94" s="9"/>
      <c r="G94" s="8"/>
      <c r="H94" s="8"/>
      <c r="I94" s="9"/>
      <c r="J94" s="94"/>
      <c r="K94" s="94"/>
    </row>
    <row r="95" spans="1:13" ht="14.45">
      <c r="A95" s="8"/>
      <c r="B95" s="13"/>
      <c r="C95" s="8"/>
      <c r="D95" s="8"/>
      <c r="E95" s="8"/>
      <c r="F95" s="9"/>
      <c r="G95" s="8"/>
      <c r="H95" s="8"/>
      <c r="I95" s="9"/>
      <c r="J95" s="94"/>
      <c r="K95" s="94"/>
    </row>
    <row r="96" spans="1:13" ht="14.45">
      <c r="A96" s="8"/>
      <c r="B96" s="13"/>
      <c r="C96" s="8"/>
      <c r="D96" s="8"/>
      <c r="E96" s="8"/>
      <c r="F96" s="9"/>
      <c r="G96" s="8"/>
      <c r="H96" s="8"/>
      <c r="I96" s="9"/>
      <c r="J96" s="94"/>
      <c r="K96" s="94"/>
    </row>
    <row r="97" spans="1:11" ht="14.45">
      <c r="A97" s="8"/>
      <c r="B97" s="13"/>
      <c r="C97" s="8"/>
      <c r="D97" s="8"/>
      <c r="E97" s="8"/>
      <c r="F97" s="9"/>
      <c r="G97" s="8"/>
      <c r="H97" s="8"/>
      <c r="I97" s="9"/>
      <c r="J97" s="94"/>
      <c r="K97" s="94"/>
    </row>
    <row r="98" spans="1:11" ht="14.45">
      <c r="A98" s="8"/>
      <c r="B98" s="13"/>
      <c r="C98" s="8"/>
      <c r="D98" s="8"/>
      <c r="E98" s="8"/>
      <c r="F98" s="9"/>
      <c r="G98" s="8"/>
      <c r="H98" s="8"/>
      <c r="I98" s="9"/>
      <c r="J98" s="94"/>
      <c r="K98" s="94"/>
    </row>
    <row r="99" spans="1:11" ht="14.45">
      <c r="A99" s="8"/>
      <c r="B99" s="13"/>
      <c r="C99" s="8"/>
      <c r="D99" s="8"/>
      <c r="E99" s="8"/>
      <c r="F99" s="9"/>
      <c r="G99" s="8"/>
      <c r="H99" s="8"/>
      <c r="I99" s="9"/>
      <c r="J99" s="94"/>
      <c r="K99" s="94"/>
    </row>
    <row r="100" spans="1:11" ht="14.45">
      <c r="A100" s="8"/>
      <c r="B100" s="13"/>
      <c r="C100" s="8"/>
      <c r="D100" s="8"/>
      <c r="E100" s="8"/>
      <c r="F100" s="9"/>
      <c r="G100" s="8"/>
      <c r="H100" s="8"/>
      <c r="I100" s="9"/>
      <c r="J100" s="94"/>
      <c r="K100" s="94"/>
    </row>
    <row r="101" spans="1:11" ht="14.45">
      <c r="A101" s="8"/>
      <c r="B101" s="13"/>
      <c r="C101" s="8"/>
      <c r="D101" s="8"/>
      <c r="E101" s="8"/>
      <c r="F101" s="9"/>
      <c r="G101" s="8"/>
      <c r="H101" s="8"/>
      <c r="I101" s="9"/>
      <c r="J101" s="94"/>
      <c r="K101" s="94"/>
    </row>
    <row r="102" spans="1:11" ht="14.45">
      <c r="A102" s="8"/>
      <c r="B102" s="13"/>
      <c r="C102" s="8"/>
      <c r="D102" s="8"/>
      <c r="E102" s="8"/>
      <c r="F102" s="9"/>
      <c r="G102" s="8"/>
      <c r="H102" s="8"/>
      <c r="I102" s="9"/>
      <c r="J102" s="94"/>
      <c r="K102" s="94"/>
    </row>
    <row r="103" spans="1:11" ht="14.45">
      <c r="A103" s="8"/>
      <c r="B103" s="13"/>
      <c r="C103" s="8"/>
      <c r="D103" s="8"/>
      <c r="E103" s="8"/>
      <c r="F103" s="9"/>
      <c r="G103" s="8"/>
      <c r="H103" s="8"/>
      <c r="I103" s="9"/>
      <c r="J103" s="94"/>
      <c r="K103" s="94"/>
    </row>
    <row r="104" spans="1:11" ht="14.45">
      <c r="A104" s="8"/>
      <c r="B104" s="13"/>
      <c r="C104" s="8"/>
      <c r="D104" s="8"/>
      <c r="E104" s="8"/>
      <c r="F104" s="9"/>
      <c r="G104" s="8"/>
      <c r="H104" s="8"/>
      <c r="I104" s="9"/>
      <c r="J104" s="94"/>
      <c r="K104" s="94"/>
    </row>
    <row r="105" spans="1:11" ht="14.45">
      <c r="A105" s="8"/>
      <c r="B105" s="13"/>
      <c r="C105" s="8"/>
      <c r="D105" s="8"/>
      <c r="E105" s="8"/>
      <c r="F105" s="9"/>
      <c r="G105" s="8"/>
      <c r="H105" s="8"/>
      <c r="I105" s="9"/>
      <c r="J105" s="94"/>
      <c r="K105" s="94"/>
    </row>
    <row r="106" spans="1:11" ht="14.45">
      <c r="A106" s="8"/>
      <c r="B106" s="13"/>
      <c r="C106" s="8"/>
      <c r="D106" s="8"/>
      <c r="E106" s="8"/>
      <c r="F106" s="9"/>
      <c r="G106" s="8"/>
      <c r="H106" s="8"/>
      <c r="I106" s="9"/>
      <c r="J106" s="94"/>
      <c r="K106" s="94"/>
    </row>
    <row r="107" spans="1:11" ht="14.45">
      <c r="A107" s="8"/>
      <c r="B107" s="13"/>
      <c r="C107" s="8"/>
      <c r="D107" s="8"/>
      <c r="E107" s="8"/>
      <c r="F107" s="9"/>
      <c r="G107" s="8"/>
      <c r="H107" s="8"/>
      <c r="I107" s="9"/>
      <c r="J107" s="94"/>
      <c r="K107" s="94"/>
    </row>
    <row r="108" spans="1:11" ht="14.45">
      <c r="A108" s="8"/>
      <c r="B108" s="13"/>
      <c r="C108" s="8"/>
      <c r="D108" s="8"/>
      <c r="E108" s="8"/>
      <c r="F108" s="9"/>
      <c r="G108" s="8"/>
      <c r="H108" s="8"/>
      <c r="I108" s="9"/>
      <c r="J108" s="94"/>
      <c r="K108" s="94"/>
    </row>
    <row r="109" spans="1:11" ht="14.45">
      <c r="A109" s="8"/>
      <c r="B109" s="13"/>
      <c r="C109" s="8"/>
      <c r="D109" s="8"/>
      <c r="E109" s="8"/>
      <c r="F109" s="9"/>
      <c r="G109" s="8"/>
      <c r="H109" s="8"/>
      <c r="I109" s="9"/>
      <c r="J109" s="94"/>
      <c r="K109" s="94"/>
    </row>
    <row r="110" spans="1:11" ht="14.45">
      <c r="A110" s="8"/>
      <c r="B110" s="13"/>
      <c r="C110" s="8"/>
      <c r="D110" s="8"/>
      <c r="E110" s="8"/>
      <c r="F110" s="9"/>
      <c r="G110" s="8"/>
      <c r="H110" s="8"/>
      <c r="I110" s="9"/>
      <c r="J110" s="94"/>
      <c r="K110" s="94"/>
    </row>
    <row r="111" spans="1:11" ht="14.45">
      <c r="A111" s="8"/>
      <c r="B111" s="13"/>
      <c r="C111" s="8"/>
      <c r="D111" s="8"/>
      <c r="E111" s="8"/>
      <c r="F111" s="9"/>
      <c r="G111" s="8"/>
      <c r="H111" s="8"/>
      <c r="I111" s="9"/>
      <c r="J111" s="94"/>
      <c r="K111" s="94"/>
    </row>
    <row r="112" spans="1:11" ht="14.45">
      <c r="A112" s="8"/>
      <c r="B112" s="13"/>
      <c r="C112" s="8"/>
      <c r="D112" s="8"/>
      <c r="E112" s="8"/>
      <c r="F112" s="9"/>
      <c r="G112" s="8"/>
      <c r="H112" s="8"/>
      <c r="I112" s="9"/>
      <c r="J112" s="94"/>
      <c r="K112" s="94"/>
    </row>
    <row r="113" spans="1:11" ht="14.45">
      <c r="A113" s="8"/>
      <c r="B113" s="13"/>
      <c r="C113" s="8"/>
      <c r="D113" s="8"/>
      <c r="E113" s="8"/>
      <c r="F113" s="9"/>
      <c r="G113" s="8"/>
      <c r="H113" s="8"/>
      <c r="I113" s="9"/>
      <c r="J113" s="94"/>
      <c r="K113" s="94"/>
    </row>
    <row r="114" spans="1:11" ht="14.45">
      <c r="A114" s="8"/>
      <c r="B114" s="13"/>
      <c r="C114" s="8"/>
      <c r="D114" s="8"/>
      <c r="E114" s="8"/>
      <c r="F114" s="9"/>
      <c r="G114" s="8"/>
      <c r="H114" s="8"/>
      <c r="I114" s="9"/>
      <c r="J114" s="94"/>
      <c r="K114" s="94"/>
    </row>
    <row r="115" spans="1:11" ht="14.45">
      <c r="A115" s="8"/>
      <c r="B115" s="13"/>
      <c r="C115" s="8"/>
      <c r="D115" s="8"/>
      <c r="E115" s="8"/>
      <c r="F115" s="9"/>
      <c r="G115" s="8"/>
      <c r="H115" s="8"/>
      <c r="I115" s="9"/>
      <c r="J115" s="94"/>
      <c r="K115" s="94"/>
    </row>
    <row r="116" spans="1:11" ht="14.45">
      <c r="A116" s="8"/>
      <c r="B116" s="13"/>
      <c r="C116" s="8"/>
      <c r="D116" s="8"/>
      <c r="E116" s="8"/>
      <c r="F116" s="9"/>
      <c r="G116" s="8"/>
      <c r="H116" s="8"/>
      <c r="I116" s="9"/>
      <c r="J116" s="94"/>
      <c r="K116" s="94"/>
    </row>
    <row r="117" spans="1:11" ht="14.45">
      <c r="A117" s="8"/>
      <c r="B117" s="13"/>
      <c r="C117" s="8"/>
      <c r="D117" s="8"/>
      <c r="E117" s="8"/>
      <c r="F117" s="9"/>
      <c r="G117" s="8"/>
      <c r="H117" s="8"/>
      <c r="I117" s="9"/>
      <c r="J117" s="94"/>
      <c r="K117" s="94"/>
    </row>
    <row r="118" spans="1:11" ht="14.45">
      <c r="A118" s="8"/>
      <c r="B118" s="13"/>
      <c r="C118" s="8"/>
      <c r="D118" s="8"/>
      <c r="E118" s="8"/>
      <c r="F118" s="9"/>
      <c r="G118" s="8"/>
      <c r="H118" s="8"/>
      <c r="I118" s="9"/>
      <c r="J118" s="94"/>
      <c r="K118" s="94"/>
    </row>
    <row r="119" spans="1:11" ht="14.45">
      <c r="A119" s="8"/>
      <c r="B119" s="13"/>
      <c r="C119" s="8"/>
      <c r="D119" s="8"/>
      <c r="E119" s="8"/>
      <c r="F119" s="9"/>
      <c r="G119" s="8"/>
      <c r="H119" s="8"/>
      <c r="I119" s="9"/>
      <c r="J119" s="94"/>
      <c r="K119" s="94"/>
    </row>
    <row r="120" spans="1:11" ht="14.45">
      <c r="A120" s="8"/>
      <c r="B120" s="13"/>
      <c r="C120" s="8"/>
      <c r="D120" s="8"/>
      <c r="E120" s="8"/>
      <c r="F120" s="9"/>
      <c r="G120" s="8"/>
      <c r="H120" s="8"/>
      <c r="I120" s="9"/>
      <c r="J120" s="94"/>
      <c r="K120" s="94"/>
    </row>
    <row r="121" spans="1:11" ht="14.45">
      <c r="A121" s="8"/>
      <c r="B121" s="13"/>
      <c r="C121" s="8"/>
      <c r="D121" s="8"/>
      <c r="E121" s="8"/>
      <c r="F121" s="9"/>
      <c r="G121" s="8"/>
      <c r="H121" s="8"/>
      <c r="I121" s="9"/>
      <c r="J121" s="94"/>
      <c r="K121" s="94"/>
    </row>
    <row r="122" spans="1:11" ht="14.45">
      <c r="A122" s="8"/>
      <c r="B122" s="13"/>
      <c r="C122" s="8"/>
      <c r="D122" s="8"/>
      <c r="E122" s="8"/>
      <c r="F122" s="9"/>
      <c r="G122" s="8"/>
      <c r="H122" s="8"/>
      <c r="I122" s="9"/>
      <c r="J122" s="94"/>
      <c r="K122" s="94"/>
    </row>
    <row r="123" spans="1:11" ht="14.45">
      <c r="A123" s="8"/>
      <c r="B123" s="13"/>
      <c r="C123" s="8"/>
      <c r="D123" s="8"/>
      <c r="E123" s="8"/>
      <c r="F123" s="9"/>
      <c r="G123" s="8"/>
      <c r="H123" s="8"/>
      <c r="I123" s="9"/>
      <c r="J123" s="94"/>
      <c r="K123" s="94"/>
    </row>
    <row r="124" spans="1:11" ht="14.45">
      <c r="A124" s="8"/>
      <c r="B124" s="13"/>
      <c r="C124" s="8"/>
      <c r="D124" s="8"/>
      <c r="E124" s="8"/>
      <c r="F124" s="9"/>
      <c r="G124" s="8"/>
      <c r="H124" s="8"/>
      <c r="I124" s="9"/>
      <c r="J124" s="94"/>
      <c r="K124" s="94"/>
    </row>
    <row r="125" spans="1:11" ht="14.45">
      <c r="A125" s="8"/>
      <c r="B125" s="13"/>
      <c r="C125" s="8"/>
      <c r="D125" s="8"/>
      <c r="E125" s="8"/>
      <c r="F125" s="9"/>
      <c r="G125" s="8"/>
      <c r="H125" s="8"/>
      <c r="I125" s="9"/>
      <c r="J125" s="94"/>
      <c r="K125" s="94"/>
    </row>
    <row r="126" spans="1:11" ht="14.45">
      <c r="A126" s="8"/>
      <c r="B126" s="13"/>
      <c r="C126" s="8"/>
      <c r="D126" s="8"/>
      <c r="E126" s="8"/>
      <c r="F126" s="9"/>
      <c r="G126" s="8"/>
      <c r="H126" s="8"/>
      <c r="I126" s="9"/>
      <c r="J126" s="94"/>
      <c r="K126" s="94"/>
    </row>
    <row r="127" spans="1:11" ht="14.45">
      <c r="A127" s="8"/>
      <c r="B127" s="13"/>
      <c r="C127" s="8"/>
      <c r="D127" s="8"/>
      <c r="E127" s="8"/>
      <c r="F127" s="9"/>
      <c r="G127" s="8"/>
      <c r="H127" s="8"/>
      <c r="I127" s="9"/>
      <c r="J127" s="94"/>
      <c r="K127" s="94"/>
    </row>
    <row r="128" spans="1:11" ht="14.45">
      <c r="A128" s="8"/>
      <c r="B128" s="13"/>
      <c r="C128" s="8"/>
      <c r="D128" s="8"/>
      <c r="E128" s="8"/>
      <c r="F128" s="9"/>
      <c r="G128" s="8"/>
      <c r="H128" s="8"/>
      <c r="I128" s="9"/>
      <c r="J128" s="94"/>
      <c r="K128" s="94"/>
    </row>
    <row r="129" spans="1:11" ht="14.45">
      <c r="A129" s="8"/>
      <c r="B129" s="13"/>
      <c r="C129" s="8"/>
      <c r="D129" s="8"/>
      <c r="E129" s="8"/>
      <c r="F129" s="9"/>
      <c r="G129" s="8"/>
      <c r="H129" s="8"/>
      <c r="I129" s="9"/>
      <c r="J129" s="94"/>
      <c r="K129" s="94"/>
    </row>
    <row r="130" spans="1:11" ht="14.45">
      <c r="A130" s="8"/>
      <c r="B130" s="13"/>
      <c r="C130" s="8"/>
      <c r="D130" s="8"/>
      <c r="E130" s="8"/>
      <c r="F130" s="9"/>
      <c r="G130" s="8"/>
      <c r="H130" s="8"/>
      <c r="I130" s="9"/>
      <c r="J130" s="94"/>
      <c r="K130" s="94"/>
    </row>
    <row r="131" spans="1:11" ht="14.45">
      <c r="A131" s="8"/>
      <c r="B131" s="13"/>
      <c r="C131" s="8"/>
      <c r="D131" s="8"/>
      <c r="E131" s="8"/>
      <c r="F131" s="9"/>
      <c r="G131" s="8"/>
      <c r="H131" s="8"/>
      <c r="I131" s="9"/>
      <c r="J131" s="94"/>
      <c r="K131" s="94"/>
    </row>
    <row r="132" spans="1:11" ht="14.45">
      <c r="A132" s="8"/>
      <c r="B132" s="13"/>
      <c r="C132" s="8"/>
      <c r="D132" s="8"/>
      <c r="E132" s="8"/>
      <c r="F132" s="9"/>
      <c r="G132" s="8"/>
      <c r="H132" s="8"/>
      <c r="I132" s="9"/>
      <c r="J132" s="94"/>
      <c r="K132" s="94"/>
    </row>
    <row r="133" spans="1:11" ht="14.45">
      <c r="A133" s="8"/>
      <c r="B133" s="13"/>
      <c r="C133" s="8"/>
      <c r="D133" s="8"/>
      <c r="E133" s="8"/>
      <c r="F133" s="9"/>
      <c r="G133" s="8"/>
      <c r="H133" s="8"/>
      <c r="I133" s="9"/>
      <c r="J133" s="94"/>
      <c r="K133" s="94"/>
    </row>
    <row r="134" spans="1:11" ht="14.45">
      <c r="A134" s="8"/>
      <c r="B134" s="13"/>
      <c r="C134" s="8"/>
      <c r="D134" s="8"/>
      <c r="E134" s="8"/>
      <c r="F134" s="9"/>
      <c r="G134" s="8"/>
      <c r="H134" s="8"/>
      <c r="I134" s="9"/>
      <c r="J134" s="94"/>
      <c r="K134" s="94"/>
    </row>
    <row r="135" spans="1:11" ht="14.45">
      <c r="A135" s="8"/>
      <c r="B135" s="13"/>
      <c r="C135" s="8"/>
      <c r="D135" s="8"/>
      <c r="E135" s="8"/>
      <c r="F135" s="9"/>
      <c r="G135" s="8"/>
      <c r="H135" s="8"/>
      <c r="I135" s="9"/>
      <c r="J135" s="94"/>
      <c r="K135" s="94"/>
    </row>
    <row r="136" spans="1:11" ht="14.45">
      <c r="A136" s="8"/>
      <c r="B136" s="13"/>
      <c r="C136" s="8"/>
      <c r="D136" s="8"/>
      <c r="E136" s="8"/>
      <c r="F136" s="9"/>
      <c r="G136" s="8"/>
      <c r="H136" s="8"/>
      <c r="I136" s="9"/>
      <c r="J136" s="94"/>
      <c r="K136" s="94"/>
    </row>
    <row r="137" spans="1:11" ht="14.45">
      <c r="A137" s="8"/>
      <c r="B137" s="13"/>
      <c r="C137" s="8"/>
      <c r="D137" s="8"/>
      <c r="E137" s="8"/>
      <c r="F137" s="9"/>
      <c r="G137" s="8"/>
      <c r="H137" s="8"/>
      <c r="I137" s="9"/>
      <c r="J137" s="94"/>
      <c r="K137" s="94"/>
    </row>
    <row r="138" spans="1:11" ht="14.45">
      <c r="A138" s="8"/>
      <c r="B138" s="13"/>
      <c r="C138" s="8"/>
      <c r="D138" s="8"/>
      <c r="E138" s="8"/>
      <c r="F138" s="9"/>
      <c r="G138" s="8"/>
      <c r="H138" s="8"/>
      <c r="I138" s="9"/>
      <c r="J138" s="94"/>
      <c r="K138" s="94"/>
    </row>
    <row r="139" spans="1:11" ht="14.45">
      <c r="A139" s="8"/>
      <c r="B139" s="13"/>
      <c r="C139" s="8"/>
      <c r="D139" s="8"/>
      <c r="E139" s="8"/>
      <c r="F139" s="9"/>
      <c r="G139" s="8"/>
      <c r="H139" s="8"/>
      <c r="I139" s="9"/>
      <c r="J139" s="94"/>
      <c r="K139" s="94"/>
    </row>
    <row r="140" spans="1:11" ht="14.45">
      <c r="A140" s="8"/>
      <c r="B140" s="13"/>
      <c r="C140" s="8"/>
      <c r="D140" s="8"/>
      <c r="E140" s="8"/>
      <c r="F140" s="9"/>
      <c r="G140" s="8"/>
      <c r="H140" s="8"/>
      <c r="I140" s="9"/>
      <c r="J140" s="94"/>
      <c r="K140" s="94"/>
    </row>
    <row r="141" spans="1:11" ht="14.45">
      <c r="A141" s="8"/>
      <c r="B141" s="13"/>
      <c r="C141" s="8"/>
      <c r="D141" s="8"/>
      <c r="E141" s="8"/>
      <c r="F141" s="9"/>
      <c r="G141" s="8"/>
      <c r="H141" s="8"/>
      <c r="I141" s="9"/>
      <c r="J141" s="94"/>
      <c r="K141" s="94"/>
    </row>
    <row r="142" spans="1:11" ht="14.45">
      <c r="A142" s="8"/>
      <c r="B142" s="13"/>
      <c r="C142" s="8"/>
      <c r="D142" s="8"/>
      <c r="E142" s="8"/>
      <c r="F142" s="9"/>
      <c r="G142" s="8"/>
      <c r="H142" s="8"/>
      <c r="I142" s="9"/>
      <c r="J142" s="94"/>
      <c r="K142" s="94"/>
    </row>
    <row r="143" spans="1:11" ht="14.45">
      <c r="A143" s="8"/>
      <c r="B143" s="13"/>
      <c r="C143" s="8"/>
      <c r="D143" s="8"/>
      <c r="E143" s="8"/>
      <c r="F143" s="9"/>
      <c r="G143" s="8"/>
      <c r="H143" s="8"/>
      <c r="I143" s="9"/>
      <c r="J143" s="94"/>
      <c r="K143" s="94"/>
    </row>
    <row r="144" spans="1:11" ht="14.45">
      <c r="A144" s="8"/>
      <c r="B144" s="13"/>
      <c r="C144" s="8"/>
      <c r="D144" s="8"/>
      <c r="E144" s="8"/>
      <c r="F144" s="9"/>
      <c r="G144" s="8"/>
      <c r="H144" s="8"/>
      <c r="I144" s="9"/>
      <c r="J144" s="94"/>
      <c r="K144" s="94"/>
    </row>
    <row r="145" spans="1:11" ht="14.45">
      <c r="A145" s="8"/>
      <c r="B145" s="13"/>
      <c r="C145" s="8"/>
      <c r="D145" s="8"/>
      <c r="E145" s="8"/>
      <c r="F145" s="9"/>
      <c r="G145" s="8"/>
      <c r="H145" s="8"/>
      <c r="I145" s="9"/>
      <c r="J145" s="94"/>
      <c r="K145" s="94"/>
    </row>
    <row r="146" spans="1:11" ht="14.45">
      <c r="A146" s="8"/>
      <c r="B146" s="13"/>
      <c r="C146" s="8"/>
      <c r="D146" s="8"/>
      <c r="E146" s="8"/>
      <c r="F146" s="9"/>
      <c r="G146" s="8"/>
      <c r="H146" s="8"/>
      <c r="I146" s="9"/>
      <c r="J146" s="94"/>
      <c r="K146" s="94"/>
    </row>
    <row r="147" spans="1:11" ht="14.45">
      <c r="A147" s="8"/>
      <c r="B147" s="13"/>
      <c r="C147" s="8"/>
      <c r="D147" s="8"/>
      <c r="E147" s="8"/>
      <c r="F147" s="9"/>
      <c r="G147" s="8"/>
      <c r="H147" s="8"/>
      <c r="I147" s="9"/>
      <c r="J147" s="94"/>
      <c r="K147" s="94"/>
    </row>
    <row r="148" spans="1:11" ht="14.45">
      <c r="A148" s="8"/>
      <c r="B148" s="13"/>
      <c r="C148" s="8"/>
      <c r="D148" s="8"/>
      <c r="E148" s="8"/>
      <c r="F148" s="9"/>
      <c r="G148" s="8"/>
      <c r="H148" s="8"/>
      <c r="I148" s="9"/>
      <c r="J148" s="94"/>
      <c r="K148" s="94"/>
    </row>
    <row r="149" spans="1:11" ht="14.45">
      <c r="A149" s="8"/>
      <c r="B149" s="13"/>
      <c r="C149" s="8"/>
      <c r="D149" s="8"/>
      <c r="E149" s="8"/>
      <c r="F149" s="9"/>
      <c r="G149" s="8"/>
      <c r="H149" s="8"/>
      <c r="I149" s="9"/>
      <c r="J149" s="94"/>
      <c r="K149" s="94"/>
    </row>
    <row r="150" spans="1:11" ht="14.45">
      <c r="A150" s="8"/>
      <c r="B150" s="13"/>
      <c r="C150" s="8"/>
      <c r="D150" s="8"/>
      <c r="E150" s="8"/>
      <c r="F150" s="9"/>
      <c r="G150" s="8"/>
      <c r="H150" s="8"/>
      <c r="I150" s="9"/>
      <c r="J150" s="94"/>
      <c r="K150" s="94"/>
    </row>
    <row r="151" spans="1:11" ht="14.45">
      <c r="A151" s="8"/>
      <c r="B151" s="13"/>
      <c r="C151" s="8"/>
      <c r="D151" s="8"/>
      <c r="E151" s="8"/>
      <c r="F151" s="9"/>
      <c r="G151" s="8"/>
      <c r="H151" s="8"/>
      <c r="I151" s="9"/>
      <c r="J151" s="94"/>
      <c r="K151" s="94"/>
    </row>
    <row r="152" spans="1:11" ht="14.45">
      <c r="A152" s="8"/>
      <c r="B152" s="13"/>
      <c r="C152" s="8"/>
      <c r="D152" s="8"/>
      <c r="E152" s="8"/>
      <c r="F152" s="9"/>
      <c r="G152" s="8"/>
      <c r="H152" s="8"/>
      <c r="I152" s="9"/>
      <c r="J152" s="94"/>
      <c r="K152" s="94"/>
    </row>
    <row r="153" spans="1:11" ht="14.45">
      <c r="A153" s="8"/>
      <c r="B153" s="13"/>
      <c r="C153" s="8"/>
      <c r="D153" s="8"/>
      <c r="E153" s="8"/>
      <c r="F153" s="9"/>
      <c r="G153" s="8"/>
      <c r="H153" s="8"/>
      <c r="I153" s="9"/>
      <c r="J153" s="94"/>
      <c r="K153" s="94"/>
    </row>
    <row r="154" spans="1:11" ht="14.45">
      <c r="A154" s="8"/>
      <c r="B154" s="13"/>
      <c r="C154" s="8"/>
      <c r="D154" s="8"/>
      <c r="E154" s="8"/>
      <c r="F154" s="9"/>
      <c r="G154" s="8"/>
      <c r="H154" s="8"/>
      <c r="I154" s="9"/>
      <c r="J154" s="94"/>
      <c r="K154" s="94"/>
    </row>
    <row r="155" spans="1:11" ht="14.45">
      <c r="A155" s="8"/>
      <c r="B155" s="13"/>
      <c r="C155" s="8"/>
      <c r="D155" s="8"/>
      <c r="E155" s="8"/>
      <c r="F155" s="9"/>
      <c r="G155" s="8"/>
      <c r="H155" s="8"/>
      <c r="I155" s="9"/>
      <c r="J155" s="94"/>
      <c r="K155" s="94"/>
    </row>
    <row r="156" spans="1:11" ht="14.45">
      <c r="A156" s="8"/>
      <c r="B156" s="13"/>
      <c r="C156" s="8"/>
      <c r="D156" s="8"/>
      <c r="E156" s="8"/>
      <c r="F156" s="9"/>
      <c r="G156" s="8"/>
      <c r="H156" s="8"/>
      <c r="I156" s="9"/>
      <c r="J156" s="94"/>
      <c r="K156" s="94"/>
    </row>
    <row r="157" spans="1:11" ht="14.45">
      <c r="A157" s="8"/>
      <c r="B157" s="13"/>
      <c r="C157" s="8"/>
      <c r="D157" s="8"/>
      <c r="E157" s="8"/>
      <c r="F157" s="9"/>
      <c r="G157" s="8"/>
      <c r="H157" s="8"/>
      <c r="I157" s="9"/>
      <c r="J157" s="94"/>
      <c r="K157" s="94"/>
    </row>
    <row r="158" spans="1:11" ht="14.45">
      <c r="A158" s="8"/>
      <c r="B158" s="13"/>
      <c r="C158" s="8"/>
      <c r="D158" s="8"/>
      <c r="E158" s="8"/>
      <c r="F158" s="9"/>
      <c r="G158" s="8"/>
      <c r="H158" s="8"/>
      <c r="I158" s="9"/>
      <c r="J158" s="94"/>
      <c r="K158" s="94"/>
    </row>
    <row r="159" spans="1:11" ht="14.45">
      <c r="A159" s="8"/>
      <c r="B159" s="13"/>
      <c r="C159" s="8"/>
      <c r="D159" s="8"/>
      <c r="E159" s="8"/>
      <c r="F159" s="9"/>
      <c r="G159" s="8"/>
      <c r="H159" s="8"/>
      <c r="I159" s="9"/>
      <c r="J159" s="94"/>
      <c r="K159" s="94"/>
    </row>
    <row r="160" spans="1:11" ht="14.45">
      <c r="A160" s="8"/>
      <c r="B160" s="13"/>
      <c r="C160" s="8"/>
      <c r="D160" s="8"/>
      <c r="E160" s="8"/>
      <c r="F160" s="9"/>
      <c r="G160" s="8"/>
      <c r="H160" s="8"/>
      <c r="I160" s="9"/>
      <c r="J160" s="94"/>
      <c r="K160" s="94"/>
    </row>
    <row r="161" spans="1:11" ht="14.45">
      <c r="A161" s="8"/>
      <c r="B161" s="13"/>
      <c r="C161" s="8"/>
      <c r="D161" s="8"/>
      <c r="E161" s="8"/>
      <c r="F161" s="9"/>
      <c r="G161" s="8"/>
      <c r="H161" s="8"/>
      <c r="I161" s="9"/>
      <c r="J161" s="94"/>
      <c r="K161" s="94"/>
    </row>
    <row r="162" spans="1:11" ht="14.45">
      <c r="A162" s="8"/>
      <c r="B162" s="13"/>
      <c r="C162" s="8"/>
      <c r="D162" s="8"/>
      <c r="E162" s="8"/>
      <c r="F162" s="9"/>
      <c r="G162" s="8"/>
      <c r="H162" s="8"/>
      <c r="I162" s="9"/>
      <c r="J162" s="94"/>
      <c r="K162" s="94"/>
    </row>
    <row r="163" spans="1:11" ht="14.45">
      <c r="A163" s="8"/>
      <c r="B163" s="13"/>
      <c r="C163" s="8"/>
      <c r="D163" s="8"/>
      <c r="E163" s="8"/>
      <c r="F163" s="9"/>
      <c r="G163" s="8"/>
      <c r="H163" s="8"/>
      <c r="I163" s="9"/>
      <c r="J163" s="94"/>
      <c r="K163" s="94"/>
    </row>
    <row r="164" spans="1:11" ht="14.45">
      <c r="A164" s="8"/>
      <c r="B164" s="13"/>
      <c r="C164" s="8"/>
      <c r="D164" s="8"/>
      <c r="E164" s="8"/>
      <c r="F164" s="9"/>
      <c r="G164" s="8"/>
      <c r="H164" s="8"/>
      <c r="I164" s="9"/>
      <c r="J164" s="94"/>
      <c r="K164" s="94"/>
    </row>
    <row r="165" spans="1:11" ht="14.45">
      <c r="A165" s="8"/>
      <c r="B165" s="13"/>
      <c r="C165" s="8"/>
      <c r="D165" s="8"/>
      <c r="E165" s="8"/>
      <c r="F165" s="9"/>
      <c r="G165" s="8"/>
      <c r="H165" s="8"/>
      <c r="I165" s="9"/>
      <c r="J165" s="94"/>
      <c r="K165" s="94"/>
    </row>
    <row r="166" spans="1:11" ht="14.45">
      <c r="A166" s="8"/>
      <c r="B166" s="13"/>
      <c r="C166" s="8"/>
      <c r="D166" s="8"/>
      <c r="E166" s="8"/>
      <c r="F166" s="9"/>
      <c r="G166" s="8"/>
      <c r="H166" s="8"/>
      <c r="I166" s="9"/>
      <c r="J166" s="94"/>
      <c r="K166" s="94"/>
    </row>
    <row r="167" spans="1:11" ht="14.45">
      <c r="A167" s="8"/>
      <c r="B167" s="13"/>
      <c r="C167" s="8"/>
      <c r="D167" s="8"/>
      <c r="E167" s="8"/>
      <c r="F167" s="9"/>
      <c r="G167" s="8"/>
      <c r="H167" s="8"/>
      <c r="I167" s="9"/>
      <c r="J167" s="94"/>
      <c r="K167" s="94"/>
    </row>
    <row r="168" spans="1:11" ht="14.45">
      <c r="A168" s="8"/>
      <c r="B168" s="13"/>
      <c r="C168" s="8"/>
      <c r="D168" s="8"/>
      <c r="E168" s="8"/>
      <c r="F168" s="9"/>
      <c r="G168" s="8"/>
      <c r="H168" s="8"/>
      <c r="I168" s="9"/>
      <c r="J168" s="94"/>
      <c r="K168" s="94"/>
    </row>
    <row r="169" spans="1:11" ht="14.45">
      <c r="A169" s="8"/>
      <c r="B169" s="13"/>
      <c r="C169" s="8"/>
      <c r="D169" s="8"/>
      <c r="E169" s="8"/>
      <c r="F169" s="9"/>
      <c r="G169" s="8"/>
      <c r="H169" s="8"/>
      <c r="I169" s="9"/>
      <c r="J169" s="94"/>
      <c r="K169" s="94"/>
    </row>
    <row r="170" spans="1:11" ht="14.45">
      <c r="A170" s="8"/>
      <c r="B170" s="13"/>
      <c r="C170" s="8"/>
      <c r="D170" s="8"/>
      <c r="E170" s="8"/>
      <c r="F170" s="9"/>
      <c r="G170" s="8"/>
      <c r="H170" s="8"/>
      <c r="I170" s="9"/>
      <c r="J170" s="94"/>
      <c r="K170" s="94"/>
    </row>
    <row r="171" spans="1:11" ht="14.45">
      <c r="A171" s="8"/>
      <c r="B171" s="13"/>
      <c r="C171" s="8"/>
      <c r="D171" s="8"/>
      <c r="E171" s="8"/>
      <c r="F171" s="9"/>
      <c r="G171" s="8"/>
      <c r="H171" s="8"/>
      <c r="I171" s="9"/>
      <c r="J171" s="94"/>
      <c r="K171" s="94"/>
    </row>
    <row r="172" spans="1:11" ht="14.45">
      <c r="A172" s="8"/>
      <c r="B172" s="13"/>
      <c r="C172" s="8"/>
      <c r="D172" s="8"/>
      <c r="E172" s="8"/>
      <c r="F172" s="9"/>
      <c r="G172" s="8"/>
      <c r="H172" s="8"/>
      <c r="I172" s="9"/>
      <c r="J172" s="94"/>
      <c r="K172" s="94"/>
    </row>
    <row r="173" spans="1:11" ht="14.45">
      <c r="A173" s="8"/>
      <c r="B173" s="13"/>
      <c r="C173" s="8"/>
      <c r="D173" s="8"/>
      <c r="E173" s="8"/>
      <c r="F173" s="9"/>
      <c r="G173" s="8"/>
      <c r="H173" s="8"/>
      <c r="I173" s="9"/>
      <c r="J173" s="94"/>
      <c r="K173" s="94"/>
    </row>
    <row r="174" spans="1:11" ht="14.45">
      <c r="A174" s="8"/>
      <c r="B174" s="13"/>
      <c r="C174" s="8"/>
      <c r="D174" s="8"/>
      <c r="E174" s="8"/>
      <c r="F174" s="9"/>
      <c r="G174" s="8"/>
      <c r="H174" s="8"/>
      <c r="I174" s="9"/>
      <c r="J174" s="94"/>
      <c r="K174" s="94"/>
    </row>
    <row r="175" spans="1:11" ht="14.45">
      <c r="A175" s="8"/>
      <c r="B175" s="13"/>
      <c r="C175" s="8"/>
      <c r="D175" s="8"/>
      <c r="E175" s="8"/>
      <c r="F175" s="9"/>
      <c r="G175" s="8"/>
      <c r="H175" s="8"/>
      <c r="I175" s="9"/>
      <c r="J175" s="94"/>
      <c r="K175" s="94"/>
    </row>
    <row r="176" spans="1:11" ht="14.45">
      <c r="A176" s="8"/>
      <c r="B176" s="13"/>
      <c r="C176" s="8"/>
      <c r="D176" s="8"/>
      <c r="E176" s="8"/>
      <c r="F176" s="9"/>
      <c r="G176" s="8"/>
      <c r="H176" s="8"/>
      <c r="I176" s="9"/>
      <c r="J176" s="94"/>
      <c r="K176" s="94"/>
    </row>
    <row r="177" spans="1:11" ht="14.45">
      <c r="A177" s="8"/>
      <c r="B177" s="13"/>
      <c r="C177" s="8"/>
      <c r="D177" s="8"/>
      <c r="E177" s="8"/>
      <c r="F177" s="9"/>
      <c r="G177" s="8"/>
      <c r="H177" s="8"/>
      <c r="I177" s="9"/>
      <c r="J177" s="94"/>
      <c r="K177" s="94"/>
    </row>
    <row r="178" spans="1:11" ht="14.45">
      <c r="A178" s="8"/>
      <c r="B178" s="13"/>
      <c r="C178" s="8"/>
      <c r="D178" s="8"/>
      <c r="E178" s="8"/>
      <c r="F178" s="9"/>
      <c r="G178" s="8"/>
      <c r="H178" s="8"/>
      <c r="I178" s="9"/>
      <c r="J178" s="94"/>
      <c r="K178" s="94"/>
    </row>
    <row r="179" spans="1:11" ht="14.45">
      <c r="A179" s="8"/>
      <c r="B179" s="13"/>
      <c r="C179" s="8"/>
      <c r="D179" s="8"/>
      <c r="E179" s="8"/>
      <c r="F179" s="9"/>
      <c r="G179" s="8"/>
      <c r="H179" s="8"/>
      <c r="I179" s="9"/>
      <c r="J179" s="94"/>
      <c r="K179" s="94"/>
    </row>
    <row r="180" spans="1:11" ht="14.45">
      <c r="A180" s="8"/>
      <c r="B180" s="13"/>
      <c r="C180" s="8"/>
      <c r="D180" s="8"/>
      <c r="E180" s="8"/>
      <c r="F180" s="9"/>
      <c r="G180" s="8"/>
      <c r="H180" s="8"/>
      <c r="I180" s="9"/>
      <c r="J180" s="94"/>
      <c r="K180" s="94"/>
    </row>
    <row r="181" spans="1:11" ht="14.45">
      <c r="A181" s="8"/>
      <c r="B181" s="13"/>
      <c r="C181" s="8"/>
      <c r="D181" s="8"/>
      <c r="E181" s="8"/>
      <c r="F181" s="9"/>
      <c r="G181" s="8"/>
      <c r="H181" s="8"/>
      <c r="I181" s="9"/>
      <c r="J181" s="94"/>
      <c r="K181" s="94"/>
    </row>
    <row r="182" spans="1:11" ht="14.45">
      <c r="A182" s="8"/>
      <c r="B182" s="13"/>
      <c r="C182" s="8"/>
      <c r="D182" s="8"/>
      <c r="E182" s="8"/>
      <c r="F182" s="9"/>
      <c r="G182" s="8"/>
      <c r="H182" s="8"/>
      <c r="I182" s="9"/>
      <c r="J182" s="94"/>
      <c r="K182" s="94"/>
    </row>
    <row r="183" spans="1:11" ht="14.45">
      <c r="A183" s="8"/>
      <c r="B183" s="13"/>
      <c r="C183" s="8"/>
      <c r="D183" s="8"/>
      <c r="E183" s="8"/>
      <c r="F183" s="9"/>
      <c r="G183" s="8"/>
      <c r="H183" s="8"/>
      <c r="I183" s="9"/>
      <c r="J183" s="94"/>
      <c r="K183" s="94"/>
    </row>
    <row r="184" spans="1:11" ht="14.45">
      <c r="A184" s="8"/>
      <c r="B184" s="13"/>
      <c r="C184" s="8"/>
      <c r="D184" s="8"/>
      <c r="E184" s="8"/>
      <c r="F184" s="9"/>
      <c r="G184" s="8"/>
      <c r="H184" s="8"/>
      <c r="I184" s="9"/>
      <c r="J184" s="94"/>
      <c r="K184" s="94"/>
    </row>
    <row r="185" spans="1:11" ht="14.45">
      <c r="A185" s="8"/>
      <c r="B185" s="13"/>
      <c r="C185" s="8"/>
      <c r="D185" s="8"/>
      <c r="E185" s="8"/>
      <c r="F185" s="9"/>
      <c r="G185" s="8"/>
      <c r="H185" s="8"/>
      <c r="I185" s="9"/>
      <c r="J185" s="94"/>
      <c r="K185" s="94"/>
    </row>
    <row r="186" spans="1:11" ht="14.45">
      <c r="A186" s="8"/>
      <c r="B186" s="13"/>
      <c r="C186" s="8"/>
      <c r="D186" s="8"/>
      <c r="E186" s="8"/>
      <c r="F186" s="9"/>
      <c r="G186" s="8"/>
      <c r="H186" s="8"/>
      <c r="I186" s="9"/>
      <c r="J186" s="94"/>
      <c r="K186" s="94"/>
    </row>
    <row r="187" spans="1:11" ht="14.45">
      <c r="A187" s="8"/>
      <c r="B187" s="13"/>
      <c r="C187" s="8"/>
      <c r="D187" s="8"/>
      <c r="E187" s="8"/>
      <c r="F187" s="9"/>
      <c r="G187" s="8"/>
      <c r="H187" s="8"/>
      <c r="I187" s="9"/>
      <c r="J187" s="94"/>
      <c r="K187" s="94"/>
    </row>
    <row r="188" spans="1:11" ht="14.45">
      <c r="A188" s="8"/>
      <c r="B188" s="13"/>
      <c r="C188" s="8"/>
      <c r="D188" s="8"/>
      <c r="E188" s="8"/>
      <c r="F188" s="9"/>
      <c r="G188" s="8"/>
      <c r="H188" s="8"/>
      <c r="I188" s="9"/>
      <c r="J188" s="94"/>
      <c r="K188" s="94"/>
    </row>
    <row r="189" spans="1:11" ht="14.45">
      <c r="A189" s="8"/>
      <c r="B189" s="13"/>
      <c r="C189" s="8"/>
      <c r="D189" s="8"/>
      <c r="E189" s="8"/>
      <c r="F189" s="9"/>
      <c r="G189" s="8"/>
      <c r="H189" s="8"/>
      <c r="I189" s="9"/>
      <c r="J189" s="94"/>
      <c r="K189" s="94"/>
    </row>
    <row r="190" spans="1:11" ht="14.45">
      <c r="A190" s="8"/>
      <c r="B190" s="13"/>
      <c r="C190" s="8"/>
      <c r="D190" s="8"/>
      <c r="E190" s="8"/>
      <c r="F190" s="9"/>
      <c r="G190" s="8"/>
      <c r="H190" s="8"/>
      <c r="I190" s="9"/>
      <c r="J190" s="94"/>
      <c r="K190" s="94"/>
    </row>
    <row r="191" spans="1:11" ht="14.45">
      <c r="A191" s="8"/>
      <c r="B191" s="13"/>
      <c r="C191" s="8"/>
      <c r="D191" s="8"/>
      <c r="E191" s="8"/>
      <c r="F191" s="9"/>
      <c r="G191" s="8"/>
      <c r="H191" s="8"/>
      <c r="I191" s="9"/>
      <c r="J191" s="94"/>
      <c r="K191" s="94"/>
    </row>
    <row r="192" spans="1:11" ht="14.45">
      <c r="A192" s="8"/>
      <c r="B192" s="13"/>
      <c r="C192" s="8"/>
      <c r="D192" s="8"/>
      <c r="E192" s="8"/>
      <c r="F192" s="9"/>
      <c r="G192" s="8"/>
      <c r="H192" s="8"/>
      <c r="I192" s="9"/>
      <c r="J192" s="94"/>
      <c r="K192" s="94"/>
    </row>
    <row r="193" spans="1:11" ht="14.45">
      <c r="A193" s="8"/>
      <c r="B193" s="13"/>
      <c r="C193" s="8"/>
      <c r="D193" s="8"/>
      <c r="E193" s="8"/>
      <c r="F193" s="9"/>
      <c r="G193" s="8"/>
      <c r="H193" s="8"/>
      <c r="I193" s="9"/>
      <c r="J193" s="94"/>
      <c r="K193" s="94"/>
    </row>
    <row r="194" spans="1:11" ht="14.45">
      <c r="A194" s="8"/>
      <c r="B194" s="13"/>
      <c r="C194" s="8"/>
      <c r="D194" s="8"/>
      <c r="E194" s="8"/>
      <c r="F194" s="9"/>
      <c r="G194" s="8"/>
      <c r="H194" s="8"/>
      <c r="I194" s="9"/>
      <c r="J194" s="94"/>
      <c r="K194" s="94"/>
    </row>
    <row r="195" spans="1:11" ht="14.45">
      <c r="A195" s="8"/>
      <c r="B195" s="13"/>
      <c r="C195" s="8"/>
      <c r="D195" s="8"/>
      <c r="E195" s="8"/>
      <c r="F195" s="9"/>
      <c r="G195" s="8"/>
      <c r="H195" s="8"/>
      <c r="I195" s="9"/>
      <c r="J195" s="94"/>
      <c r="K195" s="94"/>
    </row>
    <row r="196" spans="1:11" ht="14.45">
      <c r="A196" s="8"/>
      <c r="B196" s="13"/>
      <c r="C196" s="8"/>
      <c r="D196" s="8"/>
      <c r="E196" s="8"/>
      <c r="F196" s="9"/>
      <c r="G196" s="8"/>
      <c r="H196" s="8"/>
      <c r="I196" s="9"/>
      <c r="J196" s="94"/>
      <c r="K196" s="94"/>
    </row>
    <row r="197" spans="1:11" ht="14.45">
      <c r="A197" s="8"/>
      <c r="B197" s="13"/>
      <c r="C197" s="8"/>
      <c r="D197" s="8"/>
      <c r="E197" s="8"/>
      <c r="F197" s="9"/>
      <c r="G197" s="8"/>
      <c r="H197" s="8"/>
      <c r="I197" s="9"/>
      <c r="J197" s="94"/>
      <c r="K197" s="94"/>
    </row>
    <row r="198" spans="1:11" ht="14.45">
      <c r="A198" s="8"/>
      <c r="B198" s="13"/>
      <c r="C198" s="8"/>
      <c r="D198" s="8"/>
      <c r="E198" s="8"/>
      <c r="F198" s="9"/>
      <c r="G198" s="8"/>
      <c r="H198" s="8"/>
      <c r="I198" s="9"/>
      <c r="J198" s="94"/>
      <c r="K198" s="94"/>
    </row>
    <row r="199" spans="1:11" ht="14.45">
      <c r="A199" s="8"/>
      <c r="B199" s="13"/>
      <c r="C199" s="8"/>
      <c r="D199" s="8"/>
      <c r="E199" s="8"/>
      <c r="F199" s="9"/>
      <c r="G199" s="8"/>
      <c r="H199" s="8"/>
      <c r="I199" s="9"/>
      <c r="J199" s="94"/>
      <c r="K199" s="94"/>
    </row>
    <row r="200" spans="1:11" ht="14.45">
      <c r="A200" s="8"/>
      <c r="B200" s="13"/>
      <c r="C200" s="8"/>
      <c r="D200" s="8"/>
      <c r="E200" s="8"/>
      <c r="F200" s="9"/>
      <c r="G200" s="8"/>
      <c r="H200" s="8"/>
      <c r="I200" s="9"/>
      <c r="J200" s="94"/>
      <c r="K200" s="94"/>
    </row>
    <row r="201" spans="1:11" ht="14.45">
      <c r="A201" s="8"/>
      <c r="B201" s="13"/>
      <c r="C201" s="8"/>
      <c r="D201" s="8"/>
      <c r="E201" s="8"/>
      <c r="F201" s="9"/>
      <c r="G201" s="8"/>
      <c r="H201" s="8"/>
      <c r="I201" s="9"/>
      <c r="J201" s="94"/>
      <c r="K201" s="94"/>
    </row>
    <row r="202" spans="1:11" ht="14.45">
      <c r="A202" s="8"/>
      <c r="B202" s="13"/>
      <c r="C202" s="8"/>
      <c r="D202" s="8"/>
      <c r="E202" s="8"/>
      <c r="F202" s="9"/>
      <c r="G202" s="8"/>
      <c r="H202" s="8"/>
      <c r="I202" s="9"/>
      <c r="J202" s="94"/>
      <c r="K202" s="94"/>
    </row>
    <row r="203" spans="1:11" ht="14.45">
      <c r="A203" s="8"/>
      <c r="B203" s="13"/>
      <c r="C203" s="8"/>
      <c r="D203" s="8"/>
      <c r="E203" s="8"/>
      <c r="F203" s="9"/>
      <c r="G203" s="8"/>
      <c r="H203" s="8"/>
      <c r="I203" s="9"/>
      <c r="J203" s="94"/>
      <c r="K203" s="94"/>
    </row>
    <row r="204" spans="1:11" ht="14.45">
      <c r="A204" s="8"/>
      <c r="B204" s="13"/>
      <c r="C204" s="8"/>
      <c r="D204" s="8"/>
      <c r="E204" s="8"/>
      <c r="F204" s="9"/>
      <c r="G204" s="8"/>
      <c r="H204" s="8"/>
      <c r="I204" s="9"/>
      <c r="J204" s="94"/>
      <c r="K204" s="94"/>
    </row>
    <row r="205" spans="1:11" ht="14.45">
      <c r="A205" s="8"/>
      <c r="B205" s="13"/>
      <c r="C205" s="8"/>
      <c r="D205" s="8"/>
      <c r="E205" s="8"/>
      <c r="F205" s="9"/>
      <c r="G205" s="8"/>
      <c r="H205" s="8"/>
      <c r="I205" s="9"/>
      <c r="J205" s="94"/>
      <c r="K205" s="94"/>
    </row>
    <row r="206" spans="1:11" ht="14.45">
      <c r="A206" s="8"/>
      <c r="B206" s="13"/>
      <c r="C206" s="8"/>
      <c r="D206" s="8"/>
      <c r="E206" s="8"/>
      <c r="F206" s="9"/>
      <c r="G206" s="8"/>
      <c r="H206" s="8"/>
      <c r="I206" s="9"/>
      <c r="J206" s="94"/>
      <c r="K206" s="94"/>
    </row>
    <row r="207" spans="1:11" ht="14.45">
      <c r="A207" s="8"/>
      <c r="B207" s="13"/>
      <c r="C207" s="8"/>
      <c r="D207" s="8"/>
      <c r="E207" s="8"/>
      <c r="F207" s="9"/>
      <c r="G207" s="8"/>
      <c r="H207" s="8"/>
      <c r="I207" s="9"/>
      <c r="J207" s="94"/>
      <c r="K207" s="94"/>
    </row>
    <row r="208" spans="1:11" ht="14.45">
      <c r="A208" s="8"/>
      <c r="B208" s="13"/>
      <c r="C208" s="8"/>
      <c r="D208" s="8"/>
      <c r="E208" s="8"/>
      <c r="F208" s="9"/>
      <c r="G208" s="8"/>
      <c r="H208" s="8"/>
      <c r="I208" s="9"/>
      <c r="J208" s="94"/>
      <c r="K208" s="94"/>
    </row>
    <row r="209" spans="1:11" ht="14.45">
      <c r="A209" s="8"/>
      <c r="B209" s="13"/>
      <c r="C209" s="8"/>
      <c r="D209" s="8"/>
      <c r="E209" s="8"/>
      <c r="F209" s="9"/>
      <c r="G209" s="8"/>
      <c r="H209" s="8"/>
      <c r="I209" s="9"/>
      <c r="J209" s="94"/>
      <c r="K209" s="94"/>
    </row>
    <row r="210" spans="1:11" ht="14.45">
      <c r="A210" s="8"/>
      <c r="B210" s="13"/>
      <c r="C210" s="8"/>
      <c r="D210" s="8"/>
      <c r="E210" s="8"/>
      <c r="F210" s="9"/>
      <c r="G210" s="8"/>
      <c r="H210" s="8"/>
      <c r="I210" s="9"/>
      <c r="J210" s="94"/>
      <c r="K210" s="94"/>
    </row>
    <row r="211" spans="1:11" ht="14.45">
      <c r="A211" s="8"/>
      <c r="B211" s="13"/>
      <c r="C211" s="8"/>
      <c r="D211" s="8"/>
      <c r="E211" s="8"/>
      <c r="F211" s="9"/>
      <c r="G211" s="8"/>
      <c r="H211" s="8"/>
      <c r="I211" s="9"/>
      <c r="J211" s="94"/>
      <c r="K211" s="94"/>
    </row>
    <row r="212" spans="1:11" ht="14.45">
      <c r="A212" s="8"/>
      <c r="B212" s="13"/>
      <c r="C212" s="8"/>
      <c r="D212" s="8"/>
      <c r="E212" s="8"/>
      <c r="F212" s="9"/>
      <c r="G212" s="8"/>
      <c r="H212" s="8"/>
      <c r="I212" s="9"/>
      <c r="J212" s="94"/>
      <c r="K212" s="94"/>
    </row>
    <row r="213" spans="1:11" ht="14.45">
      <c r="A213" s="8"/>
      <c r="B213" s="13"/>
      <c r="C213" s="8"/>
      <c r="D213" s="8"/>
      <c r="E213" s="8"/>
      <c r="F213" s="9"/>
      <c r="G213" s="8"/>
      <c r="H213" s="8"/>
      <c r="I213" s="9"/>
      <c r="J213" s="94"/>
      <c r="K213" s="94"/>
    </row>
    <row r="214" spans="1:11" ht="14.45">
      <c r="A214" s="8"/>
      <c r="B214" s="13"/>
      <c r="C214" s="8"/>
      <c r="D214" s="8"/>
      <c r="E214" s="8"/>
      <c r="F214" s="9"/>
      <c r="G214" s="8"/>
      <c r="H214" s="8"/>
      <c r="I214" s="9"/>
      <c r="J214" s="94"/>
      <c r="K214" s="94"/>
    </row>
    <row r="215" spans="1:11" ht="14.45">
      <c r="A215" s="8"/>
      <c r="B215" s="13"/>
      <c r="C215" s="8"/>
      <c r="D215" s="8"/>
      <c r="E215" s="8"/>
      <c r="F215" s="9"/>
      <c r="G215" s="8"/>
      <c r="H215" s="8"/>
      <c r="I215" s="9"/>
      <c r="J215" s="94"/>
      <c r="K215" s="94"/>
    </row>
    <row r="216" spans="1:11" ht="14.45">
      <c r="A216" s="8"/>
      <c r="B216" s="13"/>
      <c r="C216" s="8"/>
      <c r="D216" s="8"/>
      <c r="E216" s="8"/>
      <c r="F216" s="9"/>
      <c r="G216" s="8"/>
      <c r="H216" s="8"/>
      <c r="I216" s="9"/>
      <c r="J216" s="94"/>
      <c r="K216" s="94"/>
    </row>
    <row r="217" spans="1:11" ht="14.45">
      <c r="A217" s="8"/>
      <c r="B217" s="13"/>
      <c r="C217" s="8"/>
      <c r="D217" s="8"/>
      <c r="E217" s="8"/>
      <c r="F217" s="9"/>
      <c r="G217" s="8"/>
      <c r="H217" s="8"/>
      <c r="I217" s="9"/>
      <c r="J217" s="94"/>
      <c r="K217" s="94"/>
    </row>
    <row r="218" spans="1:11" ht="14.45">
      <c r="A218" s="8"/>
      <c r="B218" s="13"/>
      <c r="C218" s="8"/>
      <c r="D218" s="8"/>
      <c r="E218" s="8"/>
      <c r="F218" s="9"/>
      <c r="G218" s="8"/>
      <c r="H218" s="8"/>
      <c r="I218" s="9"/>
      <c r="J218" s="94"/>
      <c r="K218" s="94"/>
    </row>
    <row r="219" spans="1:11" ht="14.45">
      <c r="A219" s="8"/>
      <c r="B219" s="13"/>
      <c r="C219" s="8"/>
      <c r="D219" s="8"/>
      <c r="E219" s="8"/>
      <c r="F219" s="9"/>
      <c r="G219" s="8"/>
      <c r="H219" s="8"/>
      <c r="I219" s="9"/>
      <c r="J219" s="94"/>
      <c r="K219" s="94"/>
    </row>
    <row r="220" spans="1:11" ht="14.45">
      <c r="A220" s="8"/>
      <c r="B220" s="13"/>
      <c r="C220" s="8"/>
      <c r="D220" s="8"/>
      <c r="E220" s="8"/>
      <c r="F220" s="9"/>
      <c r="G220" s="8"/>
      <c r="H220" s="8"/>
      <c r="I220" s="9"/>
      <c r="J220" s="94"/>
      <c r="K220" s="94"/>
    </row>
    <row r="221" spans="1:11" ht="14.45">
      <c r="A221" s="8"/>
      <c r="B221" s="13"/>
      <c r="C221" s="8"/>
      <c r="D221" s="8"/>
      <c r="E221" s="8"/>
      <c r="F221" s="9"/>
      <c r="G221" s="8"/>
      <c r="H221" s="8"/>
      <c r="I221" s="9"/>
      <c r="J221" s="94"/>
      <c r="K221" s="94"/>
    </row>
    <row r="222" spans="1:11" ht="14.45">
      <c r="A222" s="8"/>
      <c r="B222" s="13"/>
      <c r="C222" s="8"/>
      <c r="D222" s="8"/>
      <c r="E222" s="8"/>
      <c r="F222" s="9"/>
      <c r="G222" s="8"/>
      <c r="H222" s="8"/>
      <c r="I222" s="9"/>
      <c r="J222" s="94"/>
      <c r="K222" s="94"/>
    </row>
    <row r="223" spans="1:11" ht="14.45">
      <c r="A223" s="8"/>
      <c r="B223" s="13"/>
      <c r="C223" s="8"/>
      <c r="D223" s="8"/>
      <c r="E223" s="8"/>
      <c r="F223" s="9"/>
      <c r="G223" s="8"/>
      <c r="H223" s="8"/>
      <c r="I223" s="9"/>
      <c r="J223" s="94"/>
      <c r="K223" s="94"/>
    </row>
    <row r="224" spans="1:11" ht="14.45">
      <c r="A224" s="8"/>
      <c r="B224" s="13"/>
      <c r="C224" s="8"/>
      <c r="D224" s="8"/>
      <c r="E224" s="8"/>
      <c r="F224" s="9"/>
      <c r="G224" s="8"/>
      <c r="H224" s="8"/>
      <c r="I224" s="9"/>
      <c r="J224" s="94"/>
      <c r="K224" s="94"/>
    </row>
    <row r="225" spans="1:11" ht="14.45">
      <c r="A225" s="8"/>
      <c r="B225" s="13"/>
      <c r="C225" s="8"/>
      <c r="D225" s="8"/>
      <c r="E225" s="8"/>
      <c r="F225" s="9"/>
      <c r="G225" s="8"/>
      <c r="H225" s="8"/>
      <c r="I225" s="9"/>
      <c r="J225" s="94"/>
      <c r="K225" s="94"/>
    </row>
    <row r="226" spans="1:11" ht="14.45">
      <c r="A226" s="8"/>
      <c r="B226" s="13"/>
      <c r="C226" s="8"/>
      <c r="D226" s="8"/>
      <c r="E226" s="8"/>
      <c r="F226" s="9"/>
      <c r="G226" s="8"/>
      <c r="H226" s="8"/>
      <c r="I226" s="9"/>
      <c r="J226" s="94"/>
      <c r="K226" s="94"/>
    </row>
    <row r="227" spans="1:11" ht="14.45">
      <c r="A227" s="8"/>
      <c r="B227" s="13"/>
      <c r="C227" s="8"/>
      <c r="D227" s="8"/>
      <c r="E227" s="8"/>
      <c r="F227" s="9"/>
      <c r="G227" s="8"/>
      <c r="H227" s="8"/>
      <c r="I227" s="9"/>
      <c r="J227" s="94"/>
      <c r="K227" s="94"/>
    </row>
    <row r="228" spans="1:11" ht="14.45">
      <c r="A228" s="8"/>
      <c r="B228" s="13"/>
      <c r="C228" s="8"/>
      <c r="D228" s="8"/>
      <c r="E228" s="8"/>
      <c r="F228" s="9"/>
      <c r="G228" s="8"/>
      <c r="H228" s="8"/>
      <c r="I228" s="9"/>
      <c r="J228" s="94"/>
      <c r="K228" s="94"/>
    </row>
    <row r="229" spans="1:11" ht="14.45">
      <c r="A229" s="8"/>
      <c r="B229" s="13"/>
      <c r="C229" s="8"/>
      <c r="D229" s="8"/>
      <c r="E229" s="8"/>
      <c r="F229" s="9"/>
      <c r="G229" s="8"/>
      <c r="H229" s="8"/>
      <c r="I229" s="9"/>
      <c r="J229" s="94"/>
      <c r="K229" s="94"/>
    </row>
    <row r="230" spans="1:11" ht="14.45">
      <c r="A230" s="8"/>
      <c r="B230" s="13"/>
      <c r="C230" s="8"/>
      <c r="D230" s="8"/>
      <c r="E230" s="8"/>
      <c r="F230" s="9"/>
      <c r="G230" s="8"/>
      <c r="H230" s="8"/>
      <c r="I230" s="9"/>
      <c r="J230" s="94"/>
      <c r="K230" s="94"/>
    </row>
    <row r="231" spans="1:11" ht="14.45">
      <c r="A231" s="8"/>
      <c r="B231" s="13"/>
      <c r="C231" s="8"/>
      <c r="D231" s="8"/>
      <c r="E231" s="8"/>
      <c r="F231" s="9"/>
      <c r="G231" s="8"/>
      <c r="H231" s="8"/>
      <c r="I231" s="9"/>
      <c r="J231" s="94"/>
      <c r="K231" s="94"/>
    </row>
    <row r="232" spans="1:11" ht="14.45">
      <c r="A232" s="8"/>
      <c r="B232" s="13"/>
      <c r="C232" s="8"/>
      <c r="D232" s="8"/>
      <c r="E232" s="8"/>
      <c r="F232" s="9"/>
      <c r="G232" s="8"/>
      <c r="H232" s="8"/>
      <c r="I232" s="9"/>
      <c r="J232" s="94"/>
      <c r="K232" s="94"/>
    </row>
    <row r="233" spans="1:11" ht="14.45">
      <c r="A233" s="8"/>
      <c r="B233" s="13"/>
      <c r="C233" s="8"/>
      <c r="D233" s="8"/>
      <c r="E233" s="8"/>
      <c r="F233" s="9"/>
      <c r="G233" s="8"/>
      <c r="H233" s="8"/>
      <c r="I233" s="9"/>
      <c r="J233" s="94"/>
      <c r="K233" s="94"/>
    </row>
    <row r="234" spans="1:11" ht="14.45">
      <c r="A234" s="8"/>
      <c r="B234" s="13"/>
      <c r="C234" s="8"/>
      <c r="D234" s="8"/>
      <c r="E234" s="8"/>
      <c r="F234" s="9"/>
      <c r="G234" s="8"/>
      <c r="H234" s="8"/>
      <c r="I234" s="9"/>
      <c r="J234" s="94"/>
      <c r="K234" s="94"/>
    </row>
    <row r="235" spans="1:11" ht="14.45">
      <c r="A235" s="8"/>
      <c r="B235" s="13"/>
      <c r="C235" s="8"/>
      <c r="D235" s="8"/>
      <c r="E235" s="8"/>
      <c r="F235" s="9"/>
      <c r="G235" s="8"/>
      <c r="H235" s="8"/>
      <c r="I235" s="9"/>
      <c r="J235" s="94"/>
      <c r="K235" s="94"/>
    </row>
    <row r="236" spans="1:11" ht="14.45">
      <c r="A236" s="8"/>
      <c r="B236" s="13"/>
      <c r="C236" s="8"/>
      <c r="D236" s="8"/>
      <c r="E236" s="8"/>
      <c r="F236" s="9"/>
      <c r="G236" s="8"/>
      <c r="H236" s="8"/>
      <c r="I236" s="9"/>
      <c r="J236" s="94"/>
      <c r="K236" s="94"/>
    </row>
    <row r="237" spans="1:11" ht="14.45">
      <c r="A237" s="8"/>
      <c r="B237" s="13"/>
      <c r="C237" s="8"/>
      <c r="D237" s="8"/>
      <c r="E237" s="8"/>
      <c r="F237" s="9"/>
      <c r="G237" s="8"/>
      <c r="H237" s="8"/>
      <c r="I237" s="9"/>
      <c r="J237" s="94"/>
      <c r="K237" s="94"/>
    </row>
    <row r="238" spans="1:11" ht="14.45">
      <c r="A238" s="8"/>
      <c r="B238" s="13"/>
      <c r="C238" s="8"/>
      <c r="D238" s="8"/>
      <c r="E238" s="8"/>
      <c r="F238" s="9"/>
      <c r="G238" s="8"/>
      <c r="H238" s="8"/>
      <c r="I238" s="9"/>
      <c r="J238" s="94"/>
      <c r="K238" s="94"/>
    </row>
    <row r="239" spans="1:11" ht="14.45">
      <c r="A239" s="8"/>
      <c r="B239" s="13"/>
      <c r="C239" s="8"/>
      <c r="D239" s="8"/>
      <c r="E239" s="8"/>
      <c r="F239" s="9"/>
      <c r="G239" s="8"/>
      <c r="H239" s="8"/>
      <c r="I239" s="9"/>
      <c r="J239" s="94"/>
      <c r="K239" s="94"/>
    </row>
    <row r="240" spans="1:11" ht="14.45">
      <c r="A240" s="8"/>
      <c r="B240" s="13"/>
      <c r="C240" s="8"/>
      <c r="D240" s="8"/>
      <c r="E240" s="8"/>
      <c r="F240" s="9"/>
      <c r="G240" s="8"/>
      <c r="H240" s="8"/>
      <c r="I240" s="9"/>
      <c r="J240" s="94"/>
      <c r="K240" s="94"/>
    </row>
    <row r="241" spans="1:11" ht="14.45">
      <c r="A241" s="8"/>
      <c r="B241" s="13"/>
      <c r="C241" s="8"/>
      <c r="D241" s="8"/>
      <c r="E241" s="8"/>
      <c r="F241" s="9"/>
      <c r="G241" s="8"/>
      <c r="H241" s="8"/>
      <c r="I241" s="9"/>
      <c r="J241" s="94"/>
      <c r="K241" s="94"/>
    </row>
    <row r="242" spans="1:11" ht="14.45">
      <c r="A242" s="8"/>
      <c r="B242" s="13"/>
      <c r="C242" s="8"/>
      <c r="D242" s="8"/>
      <c r="E242" s="8"/>
      <c r="F242" s="9"/>
      <c r="G242" s="8"/>
      <c r="H242" s="8"/>
      <c r="I242" s="9"/>
      <c r="J242" s="94"/>
      <c r="K242" s="94"/>
    </row>
    <row r="243" spans="1:11" ht="14.45">
      <c r="A243" s="8"/>
      <c r="B243" s="13"/>
      <c r="C243" s="8"/>
      <c r="D243" s="8"/>
      <c r="E243" s="8"/>
      <c r="F243" s="9"/>
      <c r="G243" s="8"/>
      <c r="H243" s="8"/>
      <c r="I243" s="9"/>
      <c r="J243" s="94"/>
      <c r="K243" s="94"/>
    </row>
    <row r="244" spans="1:11" ht="14.45">
      <c r="A244" s="8"/>
      <c r="B244" s="13"/>
      <c r="C244" s="8"/>
      <c r="D244" s="8"/>
      <c r="E244" s="8"/>
      <c r="F244" s="9"/>
      <c r="G244" s="8"/>
      <c r="H244" s="8"/>
      <c r="I244" s="9"/>
      <c r="J244" s="94"/>
      <c r="K244" s="94"/>
    </row>
    <row r="245" spans="1:11" ht="14.45">
      <c r="A245" s="8"/>
      <c r="B245" s="13"/>
      <c r="C245" s="8"/>
      <c r="D245" s="8"/>
      <c r="E245" s="8"/>
      <c r="F245" s="9"/>
      <c r="G245" s="8"/>
      <c r="H245" s="8"/>
      <c r="I245" s="9"/>
      <c r="J245" s="94"/>
      <c r="K245" s="94"/>
    </row>
    <row r="246" spans="1:11" ht="14.45">
      <c r="A246" s="8"/>
      <c r="B246" s="13"/>
      <c r="C246" s="8"/>
      <c r="D246" s="8"/>
      <c r="E246" s="8"/>
      <c r="F246" s="9"/>
      <c r="G246" s="8"/>
      <c r="H246" s="8"/>
      <c r="I246" s="9"/>
      <c r="J246" s="94"/>
      <c r="K246" s="94"/>
    </row>
    <row r="247" spans="1:11" ht="14.45">
      <c r="A247" s="8"/>
      <c r="B247" s="13"/>
      <c r="C247" s="8"/>
      <c r="D247" s="8"/>
      <c r="E247" s="8"/>
      <c r="F247" s="9"/>
      <c r="G247" s="8"/>
      <c r="H247" s="8"/>
      <c r="I247" s="9"/>
      <c r="J247" s="94"/>
      <c r="K247" s="94"/>
    </row>
    <row r="248" spans="1:11" ht="14.45">
      <c r="A248" s="8"/>
      <c r="B248" s="13"/>
      <c r="C248" s="8"/>
      <c r="D248" s="8"/>
      <c r="E248" s="8"/>
      <c r="F248" s="9"/>
      <c r="G248" s="8"/>
      <c r="H248" s="8"/>
      <c r="I248" s="9"/>
      <c r="J248" s="94"/>
      <c r="K248" s="94"/>
    </row>
    <row r="249" spans="1:11" ht="14.45">
      <c r="A249" s="8"/>
      <c r="B249" s="13"/>
      <c r="C249" s="8"/>
      <c r="D249" s="8"/>
      <c r="E249" s="8"/>
      <c r="F249" s="9"/>
      <c r="G249" s="8"/>
      <c r="H249" s="8"/>
      <c r="I249" s="9"/>
      <c r="J249" s="94"/>
      <c r="K249" s="94"/>
    </row>
    <row r="250" spans="1:11" ht="14.45">
      <c r="A250" s="8"/>
      <c r="B250" s="13"/>
      <c r="C250" s="8"/>
      <c r="D250" s="8"/>
      <c r="E250" s="8"/>
      <c r="F250" s="9"/>
      <c r="G250" s="8"/>
      <c r="H250" s="8"/>
      <c r="I250" s="9"/>
      <c r="J250" s="94"/>
      <c r="K250" s="94"/>
    </row>
    <row r="251" spans="1:11" ht="14.45">
      <c r="A251" s="8"/>
      <c r="B251" s="13"/>
      <c r="C251" s="8"/>
      <c r="D251" s="8"/>
      <c r="E251" s="8"/>
      <c r="F251" s="9"/>
      <c r="G251" s="8"/>
      <c r="H251" s="8"/>
      <c r="I251" s="9"/>
      <c r="J251" s="94"/>
      <c r="K251" s="94"/>
    </row>
    <row r="252" spans="1:11" ht="14.45">
      <c r="A252" s="8"/>
      <c r="B252" s="13"/>
      <c r="C252" s="8"/>
      <c r="D252" s="8"/>
      <c r="E252" s="8"/>
      <c r="F252" s="9"/>
      <c r="G252" s="8"/>
      <c r="H252" s="8"/>
      <c r="I252" s="9"/>
      <c r="J252" s="94"/>
      <c r="K252" s="94"/>
    </row>
    <row r="253" spans="1:11" ht="14.45">
      <c r="A253" s="8"/>
      <c r="B253" s="13"/>
      <c r="C253" s="8"/>
      <c r="D253" s="8"/>
      <c r="E253" s="8"/>
      <c r="F253" s="9"/>
      <c r="G253" s="8"/>
      <c r="H253" s="8"/>
      <c r="I253" s="9"/>
      <c r="J253" s="94"/>
      <c r="K253" s="94"/>
    </row>
    <row r="254" spans="1:11" ht="14.45">
      <c r="A254" s="8"/>
      <c r="B254" s="13"/>
      <c r="C254" s="8"/>
      <c r="D254" s="8"/>
      <c r="E254" s="8"/>
      <c r="F254" s="9"/>
      <c r="G254" s="8"/>
      <c r="H254" s="8"/>
      <c r="I254" s="9"/>
      <c r="J254" s="94"/>
      <c r="K254" s="94"/>
    </row>
    <row r="255" spans="1:11" ht="14.45">
      <c r="A255" s="8"/>
      <c r="B255" s="13"/>
      <c r="C255" s="8"/>
      <c r="D255" s="8"/>
      <c r="E255" s="8"/>
      <c r="F255" s="9"/>
      <c r="G255" s="8"/>
      <c r="H255" s="8"/>
      <c r="I255" s="9"/>
      <c r="J255" s="94"/>
      <c r="K255" s="94"/>
    </row>
    <row r="256" spans="1:11" ht="14.45">
      <c r="A256" s="8"/>
      <c r="B256" s="13"/>
      <c r="C256" s="8"/>
      <c r="D256" s="8"/>
      <c r="E256" s="8"/>
      <c r="F256" s="9"/>
      <c r="G256" s="8"/>
      <c r="H256" s="8"/>
      <c r="I256" s="9"/>
      <c r="J256" s="94"/>
      <c r="K256" s="94"/>
    </row>
    <row r="257" spans="1:11" ht="14.45">
      <c r="A257" s="8"/>
      <c r="B257" s="13"/>
      <c r="C257" s="8"/>
      <c r="D257" s="8"/>
      <c r="E257" s="8"/>
      <c r="F257" s="9"/>
      <c r="G257" s="8"/>
      <c r="H257" s="8"/>
      <c r="I257" s="9"/>
      <c r="J257" s="94"/>
      <c r="K257" s="94"/>
    </row>
    <row r="258" spans="1:11" ht="14.45">
      <c r="A258" s="8"/>
      <c r="B258" s="13"/>
      <c r="C258" s="8"/>
      <c r="D258" s="8"/>
      <c r="E258" s="8"/>
      <c r="F258" s="9"/>
      <c r="G258" s="8"/>
      <c r="H258" s="8"/>
      <c r="I258" s="9"/>
      <c r="J258" s="94"/>
      <c r="K258" s="94"/>
    </row>
    <row r="259" spans="1:11" ht="14.45">
      <c r="A259" s="8"/>
      <c r="B259" s="13"/>
      <c r="C259" s="8"/>
      <c r="D259" s="8"/>
      <c r="E259" s="8"/>
      <c r="F259" s="9"/>
      <c r="G259" s="8"/>
      <c r="H259" s="8"/>
      <c r="I259" s="9"/>
      <c r="J259" s="94"/>
      <c r="K259" s="94"/>
    </row>
    <row r="260" spans="1:11" ht="14.45">
      <c r="A260" s="8"/>
      <c r="B260" s="13"/>
      <c r="C260" s="8"/>
      <c r="D260" s="8"/>
      <c r="E260" s="8"/>
      <c r="F260" s="9"/>
      <c r="G260" s="8"/>
      <c r="H260" s="8"/>
      <c r="I260" s="9"/>
      <c r="J260" s="94"/>
      <c r="K260" s="94"/>
    </row>
    <row r="261" spans="1:11" ht="14.45">
      <c r="A261" s="8"/>
      <c r="B261" s="13"/>
      <c r="C261" s="8"/>
      <c r="D261" s="8"/>
      <c r="E261" s="8"/>
      <c r="F261" s="9"/>
      <c r="G261" s="8"/>
      <c r="H261" s="8"/>
      <c r="I261" s="9"/>
      <c r="J261" s="94"/>
      <c r="K261" s="94"/>
    </row>
    <row r="262" spans="1:11" ht="14.45">
      <c r="A262" s="8"/>
      <c r="B262" s="13"/>
      <c r="C262" s="8"/>
      <c r="D262" s="8"/>
      <c r="E262" s="8"/>
      <c r="F262" s="9"/>
      <c r="G262" s="8"/>
      <c r="H262" s="8"/>
      <c r="I262" s="9"/>
      <c r="J262" s="94"/>
      <c r="K262" s="94"/>
    </row>
    <row r="263" spans="1:11" ht="14.45">
      <c r="A263" s="8"/>
      <c r="B263" s="13"/>
      <c r="C263" s="8"/>
      <c r="D263" s="8"/>
      <c r="E263" s="8"/>
      <c r="F263" s="9"/>
      <c r="G263" s="8"/>
      <c r="H263" s="8"/>
      <c r="I263" s="9"/>
      <c r="J263" s="94"/>
      <c r="K263" s="94"/>
    </row>
    <row r="264" spans="1:11" ht="14.45">
      <c r="A264" s="8"/>
      <c r="B264" s="13"/>
      <c r="C264" s="8"/>
      <c r="D264" s="8"/>
      <c r="E264" s="8"/>
      <c r="F264" s="9"/>
      <c r="G264" s="8"/>
      <c r="H264" s="8"/>
      <c r="I264" s="9"/>
      <c r="J264" s="94"/>
      <c r="K264" s="94"/>
    </row>
    <row r="265" spans="1:11" ht="14.45">
      <c r="A265" s="8"/>
      <c r="B265" s="13"/>
      <c r="C265" s="8"/>
      <c r="D265" s="8"/>
      <c r="E265" s="8"/>
      <c r="F265" s="9"/>
      <c r="G265" s="8"/>
      <c r="H265" s="8"/>
      <c r="I265" s="9"/>
      <c r="J265" s="94"/>
      <c r="K265" s="94"/>
    </row>
    <row r="266" spans="1:11" ht="14.45">
      <c r="A266" s="8"/>
      <c r="B266" s="13"/>
      <c r="C266" s="8"/>
      <c r="D266" s="8"/>
      <c r="E266" s="8"/>
      <c r="F266" s="9"/>
      <c r="G266" s="8"/>
      <c r="H266" s="8"/>
      <c r="I266" s="9"/>
      <c r="J266" s="94"/>
      <c r="K266" s="94"/>
    </row>
    <row r="267" spans="1:11" ht="14.45">
      <c r="A267" s="8"/>
      <c r="B267" s="13"/>
      <c r="C267" s="8"/>
      <c r="D267" s="8"/>
      <c r="E267" s="8"/>
      <c r="F267" s="9"/>
      <c r="G267" s="8"/>
      <c r="H267" s="8"/>
      <c r="I267" s="9"/>
      <c r="J267" s="94"/>
      <c r="K267" s="94"/>
    </row>
    <row r="268" spans="1:11" ht="14.45">
      <c r="A268" s="8"/>
      <c r="B268" s="13"/>
      <c r="C268" s="8"/>
      <c r="D268" s="8"/>
      <c r="E268" s="8"/>
      <c r="F268" s="9"/>
      <c r="G268" s="8"/>
      <c r="H268" s="8"/>
      <c r="I268" s="9"/>
      <c r="J268" s="94"/>
      <c r="K268" s="94"/>
    </row>
    <row r="269" spans="1:11" ht="14.45">
      <c r="A269" s="8"/>
      <c r="B269" s="13"/>
      <c r="C269" s="8"/>
      <c r="D269" s="8"/>
      <c r="E269" s="8"/>
      <c r="F269" s="9"/>
      <c r="G269" s="8"/>
      <c r="H269" s="8"/>
      <c r="I269" s="9"/>
      <c r="J269" s="94"/>
      <c r="K269" s="94"/>
    </row>
    <row r="270" spans="1:11" ht="14.45">
      <c r="A270" s="8"/>
      <c r="B270" s="13"/>
      <c r="C270" s="8"/>
      <c r="D270" s="8"/>
      <c r="E270" s="8"/>
      <c r="F270" s="9"/>
      <c r="G270" s="8"/>
      <c r="H270" s="8"/>
      <c r="I270" s="9"/>
      <c r="J270" s="94"/>
      <c r="K270" s="94"/>
    </row>
    <row r="271" spans="1:11" ht="14.45">
      <c r="A271" s="8"/>
      <c r="B271" s="13"/>
      <c r="C271" s="8"/>
      <c r="D271" s="8"/>
      <c r="E271" s="8"/>
      <c r="F271" s="9"/>
      <c r="G271" s="8"/>
      <c r="H271" s="8"/>
      <c r="I271" s="9"/>
      <c r="J271" s="94"/>
      <c r="K271" s="94"/>
    </row>
    <row r="272" spans="1:11" ht="14.45">
      <c r="A272" s="8"/>
      <c r="B272" s="13"/>
      <c r="C272" s="8"/>
      <c r="D272" s="8"/>
      <c r="E272" s="8"/>
      <c r="F272" s="9"/>
      <c r="G272" s="8"/>
      <c r="H272" s="8"/>
      <c r="I272" s="9"/>
      <c r="J272" s="94"/>
      <c r="K272" s="94"/>
    </row>
    <row r="273" spans="1:11" ht="14.45">
      <c r="A273" s="8"/>
      <c r="B273" s="13"/>
      <c r="C273" s="8"/>
      <c r="D273" s="8"/>
      <c r="E273" s="8"/>
      <c r="F273" s="9"/>
      <c r="G273" s="8"/>
      <c r="H273" s="8"/>
      <c r="I273" s="9"/>
      <c r="J273" s="94"/>
      <c r="K273" s="94"/>
    </row>
    <row r="274" spans="1:11" ht="14.45">
      <c r="A274" s="8"/>
      <c r="B274" s="13"/>
      <c r="C274" s="8"/>
      <c r="D274" s="8"/>
      <c r="E274" s="8"/>
      <c r="F274" s="9"/>
      <c r="G274" s="8"/>
      <c r="H274" s="8"/>
      <c r="I274" s="9"/>
      <c r="J274" s="94"/>
      <c r="K274" s="94"/>
    </row>
    <row r="275" spans="1:11" ht="14.45">
      <c r="A275" s="8"/>
      <c r="B275" s="13"/>
      <c r="C275" s="8"/>
      <c r="D275" s="8"/>
      <c r="E275" s="8"/>
      <c r="F275" s="9"/>
      <c r="G275" s="8"/>
      <c r="H275" s="8"/>
      <c r="I275" s="9"/>
      <c r="J275" s="94"/>
      <c r="K275" s="94"/>
    </row>
    <row r="276" spans="1:11" ht="14.45">
      <c r="A276" s="8"/>
      <c r="B276" s="13"/>
      <c r="C276" s="8"/>
      <c r="D276" s="8"/>
      <c r="E276" s="8"/>
      <c r="F276" s="9"/>
      <c r="G276" s="8"/>
      <c r="H276" s="8"/>
      <c r="I276" s="9"/>
      <c r="J276" s="94"/>
      <c r="K276" s="94"/>
    </row>
    <row r="277" spans="1:11" ht="14.45">
      <c r="A277" s="8"/>
      <c r="B277" s="13"/>
      <c r="C277" s="8"/>
      <c r="D277" s="8"/>
      <c r="E277" s="8"/>
      <c r="F277" s="9"/>
      <c r="G277" s="8"/>
      <c r="H277" s="8"/>
      <c r="I277" s="9"/>
      <c r="J277" s="94"/>
      <c r="K277" s="94"/>
    </row>
    <row r="278" spans="1:11" ht="14.45">
      <c r="A278" s="8"/>
      <c r="B278" s="13"/>
      <c r="C278" s="8"/>
      <c r="D278" s="8"/>
      <c r="E278" s="8"/>
      <c r="F278" s="9"/>
      <c r="G278" s="8"/>
      <c r="H278" s="8"/>
      <c r="I278" s="9"/>
      <c r="J278" s="94"/>
      <c r="K278" s="94"/>
    </row>
    <row r="279" spans="1:11" ht="14.45">
      <c r="A279" s="8"/>
      <c r="B279" s="13"/>
      <c r="C279" s="8"/>
      <c r="D279" s="8"/>
      <c r="E279" s="8"/>
      <c r="F279" s="9"/>
      <c r="G279" s="8"/>
      <c r="H279" s="8"/>
      <c r="I279" s="9"/>
      <c r="J279" s="94"/>
      <c r="K279" s="94"/>
    </row>
    <row r="280" spans="1:11" ht="14.45">
      <c r="A280" s="8"/>
      <c r="B280" s="13"/>
      <c r="C280" s="8"/>
      <c r="D280" s="8"/>
      <c r="E280" s="8"/>
      <c r="F280" s="9"/>
      <c r="G280" s="8"/>
      <c r="H280" s="8"/>
      <c r="I280" s="9"/>
      <c r="J280" s="94"/>
      <c r="K280" s="94"/>
    </row>
    <row r="281" spans="1:11" ht="14.45">
      <c r="A281" s="8"/>
      <c r="B281" s="13"/>
      <c r="C281" s="8"/>
      <c r="D281" s="8"/>
      <c r="E281" s="8"/>
      <c r="F281" s="9"/>
      <c r="G281" s="8"/>
      <c r="H281" s="8"/>
      <c r="I281" s="9"/>
      <c r="J281" s="94"/>
      <c r="K281" s="94"/>
    </row>
    <row r="282" spans="1:11" ht="14.45">
      <c r="A282" s="8"/>
      <c r="B282" s="13"/>
      <c r="C282" s="8"/>
      <c r="D282" s="8"/>
      <c r="E282" s="8"/>
      <c r="F282" s="9"/>
      <c r="G282" s="8"/>
      <c r="H282" s="8"/>
      <c r="I282" s="9"/>
      <c r="J282" s="94"/>
      <c r="K282" s="94"/>
    </row>
    <row r="283" spans="1:11" ht="14.45">
      <c r="A283" s="8"/>
      <c r="B283" s="13"/>
      <c r="C283" s="8"/>
      <c r="D283" s="8"/>
      <c r="E283" s="8"/>
      <c r="F283" s="9"/>
      <c r="G283" s="8"/>
      <c r="H283" s="8"/>
      <c r="I283" s="9"/>
      <c r="J283" s="94"/>
      <c r="K283" s="94"/>
    </row>
    <row r="284" spans="1:11" ht="14.45">
      <c r="A284" s="8"/>
      <c r="B284" s="13"/>
      <c r="C284" s="8"/>
      <c r="D284" s="8"/>
      <c r="E284" s="8"/>
      <c r="F284" s="9"/>
      <c r="G284" s="8"/>
      <c r="H284" s="8"/>
      <c r="I284" s="9"/>
      <c r="J284" s="94"/>
      <c r="K284" s="94"/>
    </row>
    <row r="285" spans="1:11" ht="14.45">
      <c r="A285" s="8"/>
      <c r="B285" s="13"/>
      <c r="C285" s="8"/>
      <c r="D285" s="8"/>
      <c r="E285" s="8"/>
      <c r="F285" s="9"/>
      <c r="G285" s="8"/>
      <c r="H285" s="8"/>
      <c r="I285" s="9"/>
      <c r="J285" s="94"/>
      <c r="K285" s="94"/>
    </row>
    <row r="286" spans="1:11" ht="14.45">
      <c r="A286" s="8"/>
      <c r="B286" s="13"/>
      <c r="C286" s="8"/>
      <c r="D286" s="8"/>
      <c r="E286" s="8"/>
      <c r="F286" s="9"/>
      <c r="G286" s="8"/>
      <c r="H286" s="8"/>
      <c r="I286" s="9"/>
      <c r="J286" s="94"/>
      <c r="K286" s="94"/>
    </row>
    <row r="287" spans="1:11" ht="14.45">
      <c r="A287" s="8"/>
      <c r="B287" s="13"/>
      <c r="C287" s="8"/>
      <c r="D287" s="8"/>
      <c r="E287" s="8"/>
      <c r="F287" s="9"/>
      <c r="G287" s="8"/>
      <c r="H287" s="8"/>
      <c r="I287" s="9"/>
      <c r="J287" s="94"/>
      <c r="K287" s="94"/>
    </row>
    <row r="288" spans="1:11" ht="14.45">
      <c r="A288" s="8"/>
      <c r="B288" s="13"/>
      <c r="C288" s="8"/>
      <c r="D288" s="8"/>
      <c r="E288" s="8"/>
      <c r="F288" s="9"/>
      <c r="G288" s="8"/>
      <c r="H288" s="8"/>
      <c r="I288" s="9"/>
      <c r="J288" s="94"/>
      <c r="K288" s="94"/>
    </row>
    <row r="289" spans="1:11" ht="14.45">
      <c r="A289" s="8"/>
      <c r="B289" s="13"/>
      <c r="C289" s="8"/>
      <c r="D289" s="8"/>
      <c r="E289" s="8"/>
      <c r="F289" s="9"/>
      <c r="G289" s="8"/>
      <c r="H289" s="8"/>
      <c r="I289" s="9"/>
      <c r="J289" s="94"/>
      <c r="K289" s="94"/>
    </row>
    <row r="290" spans="1:11" ht="14.45">
      <c r="A290" s="8"/>
      <c r="B290" s="13"/>
      <c r="C290" s="8"/>
      <c r="D290" s="8"/>
      <c r="E290" s="8"/>
      <c r="F290" s="9"/>
      <c r="G290" s="8"/>
      <c r="H290" s="8"/>
      <c r="I290" s="9"/>
      <c r="J290" s="94"/>
      <c r="K290" s="94"/>
    </row>
    <row r="291" spans="1:11" ht="14.45">
      <c r="A291" s="8"/>
      <c r="B291" s="13"/>
      <c r="C291" s="8"/>
      <c r="D291" s="8"/>
      <c r="E291" s="8"/>
      <c r="F291" s="9"/>
      <c r="G291" s="8"/>
      <c r="H291" s="8"/>
      <c r="I291" s="9"/>
      <c r="J291" s="94"/>
      <c r="K291" s="94"/>
    </row>
    <row r="292" spans="1:11" ht="14.45">
      <c r="A292" s="8"/>
      <c r="B292" s="13"/>
      <c r="C292" s="8"/>
      <c r="D292" s="8"/>
      <c r="E292" s="8"/>
      <c r="F292" s="9"/>
      <c r="G292" s="8"/>
      <c r="H292" s="8"/>
      <c r="I292" s="9"/>
      <c r="J292" s="94"/>
      <c r="K292" s="94"/>
    </row>
    <row r="293" spans="1:11" ht="14.45">
      <c r="A293" s="8"/>
      <c r="B293" s="13"/>
      <c r="C293" s="8"/>
      <c r="D293" s="8"/>
      <c r="E293" s="8"/>
      <c r="F293" s="9"/>
      <c r="G293" s="8"/>
      <c r="H293" s="8"/>
      <c r="I293" s="9"/>
      <c r="J293" s="94"/>
      <c r="K293" s="94"/>
    </row>
    <row r="294" spans="1:11" ht="14.45">
      <c r="A294" s="8"/>
      <c r="B294" s="13"/>
      <c r="C294" s="8"/>
      <c r="D294" s="8"/>
      <c r="E294" s="8"/>
      <c r="F294" s="9"/>
      <c r="G294" s="8"/>
      <c r="H294" s="8"/>
      <c r="I294" s="9"/>
      <c r="J294" s="94"/>
      <c r="K294" s="94"/>
    </row>
    <row r="295" spans="1:11" ht="14.45">
      <c r="A295" s="8"/>
      <c r="B295" s="13"/>
      <c r="C295" s="8"/>
      <c r="D295" s="8"/>
      <c r="E295" s="8"/>
      <c r="F295" s="9"/>
      <c r="G295" s="8"/>
      <c r="H295" s="8"/>
      <c r="I295" s="9"/>
      <c r="J295" s="94"/>
      <c r="K295" s="94"/>
    </row>
    <row r="296" spans="1:11" ht="14.45">
      <c r="A296" s="8"/>
      <c r="B296" s="13"/>
      <c r="C296" s="8"/>
      <c r="D296" s="8"/>
      <c r="E296" s="8"/>
      <c r="F296" s="9"/>
      <c r="G296" s="8"/>
      <c r="H296" s="8"/>
      <c r="I296" s="9"/>
      <c r="J296" s="94"/>
      <c r="K296" s="94"/>
    </row>
    <row r="297" spans="1:11" ht="14.45">
      <c r="A297" s="8"/>
      <c r="B297" s="13"/>
      <c r="C297" s="8"/>
      <c r="D297" s="8"/>
      <c r="E297" s="8"/>
      <c r="F297" s="9"/>
      <c r="G297" s="8"/>
      <c r="H297" s="8"/>
      <c r="I297" s="9"/>
      <c r="J297" s="94"/>
      <c r="K297" s="94"/>
    </row>
    <row r="298" spans="1:11" ht="14.45">
      <c r="A298" s="8"/>
      <c r="B298" s="13"/>
      <c r="C298" s="8"/>
      <c r="D298" s="8"/>
      <c r="E298" s="8"/>
      <c r="F298" s="9"/>
      <c r="G298" s="8"/>
      <c r="H298" s="8"/>
      <c r="I298" s="9"/>
      <c r="J298" s="94"/>
      <c r="K298" s="94"/>
    </row>
    <row r="299" spans="1:11" ht="14.45">
      <c r="A299" s="8"/>
      <c r="B299" s="13"/>
      <c r="C299" s="8"/>
      <c r="D299" s="8"/>
      <c r="E299" s="8"/>
      <c r="F299" s="9"/>
      <c r="G299" s="8"/>
      <c r="H299" s="8"/>
      <c r="I299" s="9"/>
      <c r="J299" s="94"/>
      <c r="K299" s="94"/>
    </row>
    <row r="300" spans="1:11" ht="14.45">
      <c r="A300" s="8"/>
      <c r="B300" s="13"/>
      <c r="C300" s="8"/>
      <c r="D300" s="8"/>
      <c r="E300" s="8"/>
      <c r="F300" s="9"/>
      <c r="G300" s="8"/>
      <c r="H300" s="8"/>
      <c r="I300" s="9"/>
      <c r="J300" s="94"/>
      <c r="K300" s="94"/>
    </row>
    <row r="301" spans="1:11" ht="14.45">
      <c r="A301" s="8"/>
      <c r="B301" s="13"/>
      <c r="C301" s="8"/>
      <c r="D301" s="8"/>
      <c r="E301" s="8"/>
      <c r="F301" s="9"/>
      <c r="G301" s="8"/>
      <c r="H301" s="8"/>
      <c r="I301" s="9"/>
      <c r="J301" s="94"/>
      <c r="K301" s="94"/>
    </row>
    <row r="302" spans="1:11" ht="14.45">
      <c r="A302" s="8"/>
      <c r="B302" s="13"/>
      <c r="C302" s="8"/>
      <c r="D302" s="8"/>
      <c r="E302" s="8"/>
      <c r="F302" s="9"/>
      <c r="G302" s="8"/>
      <c r="H302" s="8"/>
      <c r="I302" s="9"/>
      <c r="J302" s="94"/>
      <c r="K302" s="94"/>
    </row>
    <row r="303" spans="1:11" ht="14.45">
      <c r="A303" s="8"/>
      <c r="B303" s="13"/>
      <c r="C303" s="8"/>
      <c r="D303" s="8"/>
      <c r="E303" s="8"/>
      <c r="F303" s="9"/>
      <c r="G303" s="8"/>
      <c r="H303" s="8"/>
      <c r="I303" s="9"/>
      <c r="J303" s="94"/>
      <c r="K303" s="94"/>
    </row>
    <row r="304" spans="1:11" ht="14.45">
      <c r="A304" s="8"/>
      <c r="B304" s="13"/>
      <c r="C304" s="8"/>
      <c r="D304" s="8"/>
      <c r="E304" s="8"/>
      <c r="F304" s="9"/>
      <c r="G304" s="8"/>
      <c r="H304" s="8"/>
      <c r="I304" s="9"/>
      <c r="J304" s="94"/>
      <c r="K304" s="94"/>
    </row>
    <row r="305" spans="1:11" ht="14.45">
      <c r="A305" s="8"/>
      <c r="B305" s="13"/>
      <c r="C305" s="8"/>
      <c r="D305" s="8"/>
      <c r="E305" s="8"/>
      <c r="F305" s="9"/>
      <c r="G305" s="8"/>
      <c r="H305" s="8"/>
      <c r="I305" s="9"/>
      <c r="J305" s="94"/>
      <c r="K305" s="94"/>
    </row>
    <row r="306" spans="1:11" ht="14.45">
      <c r="A306" s="8"/>
      <c r="B306" s="13"/>
      <c r="C306" s="8"/>
      <c r="D306" s="8"/>
      <c r="E306" s="8"/>
      <c r="F306" s="9"/>
      <c r="G306" s="8"/>
      <c r="H306" s="8"/>
      <c r="I306" s="9"/>
      <c r="J306" s="94"/>
      <c r="K306" s="94"/>
    </row>
    <row r="307" spans="1:11" ht="14.45">
      <c r="A307" s="8"/>
      <c r="B307" s="13"/>
      <c r="C307" s="8"/>
      <c r="D307" s="8"/>
      <c r="E307" s="8"/>
      <c r="F307" s="9"/>
      <c r="G307" s="8"/>
      <c r="H307" s="8"/>
      <c r="I307" s="9"/>
      <c r="J307" s="94"/>
      <c r="K307" s="94"/>
    </row>
    <row r="308" spans="1:11" ht="14.45">
      <c r="A308" s="8"/>
      <c r="B308" s="13"/>
      <c r="C308" s="8"/>
      <c r="D308" s="8"/>
      <c r="E308" s="8"/>
      <c r="F308" s="9"/>
      <c r="G308" s="8"/>
      <c r="H308" s="8"/>
      <c r="I308" s="9"/>
      <c r="J308" s="94"/>
      <c r="K308" s="94"/>
    </row>
    <row r="309" spans="1:11" ht="14.45">
      <c r="A309" s="8"/>
      <c r="B309" s="13"/>
      <c r="C309" s="8"/>
      <c r="D309" s="8"/>
      <c r="E309" s="8"/>
      <c r="F309" s="9"/>
      <c r="G309" s="8"/>
      <c r="H309" s="8"/>
      <c r="I309" s="9"/>
      <c r="J309" s="94"/>
      <c r="K309" s="94"/>
    </row>
    <row r="310" spans="1:11" ht="14.45">
      <c r="A310" s="8"/>
      <c r="B310" s="13"/>
      <c r="C310" s="8"/>
      <c r="D310" s="8"/>
      <c r="E310" s="8"/>
      <c r="F310" s="9"/>
      <c r="G310" s="8"/>
      <c r="H310" s="8"/>
      <c r="I310" s="9"/>
      <c r="J310" s="94"/>
      <c r="K310" s="94"/>
    </row>
    <row r="311" spans="1:11" ht="14.45">
      <c r="A311" s="8"/>
      <c r="B311" s="13"/>
      <c r="C311" s="8"/>
      <c r="D311" s="8"/>
      <c r="E311" s="8"/>
      <c r="F311" s="9"/>
      <c r="G311" s="8"/>
      <c r="H311" s="8"/>
      <c r="I311" s="9"/>
      <c r="J311" s="94"/>
      <c r="K311" s="94"/>
    </row>
    <row r="312" spans="1:11" ht="14.45">
      <c r="A312" s="8"/>
      <c r="B312" s="13"/>
      <c r="C312" s="8"/>
      <c r="D312" s="8"/>
      <c r="E312" s="8"/>
      <c r="F312" s="9"/>
      <c r="G312" s="8"/>
      <c r="H312" s="8"/>
      <c r="I312" s="9"/>
      <c r="J312" s="94"/>
      <c r="K312" s="94"/>
    </row>
    <row r="313" spans="1:11" ht="14.45">
      <c r="A313" s="8"/>
      <c r="B313" s="13"/>
      <c r="C313" s="8"/>
      <c r="D313" s="8"/>
      <c r="E313" s="8"/>
      <c r="F313" s="9"/>
      <c r="G313" s="8"/>
      <c r="H313" s="8"/>
      <c r="I313" s="9"/>
      <c r="J313" s="94"/>
      <c r="K313" s="94"/>
    </row>
    <row r="314" spans="1:11" ht="14.45">
      <c r="A314" s="8"/>
      <c r="B314" s="13"/>
      <c r="C314" s="8"/>
      <c r="D314" s="8"/>
      <c r="E314" s="8"/>
      <c r="F314" s="9"/>
      <c r="G314" s="8"/>
      <c r="H314" s="8"/>
      <c r="I314" s="9"/>
      <c r="J314" s="94"/>
      <c r="K314" s="94"/>
    </row>
    <row r="315" spans="1:11" ht="14.45">
      <c r="A315" s="8"/>
      <c r="B315" s="13"/>
      <c r="C315" s="8"/>
      <c r="D315" s="8"/>
      <c r="E315" s="8"/>
      <c r="F315" s="9"/>
      <c r="G315" s="8"/>
      <c r="H315" s="8"/>
      <c r="I315" s="9"/>
      <c r="J315" s="94"/>
      <c r="K315" s="94"/>
    </row>
    <row r="316" spans="1:11" ht="14.45">
      <c r="A316" s="8"/>
      <c r="B316" s="13"/>
      <c r="C316" s="8"/>
      <c r="D316" s="8"/>
      <c r="E316" s="8"/>
      <c r="F316" s="9"/>
      <c r="G316" s="8"/>
      <c r="H316" s="8"/>
      <c r="I316" s="9"/>
      <c r="J316" s="94"/>
      <c r="K316" s="94"/>
    </row>
    <row r="317" spans="1:11" ht="14.45">
      <c r="A317" s="8"/>
      <c r="B317" s="13"/>
      <c r="C317" s="8"/>
      <c r="D317" s="8"/>
      <c r="E317" s="8"/>
      <c r="F317" s="9"/>
      <c r="G317" s="8"/>
      <c r="H317" s="8"/>
      <c r="I317" s="9"/>
      <c r="J317" s="94"/>
      <c r="K317" s="94"/>
    </row>
    <row r="318" spans="1:11" ht="14.45">
      <c r="A318" s="8"/>
      <c r="B318" s="13"/>
      <c r="C318" s="8"/>
      <c r="D318" s="8"/>
      <c r="E318" s="8"/>
      <c r="F318" s="9"/>
      <c r="G318" s="8"/>
      <c r="H318" s="8"/>
      <c r="I318" s="9"/>
      <c r="J318" s="94"/>
      <c r="K318" s="94"/>
    </row>
    <row r="319" spans="1:11" ht="14.45">
      <c r="A319" s="8"/>
      <c r="B319" s="13"/>
      <c r="C319" s="8"/>
      <c r="D319" s="8"/>
      <c r="E319" s="8"/>
      <c r="F319" s="9"/>
      <c r="G319" s="8"/>
      <c r="H319" s="8"/>
      <c r="I319" s="9"/>
      <c r="J319" s="94"/>
      <c r="K319" s="94"/>
    </row>
    <row r="320" spans="1:11" ht="14.45">
      <c r="A320" s="8"/>
      <c r="B320" s="13"/>
      <c r="C320" s="8"/>
      <c r="D320" s="8"/>
      <c r="E320" s="8"/>
      <c r="F320" s="9"/>
      <c r="G320" s="8"/>
      <c r="H320" s="8"/>
      <c r="I320" s="9"/>
      <c r="J320" s="94"/>
      <c r="K320" s="94"/>
    </row>
    <row r="321" spans="1:11" ht="14.45">
      <c r="A321" s="8"/>
      <c r="B321" s="13"/>
      <c r="C321" s="8"/>
      <c r="D321" s="8"/>
      <c r="E321" s="8"/>
      <c r="F321" s="9"/>
      <c r="G321" s="8"/>
      <c r="H321" s="8"/>
      <c r="I321" s="9"/>
      <c r="J321" s="94"/>
      <c r="K321" s="94"/>
    </row>
    <row r="322" spans="1:11" ht="14.45">
      <c r="A322" s="8"/>
      <c r="B322" s="13"/>
      <c r="C322" s="8"/>
      <c r="D322" s="8"/>
      <c r="E322" s="8"/>
      <c r="F322" s="9"/>
      <c r="G322" s="8"/>
      <c r="H322" s="8"/>
      <c r="I322" s="9"/>
      <c r="J322" s="94"/>
      <c r="K322" s="94"/>
    </row>
    <row r="323" spans="1:11" ht="14.45">
      <c r="A323" s="8"/>
      <c r="B323" s="13"/>
      <c r="C323" s="8"/>
      <c r="D323" s="8"/>
      <c r="E323" s="8"/>
      <c r="F323" s="9"/>
      <c r="G323" s="8"/>
      <c r="H323" s="8"/>
      <c r="I323" s="9"/>
      <c r="J323" s="94"/>
      <c r="K323" s="94"/>
    </row>
    <row r="324" spans="1:11" ht="14.45">
      <c r="A324" s="8"/>
      <c r="B324" s="13"/>
      <c r="C324" s="8"/>
      <c r="D324" s="8"/>
      <c r="E324" s="8"/>
      <c r="F324" s="9"/>
      <c r="G324" s="8"/>
      <c r="H324" s="8"/>
      <c r="I324" s="9"/>
      <c r="J324" s="94"/>
      <c r="K324" s="94"/>
    </row>
    <row r="325" spans="1:11" ht="14.45">
      <c r="A325" s="8"/>
      <c r="B325" s="13"/>
      <c r="C325" s="8"/>
      <c r="D325" s="8"/>
      <c r="E325" s="8"/>
      <c r="F325" s="9"/>
      <c r="G325" s="8"/>
      <c r="H325" s="8"/>
      <c r="I325" s="9"/>
      <c r="J325" s="94"/>
      <c r="K325" s="94"/>
    </row>
    <row r="326" spans="1:11" ht="14.45">
      <c r="C326" s="8"/>
      <c r="D326" s="8"/>
      <c r="E326" s="8"/>
      <c r="F326" s="9"/>
      <c r="G326" s="8"/>
      <c r="H326" s="8"/>
      <c r="I326" s="9"/>
      <c r="J326" s="94"/>
      <c r="K326" s="94"/>
    </row>
  </sheetData>
  <mergeCells count="4">
    <mergeCell ref="G1:I1"/>
    <mergeCell ref="A1:C1"/>
    <mergeCell ref="D1:F1"/>
    <mergeCell ref="A2:B2"/>
  </mergeCells>
  <conditionalFormatting sqref="F2 I2 F4:F85 I4:I85">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099290" xr:uid="{51D8C978-0F0E-4B0B-A28D-EC8E4CDFDA9B}"/>
    <hyperlink ref="K5" r:id="rId2" display="https://us3.assetplanner.com/service_request?ID=107271" xr:uid="{47B3A938-C46C-46E3-83A5-CEFB6FF4F440}"/>
    <hyperlink ref="L5" r:id="rId3" display="https://us3.assetplanner.com/service_request?ID=105924" xr:uid="{F47482B0-638B-4713-B158-F9CFB133F414}"/>
    <hyperlink ref="M5" r:id="rId4" display="https://us3.assetplanner.com/service_request?ID=101243" xr:uid="{01276DC5-8CDF-4E3B-8B93-CE21C1EA13BE}"/>
    <hyperlink ref="N5" r:id="rId5" display="https://us3.assetplanner.com/service_request?ID=105658" xr:uid="{9E070A6A-04BE-43A2-ADD5-C76A44B57F60}"/>
    <hyperlink ref="O5" r:id="rId6" display="https://us3.assetplanner.com/service_request?ID=107520" xr:uid="{5885C7D1-AED7-4460-8303-AE45506B408C}"/>
    <hyperlink ref="P5" r:id="rId7" display="https://us3.assetplanner.com/service_request?ID=104647" xr:uid="{D56365B5-8937-494B-B852-8917D3955BDE}"/>
    <hyperlink ref="Q5" r:id="rId8" display="https://us3.assetplanner.com/service_request?ID=101245" xr:uid="{4B898420-17A3-432D-A761-416312CB4FBE}"/>
    <hyperlink ref="K7" r:id="rId9" display="https://us3.assetplanner.com/service_request?ID=096262" xr:uid="{4AF5E429-D6F9-445B-A1FF-DEDE39EA91D3}"/>
    <hyperlink ref="L7" r:id="rId10" display="https://us3.assetplanner.com/service_request?ID=099066" xr:uid="{DE1EB812-C9A6-4EE8-98F0-6179071A9329}"/>
    <hyperlink ref="K8" r:id="rId11" display="https://us3.assetplanner.com/service_request?ID=098870" xr:uid="{10A8D8AB-1D6E-4785-9EC1-BD733ED4B354}"/>
    <hyperlink ref="L8" r:id="rId12" display="https://us3.assetplanner.com/service_request?ID=099461" xr:uid="{9E125D70-2F85-45D4-9217-44D2D580FA05}"/>
    <hyperlink ref="M8" r:id="rId13" display="https://us3.assetplanner.com/service_request?ID=107058" xr:uid="{0EF0D0FD-76C6-43ED-9455-7950E01E9292}"/>
    <hyperlink ref="K9" r:id="rId14" display="https://us3.assetplanner.com/service_request?ID=104023" xr:uid="{D2CC42DE-3B16-498D-9A0A-81902586E376}"/>
    <hyperlink ref="L9" r:id="rId15" display="https://us3.assetplanner.com/service_request?ID=104137" xr:uid="{583A529E-B229-4B70-B582-082E9E610D12}"/>
    <hyperlink ref="M9" r:id="rId16" display="https://us3.assetplanner.com/service_request?ID=105956" xr:uid="{145F70DD-B939-4DC4-B303-71B38CB873E7}"/>
    <hyperlink ref="K11" r:id="rId17" display="https://us3.assetplanner.com/service_request?ID=108214" xr:uid="{4313E8A2-C4D9-4CE4-8749-15218F501D3B}"/>
    <hyperlink ref="L11" r:id="rId18" display="https://us3.assetplanner.com/service_request?ID=100417" xr:uid="{6C8A7EFA-7C1D-49F8-8665-34EE6D6CC4A8}"/>
    <hyperlink ref="K12" r:id="rId19" display="https://us3.assetplanner.com/service_request?ID=102209" xr:uid="{02963459-77A7-4194-B9E7-F85599D79EB7}"/>
    <hyperlink ref="K13" r:id="rId20" display="https://us3.assetplanner.com/service_request?ID=103184" xr:uid="{E52AB85E-89D8-466F-A1ED-F92469B77F98}"/>
    <hyperlink ref="L13" r:id="rId21" display="https://us3.assetplanner.com/service_request?ID=105959" xr:uid="{12F9A76B-043A-4264-9FD6-0D2C5E063C9A}"/>
    <hyperlink ref="K14" r:id="rId22" display="https://us3.assetplanner.com/service_request?ID=103740" xr:uid="{87E81CC8-4E80-4C55-9DDF-E329CDA4B588}"/>
    <hyperlink ref="L14" r:id="rId23" display="https://us3.assetplanner.com/service_request?ID=106599" xr:uid="{6E81E73A-934C-453E-91B8-B58AEA80D299}"/>
    <hyperlink ref="M14" r:id="rId24" display="https://us3.assetplanner.com/service_request?ID=107545" xr:uid="{357B21D6-BF99-4F60-A97A-ECD8FE4D3B1B}"/>
    <hyperlink ref="N14" r:id="rId25" display="https://us3.assetplanner.com/service_request?ID=107872" xr:uid="{F9D36107-D5C2-4F6A-A33D-661AE6B0E9BF}"/>
    <hyperlink ref="K15" r:id="rId26" display="https://us3.assetplanner.com/service_request?ID=106946" xr:uid="{7DC8AFEE-FBB9-4173-A0E4-F8E3D35C5614}"/>
    <hyperlink ref="L15" r:id="rId27" display="https://us3.assetplanner.com/service_request?ID=107211" xr:uid="{25F04F93-6F63-4B01-BDA9-6CD1CF7DE96A}"/>
    <hyperlink ref="M15" r:id="rId28" display="https://us3.assetplanner.com/service_request?ID=108008" xr:uid="{E1EE0371-C8C9-4D7F-A364-81B00763F75F}"/>
    <hyperlink ref="N15" r:id="rId29" display="https://us3.assetplanner.com/service_request?ID=107587" xr:uid="{48840663-0447-43B7-962F-41217ACAB4B4}"/>
    <hyperlink ref="K16" r:id="rId30" display="https://us3.assetplanner.com/service_request?ID=103239" xr:uid="{9B6E4524-DBCC-45CB-AF5C-9626DC9CBED5}"/>
    <hyperlink ref="L16" r:id="rId31" display="https://us3.assetplanner.com/service_request?ID=108311" xr:uid="{E2B2A723-F8BC-4ECD-94C2-5350CF2F77BE}"/>
    <hyperlink ref="K17" r:id="rId32" display="https://us3.assetplanner.com/service_request?ID=103048" xr:uid="{9E334C8A-A8A9-40CC-90BF-694E1891DF3A}"/>
    <hyperlink ref="K18" r:id="rId33" display="https://us3.assetplanner.com/service_request?ID=103686" xr:uid="{4E6C965B-C46C-4FDA-BE52-00D2758BC968}"/>
    <hyperlink ref="L18" r:id="rId34" display="https://us3.assetplanner.com/service_request?ID=107476" xr:uid="{35EBFFD9-115A-4922-B010-6E6C5A984DED}"/>
    <hyperlink ref="K19" r:id="rId35" display="https://us3.assetplanner.com/service_request?ID=099730" xr:uid="{0001913B-D92C-4DBF-B921-F1C435A760FF}"/>
    <hyperlink ref="L19" r:id="rId36" display="https://us3.assetplanner.com/service_request?ID=106719" xr:uid="{9362C09C-5A63-442B-832E-859AB1526B11}"/>
    <hyperlink ref="M19" r:id="rId37" display="https://us3.assetplanner.com/service_request?ID=104823" xr:uid="{D4855EC5-8031-4B3A-BFDD-B6A86CD4FDAD}"/>
    <hyperlink ref="N19" r:id="rId38" display="https://us3.assetplanner.com/service_request?ID=104824" xr:uid="{EBADBBCD-F4A2-440A-BF03-A654D5A7B69A}"/>
    <hyperlink ref="O19" r:id="rId39" display="https://us3.assetplanner.com/service_request?ID=104825" xr:uid="{856538DD-2046-4F73-B925-991DBD4CAA13}"/>
    <hyperlink ref="P19" r:id="rId40" display="https://us3.assetplanner.com/service_request?ID=104826" xr:uid="{9C181737-2161-4DF7-BFB8-08C870C3DFD5}"/>
    <hyperlink ref="Q19" r:id="rId41" display="https://us3.assetplanner.com/service_request?ID=104828" xr:uid="{91BE608C-2AFF-4B8E-8605-9D04E171A6F1}"/>
    <hyperlink ref="R19" r:id="rId42" display="https://us3.assetplanner.com/service_request?ID=104827" xr:uid="{6287099D-3779-4243-AC84-1FCFAE286730}"/>
    <hyperlink ref="S19" r:id="rId43" display="https://us3.assetplanner.com/service_request?ID=104829" xr:uid="{F3CF8B40-89BB-4339-9BCB-E1FC31330082}"/>
    <hyperlink ref="T19" r:id="rId44" display="https://us3.assetplanner.com/service_request?ID=104831" xr:uid="{7E3D6DEE-C0A6-4CD3-880E-35A965D5121A}"/>
    <hyperlink ref="U19" r:id="rId45" display="https://us3.assetplanner.com/service_request?ID=104832" xr:uid="{D70222F4-C26F-4E17-B576-DF99123EB958}"/>
    <hyperlink ref="V19" r:id="rId46" display="https://us3.assetplanner.com/service_request?ID=107791" xr:uid="{3DBD83D4-12EC-4C3B-B633-321DA120162E}"/>
    <hyperlink ref="K20" r:id="rId47" display="https://us3.assetplanner.com/service_request?ID=103950" xr:uid="{32F5BA34-FD8F-4697-8D40-59ACB5F1163A}"/>
    <hyperlink ref="K21" r:id="rId48" display="https://us3.assetplanner.com/service_request?ID=106483" xr:uid="{1C1AAB3E-E5B7-4242-AFBA-85E93DF339A8}"/>
    <hyperlink ref="L21" r:id="rId49" display="https://us3.assetplanner.com/service_request?ID=098016" xr:uid="{30380F34-B99B-494E-A291-1D4B8399AB46}"/>
    <hyperlink ref="M21" r:id="rId50" display="https://us3.assetplanner.com/service_request?ID=106514" xr:uid="{202A8CF0-D554-4A4E-9D25-35FB85BD1487}"/>
    <hyperlink ref="N21" r:id="rId51" display="https://us3.assetplanner.com/service_request?ID=106806" xr:uid="{C0C7A7F0-5F2C-4D3D-9D9B-7781C4EFF5A3}"/>
    <hyperlink ref="O21" r:id="rId52" display="https://us3.assetplanner.com/service_request?ID=108422" xr:uid="{7AAD357F-2560-4191-83E8-7C23AB6A9238}"/>
    <hyperlink ref="K22" r:id="rId53" display="https://us3.assetplanner.com/service_request?ID=103914" xr:uid="{FB56CF47-980A-4CBF-81A9-6E44C2593AF7}"/>
    <hyperlink ref="K25" r:id="rId54" display="https://us3.assetplanner.com/service_request?ID=104192" xr:uid="{B2FDEBE0-36F9-41EE-84D5-2A010E2F9744}"/>
    <hyperlink ref="L25" r:id="rId55" display="https://us3.assetplanner.com/service_request?ID=102794" xr:uid="{46B1DFA9-215A-4AC8-8EB9-06A5169BC8A3}"/>
    <hyperlink ref="M25" r:id="rId56" display="https://us3.assetplanner.com/service_request?ID=105489" xr:uid="{610FD4D3-8670-4A70-BBD1-0BDA62AF6FAE}"/>
    <hyperlink ref="N25" r:id="rId57" display="https://us3.assetplanner.com/service_request?ID=107586" xr:uid="{3CF03204-9832-4666-AE9E-487B3D5AC001}"/>
    <hyperlink ref="O25" r:id="rId58" display="https://us3.assetplanner.com/service_request?ID=108491" xr:uid="{E40D1275-E3C8-4D61-B039-01FF6BAFA0A0}"/>
    <hyperlink ref="K26" r:id="rId59" display="https://us3.assetplanner.com/service_request?ID=108496" xr:uid="{D6672B3A-7016-44C4-9364-AFEE6D914514}"/>
    <hyperlink ref="K31" r:id="rId60" display="https://us3.assetplanner.com/service_request?ID=105973" xr:uid="{16D53489-F521-44F7-B6A9-0A9AA1E9894F}"/>
    <hyperlink ref="K33" r:id="rId61" display="https://us3.assetplanner.com/service_request?ID=102723" xr:uid="{ECB84706-0B1C-4DFA-B4A2-8CA76C8FD92F}"/>
    <hyperlink ref="L33" r:id="rId62" display="https://us3.assetplanner.com/service_request?ID=105641" xr:uid="{14E7E073-2C36-4FBE-9F59-FD9F71D56A97}"/>
    <hyperlink ref="K39" r:id="rId63" display="https://us3.assetplanner.com/service_request?ID=106082" xr:uid="{FE403869-B545-4BED-9ABC-4515787B7BF3}"/>
    <hyperlink ref="L39" r:id="rId64" display="https://us3.assetplanner.com/service_request?ID=100857" xr:uid="{415FD2C5-7748-47E7-ADEC-38047A49C2E2}"/>
    <hyperlink ref="K40" r:id="rId65" display="https://us3.assetplanner.com/service_request?ID=101963" xr:uid="{8EE88963-201A-4D83-9700-D924C5EA9463}"/>
    <hyperlink ref="K41" r:id="rId66" display="https://us3.assetplanner.com/service_request?ID=101818" xr:uid="{E5C8CDA9-45E6-4F7B-B09A-7F20C63C7C8A}"/>
    <hyperlink ref="L41" r:id="rId67" display="https://us3.assetplanner.com/service_request?ID=105928" xr:uid="{48E7E002-6152-4C06-A10A-7E9A03BA57A7}"/>
    <hyperlink ref="K42" r:id="rId68" display="https://us3.assetplanner.com/service_request?ID=101034" xr:uid="{0283A9F2-972C-4DF5-94C6-6EEB5E30DBF4}"/>
    <hyperlink ref="L42" r:id="rId69" display="https://us3.assetplanner.com/service_request?ID=103779" xr:uid="{58975179-DB0F-4856-A338-899509236DFE}"/>
    <hyperlink ref="M42" r:id="rId70" display="https://us3.assetplanner.com/service_request?ID=102621" xr:uid="{EEE2DDDA-0824-4744-86C3-CEACAB8C6189}"/>
    <hyperlink ref="K43" r:id="rId71" display="https://us3.assetplanner.com/service_request?ID=101021" xr:uid="{A53DDBEE-84D3-4EFE-9DE6-E3C974CC71B7}"/>
    <hyperlink ref="K44" r:id="rId72" display="https://us3.assetplanner.com/service_request?ID=100915" xr:uid="{34C0FAA5-7ABF-467E-8DE1-A0AB8DFCBAD0}"/>
    <hyperlink ref="K45" r:id="rId73" display="https://us3.assetplanner.com/service_request?ID=105366" xr:uid="{112BFE65-7EF0-4A93-B167-085E2FB2A8ED}"/>
    <hyperlink ref="L45" r:id="rId74" display="https://us3.assetplanner.com/service_request?ID=101100" xr:uid="{FA37D349-05F3-4EA2-B757-D784CC78F51F}"/>
    <hyperlink ref="M45" r:id="rId75" display="https://us3.assetplanner.com/service_request?ID=107802" xr:uid="{83CA22B5-69BB-4816-AD48-1718956E8D5F}"/>
    <hyperlink ref="K46" r:id="rId76" display="https://us3.assetplanner.com/service_request?ID=105192" xr:uid="{B34A6F2C-9037-4C16-926B-1170D40B9A33}"/>
    <hyperlink ref="L46" r:id="rId77" display="https://us3.assetplanner.com/service_request?ID=106435" xr:uid="{11750267-0D8F-4E26-AF98-E4E08EEB6C32}"/>
    <hyperlink ref="M46" r:id="rId78" display="https://us3.assetplanner.com/service_request?ID=106650" xr:uid="{009E8A79-E24D-446C-BD9D-9EFF51B167AE}"/>
    <hyperlink ref="K47" r:id="rId79" display="https://us3.assetplanner.com/service_request?ID=102419" xr:uid="{3BD3E4E0-1884-4992-8FD8-9FCB587FF264}"/>
    <hyperlink ref="L47" r:id="rId80" display="https://us3.assetplanner.com/service_request?ID=107209" xr:uid="{E357DCE8-E446-4D30-868A-66935CD90E27}"/>
    <hyperlink ref="K48" r:id="rId81" display="https://us3.assetplanner.com/service_request?ID=102283" xr:uid="{0EE7575C-8E6F-4140-B831-F77A86E6FDF7}"/>
    <hyperlink ref="L48" r:id="rId82" display="https://us3.assetplanner.com/service_request?ID=106774" xr:uid="{BCEC9E34-A58D-43E6-89BD-F9A5CDF1727F}"/>
    <hyperlink ref="K49" r:id="rId83" display="https://us3.assetplanner.com/service_request?ID=102418" xr:uid="{E67E6E21-E127-45A4-8D5B-991ED81FFB90}"/>
    <hyperlink ref="K50" r:id="rId84" display="https://us3.assetplanner.com/service_request?ID=102416" xr:uid="{A93E42DC-8E38-45EF-92E0-4FF742808200}"/>
    <hyperlink ref="K51" r:id="rId85" display="https://us3.assetplanner.com/service_request?ID=102392" xr:uid="{000DF17B-2131-4603-9E5B-53D2374E245F}"/>
    <hyperlink ref="K52" r:id="rId86" display="https://us3.assetplanner.com/service_request?ID=102321" xr:uid="{E4DEF1DF-74E8-46A1-8804-69DFD5FABEC8}"/>
    <hyperlink ref="L52" r:id="rId87" display="https://us3.assetplanner.com/service_request?ID=103636" xr:uid="{D638366A-42FF-4C29-AE9A-18BCCF80CF63}"/>
    <hyperlink ref="M52" r:id="rId88" display="https://us3.assetplanner.com/service_request?ID=102539" xr:uid="{BA05A7A7-7494-4BE7-8DDB-A1CF39A0DCA3}"/>
    <hyperlink ref="N52" r:id="rId89" display="https://us3.assetplanner.com/service_request?ID=104882" xr:uid="{DC9A5CF2-DE0A-4D5D-97A4-F8F0A697387A}"/>
    <hyperlink ref="K53" r:id="rId90" display="https://us3.assetplanner.com/service_request?ID=102320" xr:uid="{C65FD044-D64F-4521-B8FE-DAD84CE44A17}"/>
    <hyperlink ref="K54" r:id="rId91" display="https://us3.assetplanner.com/service_request?ID=102317" xr:uid="{3429E2F0-59E8-43E2-AE79-5C1880F1A4C6}"/>
    <hyperlink ref="K55" r:id="rId92" display="https://us3.assetplanner.com/service_request?ID=108297" xr:uid="{2E227340-4C74-4573-912D-DCD78C36E909}"/>
    <hyperlink ref="L55" r:id="rId93" display="https://us3.assetplanner.com/service_request?ID=108307" xr:uid="{0B666257-F31C-413F-BDF3-FFF725DD34F4}"/>
    <hyperlink ref="M55" r:id="rId94" display="https://us3.assetplanner.com/service_request?ID=108307" xr:uid="{AA5A96A2-B78D-4ECA-BBD0-1084E2E88F3F}"/>
    <hyperlink ref="K56" r:id="rId95" display="https://us3.assetplanner.com/service_request?ID=102886" xr:uid="{48FAAF64-E7C6-4F9A-A3AF-91E2A1870397}"/>
    <hyperlink ref="K57" r:id="rId96" display="https://us3.assetplanner.com/service_request?ID=102281" xr:uid="{0D628990-DE7A-4FD3-898F-328B912C3A0E}"/>
    <hyperlink ref="K59" r:id="rId97" display="https://us3.assetplanner.com/service_request?ID=101986" xr:uid="{50F22D66-76B9-4340-A1E2-F5D3AAF0DB81}"/>
    <hyperlink ref="K60" r:id="rId98" display="https://us3.assetplanner.com/service_request?ID=102451" xr:uid="{F5C62ADE-8E48-43BD-8849-578291F86402}"/>
    <hyperlink ref="K61" r:id="rId99" display="https://us3.assetplanner.com/service_request?ID=102321" xr:uid="{3D7B6F14-C57C-4F88-AAE6-FD71765817FE}"/>
    <hyperlink ref="L61" r:id="rId100" display="https://us3.assetplanner.com/service_request?ID=103636" xr:uid="{D7BEA66E-D81C-4895-9456-13196B915A7A}"/>
    <hyperlink ref="M61" r:id="rId101" display="https://us3.assetplanner.com/service_request?ID=102539" xr:uid="{6FFDCF9E-44CA-4E02-81C9-ADF02F064178}"/>
    <hyperlink ref="N61" r:id="rId102" display="https://us3.assetplanner.com/service_request?ID=104882" xr:uid="{03E87D10-6CAE-470F-8F17-C2D0E8EF1331}"/>
    <hyperlink ref="K62" r:id="rId103" display="https://us3.assetplanner.com/service_request?ID=102329" xr:uid="{FF042613-03F3-4040-986B-72A0933D26AD}"/>
    <hyperlink ref="L62" r:id="rId104" display="https://us3.assetplanner.com/service_request?ID=105139" xr:uid="{8A2D2056-B4AB-4D68-81F3-D721815FA32E}"/>
    <hyperlink ref="M62" r:id="rId105" display="https://us3.assetplanner.com/service_request?ID=105139" xr:uid="{017E8F52-0F12-4EB4-9ED9-5D38C83F2534}"/>
    <hyperlink ref="K63" r:id="rId106" display="https://us3.assetplanner.com/service_request?ID=102303" xr:uid="{D2842995-BA06-4D7C-BC06-02E064DBBC65}"/>
    <hyperlink ref="K64" r:id="rId107" display="https://us3.assetplanner.com/service_request?ID=102411" xr:uid="{FD32AAEC-58F4-4ADA-A5CE-5E4D72AD9D9C}"/>
    <hyperlink ref="K65" r:id="rId108" display="https://us3.assetplanner.com/service_request?ID=106531" xr:uid="{1C6B1B32-9245-4E63-BB79-EBF209D0F0A0}"/>
    <hyperlink ref="K66" r:id="rId109" display="https://us3.assetplanner.com/service_request?ID=108501" xr:uid="{9235AB8E-01FF-42F8-A7D9-94C2BCBC21DE}"/>
    <hyperlink ref="L66" r:id="rId110" display="https://us3.assetplanner.com/service_request?ID=107991" xr:uid="{FDAEF759-0787-41D7-BA1A-8C1804E18FC0}"/>
    <hyperlink ref="M66" r:id="rId111" display="https://us3.assetplanner.com/service_request?ID=102310" xr:uid="{29AFFE17-2E6F-4D35-96B0-6D4F8B932267}"/>
    <hyperlink ref="K67" r:id="rId112" display="https://us3.assetplanner.com/service_request?ID=104289" xr:uid="{D68BD9BF-D4EC-41AD-97FE-8FE431F00792}"/>
    <hyperlink ref="K68" r:id="rId113" display="https://us3.assetplanner.com/service_request?ID=102450" xr:uid="{A016E381-580B-4A7D-9050-4B4D2371951A}"/>
    <hyperlink ref="K69" r:id="rId114" display="https://us3.assetplanner.com/service_request?ID=102413" xr:uid="{3BDD1797-1798-4532-8C0D-F9A9CDEE47F5}"/>
    <hyperlink ref="K70" r:id="rId115" display="https://us3.assetplanner.com/service_request?ID=106842" xr:uid="{65B7CC57-CC41-42F4-A0EF-B4714EFB13DB}"/>
    <hyperlink ref="L70" r:id="rId116" display="https://us3.assetplanner.com/service_request?ID=102425" xr:uid="{BBF7F1FA-3E78-4AED-929C-85F8CE965DEA}"/>
    <hyperlink ref="K71" r:id="rId117" display="https://us3.assetplanner.com/service_request?ID=102820" xr:uid="{D41A8781-B086-452C-85CA-847260626AF3}"/>
    <hyperlink ref="L71" r:id="rId118" display="https://us3.assetplanner.com/service_request?ID=104290" xr:uid="{011389BF-9705-4E09-AB57-7769F8357CD0}"/>
    <hyperlink ref="K72" r:id="rId119" display="https://us3.assetplanner.com/service_request?ID=102424" xr:uid="{D9C1B570-3126-46B9-B680-467F3315554F}"/>
    <hyperlink ref="K73" r:id="rId120" display="https://us3.assetplanner.com/service_request?ID=102423" xr:uid="{096E8E3C-3604-4359-9C59-8CFDE327305F}"/>
    <hyperlink ref="K74" r:id="rId121" display="https://us3.assetplanner.com/service_request?ID=102421" xr:uid="{E1E11D92-51D6-421D-B931-A659AFF49FB0}"/>
    <hyperlink ref="K75" r:id="rId122" display="https://us3.assetplanner.com/service_request?ID=102420" xr:uid="{664612F1-CC54-4245-9F49-3BAB7079BBCF}"/>
    <hyperlink ref="K76" r:id="rId123" display="https://us3.assetplanner.com/service_request?ID=108494" xr:uid="{9CD04D2A-2F37-44C1-899B-30B0416EBCF4}"/>
    <hyperlink ref="L76" r:id="rId124" display="https://us3.assetplanner.com/service_request?ID=107231" xr:uid="{86B35337-BDA9-4531-BE54-3B1FA8D7811B}"/>
    <hyperlink ref="M76" r:id="rId125" display="https://us3.assetplanner.com/service_request?ID=106851" xr:uid="{683C9BBC-5F19-4692-AA83-0FDAE390A782}"/>
    <hyperlink ref="N76" r:id="rId126" display="https://us3.assetplanner.com/service_request?ID=103869" xr:uid="{9BCCE9B5-6FC8-49FF-9DBE-6B148EBCDC08}"/>
    <hyperlink ref="K77" r:id="rId127" display="https://us3.assetplanner.com/service_request?ID=108282" xr:uid="{641C3136-45DF-40BA-A573-A5F467921C4B}"/>
    <hyperlink ref="L77" r:id="rId128" display="https://us3.assetplanner.com/service_request?ID=103868" xr:uid="{AA413415-3833-4518-89A1-BD37C5DE827F}"/>
    <hyperlink ref="M77" r:id="rId129" display="https://us3.assetplanner.com/service_request?ID=106301" xr:uid="{FFCE8A1F-31E8-4A20-B1B8-E1D19CE43BDA}"/>
    <hyperlink ref="K78" r:id="rId130" display="https://us3.assetplanner.com/service_request?ID=103867" xr:uid="{E052D9E8-D299-4B04-9158-5F2710C4E350}"/>
    <hyperlink ref="K79" r:id="rId131" display="https://us3.assetplanner.com/service_request?ID=103866" xr:uid="{FF3D6C93-4EE2-40CF-9C7F-D3F1FF1C19D9}"/>
    <hyperlink ref="K80" r:id="rId132" display="https://us3.assetplanner.com/service_request?ID=104456" xr:uid="{49B168F7-7CC7-420B-AEDE-DABF16B295CB}"/>
    <hyperlink ref="K82" r:id="rId133" display="https://us3.assetplanner.com/service_request?ID=108426" xr:uid="{086BDA09-09C2-46BC-9166-62F3547962D9}"/>
    <hyperlink ref="L82" r:id="rId134" display="https://us3.assetplanner.com/service_request?ID=107661" xr:uid="{A5D4EEF0-D5C2-4A12-87D7-40F41F9E4D93}"/>
    <hyperlink ref="K83" r:id="rId135" display="https://us3.assetplanner.com/service_request?ID=103946" xr:uid="{8D24C3A6-FF14-42AD-A27C-08EE6A8A4438}"/>
    <hyperlink ref="L83" r:id="rId136" display="https://us3.assetplanner.com/service_request?ID=104855" xr:uid="{6C727C54-05CD-45EB-AFAF-2604CAA13463}"/>
    <hyperlink ref="M83" r:id="rId137" display="https://us3.assetplanner.com/service_request?ID=103946" xr:uid="{4BA856B1-451D-492F-A550-EDCD11BF1D24}"/>
    <hyperlink ref="K84" r:id="rId138" display="https://us3.assetplanner.com/service_request?ID=102281" xr:uid="{521E8D1F-A0D3-44A3-80DA-BD364C88638E}"/>
    <hyperlink ref="K85" r:id="rId139" display="https://us3.assetplanner.com/service_request?ID=108309" xr:uid="{140ED2A1-203B-4BD4-886E-8DA01E1F06AF}"/>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326"/>
  <sheetViews>
    <sheetView zoomScale="70" zoomScaleNormal="70" workbookViewId="0">
      <pane xSplit="2" ySplit="3" topLeftCell="C78" activePane="bottomRight" state="frozen"/>
      <selection pane="bottomRight" activeCell="J89" sqref="J89"/>
      <selection pane="bottomLeft" activeCell="H13" sqref="H13"/>
      <selection pane="topRight" activeCell="H13" sqref="H13"/>
    </sheetView>
  </sheetViews>
  <sheetFormatPr defaultRowHeight="14.45"/>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6" customWidth="1"/>
    <col min="11" max="11" width="20.5703125" style="116" bestFit="1" customWidth="1"/>
    <col min="12" max="12" width="14.42578125" style="109" customWidth="1"/>
  </cols>
  <sheetData>
    <row r="1" spans="1:18" ht="19.5" customHeight="1">
      <c r="A1" s="118" t="str" cm="1">
        <f t="array" ref="A1">portfolio</f>
        <v>Clean Capital</v>
      </c>
      <c r="B1" s="118"/>
      <c r="C1" s="118"/>
      <c r="D1" s="119" t="s">
        <v>688</v>
      </c>
      <c r="E1" s="119"/>
      <c r="F1" s="119"/>
      <c r="G1" s="117" t="s">
        <v>689</v>
      </c>
      <c r="H1" s="117"/>
      <c r="I1" s="117"/>
      <c r="J1" s="113"/>
      <c r="K1" s="113"/>
    </row>
    <row r="2" spans="1:18" ht="19.5" customHeight="1">
      <c r="A2" s="120" t="s">
        <v>2</v>
      </c>
      <c r="B2" s="120"/>
      <c r="C2" s="5">
        <f>SUM(C4:C84)</f>
        <v>4042217.2039148193</v>
      </c>
      <c r="D2" s="5">
        <f>SUM(D4:D84)</f>
        <v>2843159.3899999997</v>
      </c>
      <c r="E2" s="5">
        <f>C2-D2</f>
        <v>1199057.8139148196</v>
      </c>
      <c r="F2" s="6">
        <f>IFERROR(E2/D2, 0)</f>
        <v>0.42173429253814004</v>
      </c>
      <c r="G2" s="5">
        <f>SUM(G4:G84)</f>
        <v>4371807.9599999981</v>
      </c>
      <c r="H2" s="7">
        <f>C2-G2</f>
        <v>-329590.75608517881</v>
      </c>
      <c r="I2" s="6">
        <f>IFERROR(H2/G2, 0)</f>
        <v>-7.5390035221304399E-2</v>
      </c>
      <c r="J2" s="114" t="str">
        <f ca="1">IF(AND(TODAY()&gt;DATE(2024, 10, 1), COUNTA(Sites[Site])&lt;&gt;(COUNT(C:C)-1)), "Some sites are missing actual data; if new sites were added, make sure they are aligned correctly (including prior months!)", "")</f>
        <v/>
      </c>
      <c r="K2" s="113"/>
    </row>
    <row r="3" spans="1:18" ht="14.25" customHeight="1">
      <c r="A3" s="12" t="s">
        <v>3</v>
      </c>
      <c r="B3" s="12" t="s">
        <v>4</v>
      </c>
      <c r="C3" s="19" t="s">
        <v>5</v>
      </c>
      <c r="D3" s="20" t="s">
        <v>6</v>
      </c>
      <c r="E3" s="20" t="s">
        <v>7</v>
      </c>
      <c r="F3" s="21" t="s">
        <v>8</v>
      </c>
      <c r="G3" s="22" t="s">
        <v>9</v>
      </c>
      <c r="H3" s="23" t="s">
        <v>7</v>
      </c>
      <c r="I3" s="24" t="s">
        <v>8</v>
      </c>
      <c r="J3" s="115" t="s">
        <v>42</v>
      </c>
      <c r="K3" s="115" t="s">
        <v>21</v>
      </c>
      <c r="L3" s="115" t="s">
        <v>690</v>
      </c>
    </row>
    <row r="4" spans="1:18" ht="48" customHeight="1">
      <c r="A4" s="39" t="str" cm="1">
        <f t="array" ref="A4:A85">Sites[Site]</f>
        <v>Lexington - Cotting School</v>
      </c>
      <c r="B4" s="40" t="str" cm="1">
        <f t="array" ref="B4:B85">Sites[State]</f>
        <v>MA</v>
      </c>
      <c r="C4" s="28">
        <v>26318.2</v>
      </c>
      <c r="D4" s="29" t="s">
        <v>43</v>
      </c>
      <c r="E4" s="29" t="str">
        <f>IF(AND(ISNUMBER(C4),ISNUMBER(D4)), C4-D4, "")</f>
        <v/>
      </c>
      <c r="F4" s="30" t="str">
        <f>IFERROR(E4/D4, "")</f>
        <v/>
      </c>
      <c r="G4" s="73" t="s">
        <v>43</v>
      </c>
      <c r="H4" s="31" t="str">
        <f>IF(AND(ISNUMBER(C4),ISNUMBER(G4)), C4-G4, "")</f>
        <v/>
      </c>
      <c r="I4" s="32" t="str">
        <f>IFERROR(H4/G4, "")</f>
        <v/>
      </c>
      <c r="J4" s="112" t="s">
        <v>470</v>
      </c>
      <c r="K4" s="78" t="s">
        <v>207</v>
      </c>
      <c r="L4" s="109" t="s">
        <v>691</v>
      </c>
    </row>
    <row r="5" spans="1:18" ht="151.5" customHeight="1">
      <c r="A5" s="41" t="str">
        <v>Pacoima - Whiteman Airport</v>
      </c>
      <c r="B5" s="42" t="str">
        <v>CA</v>
      </c>
      <c r="C5" s="35">
        <v>25774.5</v>
      </c>
      <c r="D5" s="36" t="s">
        <v>43</v>
      </c>
      <c r="E5" s="36" t="str">
        <f t="shared" ref="E5:E68" si="0">IF(AND(ISNUMBER(C5),ISNUMBER(D5)), C5-D5, "")</f>
        <v/>
      </c>
      <c r="F5" s="37" t="str">
        <f>IFERROR(E5/D5, "")</f>
        <v/>
      </c>
      <c r="G5" s="38">
        <v>40040</v>
      </c>
      <c r="H5" s="38">
        <f t="shared" ref="H5:H68" si="1">IF(AND(ISNUMBER(C5),ISNUMBER(G5)), C5-G5, "")</f>
        <v>-14265.5</v>
      </c>
      <c r="I5" s="37">
        <f t="shared" ref="I5:I68" si="2">IFERROR(H5/G5, "")</f>
        <v>-0.35628121878121877</v>
      </c>
      <c r="J5" s="121" t="s">
        <v>600</v>
      </c>
      <c r="K5" s="75" t="s">
        <v>601</v>
      </c>
      <c r="L5" s="110" t="s">
        <v>692</v>
      </c>
      <c r="M5" s="103" t="s">
        <v>602</v>
      </c>
      <c r="N5" s="103" t="s">
        <v>135</v>
      </c>
      <c r="O5" s="103" t="s">
        <v>603</v>
      </c>
      <c r="P5" s="103" t="s">
        <v>604</v>
      </c>
      <c r="Q5" s="103" t="s">
        <v>349</v>
      </c>
      <c r="R5" s="103" t="s">
        <v>136</v>
      </c>
    </row>
    <row r="6" spans="1:18" ht="15.6">
      <c r="A6" s="43" t="str">
        <v>Hyannis - Sturgis Charter School</v>
      </c>
      <c r="B6" s="40" t="str">
        <v>MA</v>
      </c>
      <c r="C6" s="28">
        <v>20955.60413</v>
      </c>
      <c r="D6" s="29" t="s">
        <v>43</v>
      </c>
      <c r="E6" s="29" t="str">
        <f t="shared" si="0"/>
        <v/>
      </c>
      <c r="F6" s="30" t="str">
        <f t="shared" ref="F6:F69" si="3">IFERROR(E6/D6, "")</f>
        <v/>
      </c>
      <c r="G6" s="31">
        <v>20840</v>
      </c>
      <c r="H6" s="31">
        <f t="shared" si="1"/>
        <v>115.60412999999971</v>
      </c>
      <c r="I6" s="32">
        <f t="shared" si="2"/>
        <v>5.5472231285988343E-3</v>
      </c>
      <c r="J6" s="112"/>
      <c r="K6" s="112"/>
    </row>
    <row r="7" spans="1:18" ht="15.6">
      <c r="A7" s="41" t="str">
        <v>South Dennis - Tony Kent Arena</v>
      </c>
      <c r="B7" s="42" t="str">
        <v>MA</v>
      </c>
      <c r="C7" s="35">
        <v>22120.2</v>
      </c>
      <c r="D7" s="36" t="s">
        <v>43</v>
      </c>
      <c r="E7" s="36" t="str">
        <f t="shared" si="0"/>
        <v/>
      </c>
      <c r="F7" s="37" t="str">
        <f t="shared" si="3"/>
        <v/>
      </c>
      <c r="G7" s="83" t="s">
        <v>43</v>
      </c>
      <c r="H7" s="38" t="str">
        <f t="shared" si="1"/>
        <v/>
      </c>
      <c r="I7" s="37" t="str">
        <f t="shared" si="2"/>
        <v/>
      </c>
      <c r="J7" s="121"/>
      <c r="K7" s="121"/>
    </row>
    <row r="8" spans="1:18" ht="100.9">
      <c r="A8" s="43" t="str">
        <v xml:space="preserve"> Caropolis - Felician Sisters</v>
      </c>
      <c r="B8" s="40" t="str">
        <v>PA</v>
      </c>
      <c r="C8" s="28">
        <v>46950.9</v>
      </c>
      <c r="D8" s="29" t="s">
        <v>43</v>
      </c>
      <c r="E8" s="29" t="str">
        <f t="shared" si="0"/>
        <v/>
      </c>
      <c r="F8" s="30" t="str">
        <f t="shared" si="3"/>
        <v/>
      </c>
      <c r="G8" s="73" t="s">
        <v>43</v>
      </c>
      <c r="H8" s="31" t="str">
        <f t="shared" si="1"/>
        <v/>
      </c>
      <c r="I8" s="32" t="str">
        <f t="shared" si="2"/>
        <v/>
      </c>
      <c r="J8" s="112" t="s">
        <v>693</v>
      </c>
      <c r="K8" s="78" t="s">
        <v>694</v>
      </c>
      <c r="L8" s="110" t="s">
        <v>695</v>
      </c>
      <c r="M8" s="103" t="s">
        <v>95</v>
      </c>
    </row>
    <row r="9" spans="1:18" ht="43.5" customHeight="1">
      <c r="A9" s="41" t="str">
        <v>Clear Lake - Eastlake Gohman</v>
      </c>
      <c r="B9" s="42" t="str">
        <v>MN</v>
      </c>
      <c r="C9" s="35">
        <v>123287</v>
      </c>
      <c r="D9" s="36" t="s">
        <v>43</v>
      </c>
      <c r="E9" s="36" t="str">
        <f t="shared" si="0"/>
        <v/>
      </c>
      <c r="F9" s="37" t="str">
        <f t="shared" si="3"/>
        <v/>
      </c>
      <c r="G9" s="38">
        <v>156550.79999999999</v>
      </c>
      <c r="H9" s="38">
        <f t="shared" si="1"/>
        <v>-33263.799999999988</v>
      </c>
      <c r="I9" s="37">
        <f t="shared" si="2"/>
        <v>-0.21247927190407198</v>
      </c>
      <c r="J9" s="121" t="s">
        <v>696</v>
      </c>
      <c r="K9" s="75" t="s">
        <v>697</v>
      </c>
      <c r="L9" s="110" t="s">
        <v>698</v>
      </c>
      <c r="M9" s="103" t="s">
        <v>699</v>
      </c>
    </row>
    <row r="10" spans="1:18" ht="15.6">
      <c r="A10" s="43" t="str">
        <v>Zumbrota - Eastlake Brenda Luhman</v>
      </c>
      <c r="B10" s="40" t="str">
        <v>MN</v>
      </c>
      <c r="C10" s="28">
        <v>149182</v>
      </c>
      <c r="D10" s="29" t="s">
        <v>43</v>
      </c>
      <c r="E10" s="29" t="str">
        <f t="shared" si="0"/>
        <v/>
      </c>
      <c r="F10" s="30" t="str">
        <f t="shared" si="3"/>
        <v/>
      </c>
      <c r="G10" s="31">
        <v>138962.20000000001</v>
      </c>
      <c r="H10" s="31">
        <f t="shared" si="1"/>
        <v>10219.799999999988</v>
      </c>
      <c r="I10" s="32">
        <f t="shared" si="2"/>
        <v>7.3543740671923638E-2</v>
      </c>
      <c r="J10" s="112"/>
      <c r="K10" s="112"/>
    </row>
    <row r="11" spans="1:18" ht="57" customHeight="1">
      <c r="A11" s="41" t="str">
        <v>Cokato - Eastlake Carlson</v>
      </c>
      <c r="B11" s="42" t="str">
        <v>MN</v>
      </c>
      <c r="C11" s="35">
        <v>120234</v>
      </c>
      <c r="D11" s="36" t="s">
        <v>43</v>
      </c>
      <c r="E11" s="36" t="str">
        <f t="shared" si="0"/>
        <v/>
      </c>
      <c r="F11" s="37" t="str">
        <f t="shared" si="3"/>
        <v/>
      </c>
      <c r="G11" s="38">
        <v>141771.6</v>
      </c>
      <c r="H11" s="38">
        <f t="shared" si="1"/>
        <v>-21537.600000000006</v>
      </c>
      <c r="I11" s="37">
        <f t="shared" si="2"/>
        <v>-0.15191759139348082</v>
      </c>
      <c r="J11" s="121" t="s">
        <v>700</v>
      </c>
      <c r="K11" s="75" t="s">
        <v>701</v>
      </c>
      <c r="L11" s="110" t="s">
        <v>702</v>
      </c>
      <c r="M11" s="103" t="s">
        <v>703</v>
      </c>
      <c r="N11" s="103" t="s">
        <v>704</v>
      </c>
    </row>
    <row r="12" spans="1:18" ht="49.5" customHeight="1">
      <c r="A12" s="43" t="str">
        <v>North Branch - Cornille 2</v>
      </c>
      <c r="B12" s="40" t="str">
        <v>MN</v>
      </c>
      <c r="C12" s="28">
        <v>135138</v>
      </c>
      <c r="D12" s="29" t="s">
        <v>43</v>
      </c>
      <c r="E12" s="29" t="str">
        <f t="shared" si="0"/>
        <v/>
      </c>
      <c r="F12" s="30" t="str">
        <f t="shared" si="3"/>
        <v/>
      </c>
      <c r="G12" s="31">
        <v>147992.29999999999</v>
      </c>
      <c r="H12" s="31">
        <f t="shared" si="1"/>
        <v>-12854.299999999988</v>
      </c>
      <c r="I12" s="32">
        <f t="shared" si="2"/>
        <v>-8.6857897336550541E-2</v>
      </c>
      <c r="J12" s="112" t="s">
        <v>705</v>
      </c>
      <c r="K12" s="78" t="s">
        <v>706</v>
      </c>
      <c r="L12" s="110" t="s">
        <v>707</v>
      </c>
      <c r="M12" s="103" t="s">
        <v>708</v>
      </c>
    </row>
    <row r="13" spans="1:18" ht="15.6">
      <c r="A13" s="41" t="str">
        <v>Clear Lake - Eastlake Hammer</v>
      </c>
      <c r="B13" s="42" t="str">
        <v>MN</v>
      </c>
      <c r="C13" s="35">
        <v>129622</v>
      </c>
      <c r="D13" s="36" t="s">
        <v>43</v>
      </c>
      <c r="E13" s="36" t="str">
        <f t="shared" si="0"/>
        <v/>
      </c>
      <c r="F13" s="37" t="str">
        <f t="shared" si="3"/>
        <v/>
      </c>
      <c r="G13" s="38">
        <v>151553.60000000001</v>
      </c>
      <c r="H13" s="38">
        <f t="shared" si="1"/>
        <v>-21931.600000000006</v>
      </c>
      <c r="I13" s="37">
        <f t="shared" si="2"/>
        <v>-0.14471183792400844</v>
      </c>
      <c r="J13" s="121" t="s">
        <v>709</v>
      </c>
      <c r="K13" s="75" t="s">
        <v>710</v>
      </c>
      <c r="L13" s="109" t="s">
        <v>711</v>
      </c>
    </row>
    <row r="14" spans="1:18" ht="28.9">
      <c r="A14" s="43" t="str">
        <v>Eastlake - Hertzberg CSG 1</v>
      </c>
      <c r="B14" s="40" t="str">
        <v>MN</v>
      </c>
      <c r="C14" s="28">
        <v>112037.22500000001</v>
      </c>
      <c r="D14" s="29" t="s">
        <v>43</v>
      </c>
      <c r="E14" s="29" t="str">
        <f t="shared" si="0"/>
        <v/>
      </c>
      <c r="F14" s="30" t="str">
        <f t="shared" si="3"/>
        <v/>
      </c>
      <c r="G14" s="31">
        <v>154680.70000000001</v>
      </c>
      <c r="H14" s="31">
        <f t="shared" si="1"/>
        <v>-42643.475000000006</v>
      </c>
      <c r="I14" s="32">
        <f t="shared" si="2"/>
        <v>-0.27568710899291249</v>
      </c>
      <c r="J14" s="112" t="s">
        <v>712</v>
      </c>
      <c r="K14" s="78" t="s">
        <v>713</v>
      </c>
      <c r="L14" s="110" t="s">
        <v>714</v>
      </c>
      <c r="M14" s="103" t="s">
        <v>715</v>
      </c>
    </row>
    <row r="15" spans="1:18" ht="15.6">
      <c r="A15" s="41" t="str">
        <v>Cokato - Eastlake Laurel Village</v>
      </c>
      <c r="B15" s="42" t="str">
        <v>MN</v>
      </c>
      <c r="C15" s="35">
        <v>129368.05</v>
      </c>
      <c r="D15" s="36" t="s">
        <v>43</v>
      </c>
      <c r="E15" s="36" t="str">
        <f t="shared" si="0"/>
        <v/>
      </c>
      <c r="F15" s="37" t="str">
        <f t="shared" si="3"/>
        <v/>
      </c>
      <c r="G15" s="38">
        <v>150906.9</v>
      </c>
      <c r="H15" s="38">
        <f t="shared" si="1"/>
        <v>-21538.849999999991</v>
      </c>
      <c r="I15" s="37">
        <f t="shared" si="2"/>
        <v>-0.142729391432731</v>
      </c>
      <c r="J15" s="121" t="s">
        <v>716</v>
      </c>
      <c r="K15" s="75" t="s">
        <v>717</v>
      </c>
      <c r="L15" s="109" t="s">
        <v>711</v>
      </c>
    </row>
    <row r="16" spans="1:18" ht="15.6">
      <c r="A16" s="43" t="str">
        <v>St. Peter - Eastlake Paulson</v>
      </c>
      <c r="B16" s="40" t="str">
        <v>MN</v>
      </c>
      <c r="C16" s="28">
        <v>129541.346136363</v>
      </c>
      <c r="D16" s="29" t="s">
        <v>43</v>
      </c>
      <c r="E16" s="29" t="str">
        <f t="shared" si="0"/>
        <v/>
      </c>
      <c r="F16" s="30" t="str">
        <f t="shared" si="3"/>
        <v/>
      </c>
      <c r="G16" s="31">
        <v>145203.79999999999</v>
      </c>
      <c r="H16" s="31">
        <f t="shared" si="1"/>
        <v>-15662.453863636983</v>
      </c>
      <c r="I16" s="32">
        <f t="shared" si="2"/>
        <v>-0.10786531663521881</v>
      </c>
      <c r="J16" s="112" t="s">
        <v>718</v>
      </c>
      <c r="K16" s="78" t="s">
        <v>719</v>
      </c>
      <c r="L16" s="109" t="s">
        <v>711</v>
      </c>
    </row>
    <row r="17" spans="1:17" ht="28.9">
      <c r="A17" s="41" t="str">
        <v>Felician Sisters Convent</v>
      </c>
      <c r="B17" s="42" t="str">
        <v>NJ</v>
      </c>
      <c r="C17" s="35">
        <v>9548.2000000000007</v>
      </c>
      <c r="D17" s="36" t="s">
        <v>43</v>
      </c>
      <c r="E17" s="36" t="str">
        <f t="shared" si="0"/>
        <v/>
      </c>
      <c r="F17" s="37" t="str">
        <f t="shared" si="3"/>
        <v/>
      </c>
      <c r="G17" s="38" t="s">
        <v>625</v>
      </c>
      <c r="H17" s="38" t="str">
        <f t="shared" si="1"/>
        <v/>
      </c>
      <c r="I17" s="37" t="str">
        <f t="shared" si="2"/>
        <v/>
      </c>
      <c r="J17" s="121" t="s">
        <v>720</v>
      </c>
      <c r="K17" s="75" t="s">
        <v>721</v>
      </c>
      <c r="L17" s="110" t="s">
        <v>722</v>
      </c>
      <c r="M17" s="103" t="s">
        <v>723</v>
      </c>
    </row>
    <row r="18" spans="1:17" ht="15.6">
      <c r="A18" s="43" t="str">
        <v>Sussex County Fairgrounds</v>
      </c>
      <c r="B18" s="40" t="str">
        <v>NJ</v>
      </c>
      <c r="C18" s="28">
        <v>41830.06</v>
      </c>
      <c r="D18" s="29" t="s">
        <v>43</v>
      </c>
      <c r="E18" s="29" t="str">
        <f t="shared" si="0"/>
        <v/>
      </c>
      <c r="F18" s="30" t="str">
        <f t="shared" si="3"/>
        <v/>
      </c>
      <c r="G18" s="31" t="s">
        <v>625</v>
      </c>
      <c r="H18" s="31" t="str">
        <f t="shared" si="1"/>
        <v/>
      </c>
      <c r="I18" s="32" t="str">
        <f t="shared" si="2"/>
        <v/>
      </c>
      <c r="J18" s="112" t="s">
        <v>724</v>
      </c>
      <c r="K18" s="78" t="s">
        <v>725</v>
      </c>
      <c r="L18" s="109" t="s">
        <v>711</v>
      </c>
    </row>
    <row r="19" spans="1:17" ht="28.9">
      <c r="A19" s="41" t="str">
        <v>Gateway Church</v>
      </c>
      <c r="B19" s="42" t="str">
        <v>NJ</v>
      </c>
      <c r="C19" s="35">
        <v>18528</v>
      </c>
      <c r="D19" s="36" t="s">
        <v>43</v>
      </c>
      <c r="E19" s="36" t="str">
        <f t="shared" si="0"/>
        <v/>
      </c>
      <c r="F19" s="37" t="str">
        <f t="shared" si="3"/>
        <v/>
      </c>
      <c r="G19" s="38" t="s">
        <v>625</v>
      </c>
      <c r="H19" s="38" t="str">
        <f t="shared" si="1"/>
        <v/>
      </c>
      <c r="I19" s="37" t="str">
        <f t="shared" si="2"/>
        <v/>
      </c>
      <c r="J19" s="121" t="s">
        <v>726</v>
      </c>
      <c r="K19" s="75" t="s">
        <v>727</v>
      </c>
      <c r="L19" s="110" t="s">
        <v>728</v>
      </c>
      <c r="M19" s="103" t="s">
        <v>729</v>
      </c>
    </row>
    <row r="20" spans="1:17" ht="15.6">
      <c r="A20" s="43" t="str">
        <v>Beaver Falls - Felician Sisters</v>
      </c>
      <c r="B20" s="40" t="str">
        <v>PA</v>
      </c>
      <c r="C20" s="28">
        <v>26741</v>
      </c>
      <c r="D20" s="29" t="s">
        <v>43</v>
      </c>
      <c r="E20" s="29" t="str">
        <f t="shared" si="0"/>
        <v/>
      </c>
      <c r="F20" s="30" t="str">
        <f t="shared" si="3"/>
        <v/>
      </c>
      <c r="G20" s="31" t="s">
        <v>625</v>
      </c>
      <c r="H20" s="31" t="str">
        <f t="shared" si="1"/>
        <v/>
      </c>
      <c r="I20" s="32" t="str">
        <f t="shared" si="2"/>
        <v/>
      </c>
      <c r="J20" s="112" t="s">
        <v>730</v>
      </c>
      <c r="K20" s="78" t="s">
        <v>731</v>
      </c>
      <c r="L20" s="109" t="s">
        <v>691</v>
      </c>
    </row>
    <row r="21" spans="1:17" ht="94.5" customHeight="1">
      <c r="A21" s="41" t="str">
        <v>Livonia - Felician Sisters Ground</v>
      </c>
      <c r="B21" s="42" t="str">
        <v>MI</v>
      </c>
      <c r="C21" s="35">
        <v>10271</v>
      </c>
      <c r="D21" s="36" t="s">
        <v>43</v>
      </c>
      <c r="E21" s="36" t="str">
        <f t="shared" si="0"/>
        <v/>
      </c>
      <c r="F21" s="37" t="str">
        <f t="shared" si="3"/>
        <v/>
      </c>
      <c r="G21" s="38" t="s">
        <v>625</v>
      </c>
      <c r="H21" s="38" t="str">
        <f t="shared" si="1"/>
        <v/>
      </c>
      <c r="I21" s="37" t="str">
        <f t="shared" si="2"/>
        <v/>
      </c>
      <c r="J21" s="121" t="s">
        <v>732</v>
      </c>
      <c r="K21" s="75" t="s">
        <v>733</v>
      </c>
      <c r="L21" s="110" t="s">
        <v>734</v>
      </c>
      <c r="M21" s="103" t="s">
        <v>634</v>
      </c>
      <c r="N21" s="103" t="s">
        <v>735</v>
      </c>
      <c r="O21" s="103" t="s">
        <v>635</v>
      </c>
      <c r="P21" s="103" t="s">
        <v>635</v>
      </c>
    </row>
    <row r="22" spans="1:17" ht="15.6">
      <c r="A22" s="43" t="str">
        <v>Livonia - Felician Sisters Roof</v>
      </c>
      <c r="B22" s="40" t="str">
        <v>MI</v>
      </c>
      <c r="C22" s="28">
        <v>11421</v>
      </c>
      <c r="D22" s="29" t="s">
        <v>43</v>
      </c>
      <c r="E22" s="29" t="str">
        <f t="shared" si="0"/>
        <v/>
      </c>
      <c r="F22" s="30" t="str">
        <f t="shared" si="3"/>
        <v/>
      </c>
      <c r="G22" s="31" t="s">
        <v>625</v>
      </c>
      <c r="H22" s="31" t="str">
        <f t="shared" si="1"/>
        <v/>
      </c>
      <c r="I22" s="32" t="str">
        <f t="shared" si="2"/>
        <v/>
      </c>
      <c r="J22" s="112" t="s">
        <v>377</v>
      </c>
      <c r="K22" s="78" t="s">
        <v>246</v>
      </c>
      <c r="L22" s="109" t="s">
        <v>691</v>
      </c>
    </row>
    <row r="23" spans="1:17" ht="15.6">
      <c r="A23" s="41" t="str">
        <v>Monmouth Worship Ctr</v>
      </c>
      <c r="B23" s="42" t="str">
        <v>NJ</v>
      </c>
      <c r="C23" s="35">
        <v>3950.7</v>
      </c>
      <c r="D23" s="36" t="s">
        <v>43</v>
      </c>
      <c r="E23" s="36" t="str">
        <f t="shared" si="0"/>
        <v/>
      </c>
      <c r="F23" s="37" t="str">
        <f t="shared" si="3"/>
        <v/>
      </c>
      <c r="G23" s="38" t="s">
        <v>625</v>
      </c>
      <c r="H23" s="38" t="str">
        <f t="shared" si="1"/>
        <v/>
      </c>
      <c r="I23" s="37" t="str">
        <f t="shared" si="2"/>
        <v/>
      </c>
      <c r="J23" s="121"/>
      <c r="K23" s="121"/>
    </row>
    <row r="24" spans="1:17" ht="15.6">
      <c r="A24" s="43" t="str">
        <v xml:space="preserve"> Audubon - Senior Citizens United</v>
      </c>
      <c r="B24" s="40" t="str">
        <v>NJ</v>
      </c>
      <c r="C24" s="28">
        <v>7840.6</v>
      </c>
      <c r="D24" s="29" t="s">
        <v>43</v>
      </c>
      <c r="E24" s="29" t="str">
        <f t="shared" si="0"/>
        <v/>
      </c>
      <c r="F24" s="30" t="str">
        <f t="shared" si="3"/>
        <v/>
      </c>
      <c r="G24" s="31" t="s">
        <v>625</v>
      </c>
      <c r="H24" s="31" t="str">
        <f t="shared" si="1"/>
        <v/>
      </c>
      <c r="I24" s="32" t="str">
        <f t="shared" si="2"/>
        <v/>
      </c>
      <c r="J24" s="112"/>
      <c r="K24" s="112"/>
    </row>
    <row r="25" spans="1:17" ht="189" customHeight="1">
      <c r="A25" s="41" t="str">
        <v>Hollister - PG&amp;E (Enerparc)</v>
      </c>
      <c r="B25" s="42" t="str">
        <v>CA</v>
      </c>
      <c r="C25" s="35">
        <v>207831.78099999999</v>
      </c>
      <c r="D25" s="36">
        <v>64379.8</v>
      </c>
      <c r="E25" s="36">
        <f t="shared" si="0"/>
        <v>143451.98099999997</v>
      </c>
      <c r="F25" s="37">
        <f t="shared" si="3"/>
        <v>2.2282141448093964</v>
      </c>
      <c r="G25" s="38">
        <v>279526.59999999998</v>
      </c>
      <c r="H25" s="38">
        <f t="shared" si="1"/>
        <v>-71694.818999999989</v>
      </c>
      <c r="I25" s="37">
        <f t="shared" si="2"/>
        <v>-0.25648657050885315</v>
      </c>
      <c r="J25" s="121" t="s">
        <v>736</v>
      </c>
      <c r="K25" s="75" t="s">
        <v>737</v>
      </c>
      <c r="L25" s="110" t="s">
        <v>738</v>
      </c>
      <c r="M25" s="103" t="s">
        <v>251</v>
      </c>
      <c r="N25" s="103" t="s">
        <v>513</v>
      </c>
      <c r="O25" s="103" t="s">
        <v>639</v>
      </c>
      <c r="P25" s="103" t="s">
        <v>640</v>
      </c>
      <c r="Q25" s="103" t="s">
        <v>739</v>
      </c>
    </row>
    <row r="26" spans="1:17" ht="158.44999999999999">
      <c r="A26" s="43" t="str">
        <v>Taos County - Kit Carson Electric Co-Op</v>
      </c>
      <c r="B26" s="40" t="str">
        <v>NM</v>
      </c>
      <c r="C26" s="28">
        <v>204520</v>
      </c>
      <c r="D26" s="29">
        <v>171068.4</v>
      </c>
      <c r="E26" s="29">
        <f t="shared" si="0"/>
        <v>33451.600000000006</v>
      </c>
      <c r="F26" s="30">
        <f t="shared" si="3"/>
        <v>0.19554517374336819</v>
      </c>
      <c r="G26" s="31">
        <v>137591.1</v>
      </c>
      <c r="H26" s="31">
        <f t="shared" si="1"/>
        <v>66928.899999999994</v>
      </c>
      <c r="I26" s="32">
        <f t="shared" si="2"/>
        <v>0.48643335215722522</v>
      </c>
      <c r="J26" s="112" t="s">
        <v>740</v>
      </c>
      <c r="K26" s="78" t="s">
        <v>741</v>
      </c>
      <c r="L26" s="110" t="s">
        <v>714</v>
      </c>
      <c r="M26" s="103" t="s">
        <v>742</v>
      </c>
    </row>
    <row r="27" spans="1:17" ht="28.9">
      <c r="A27" s="41" t="str">
        <v>Commerce City - Adams City HS</v>
      </c>
      <c r="B27" s="42" t="str">
        <v>CO</v>
      </c>
      <c r="C27" s="35">
        <v>11839</v>
      </c>
      <c r="D27" s="36">
        <v>9858.1630000000005</v>
      </c>
      <c r="E27" s="36">
        <f t="shared" si="0"/>
        <v>1980.8369999999995</v>
      </c>
      <c r="F27" s="37">
        <f t="shared" si="3"/>
        <v>0.20093368308071183</v>
      </c>
      <c r="G27" s="38">
        <v>10098.799999999999</v>
      </c>
      <c r="H27" s="38">
        <f t="shared" si="1"/>
        <v>1740.2000000000007</v>
      </c>
      <c r="I27" s="37">
        <f t="shared" si="2"/>
        <v>0.17231750306967172</v>
      </c>
      <c r="J27" s="121" t="s">
        <v>515</v>
      </c>
      <c r="K27" s="121"/>
    </row>
    <row r="28" spans="1:17" ht="15.6">
      <c r="A28" s="43" t="str">
        <v>Commerce City - Adams City MS</v>
      </c>
      <c r="B28" s="40" t="str">
        <v>CO</v>
      </c>
      <c r="C28" s="28">
        <v>9349</v>
      </c>
      <c r="D28" s="29">
        <v>8958.2139999999999</v>
      </c>
      <c r="E28" s="29">
        <f t="shared" si="0"/>
        <v>390.78600000000006</v>
      </c>
      <c r="F28" s="30">
        <f t="shared" si="3"/>
        <v>4.3623204357475728E-2</v>
      </c>
      <c r="G28" s="31">
        <v>8884.5110000000004</v>
      </c>
      <c r="H28" s="31">
        <f t="shared" si="1"/>
        <v>464.48899999999958</v>
      </c>
      <c r="I28" s="32">
        <f t="shared" si="2"/>
        <v>5.2280761428513012E-2</v>
      </c>
      <c r="J28" s="112"/>
      <c r="K28" s="112"/>
    </row>
    <row r="29" spans="1:17" ht="15.6">
      <c r="A29" s="41" t="str">
        <v>Commerce City - Central ES</v>
      </c>
      <c r="B29" s="42" t="str">
        <v>CO</v>
      </c>
      <c r="C29" s="35">
        <v>2418.6</v>
      </c>
      <c r="D29" s="36">
        <v>2496.8470000000002</v>
      </c>
      <c r="E29" s="36">
        <f t="shared" si="0"/>
        <v>-78.247000000000298</v>
      </c>
      <c r="F29" s="37">
        <f t="shared" si="3"/>
        <v>-3.1338323894095348E-2</v>
      </c>
      <c r="G29" s="38">
        <v>2528.56</v>
      </c>
      <c r="H29" s="38">
        <f t="shared" si="1"/>
        <v>-109.96000000000004</v>
      </c>
      <c r="I29" s="37">
        <f t="shared" si="2"/>
        <v>-4.3487202202043863E-2</v>
      </c>
      <c r="J29" s="121"/>
      <c r="K29" s="121"/>
    </row>
    <row r="30" spans="1:17" ht="15.6">
      <c r="A30" s="43" t="str">
        <v>Commerce City - Dupont ES</v>
      </c>
      <c r="B30" s="40" t="str">
        <v>CO</v>
      </c>
      <c r="C30" s="28">
        <v>7310</v>
      </c>
      <c r="D30" s="29">
        <v>6849.4110000000001</v>
      </c>
      <c r="E30" s="29">
        <f t="shared" si="0"/>
        <v>460.58899999999994</v>
      </c>
      <c r="F30" s="30">
        <f t="shared" si="3"/>
        <v>6.724505216579936E-2</v>
      </c>
      <c r="G30" s="31">
        <v>7042.3270000000002</v>
      </c>
      <c r="H30" s="31">
        <f t="shared" si="1"/>
        <v>267.67299999999977</v>
      </c>
      <c r="I30" s="32">
        <f t="shared" si="2"/>
        <v>3.8009169412326321E-2</v>
      </c>
      <c r="J30" s="112"/>
      <c r="K30" s="112"/>
    </row>
    <row r="31" spans="1:17" ht="15.6">
      <c r="A31" s="41" t="str">
        <v>Commerce City - Educational Support Services</v>
      </c>
      <c r="B31" s="42" t="str">
        <v>CO</v>
      </c>
      <c r="C31" s="35">
        <v>0</v>
      </c>
      <c r="D31" s="36">
        <v>7561.4089999999997</v>
      </c>
      <c r="E31" s="36">
        <f t="shared" si="0"/>
        <v>-7561.4089999999997</v>
      </c>
      <c r="F31" s="37">
        <f t="shared" si="3"/>
        <v>-1</v>
      </c>
      <c r="G31" s="38">
        <v>7688.9650000000001</v>
      </c>
      <c r="H31" s="38">
        <f t="shared" si="1"/>
        <v>-7688.9650000000001</v>
      </c>
      <c r="I31" s="37">
        <f t="shared" si="2"/>
        <v>-1</v>
      </c>
      <c r="J31" s="121" t="s">
        <v>516</v>
      </c>
      <c r="K31" s="75" t="s">
        <v>517</v>
      </c>
      <c r="L31" s="109" t="s">
        <v>743</v>
      </c>
    </row>
    <row r="32" spans="1:17" ht="15.6">
      <c r="A32" s="43" t="str">
        <v>Commerce City - Hanson ES</v>
      </c>
      <c r="B32" s="40" t="str">
        <v>CO</v>
      </c>
      <c r="C32" s="28">
        <v>10151</v>
      </c>
      <c r="D32" s="29">
        <v>9860.5310000000009</v>
      </c>
      <c r="E32" s="29">
        <f t="shared" si="0"/>
        <v>290.46899999999914</v>
      </c>
      <c r="F32" s="30">
        <f t="shared" si="3"/>
        <v>2.9457744212760865E-2</v>
      </c>
      <c r="G32" s="31">
        <v>10060.69</v>
      </c>
      <c r="H32" s="31">
        <f t="shared" si="1"/>
        <v>90.309999999999491</v>
      </c>
      <c r="I32" s="32">
        <f t="shared" si="2"/>
        <v>8.9765214910706402E-3</v>
      </c>
      <c r="J32" s="112"/>
      <c r="K32" s="112"/>
    </row>
    <row r="33" spans="1:15" ht="39.6">
      <c r="A33" s="41" t="str">
        <v>Commerce City - Kemp ES</v>
      </c>
      <c r="B33" s="42" t="str">
        <v>CO</v>
      </c>
      <c r="C33" s="35">
        <v>9449</v>
      </c>
      <c r="D33" s="36">
        <v>9855.2710000000006</v>
      </c>
      <c r="E33" s="36">
        <f t="shared" si="0"/>
        <v>-406.27100000000064</v>
      </c>
      <c r="F33" s="37">
        <f t="shared" si="3"/>
        <v>-4.1223726876714058E-2</v>
      </c>
      <c r="G33" s="38">
        <v>10055.719999999999</v>
      </c>
      <c r="H33" s="38">
        <f t="shared" si="1"/>
        <v>-606.71999999999935</v>
      </c>
      <c r="I33" s="37">
        <f t="shared" si="2"/>
        <v>-6.0335808872959806E-2</v>
      </c>
      <c r="J33" s="121" t="s">
        <v>386</v>
      </c>
      <c r="K33" s="75" t="s">
        <v>387</v>
      </c>
      <c r="L33" s="109" t="s">
        <v>743</v>
      </c>
      <c r="M33" s="103" t="s">
        <v>388</v>
      </c>
    </row>
    <row r="34" spans="1:15" ht="15.6">
      <c r="A34" s="43" t="str">
        <v>Commerce City -  Lester Arnold HS</v>
      </c>
      <c r="B34" s="40" t="str">
        <v>CO</v>
      </c>
      <c r="C34" s="28">
        <v>9939</v>
      </c>
      <c r="D34" s="29">
        <v>9527.3070000000007</v>
      </c>
      <c r="E34" s="29">
        <f t="shared" si="0"/>
        <v>411.6929999999993</v>
      </c>
      <c r="F34" s="30">
        <f t="shared" si="3"/>
        <v>4.3211896079343226E-2</v>
      </c>
      <c r="G34" s="31">
        <v>9754.6569999999992</v>
      </c>
      <c r="H34" s="31">
        <f t="shared" si="1"/>
        <v>184.34300000000076</v>
      </c>
      <c r="I34" s="32">
        <f t="shared" si="2"/>
        <v>1.889794792374563E-2</v>
      </c>
      <c r="J34" s="112"/>
      <c r="K34" s="112"/>
    </row>
    <row r="35" spans="1:15" ht="15.6">
      <c r="A35" s="41" t="str">
        <v>Commerce City - Monaco ES</v>
      </c>
      <c r="B35" s="42" t="str">
        <v>CO</v>
      </c>
      <c r="C35" s="35">
        <v>10527</v>
      </c>
      <c r="D35" s="36">
        <v>9860.7330000000002</v>
      </c>
      <c r="E35" s="36">
        <f t="shared" si="0"/>
        <v>666.26699999999983</v>
      </c>
      <c r="F35" s="37">
        <f t="shared" si="3"/>
        <v>6.7567695018210083E-2</v>
      </c>
      <c r="G35" s="38">
        <v>10060.69</v>
      </c>
      <c r="H35" s="38">
        <f t="shared" si="1"/>
        <v>466.30999999999949</v>
      </c>
      <c r="I35" s="37">
        <f t="shared" si="2"/>
        <v>4.6349703648556853E-2</v>
      </c>
      <c r="J35" s="121"/>
      <c r="K35" s="121"/>
    </row>
    <row r="36" spans="1:15" ht="28.9">
      <c r="A36" s="43" t="str">
        <v>Denver - Northgate / Old Fort Logan ES</v>
      </c>
      <c r="B36" s="40" t="str">
        <v>CO</v>
      </c>
      <c r="C36" s="28">
        <v>10066</v>
      </c>
      <c r="D36" s="29">
        <v>8524.4570000000003</v>
      </c>
      <c r="E36" s="29">
        <f t="shared" si="0"/>
        <v>1541.5429999999997</v>
      </c>
      <c r="F36" s="30">
        <f t="shared" si="3"/>
        <v>0.1808376768162476</v>
      </c>
      <c r="G36" s="31">
        <v>9439.0650000000005</v>
      </c>
      <c r="H36" s="31">
        <f t="shared" si="1"/>
        <v>626.93499999999949</v>
      </c>
      <c r="I36" s="32">
        <f t="shared" si="2"/>
        <v>6.6419184527280975E-2</v>
      </c>
      <c r="J36" s="112" t="s">
        <v>744</v>
      </c>
      <c r="K36" s="112"/>
    </row>
    <row r="37" spans="1:15" ht="15.6">
      <c r="A37" s="41" t="str">
        <v>Denver - Sheridan High School</v>
      </c>
      <c r="B37" s="42" t="str">
        <v>CO</v>
      </c>
      <c r="C37" s="35">
        <v>11220</v>
      </c>
      <c r="D37" s="36">
        <v>9851.9459999999999</v>
      </c>
      <c r="E37" s="36">
        <f t="shared" si="0"/>
        <v>1368.0540000000001</v>
      </c>
      <c r="F37" s="37">
        <f t="shared" si="3"/>
        <v>0.13886129704730416</v>
      </c>
      <c r="G37" s="38">
        <v>9400.8119999999999</v>
      </c>
      <c r="H37" s="38">
        <f t="shared" si="1"/>
        <v>1819.1880000000001</v>
      </c>
      <c r="I37" s="37">
        <f t="shared" si="2"/>
        <v>0.19351392198886649</v>
      </c>
      <c r="J37" s="121"/>
      <c r="K37" s="121"/>
    </row>
    <row r="38" spans="1:15" ht="15.6">
      <c r="A38" s="43" t="str">
        <v>Englewood -  Alice Terry Elementary</v>
      </c>
      <c r="B38" s="40" t="str">
        <v>CO</v>
      </c>
      <c r="C38" s="28">
        <v>11325</v>
      </c>
      <c r="D38" s="29">
        <v>9852.5930000000008</v>
      </c>
      <c r="E38" s="29">
        <f t="shared" si="0"/>
        <v>1472.4069999999992</v>
      </c>
      <c r="F38" s="30">
        <f t="shared" si="3"/>
        <v>0.14944360332351078</v>
      </c>
      <c r="G38" s="31">
        <v>9439.0650000000005</v>
      </c>
      <c r="H38" s="31">
        <f t="shared" si="1"/>
        <v>1885.9349999999995</v>
      </c>
      <c r="I38" s="32">
        <f t="shared" si="2"/>
        <v>0.19980103961568221</v>
      </c>
      <c r="J38" s="112"/>
      <c r="K38" s="112"/>
    </row>
    <row r="39" spans="1:15" ht="26.45">
      <c r="A39" s="41" t="str">
        <v>Englewood - Sheridan Middle School</v>
      </c>
      <c r="B39" s="42" t="str">
        <v>CO</v>
      </c>
      <c r="C39" s="35">
        <v>4329</v>
      </c>
      <c r="D39" s="36">
        <v>5161.7489999999998</v>
      </c>
      <c r="E39" s="36">
        <f t="shared" si="0"/>
        <v>-832.7489999999998</v>
      </c>
      <c r="F39" s="37">
        <f t="shared" si="3"/>
        <v>-0.16133078148511287</v>
      </c>
      <c r="G39" s="38">
        <v>5528.8230000000003</v>
      </c>
      <c r="H39" s="38">
        <f t="shared" si="1"/>
        <v>-1199.8230000000003</v>
      </c>
      <c r="I39" s="37">
        <f t="shared" si="2"/>
        <v>-0.21701237315790364</v>
      </c>
      <c r="J39" s="121" t="s">
        <v>520</v>
      </c>
      <c r="K39" s="75" t="s">
        <v>521</v>
      </c>
      <c r="L39" s="109" t="s">
        <v>743</v>
      </c>
      <c r="M39" s="103" t="s">
        <v>522</v>
      </c>
    </row>
    <row r="40" spans="1:15" ht="43.15">
      <c r="A40" s="43" t="str">
        <v>Goshen - NIPSCO</v>
      </c>
      <c r="B40" s="40" t="str">
        <v>IN</v>
      </c>
      <c r="C40" s="28">
        <v>35723</v>
      </c>
      <c r="D40" s="29">
        <v>34904.03</v>
      </c>
      <c r="E40" s="29">
        <f t="shared" si="0"/>
        <v>818.97000000000116</v>
      </c>
      <c r="F40" s="30">
        <f t="shared" si="3"/>
        <v>2.3463479718531105E-2</v>
      </c>
      <c r="G40" s="31">
        <v>38078.199999999997</v>
      </c>
      <c r="H40" s="31">
        <f t="shared" si="1"/>
        <v>-2355.1999999999971</v>
      </c>
      <c r="I40" s="32">
        <f t="shared" si="2"/>
        <v>-6.1851663156346604E-2</v>
      </c>
      <c r="J40" s="112" t="s">
        <v>390</v>
      </c>
      <c r="K40" s="78" t="s">
        <v>190</v>
      </c>
      <c r="L40" s="109" t="s">
        <v>691</v>
      </c>
    </row>
    <row r="41" spans="1:15" ht="72">
      <c r="A41" s="41" t="str">
        <v>Alamogordo - City of Alamogordo - Effluent</v>
      </c>
      <c r="B41" s="42" t="str">
        <v>NM</v>
      </c>
      <c r="C41" s="35">
        <v>23568</v>
      </c>
      <c r="D41" s="36">
        <v>28036.240000000002</v>
      </c>
      <c r="E41" s="36">
        <f t="shared" si="0"/>
        <v>-4468.2400000000016</v>
      </c>
      <c r="F41" s="37">
        <f t="shared" si="3"/>
        <v>-0.15937372486467519</v>
      </c>
      <c r="G41" s="38">
        <v>23355.99</v>
      </c>
      <c r="H41" s="38">
        <f t="shared" si="1"/>
        <v>212.0099999999984</v>
      </c>
      <c r="I41" s="37">
        <f t="shared" si="2"/>
        <v>9.0773287709062372E-3</v>
      </c>
      <c r="J41" s="121" t="s">
        <v>643</v>
      </c>
      <c r="K41" s="75" t="s">
        <v>524</v>
      </c>
      <c r="L41" s="110" t="s">
        <v>745</v>
      </c>
      <c r="M41" s="103" t="s">
        <v>525</v>
      </c>
    </row>
    <row r="42" spans="1:15" ht="52.9">
      <c r="A42" s="43" t="str">
        <v>Alamogordo - City of Alamogordo - WWTP</v>
      </c>
      <c r="B42" s="40" t="str">
        <v>NM</v>
      </c>
      <c r="C42" s="28">
        <v>90070</v>
      </c>
      <c r="D42" s="29">
        <v>0</v>
      </c>
      <c r="E42" s="29">
        <f t="shared" si="0"/>
        <v>90070</v>
      </c>
      <c r="F42" s="30" t="str">
        <f t="shared" si="3"/>
        <v/>
      </c>
      <c r="G42" s="31">
        <v>99051.99</v>
      </c>
      <c r="H42" s="31">
        <f t="shared" si="1"/>
        <v>-8981.9900000000052</v>
      </c>
      <c r="I42" s="32">
        <f t="shared" si="2"/>
        <v>-9.0679551213458762E-2</v>
      </c>
      <c r="J42" s="112" t="s">
        <v>746</v>
      </c>
      <c r="K42" s="78" t="s">
        <v>747</v>
      </c>
      <c r="L42" s="110" t="s">
        <v>748</v>
      </c>
      <c r="M42" s="103" t="s">
        <v>273</v>
      </c>
      <c r="N42" s="103" t="s">
        <v>274</v>
      </c>
      <c r="O42" s="103" t="s">
        <v>749</v>
      </c>
    </row>
    <row r="43" spans="1:15" ht="28.9">
      <c r="A43" s="41" t="str">
        <v>Deming - Bilbo Booster</v>
      </c>
      <c r="B43" s="42" t="str">
        <v>NM</v>
      </c>
      <c r="C43" s="35">
        <v>12172</v>
      </c>
      <c r="D43" s="36">
        <v>0</v>
      </c>
      <c r="E43" s="36">
        <f t="shared" si="0"/>
        <v>12172</v>
      </c>
      <c r="F43" s="37" t="str">
        <f t="shared" si="3"/>
        <v/>
      </c>
      <c r="G43" s="38">
        <v>9360.6550000000007</v>
      </c>
      <c r="H43" s="38">
        <f t="shared" si="1"/>
        <v>2811.3449999999993</v>
      </c>
      <c r="I43" s="37">
        <f t="shared" si="2"/>
        <v>0.30033635466748848</v>
      </c>
      <c r="J43" s="121" t="s">
        <v>527</v>
      </c>
      <c r="K43" s="75" t="s">
        <v>528</v>
      </c>
      <c r="L43" s="109" t="s">
        <v>691</v>
      </c>
    </row>
    <row r="44" spans="1:15" ht="28.9">
      <c r="A44" s="43" t="str">
        <v>Deming - Bilbo Well</v>
      </c>
      <c r="B44" s="40" t="str">
        <v>NM</v>
      </c>
      <c r="C44" s="28">
        <v>21935.999999999902</v>
      </c>
      <c r="D44" s="29">
        <v>0</v>
      </c>
      <c r="E44" s="29">
        <f t="shared" si="0"/>
        <v>21935.999999999902</v>
      </c>
      <c r="F44" s="30" t="str">
        <f t="shared" si="3"/>
        <v/>
      </c>
      <c r="G44" s="31">
        <v>16921.759999999998</v>
      </c>
      <c r="H44" s="31">
        <f t="shared" si="1"/>
        <v>5014.2399999999034</v>
      </c>
      <c r="I44" s="32">
        <f t="shared" si="2"/>
        <v>0.29631905901040456</v>
      </c>
      <c r="J44" s="112" t="s">
        <v>277</v>
      </c>
      <c r="K44" s="78" t="s">
        <v>278</v>
      </c>
      <c r="L44" s="110" t="s">
        <v>750</v>
      </c>
    </row>
    <row r="45" spans="1:15" ht="66">
      <c r="A45" s="41" t="str">
        <v>Deming - WWTP</v>
      </c>
      <c r="B45" s="42" t="str">
        <v>NM</v>
      </c>
      <c r="C45" s="35">
        <v>35160</v>
      </c>
      <c r="D45" s="36">
        <v>72092.28</v>
      </c>
      <c r="E45" s="36">
        <f t="shared" si="0"/>
        <v>-36932.28</v>
      </c>
      <c r="F45" s="37">
        <f t="shared" si="3"/>
        <v>-0.5122917460787757</v>
      </c>
      <c r="G45" s="38">
        <v>81586.7</v>
      </c>
      <c r="H45" s="38">
        <f t="shared" si="1"/>
        <v>-46426.7</v>
      </c>
      <c r="I45" s="37">
        <f t="shared" si="2"/>
        <v>-0.56904740601102877</v>
      </c>
      <c r="J45" s="121" t="s">
        <v>751</v>
      </c>
      <c r="K45" s="75" t="s">
        <v>752</v>
      </c>
      <c r="L45" s="110" t="s">
        <v>753</v>
      </c>
      <c r="M45" s="103" t="s">
        <v>399</v>
      </c>
      <c r="N45" s="103" t="s">
        <v>645</v>
      </c>
      <c r="O45" s="103" t="s">
        <v>754</v>
      </c>
    </row>
    <row r="46" spans="1:15" ht="43.15">
      <c r="A46" s="43" t="str">
        <v>Truth or Consequences - Walmart</v>
      </c>
      <c r="B46" s="40" t="str">
        <v>NM</v>
      </c>
      <c r="C46" s="28">
        <v>126300</v>
      </c>
      <c r="D46" s="29">
        <v>295232.59999999998</v>
      </c>
      <c r="E46" s="29">
        <f t="shared" si="0"/>
        <v>-168932.59999999998</v>
      </c>
      <c r="F46" s="30">
        <f t="shared" si="3"/>
        <v>-0.57220171485127314</v>
      </c>
      <c r="G46" s="31">
        <v>138441.79999999999</v>
      </c>
      <c r="H46" s="31">
        <f t="shared" si="1"/>
        <v>-12141.799999999988</v>
      </c>
      <c r="I46" s="32">
        <f t="shared" si="2"/>
        <v>-8.7703280367634556E-2</v>
      </c>
      <c r="J46" s="112" t="s">
        <v>646</v>
      </c>
      <c r="K46" s="78" t="s">
        <v>647</v>
      </c>
      <c r="L46" s="110" t="s">
        <v>755</v>
      </c>
      <c r="M46" s="103" t="s">
        <v>532</v>
      </c>
      <c r="N46" s="103" t="s">
        <v>533</v>
      </c>
    </row>
    <row r="47" spans="1:15" ht="43.15">
      <c r="A47" s="41" t="str">
        <v>CA: Stockton - SUSD - Merlo</v>
      </c>
      <c r="B47" s="42" t="str">
        <v>CA</v>
      </c>
      <c r="C47" s="35">
        <v>0</v>
      </c>
      <c r="D47" s="36">
        <v>8885.8960000000006</v>
      </c>
      <c r="E47" s="36">
        <f t="shared" si="0"/>
        <v>-8885.8960000000006</v>
      </c>
      <c r="F47" s="37">
        <f t="shared" si="3"/>
        <v>-1</v>
      </c>
      <c r="G47" s="38">
        <v>11085.42</v>
      </c>
      <c r="H47" s="38">
        <f t="shared" si="1"/>
        <v>-11085.42</v>
      </c>
      <c r="I47" s="37">
        <f t="shared" si="2"/>
        <v>-1</v>
      </c>
      <c r="J47" s="121" t="s">
        <v>648</v>
      </c>
      <c r="K47" s="75" t="s">
        <v>756</v>
      </c>
      <c r="L47" s="109" t="s">
        <v>711</v>
      </c>
      <c r="M47" s="103" t="s">
        <v>757</v>
      </c>
      <c r="N47" s="103" t="s">
        <v>536</v>
      </c>
    </row>
    <row r="48" spans="1:15" ht="86.45">
      <c r="A48" s="43" t="str">
        <v>Stockton Unified School Dist. - Bush Elementary</v>
      </c>
      <c r="B48" s="40" t="str">
        <v>CA</v>
      </c>
      <c r="C48" s="28">
        <v>15877.5</v>
      </c>
      <c r="D48" s="29">
        <v>20691.12</v>
      </c>
      <c r="E48" s="29">
        <f t="shared" si="0"/>
        <v>-4813.619999999999</v>
      </c>
      <c r="F48" s="30">
        <f t="shared" si="3"/>
        <v>-0.23264182895850971</v>
      </c>
      <c r="G48" s="31">
        <v>21267.8</v>
      </c>
      <c r="H48" s="31">
        <f t="shared" si="1"/>
        <v>-5390.2999999999993</v>
      </c>
      <c r="I48" s="32">
        <f t="shared" si="2"/>
        <v>-0.25344887576524133</v>
      </c>
      <c r="J48" s="112" t="s">
        <v>758</v>
      </c>
      <c r="K48" s="78" t="s">
        <v>759</v>
      </c>
      <c r="L48" s="110" t="s">
        <v>760</v>
      </c>
      <c r="M48" s="103" t="s">
        <v>761</v>
      </c>
      <c r="N48" s="103" t="s">
        <v>762</v>
      </c>
    </row>
    <row r="49" spans="1:19" ht="28.9">
      <c r="A49" s="41" t="str">
        <v>CA: Stockton - SUSD - Marshall JHS</v>
      </c>
      <c r="B49" s="42" t="str">
        <v>CA</v>
      </c>
      <c r="C49" s="35">
        <v>2336.375</v>
      </c>
      <c r="D49" s="36">
        <v>12671.21</v>
      </c>
      <c r="E49" s="36">
        <f t="shared" si="0"/>
        <v>-10334.834999999999</v>
      </c>
      <c r="F49" s="37">
        <f t="shared" si="3"/>
        <v>-0.81561547792199796</v>
      </c>
      <c r="G49" s="38">
        <v>13854.54</v>
      </c>
      <c r="H49" s="38">
        <f t="shared" si="1"/>
        <v>-11518.165000000001</v>
      </c>
      <c r="I49" s="37">
        <f t="shared" si="2"/>
        <v>-0.83136394279420323</v>
      </c>
      <c r="J49" s="121" t="s">
        <v>289</v>
      </c>
      <c r="K49" s="75" t="s">
        <v>290</v>
      </c>
      <c r="L49" s="109" t="s">
        <v>763</v>
      </c>
    </row>
    <row r="50" spans="1:19" ht="28.9">
      <c r="A50" s="43" t="str">
        <v>CA: Stockton - SUSD - Hong-Kingston ES</v>
      </c>
      <c r="B50" s="40" t="str">
        <v>CA</v>
      </c>
      <c r="C50" s="28">
        <v>2877.5</v>
      </c>
      <c r="D50" s="29">
        <v>21841.24</v>
      </c>
      <c r="E50" s="29">
        <f t="shared" si="0"/>
        <v>-18963.740000000002</v>
      </c>
      <c r="F50" s="30">
        <f t="shared" si="3"/>
        <v>-0.86825381709097105</v>
      </c>
      <c r="G50" s="31">
        <v>22726.880000000001</v>
      </c>
      <c r="H50" s="31">
        <f t="shared" si="1"/>
        <v>-19849.38</v>
      </c>
      <c r="I50" s="32">
        <f t="shared" si="2"/>
        <v>-0.87338781214139383</v>
      </c>
      <c r="J50" s="112" t="s">
        <v>291</v>
      </c>
      <c r="K50" s="78" t="s">
        <v>764</v>
      </c>
      <c r="L50" s="109" t="s">
        <v>743</v>
      </c>
      <c r="M50" s="103" t="s">
        <v>765</v>
      </c>
    </row>
    <row r="51" spans="1:19" ht="15.6">
      <c r="A51" s="41" t="str">
        <v>CA: Stockton - SUSD - Hamilton ES</v>
      </c>
      <c r="B51" s="42" t="str">
        <v>CA</v>
      </c>
      <c r="C51" s="35">
        <v>3766.25</v>
      </c>
      <c r="D51" s="36">
        <v>11204.07</v>
      </c>
      <c r="E51" s="36">
        <f t="shared" si="0"/>
        <v>-7437.82</v>
      </c>
      <c r="F51" s="37">
        <f t="shared" si="3"/>
        <v>-0.66384983314099255</v>
      </c>
      <c r="G51" s="38">
        <v>12208.34</v>
      </c>
      <c r="H51" s="38">
        <f t="shared" si="1"/>
        <v>-8442.09</v>
      </c>
      <c r="I51" s="37">
        <f t="shared" si="2"/>
        <v>-0.69150187494778159</v>
      </c>
      <c r="J51" s="121" t="s">
        <v>541</v>
      </c>
      <c r="K51" s="75" t="s">
        <v>294</v>
      </c>
      <c r="L51" s="109" t="s">
        <v>763</v>
      </c>
    </row>
    <row r="52" spans="1:19" ht="86.45">
      <c r="A52" s="43" t="str">
        <v>CA: Stockton - SUSD - Franklin - North</v>
      </c>
      <c r="B52" s="40" t="str">
        <v>CA</v>
      </c>
      <c r="C52" s="28">
        <v>16376.9999999991</v>
      </c>
      <c r="D52" s="29">
        <v>54420.45</v>
      </c>
      <c r="E52" s="29">
        <f t="shared" si="0"/>
        <v>-38043.450000000899</v>
      </c>
      <c r="F52" s="30">
        <f t="shared" si="3"/>
        <v>-0.69906533297686624</v>
      </c>
      <c r="G52" s="31">
        <v>32239.52</v>
      </c>
      <c r="H52" s="31">
        <f t="shared" si="1"/>
        <v>-15862.520000000901</v>
      </c>
      <c r="I52" s="32">
        <f t="shared" si="2"/>
        <v>-0.49202097301699593</v>
      </c>
      <c r="J52" s="112" t="s">
        <v>543</v>
      </c>
      <c r="K52" s="78" t="s">
        <v>544</v>
      </c>
      <c r="L52" s="110" t="s">
        <v>766</v>
      </c>
      <c r="M52" s="103" t="s">
        <v>298</v>
      </c>
      <c r="N52" s="103" t="s">
        <v>317</v>
      </c>
      <c r="O52" s="103" t="s">
        <v>545</v>
      </c>
    </row>
    <row r="53" spans="1:19" ht="15.6">
      <c r="A53" s="41" t="str">
        <v>Stockton Unified School Dist. - Fillmore Elementary</v>
      </c>
      <c r="B53" s="42" t="str">
        <v>CA</v>
      </c>
      <c r="C53" s="35">
        <v>2871.375</v>
      </c>
      <c r="D53" s="36">
        <v>9574.0429999999997</v>
      </c>
      <c r="E53" s="36">
        <f t="shared" si="0"/>
        <v>-6702.6679999999997</v>
      </c>
      <c r="F53" s="37">
        <f t="shared" si="3"/>
        <v>-0.70008751788559964</v>
      </c>
      <c r="G53" s="38">
        <v>10222.56</v>
      </c>
      <c r="H53" s="38">
        <f t="shared" si="1"/>
        <v>-7351.1849999999995</v>
      </c>
      <c r="I53" s="37">
        <f t="shared" si="2"/>
        <v>-0.71911390101892281</v>
      </c>
      <c r="J53" s="121" t="s">
        <v>410</v>
      </c>
      <c r="K53" s="75" t="s">
        <v>546</v>
      </c>
      <c r="L53" s="109" t="s">
        <v>763</v>
      </c>
    </row>
    <row r="54" spans="1:19" ht="28.9">
      <c r="A54" s="43" t="str">
        <v>CA: Stockton - SUSD - El Dorado ES</v>
      </c>
      <c r="B54" s="40" t="str">
        <v>CA</v>
      </c>
      <c r="C54" s="28">
        <v>3306</v>
      </c>
      <c r="D54" s="29">
        <v>11936.56</v>
      </c>
      <c r="E54" s="29">
        <f t="shared" si="0"/>
        <v>-8630.56</v>
      </c>
      <c r="F54" s="30">
        <f t="shared" si="3"/>
        <v>-0.72303578250350187</v>
      </c>
      <c r="G54" s="31">
        <v>0</v>
      </c>
      <c r="H54" s="31">
        <f t="shared" si="1"/>
        <v>3306</v>
      </c>
      <c r="I54" s="32" t="str">
        <f t="shared" si="2"/>
        <v/>
      </c>
      <c r="J54" s="112" t="s">
        <v>411</v>
      </c>
      <c r="K54" s="78" t="s">
        <v>302</v>
      </c>
      <c r="L54" s="109" t="s">
        <v>763</v>
      </c>
    </row>
    <row r="55" spans="1:19" ht="115.15">
      <c r="A55" s="41" t="str">
        <v>CA: Stockton - SUSD - Edison HS</v>
      </c>
      <c r="B55" s="42" t="str">
        <v>CA</v>
      </c>
      <c r="C55" s="35">
        <v>20615</v>
      </c>
      <c r="D55" s="36">
        <v>29666.78</v>
      </c>
      <c r="E55" s="36">
        <f t="shared" si="0"/>
        <v>-9051.7799999999988</v>
      </c>
      <c r="F55" s="37">
        <f t="shared" si="3"/>
        <v>-0.30511501416736159</v>
      </c>
      <c r="G55" s="38">
        <v>34056.26</v>
      </c>
      <c r="H55" s="38">
        <f t="shared" si="1"/>
        <v>-13441.260000000002</v>
      </c>
      <c r="I55" s="37">
        <f t="shared" si="2"/>
        <v>-0.39467810029639194</v>
      </c>
      <c r="J55" s="121" t="s">
        <v>767</v>
      </c>
      <c r="K55" s="75" t="s">
        <v>768</v>
      </c>
      <c r="L55" s="110" t="s">
        <v>769</v>
      </c>
      <c r="M55" s="103" t="s">
        <v>654</v>
      </c>
      <c r="N55" s="103" t="s">
        <v>654</v>
      </c>
      <c r="O55" s="103" t="s">
        <v>770</v>
      </c>
      <c r="P55" s="103" t="s">
        <v>771</v>
      </c>
      <c r="Q55" s="103" t="s">
        <v>772</v>
      </c>
      <c r="R55" s="103" t="s">
        <v>771</v>
      </c>
      <c r="S55" s="103" t="s">
        <v>771</v>
      </c>
    </row>
    <row r="56" spans="1:19" ht="115.15">
      <c r="A56" s="43" t="str">
        <v>CA: Stockton - SUSD - Chavez HS - Large</v>
      </c>
      <c r="B56" s="40" t="str">
        <v>CA</v>
      </c>
      <c r="C56" s="28">
        <v>22326</v>
      </c>
      <c r="D56" s="29">
        <v>74657.62</v>
      </c>
      <c r="E56" s="29">
        <f t="shared" si="0"/>
        <v>-52331.619999999995</v>
      </c>
      <c r="F56" s="30">
        <f t="shared" si="3"/>
        <v>-0.70095483890324928</v>
      </c>
      <c r="G56" s="31">
        <v>69575.91</v>
      </c>
      <c r="H56" s="31">
        <f t="shared" si="1"/>
        <v>-47249.91</v>
      </c>
      <c r="I56" s="32">
        <f t="shared" si="2"/>
        <v>-0.67911307232632678</v>
      </c>
      <c r="J56" s="112" t="s">
        <v>773</v>
      </c>
      <c r="K56" s="78" t="s">
        <v>774</v>
      </c>
      <c r="L56" s="110" t="s">
        <v>775</v>
      </c>
      <c r="M56" s="103" t="s">
        <v>776</v>
      </c>
      <c r="N56" s="103" t="s">
        <v>777</v>
      </c>
    </row>
    <row r="57" spans="1:19" ht="32.65" customHeight="1">
      <c r="A57" s="41" t="str">
        <v>CA: San Jose - GE Mobile Water</v>
      </c>
      <c r="B57" s="42" t="str">
        <v>CA</v>
      </c>
      <c r="C57" s="35">
        <v>19410</v>
      </c>
      <c r="D57" s="36">
        <v>20633.2</v>
      </c>
      <c r="E57" s="36">
        <f t="shared" si="0"/>
        <v>-1223.2000000000007</v>
      </c>
      <c r="F57" s="37">
        <f t="shared" si="3"/>
        <v>-5.9283097144408076E-2</v>
      </c>
      <c r="G57" s="38">
        <v>20411.77</v>
      </c>
      <c r="H57" s="38">
        <f t="shared" si="1"/>
        <v>-1001.7700000000004</v>
      </c>
      <c r="I57" s="37">
        <f t="shared" si="2"/>
        <v>-4.9078056435086247E-2</v>
      </c>
      <c r="J57" s="121" t="s">
        <v>778</v>
      </c>
      <c r="K57" s="75" t="s">
        <v>310</v>
      </c>
      <c r="L57" s="109" t="s">
        <v>763</v>
      </c>
    </row>
    <row r="58" spans="1:19" ht="15.6">
      <c r="A58" s="43" t="str">
        <v>CA: San Marcos - Vallecitos Water - Lift Station</v>
      </c>
      <c r="B58" s="40" t="str">
        <v>CA</v>
      </c>
      <c r="C58" s="28">
        <v>28211.125</v>
      </c>
      <c r="D58" s="29">
        <v>30183.1</v>
      </c>
      <c r="E58" s="29">
        <f t="shared" si="0"/>
        <v>-1971.9749999999985</v>
      </c>
      <c r="F58" s="30">
        <f t="shared" si="3"/>
        <v>-6.5333746368000586E-2</v>
      </c>
      <c r="G58" s="31">
        <v>27776.09</v>
      </c>
      <c r="H58" s="31">
        <f t="shared" si="1"/>
        <v>435.03499999999985</v>
      </c>
      <c r="I58" s="32">
        <f t="shared" si="2"/>
        <v>1.5662211635978997E-2</v>
      </c>
      <c r="J58" s="112" t="s">
        <v>779</v>
      </c>
      <c r="K58" s="78" t="s">
        <v>780</v>
      </c>
      <c r="L58" s="109" t="s">
        <v>711</v>
      </c>
    </row>
    <row r="59" spans="1:19" ht="30" customHeight="1">
      <c r="A59" s="41" t="str">
        <v>CA: San Marcos - Vallecitos Water - Twin Oaks Reservoir</v>
      </c>
      <c r="B59" s="42" t="str">
        <v>CA</v>
      </c>
      <c r="C59" s="35">
        <v>244186</v>
      </c>
      <c r="D59" s="36">
        <v>307726.8</v>
      </c>
      <c r="E59" s="36">
        <f t="shared" si="0"/>
        <v>-63540.799999999988</v>
      </c>
      <c r="F59" s="37">
        <f t="shared" si="3"/>
        <v>-0.20648445309280827</v>
      </c>
      <c r="G59" s="38">
        <v>196686</v>
      </c>
      <c r="H59" s="38">
        <f t="shared" si="1"/>
        <v>47500</v>
      </c>
      <c r="I59" s="37">
        <f t="shared" si="2"/>
        <v>0.24150168288541127</v>
      </c>
      <c r="J59" s="121" t="s">
        <v>781</v>
      </c>
      <c r="K59" s="75" t="s">
        <v>782</v>
      </c>
      <c r="L59" s="109" t="s">
        <v>691</v>
      </c>
      <c r="M59" s="103" t="s">
        <v>783</v>
      </c>
    </row>
    <row r="60" spans="1:19" ht="28.9">
      <c r="A60" s="43" t="str">
        <v>CA: Stockton - SUSD - Wilhelmina Henry ES</v>
      </c>
      <c r="B60" s="40" t="str">
        <v>CA</v>
      </c>
      <c r="C60" s="28">
        <v>5084.75</v>
      </c>
      <c r="D60" s="29">
        <v>28466.42</v>
      </c>
      <c r="E60" s="29">
        <f t="shared" si="0"/>
        <v>-23381.67</v>
      </c>
      <c r="F60" s="30">
        <f t="shared" si="3"/>
        <v>-0.82137725783572357</v>
      </c>
      <c r="G60" s="31">
        <v>22527.49</v>
      </c>
      <c r="H60" s="31">
        <f t="shared" si="1"/>
        <v>-17442.740000000002</v>
      </c>
      <c r="I60" s="32">
        <f t="shared" si="2"/>
        <v>-0.77428688238236931</v>
      </c>
      <c r="J60" s="112" t="s">
        <v>784</v>
      </c>
      <c r="K60" s="78" t="s">
        <v>314</v>
      </c>
      <c r="L60" s="109" t="s">
        <v>763</v>
      </c>
    </row>
    <row r="61" spans="1:19" ht="86.45">
      <c r="A61" s="41" t="str">
        <v>Stockton Unified School Dist. - Franklin (North)</v>
      </c>
      <c r="B61" s="42" t="str">
        <v>CA</v>
      </c>
      <c r="C61" s="35">
        <v>16377</v>
      </c>
      <c r="D61" s="36">
        <v>54420.45</v>
      </c>
      <c r="E61" s="36">
        <f t="shared" si="0"/>
        <v>-38043.449999999997</v>
      </c>
      <c r="F61" s="37">
        <f t="shared" si="3"/>
        <v>-0.6990653329768497</v>
      </c>
      <c r="G61" s="38">
        <v>32239.52</v>
      </c>
      <c r="H61" s="38">
        <f t="shared" si="1"/>
        <v>-15862.52</v>
      </c>
      <c r="I61" s="37">
        <f t="shared" si="2"/>
        <v>-0.49202097301696801</v>
      </c>
      <c r="J61" s="121" t="s">
        <v>785</v>
      </c>
      <c r="K61" s="75" t="s">
        <v>786</v>
      </c>
      <c r="L61" s="110" t="s">
        <v>787</v>
      </c>
      <c r="M61" s="103" t="s">
        <v>788</v>
      </c>
      <c r="N61" s="103" t="s">
        <v>298</v>
      </c>
      <c r="O61" s="103" t="s">
        <v>317</v>
      </c>
      <c r="P61" s="103" t="s">
        <v>545</v>
      </c>
    </row>
    <row r="62" spans="1:19" ht="100.9">
      <c r="A62" s="43" t="str">
        <v>CA: Stockton - SUSD - Franklin - South</v>
      </c>
      <c r="B62" s="40" t="str">
        <v>CA</v>
      </c>
      <c r="C62" s="28">
        <v>22759.5</v>
      </c>
      <c r="D62" s="29">
        <v>50060.06</v>
      </c>
      <c r="E62" s="29">
        <f t="shared" si="0"/>
        <v>-27300.559999999998</v>
      </c>
      <c r="F62" s="30">
        <f t="shared" si="3"/>
        <v>-0.54535611823078112</v>
      </c>
      <c r="G62" s="31">
        <v>52596.34</v>
      </c>
      <c r="H62" s="31">
        <f t="shared" si="1"/>
        <v>-29836.839999999997</v>
      </c>
      <c r="I62" s="32">
        <f t="shared" si="2"/>
        <v>-0.56727977650155881</v>
      </c>
      <c r="J62" s="112" t="s">
        <v>789</v>
      </c>
      <c r="K62" s="78" t="s">
        <v>790</v>
      </c>
      <c r="L62" s="110" t="s">
        <v>791</v>
      </c>
      <c r="M62" s="103" t="s">
        <v>424</v>
      </c>
      <c r="N62" s="103" t="s">
        <v>792</v>
      </c>
      <c r="O62" s="103" t="s">
        <v>793</v>
      </c>
    </row>
    <row r="63" spans="1:19" ht="28.9">
      <c r="A63" s="41" t="str">
        <v>CA: Stockton - SUSD - Chavez HS - Small</v>
      </c>
      <c r="B63" s="42" t="str">
        <v>CA</v>
      </c>
      <c r="C63" s="35">
        <v>16064.5</v>
      </c>
      <c r="D63" s="36">
        <v>15516.81</v>
      </c>
      <c r="E63" s="36">
        <f t="shared" si="0"/>
        <v>547.69000000000051</v>
      </c>
      <c r="F63" s="37">
        <f t="shared" si="3"/>
        <v>3.5296559022118625E-2</v>
      </c>
      <c r="G63" s="38">
        <v>19632.71</v>
      </c>
      <c r="H63" s="38">
        <f t="shared" si="1"/>
        <v>-3568.2099999999991</v>
      </c>
      <c r="I63" s="37">
        <f t="shared" si="2"/>
        <v>-0.1817482150961329</v>
      </c>
      <c r="J63" s="121" t="s">
        <v>794</v>
      </c>
      <c r="K63" s="75" t="s">
        <v>322</v>
      </c>
      <c r="L63" s="110" t="s">
        <v>763</v>
      </c>
    </row>
    <row r="64" spans="1:19" ht="28.9">
      <c r="A64" s="43" t="str">
        <v>CA: Stockton - SUSD - Facilities</v>
      </c>
      <c r="B64" s="40" t="str">
        <v>CA</v>
      </c>
      <c r="C64" s="28">
        <v>11497</v>
      </c>
      <c r="D64" s="29">
        <v>28760.41</v>
      </c>
      <c r="E64" s="29">
        <f t="shared" si="0"/>
        <v>-17263.41</v>
      </c>
      <c r="F64" s="30">
        <f t="shared" si="3"/>
        <v>-0.600249092415581</v>
      </c>
      <c r="G64" s="31">
        <v>34187.79</v>
      </c>
      <c r="H64" s="31">
        <f t="shared" si="1"/>
        <v>-22690.79</v>
      </c>
      <c r="I64" s="32">
        <f t="shared" si="2"/>
        <v>-0.66371034805116091</v>
      </c>
      <c r="J64" s="112" t="s">
        <v>561</v>
      </c>
      <c r="K64" s="78" t="s">
        <v>324</v>
      </c>
      <c r="L64" s="109" t="s">
        <v>795</v>
      </c>
    </row>
    <row r="65" spans="1:15" ht="43.15">
      <c r="A65" s="41" t="str">
        <v>CA: Stockton - SUSD - Harrison</v>
      </c>
      <c r="B65" s="42" t="str">
        <v>CA</v>
      </c>
      <c r="C65" s="35">
        <v>8831.75</v>
      </c>
      <c r="D65" s="36">
        <v>11287.92</v>
      </c>
      <c r="E65" s="36">
        <f t="shared" si="0"/>
        <v>-2456.17</v>
      </c>
      <c r="F65" s="37">
        <f t="shared" si="3"/>
        <v>-0.21759278945988278</v>
      </c>
      <c r="G65" s="38">
        <v>12080.82</v>
      </c>
      <c r="H65" s="38">
        <f t="shared" si="1"/>
        <v>-3249.0699999999997</v>
      </c>
      <c r="I65" s="37">
        <f t="shared" si="2"/>
        <v>-0.26894449217851102</v>
      </c>
      <c r="J65" s="121" t="s">
        <v>796</v>
      </c>
      <c r="K65" s="75" t="s">
        <v>564</v>
      </c>
      <c r="L65" s="109" t="s">
        <v>711</v>
      </c>
    </row>
    <row r="66" spans="1:15" ht="28.9">
      <c r="A66" s="43" t="str">
        <v>CA: Stockton - SUSD - Commodore Skills School</v>
      </c>
      <c r="B66" s="40" t="str">
        <v>CA</v>
      </c>
      <c r="C66" s="28">
        <v>7075</v>
      </c>
      <c r="D66" s="29">
        <v>24426.400000000001</v>
      </c>
      <c r="E66" s="29">
        <f t="shared" si="0"/>
        <v>-17351.400000000001</v>
      </c>
      <c r="F66" s="30">
        <f t="shared" si="3"/>
        <v>-0.71035437068090268</v>
      </c>
      <c r="G66" s="31">
        <v>26986.03</v>
      </c>
      <c r="H66" s="31">
        <f t="shared" si="1"/>
        <v>-19911.03</v>
      </c>
      <c r="I66" s="32">
        <f t="shared" si="2"/>
        <v>-0.73782731287262338</v>
      </c>
      <c r="J66" s="112" t="s">
        <v>797</v>
      </c>
      <c r="K66" s="78" t="s">
        <v>663</v>
      </c>
      <c r="L66" s="110" t="s">
        <v>745</v>
      </c>
      <c r="M66" s="103" t="s">
        <v>664</v>
      </c>
      <c r="N66" s="103" t="s">
        <v>665</v>
      </c>
    </row>
    <row r="67" spans="1:15" ht="15.6">
      <c r="A67" s="41" t="str">
        <v>CA: Stockton - SUSD - Nightingale ES</v>
      </c>
      <c r="B67" s="42" t="str">
        <v>CA</v>
      </c>
      <c r="C67" s="35">
        <v>11720</v>
      </c>
      <c r="D67" s="36">
        <v>12108.65</v>
      </c>
      <c r="E67" s="36">
        <f t="shared" si="0"/>
        <v>-388.64999999999964</v>
      </c>
      <c r="F67" s="37">
        <f t="shared" si="3"/>
        <v>-3.2096889413766164E-2</v>
      </c>
      <c r="G67" s="38">
        <v>12507.14</v>
      </c>
      <c r="H67" s="38">
        <f t="shared" si="1"/>
        <v>-787.13999999999942</v>
      </c>
      <c r="I67" s="37">
        <f t="shared" si="2"/>
        <v>-6.2935251384409183E-2</v>
      </c>
      <c r="J67" s="121" t="s">
        <v>798</v>
      </c>
      <c r="K67" s="75" t="s">
        <v>431</v>
      </c>
      <c r="L67" s="109" t="s">
        <v>743</v>
      </c>
    </row>
    <row r="68" spans="1:15" ht="57.6">
      <c r="A68" s="43" t="str">
        <v>CA: Stockton - SUSD - Weber Institute</v>
      </c>
      <c r="B68" s="40" t="str">
        <v>CA</v>
      </c>
      <c r="C68" s="28">
        <v>5443.5</v>
      </c>
      <c r="D68" s="29">
        <v>46280.34</v>
      </c>
      <c r="E68" s="29">
        <f t="shared" si="0"/>
        <v>-40836.839999999997</v>
      </c>
      <c r="F68" s="30">
        <f t="shared" si="3"/>
        <v>-0.88237986151354986</v>
      </c>
      <c r="G68" s="31">
        <v>26112.99</v>
      </c>
      <c r="H68" s="31">
        <f t="shared" si="1"/>
        <v>-20669.490000000002</v>
      </c>
      <c r="I68" s="32">
        <f t="shared" si="2"/>
        <v>-0.79154053212596487</v>
      </c>
      <c r="J68" s="112" t="s">
        <v>799</v>
      </c>
      <c r="K68" s="78" t="s">
        <v>330</v>
      </c>
      <c r="L68" s="109" t="s">
        <v>763</v>
      </c>
    </row>
    <row r="69" spans="1:15" ht="28.9">
      <c r="A69" s="41" t="str">
        <v>CA: Stockton - SUSD - Warehouse</v>
      </c>
      <c r="B69" s="42" t="str">
        <v>CA</v>
      </c>
      <c r="C69" s="35">
        <v>9211.25</v>
      </c>
      <c r="D69" s="36">
        <v>20184.71</v>
      </c>
      <c r="E69" s="36">
        <f t="shared" ref="E69:E85" si="4">IF(AND(ISNUMBER(C69),ISNUMBER(D69)), C69-D69, "")</f>
        <v>-10973.46</v>
      </c>
      <c r="F69" s="37">
        <f t="shared" si="3"/>
        <v>-0.54365210102102035</v>
      </c>
      <c r="G69" s="38">
        <v>23945.84</v>
      </c>
      <c r="H69" s="38">
        <f t="shared" ref="H69:H85" si="5">IF(AND(ISNUMBER(C69),ISNUMBER(G69)), C69-G69, "")</f>
        <v>-14734.59</v>
      </c>
      <c r="I69" s="37">
        <f t="shared" ref="I69:I85" si="6">IFERROR(H69/G69, "")</f>
        <v>-0.61532984434874705</v>
      </c>
      <c r="J69" s="121" t="s">
        <v>800</v>
      </c>
      <c r="K69" s="75" t="s">
        <v>801</v>
      </c>
      <c r="L69" s="109" t="s">
        <v>711</v>
      </c>
      <c r="M69" s="103" t="s">
        <v>802</v>
      </c>
    </row>
    <row r="70" spans="1:15" ht="43.15">
      <c r="A70" s="43" t="str">
        <v>CA: Stockton - SUSD - Walton Special Center</v>
      </c>
      <c r="B70" s="40" t="str">
        <v>CA</v>
      </c>
      <c r="C70" s="28">
        <v>9518.5</v>
      </c>
      <c r="D70" s="29">
        <v>16238.66</v>
      </c>
      <c r="E70" s="29">
        <f t="shared" si="4"/>
        <v>-6720.16</v>
      </c>
      <c r="F70" s="30">
        <f t="shared" ref="F70:F85" si="7">IFERROR(E70/D70, "")</f>
        <v>-0.41383710232248228</v>
      </c>
      <c r="G70" s="31">
        <v>17097.36</v>
      </c>
      <c r="H70" s="31">
        <f t="shared" si="5"/>
        <v>-7578.8600000000006</v>
      </c>
      <c r="I70" s="32">
        <f t="shared" si="6"/>
        <v>-0.44327662282364061</v>
      </c>
      <c r="J70" s="112" t="s">
        <v>667</v>
      </c>
      <c r="K70" s="78" t="s">
        <v>803</v>
      </c>
      <c r="L70" s="110" t="s">
        <v>804</v>
      </c>
      <c r="M70" s="103" t="s">
        <v>669</v>
      </c>
      <c r="N70" s="103" t="s">
        <v>571</v>
      </c>
    </row>
    <row r="71" spans="1:15" ht="57.6">
      <c r="A71" s="41" t="str">
        <v>CA: Stockton - SUSD - Stagg HS</v>
      </c>
      <c r="B71" s="42" t="str">
        <v>CA</v>
      </c>
      <c r="C71" s="35">
        <v>55911</v>
      </c>
      <c r="D71" s="36">
        <v>66469.119999999995</v>
      </c>
      <c r="E71" s="36">
        <f t="shared" si="4"/>
        <v>-10558.119999999995</v>
      </c>
      <c r="F71" s="37">
        <f t="shared" si="7"/>
        <v>-0.15884248204278914</v>
      </c>
      <c r="G71" s="38">
        <v>68223.509999999995</v>
      </c>
      <c r="H71" s="38">
        <f t="shared" si="5"/>
        <v>-12312.509999999995</v>
      </c>
      <c r="I71" s="37">
        <f t="shared" si="6"/>
        <v>-0.18047312429395668</v>
      </c>
      <c r="J71" s="121" t="s">
        <v>435</v>
      </c>
      <c r="K71" s="75" t="s">
        <v>670</v>
      </c>
      <c r="L71" s="110" t="s">
        <v>805</v>
      </c>
      <c r="M71" s="103" t="s">
        <v>437</v>
      </c>
    </row>
    <row r="72" spans="1:15" ht="28.9">
      <c r="A72" s="43" t="str">
        <v>CA: Stockton - SUSD - School for Adults</v>
      </c>
      <c r="B72" s="40" t="str">
        <v>CA</v>
      </c>
      <c r="C72" s="28">
        <v>3313.25</v>
      </c>
      <c r="D72" s="29">
        <v>13935.62</v>
      </c>
      <c r="E72" s="29">
        <f t="shared" si="4"/>
        <v>-10622.37</v>
      </c>
      <c r="F72" s="30">
        <f t="shared" si="7"/>
        <v>-0.76224595676403351</v>
      </c>
      <c r="G72" s="31">
        <v>14894.81</v>
      </c>
      <c r="H72" s="31">
        <f t="shared" si="5"/>
        <v>-11581.56</v>
      </c>
      <c r="I72" s="32">
        <f t="shared" si="6"/>
        <v>-0.77755674627605187</v>
      </c>
      <c r="J72" s="112" t="s">
        <v>438</v>
      </c>
      <c r="K72" s="78" t="s">
        <v>338</v>
      </c>
      <c r="L72" s="109" t="s">
        <v>763</v>
      </c>
    </row>
    <row r="73" spans="1:15" ht="43.15">
      <c r="A73" s="41" t="str">
        <v>CA: Stockton - SUSD - San Joaquin</v>
      </c>
      <c r="B73" s="42" t="str">
        <v>CA</v>
      </c>
      <c r="C73" s="35">
        <v>6373</v>
      </c>
      <c r="D73" s="36">
        <v>11645.14</v>
      </c>
      <c r="E73" s="36">
        <f t="shared" si="4"/>
        <v>-5272.1399999999994</v>
      </c>
      <c r="F73" s="37">
        <f t="shared" si="7"/>
        <v>-0.45273307147874559</v>
      </c>
      <c r="G73" s="38">
        <v>13285.86</v>
      </c>
      <c r="H73" s="38">
        <f t="shared" si="5"/>
        <v>-6912.8600000000006</v>
      </c>
      <c r="I73" s="37">
        <f t="shared" si="6"/>
        <v>-0.52031708899536799</v>
      </c>
      <c r="J73" s="121" t="s">
        <v>806</v>
      </c>
      <c r="K73" s="75" t="s">
        <v>807</v>
      </c>
      <c r="L73" s="110" t="s">
        <v>805</v>
      </c>
      <c r="M73" s="103" t="s">
        <v>808</v>
      </c>
    </row>
    <row r="74" spans="1:15" ht="55.5" customHeight="1">
      <c r="A74" s="43" t="str">
        <v>CA: Stockton - SUSD - Rio Calaveras</v>
      </c>
      <c r="B74" s="40" t="str">
        <v>CA</v>
      </c>
      <c r="C74" s="28">
        <v>0</v>
      </c>
      <c r="D74" s="29">
        <v>0</v>
      </c>
      <c r="E74" s="29">
        <f t="shared" si="4"/>
        <v>0</v>
      </c>
      <c r="F74" s="30" t="str">
        <f t="shared" si="7"/>
        <v/>
      </c>
      <c r="G74" s="31">
        <v>0</v>
      </c>
      <c r="H74" s="31">
        <f t="shared" si="5"/>
        <v>0</v>
      </c>
      <c r="I74" s="32" t="str">
        <f t="shared" si="6"/>
        <v/>
      </c>
      <c r="J74" s="112" t="s">
        <v>809</v>
      </c>
      <c r="K74" s="78" t="s">
        <v>810</v>
      </c>
      <c r="L74" s="110" t="s">
        <v>811</v>
      </c>
      <c r="M74" s="103" t="s">
        <v>812</v>
      </c>
    </row>
    <row r="75" spans="1:15" ht="34.9" customHeight="1">
      <c r="A75" s="41" t="str">
        <v>CA: Stockton - SUSD - Peyton</v>
      </c>
      <c r="B75" s="42" t="str">
        <v>CA</v>
      </c>
      <c r="C75" s="35">
        <v>27793</v>
      </c>
      <c r="D75" s="36">
        <v>31669.48</v>
      </c>
      <c r="E75" s="36">
        <f t="shared" si="4"/>
        <v>-3876.4799999999996</v>
      </c>
      <c r="F75" s="37">
        <f t="shared" si="7"/>
        <v>-0.12240428324052051</v>
      </c>
      <c r="G75" s="38">
        <v>29649.49</v>
      </c>
      <c r="H75" s="38">
        <f t="shared" si="5"/>
        <v>-1856.4900000000016</v>
      </c>
      <c r="I75" s="37">
        <f t="shared" si="6"/>
        <v>-6.261456773792741E-2</v>
      </c>
      <c r="J75" s="121" t="s">
        <v>813</v>
      </c>
      <c r="K75" s="75" t="s">
        <v>814</v>
      </c>
      <c r="L75" s="110" t="s">
        <v>815</v>
      </c>
      <c r="M75" s="103" t="s">
        <v>816</v>
      </c>
      <c r="N75" s="103" t="s">
        <v>816</v>
      </c>
    </row>
    <row r="76" spans="1:15" ht="72">
      <c r="A76" s="43" t="str">
        <v>TX: Barnhart - 42917 Ranch RD 2469</v>
      </c>
      <c r="B76" s="40" t="str">
        <v>TX</v>
      </c>
      <c r="C76" s="28">
        <v>220860</v>
      </c>
      <c r="D76" s="29">
        <v>237693.9</v>
      </c>
      <c r="E76" s="29">
        <f t="shared" si="4"/>
        <v>-16833.899999999994</v>
      </c>
      <c r="F76" s="30">
        <f t="shared" si="7"/>
        <v>-7.0821758572685273E-2</v>
      </c>
      <c r="G76" s="31">
        <v>201711.6</v>
      </c>
      <c r="H76" s="31">
        <f t="shared" si="5"/>
        <v>19148.399999999994</v>
      </c>
      <c r="I76" s="32">
        <f t="shared" si="6"/>
        <v>9.4929592546982883E-2</v>
      </c>
      <c r="J76" s="112" t="s">
        <v>817</v>
      </c>
      <c r="K76" s="78" t="s">
        <v>818</v>
      </c>
      <c r="L76" s="110" t="s">
        <v>819</v>
      </c>
      <c r="M76" s="103" t="s">
        <v>583</v>
      </c>
      <c r="N76" s="103" t="s">
        <v>585</v>
      </c>
      <c r="O76" s="103" t="s">
        <v>820</v>
      </c>
    </row>
    <row r="77" spans="1:15" ht="30.75" customHeight="1">
      <c r="A77" s="41" t="str">
        <v>AZ: San Manuel - Senior &amp; Junior HS</v>
      </c>
      <c r="B77" s="42" t="str">
        <v>AZ</v>
      </c>
      <c r="C77" s="35">
        <v>37594</v>
      </c>
      <c r="D77" s="36" t="s">
        <v>43</v>
      </c>
      <c r="E77" s="36" t="str">
        <f t="shared" si="4"/>
        <v/>
      </c>
      <c r="F77" s="37" t="str">
        <f t="shared" si="7"/>
        <v/>
      </c>
      <c r="G77" s="38">
        <v>35690</v>
      </c>
      <c r="H77" s="38">
        <f t="shared" si="5"/>
        <v>1904</v>
      </c>
      <c r="I77" s="37">
        <f t="shared" si="6"/>
        <v>5.3348276828243203E-2</v>
      </c>
      <c r="J77" s="121" t="s">
        <v>821</v>
      </c>
      <c r="K77" s="75" t="s">
        <v>822</v>
      </c>
      <c r="L77" s="109" t="s">
        <v>743</v>
      </c>
      <c r="M77" s="103" t="s">
        <v>676</v>
      </c>
    </row>
    <row r="78" spans="1:15" ht="86.45">
      <c r="A78" s="43" t="str">
        <v>AZ: Sierra Vista - Colonel Smith MS</v>
      </c>
      <c r="B78" s="40" t="str">
        <v>AZ</v>
      </c>
      <c r="C78" s="28">
        <v>34420</v>
      </c>
      <c r="D78" s="29">
        <v>60818.23</v>
      </c>
      <c r="E78" s="29">
        <f t="shared" si="4"/>
        <v>-26398.230000000003</v>
      </c>
      <c r="F78" s="30">
        <f t="shared" si="7"/>
        <v>-0.43405127048255104</v>
      </c>
      <c r="G78" s="31">
        <v>48040.27</v>
      </c>
      <c r="H78" s="31">
        <f t="shared" si="5"/>
        <v>-13620.269999999997</v>
      </c>
      <c r="I78" s="32">
        <f t="shared" si="6"/>
        <v>-0.28351776540806284</v>
      </c>
      <c r="J78" s="112" t="s">
        <v>823</v>
      </c>
      <c r="K78" s="78" t="s">
        <v>450</v>
      </c>
      <c r="L78" s="109" t="s">
        <v>743</v>
      </c>
    </row>
    <row r="79" spans="1:15" ht="43.15">
      <c r="A79" s="41" t="str">
        <v>AZ: Sierra Vista - Colonel Johnston ES</v>
      </c>
      <c r="B79" s="42" t="str">
        <v>AZ</v>
      </c>
      <c r="C79" s="35">
        <v>11490</v>
      </c>
      <c r="D79" s="36">
        <v>20598.810000000001</v>
      </c>
      <c r="E79" s="36">
        <f t="shared" si="4"/>
        <v>-9108.8100000000013</v>
      </c>
      <c r="F79" s="37">
        <f t="shared" si="7"/>
        <v>-0.44220078732703494</v>
      </c>
      <c r="G79" s="38">
        <v>16215.11</v>
      </c>
      <c r="H79" s="38">
        <f t="shared" si="5"/>
        <v>-4725.1100000000006</v>
      </c>
      <c r="I79" s="37">
        <f t="shared" si="6"/>
        <v>-0.29140166178336135</v>
      </c>
      <c r="J79" s="121" t="s">
        <v>451</v>
      </c>
      <c r="K79" s="75" t="s">
        <v>452</v>
      </c>
      <c r="L79" s="109" t="s">
        <v>743</v>
      </c>
    </row>
    <row r="80" spans="1:15" ht="43.15">
      <c r="A80" s="43" t="str">
        <v>NH: Dover - Dover HS</v>
      </c>
      <c r="B80" s="40" t="str">
        <v>NH</v>
      </c>
      <c r="C80" s="28">
        <v>66369.5</v>
      </c>
      <c r="D80" s="29">
        <v>88229.68</v>
      </c>
      <c r="E80" s="29">
        <f t="shared" si="4"/>
        <v>-21860.179999999993</v>
      </c>
      <c r="F80" s="30">
        <f t="shared" si="7"/>
        <v>-0.24776447109408076</v>
      </c>
      <c r="G80" s="31">
        <v>70388.639999999999</v>
      </c>
      <c r="H80" s="31">
        <f t="shared" si="5"/>
        <v>-4019.1399999999994</v>
      </c>
      <c r="I80" s="32">
        <f t="shared" si="6"/>
        <v>-5.7099270564113749E-2</v>
      </c>
      <c r="J80" s="112" t="s">
        <v>453</v>
      </c>
      <c r="K80" s="78" t="s">
        <v>454</v>
      </c>
      <c r="L80" s="109" t="s">
        <v>743</v>
      </c>
    </row>
    <row r="81" spans="1:13" ht="72">
      <c r="A81" s="41" t="str">
        <v>MA: Somerville - 30 Inner Belt Rd</v>
      </c>
      <c r="B81" s="42" t="str">
        <v>MA</v>
      </c>
      <c r="C81" s="35">
        <v>59318.5</v>
      </c>
      <c r="D81" s="36">
        <v>58694.21</v>
      </c>
      <c r="E81" s="36">
        <f t="shared" si="4"/>
        <v>624.29000000000087</v>
      </c>
      <c r="F81" s="37">
        <f t="shared" si="7"/>
        <v>1.0636313190006321E-2</v>
      </c>
      <c r="G81" s="38">
        <v>110638.8</v>
      </c>
      <c r="H81" s="38">
        <f t="shared" si="5"/>
        <v>-51320.3</v>
      </c>
      <c r="I81" s="37">
        <f t="shared" si="6"/>
        <v>-0.46385445250671559</v>
      </c>
      <c r="J81" s="121" t="s">
        <v>455</v>
      </c>
      <c r="K81" s="121"/>
    </row>
    <row r="82" spans="1:13" ht="43.15">
      <c r="A82" s="43" t="str">
        <v>MA: Boxborough - 1414 Massachusetts Ave</v>
      </c>
      <c r="B82" s="40" t="str">
        <v>MA</v>
      </c>
      <c r="C82" s="28">
        <v>544017.11264845706</v>
      </c>
      <c r="D82" s="29">
        <v>294017.3</v>
      </c>
      <c r="E82" s="29">
        <f t="shared" si="4"/>
        <v>249999.81264845707</v>
      </c>
      <c r="F82" s="30">
        <f t="shared" si="7"/>
        <v>0.85028946476434231</v>
      </c>
      <c r="G82" s="31">
        <v>545300</v>
      </c>
      <c r="H82" s="31">
        <f t="shared" si="5"/>
        <v>-1282.8873515429441</v>
      </c>
      <c r="I82" s="32">
        <f t="shared" si="6"/>
        <v>-2.3526267220666496E-3</v>
      </c>
      <c r="J82" s="112" t="s">
        <v>824</v>
      </c>
      <c r="K82" s="78" t="s">
        <v>825</v>
      </c>
      <c r="L82" s="111" t="s">
        <v>743</v>
      </c>
    </row>
    <row r="83" spans="1:13" ht="43.15">
      <c r="A83" s="41" t="str">
        <v>NY: Amsterdam - 153 NY Route 67</v>
      </c>
      <c r="B83" s="42" t="str">
        <v>NY</v>
      </c>
      <c r="C83" s="35">
        <v>283742</v>
      </c>
      <c r="D83" s="36">
        <v>242979.8</v>
      </c>
      <c r="E83" s="36">
        <f t="shared" si="4"/>
        <v>40762.200000000012</v>
      </c>
      <c r="F83" s="37">
        <f t="shared" si="7"/>
        <v>0.1677596244626097</v>
      </c>
      <c r="G83" s="38">
        <v>262933.59999999998</v>
      </c>
      <c r="H83" s="38">
        <f t="shared" si="5"/>
        <v>20808.400000000023</v>
      </c>
      <c r="I83" s="37">
        <f t="shared" si="6"/>
        <v>7.9139372069602462E-2</v>
      </c>
      <c r="J83" s="121" t="s">
        <v>683</v>
      </c>
      <c r="K83" s="75" t="s">
        <v>826</v>
      </c>
      <c r="L83" s="110" t="s">
        <v>827</v>
      </c>
      <c r="M83" s="103" t="s">
        <v>462</v>
      </c>
    </row>
    <row r="84" spans="1:13" ht="15.6">
      <c r="A84" s="43" t="str">
        <v>CA: San Jose - GE Mobile Water</v>
      </c>
      <c r="B84" s="40" t="str">
        <v>CA</v>
      </c>
      <c r="C84" s="28">
        <v>19410</v>
      </c>
      <c r="D84" s="29">
        <v>20633.2</v>
      </c>
      <c r="E84" s="29">
        <f t="shared" si="4"/>
        <v>-1223.2000000000007</v>
      </c>
      <c r="F84" s="30">
        <f t="shared" si="7"/>
        <v>-5.9283097144408076E-2</v>
      </c>
      <c r="G84" s="31">
        <v>20411.77</v>
      </c>
      <c r="H84" s="31">
        <f t="shared" si="5"/>
        <v>-1001.7700000000004</v>
      </c>
      <c r="I84" s="32">
        <f t="shared" si="6"/>
        <v>-4.9078056435086247E-2</v>
      </c>
      <c r="J84" s="112" t="s">
        <v>828</v>
      </c>
      <c r="K84" s="78" t="s">
        <v>829</v>
      </c>
      <c r="L84" s="109" t="s">
        <v>830</v>
      </c>
    </row>
    <row r="85" spans="1:13" ht="15.6">
      <c r="A85" s="41" t="str">
        <v>NY: Rome - 7776 Tannery RD</v>
      </c>
      <c r="B85" s="42" t="str">
        <v>NY</v>
      </c>
      <c r="C85" s="35">
        <v>287375.31543624401</v>
      </c>
      <c r="D85" s="36">
        <v>307686.2</v>
      </c>
      <c r="E85" s="36">
        <f t="shared" si="4"/>
        <v>-20310.884563756001</v>
      </c>
      <c r="F85" s="37">
        <f t="shared" si="7"/>
        <v>-6.6011685164157508E-2</v>
      </c>
      <c r="G85" s="38">
        <v>265023.09999999998</v>
      </c>
      <c r="H85" s="38">
        <f t="shared" si="5"/>
        <v>22352.215436244034</v>
      </c>
      <c r="I85" s="37">
        <f t="shared" si="6"/>
        <v>8.4340630821404E-2</v>
      </c>
      <c r="J85" s="121"/>
      <c r="K85" s="121"/>
    </row>
    <row r="86" spans="1:13">
      <c r="A86" s="8"/>
      <c r="B86" s="13"/>
      <c r="C86" s="8"/>
      <c r="D86" s="8"/>
      <c r="E86" s="8"/>
      <c r="F86" s="9"/>
      <c r="G86" s="8"/>
      <c r="H86" s="8"/>
      <c r="I86" s="9"/>
    </row>
    <row r="87" spans="1:13">
      <c r="A87" s="8"/>
      <c r="B87" s="13"/>
      <c r="C87" s="8"/>
      <c r="D87" s="8"/>
      <c r="E87" s="8"/>
      <c r="F87" s="9"/>
      <c r="G87" s="8"/>
      <c r="H87" s="8"/>
      <c r="I87" s="9"/>
    </row>
    <row r="88" spans="1:13">
      <c r="A88" s="8"/>
      <c r="B88" s="13"/>
      <c r="C88" s="8"/>
      <c r="D88" s="8"/>
      <c r="E88" s="8"/>
      <c r="F88" s="9"/>
      <c r="G88" s="8"/>
      <c r="H88" s="8"/>
      <c r="I88" s="9"/>
    </row>
    <row r="89" spans="1:13">
      <c r="A89" s="8"/>
      <c r="B89" s="13"/>
      <c r="C89" s="8"/>
      <c r="D89" s="8"/>
      <c r="E89" s="8"/>
      <c r="F89" s="9"/>
      <c r="G89" s="8"/>
      <c r="H89" s="8"/>
      <c r="I89" s="9"/>
    </row>
    <row r="90" spans="1:13">
      <c r="A90" s="8"/>
      <c r="B90" s="13"/>
      <c r="C90" s="8"/>
      <c r="D90" s="8"/>
      <c r="E90" s="8"/>
      <c r="F90" s="9"/>
      <c r="G90" s="8"/>
      <c r="H90" s="8"/>
      <c r="I90" s="9"/>
    </row>
    <row r="91" spans="1:13">
      <c r="A91" s="8"/>
      <c r="B91" s="13"/>
      <c r="C91" s="8"/>
      <c r="D91" s="8"/>
      <c r="E91" s="8"/>
      <c r="F91" s="9"/>
      <c r="G91" s="8"/>
      <c r="H91" s="8"/>
      <c r="I91" s="9"/>
    </row>
    <row r="92" spans="1:13">
      <c r="A92" s="8"/>
      <c r="B92" s="13"/>
      <c r="C92" s="8"/>
      <c r="D92" s="8"/>
      <c r="E92" s="8"/>
      <c r="F92" s="9"/>
      <c r="G92" s="8"/>
      <c r="H92" s="8"/>
      <c r="I92" s="9"/>
    </row>
    <row r="93" spans="1:13">
      <c r="A93" s="8"/>
      <c r="B93" s="13"/>
      <c r="C93" s="8"/>
      <c r="D93" s="8"/>
      <c r="E93" s="8"/>
      <c r="F93" s="9"/>
      <c r="G93" s="8"/>
      <c r="H93" s="8"/>
      <c r="I93" s="9"/>
    </row>
    <row r="94" spans="1:13">
      <c r="A94" s="8"/>
      <c r="B94" s="13"/>
      <c r="C94" s="8"/>
      <c r="D94" s="8"/>
      <c r="E94" s="8"/>
      <c r="F94" s="9"/>
      <c r="G94" s="8"/>
      <c r="H94" s="8"/>
      <c r="I94" s="9"/>
    </row>
    <row r="95" spans="1:13">
      <c r="A95" s="8"/>
      <c r="B95" s="13"/>
      <c r="C95" s="8"/>
      <c r="D95" s="8"/>
      <c r="E95" s="8"/>
      <c r="F95" s="9"/>
      <c r="G95" s="8"/>
      <c r="H95" s="8"/>
      <c r="I95" s="9"/>
    </row>
    <row r="96" spans="1:13">
      <c r="A96" s="8"/>
      <c r="B96" s="13"/>
      <c r="C96" s="8"/>
      <c r="D96" s="8"/>
      <c r="E96" s="8"/>
      <c r="F96" s="9"/>
      <c r="G96" s="8"/>
      <c r="H96" s="8"/>
      <c r="I96" s="9"/>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A322" s="8"/>
      <c r="B322" s="13"/>
      <c r="C322" s="8"/>
      <c r="D322" s="8"/>
      <c r="E322" s="8"/>
      <c r="F322" s="9"/>
      <c r="G322" s="8"/>
      <c r="H322" s="8"/>
      <c r="I322" s="9"/>
    </row>
    <row r="323" spans="1:9">
      <c r="A323" s="8"/>
      <c r="B323" s="13"/>
      <c r="C323" s="8"/>
      <c r="D323" s="8"/>
      <c r="E323" s="8"/>
      <c r="F323" s="9"/>
      <c r="G323" s="8"/>
      <c r="H323" s="8"/>
      <c r="I323" s="9"/>
    </row>
    <row r="324" spans="1:9">
      <c r="A324" s="8"/>
      <c r="B324" s="13"/>
      <c r="C324" s="8"/>
      <c r="D324" s="8"/>
      <c r="E324" s="8"/>
      <c r="F324" s="9"/>
      <c r="G324" s="8"/>
      <c r="H324" s="8"/>
      <c r="I324" s="9"/>
    </row>
    <row r="325" spans="1:9">
      <c r="A325" s="8"/>
      <c r="B325" s="13"/>
      <c r="C325" s="8"/>
      <c r="D325" s="8"/>
      <c r="E325" s="8"/>
      <c r="F325" s="9"/>
      <c r="G325" s="8"/>
      <c r="H325" s="8"/>
      <c r="I325" s="9"/>
    </row>
    <row r="326" spans="1:9">
      <c r="C326" s="8"/>
      <c r="D326" s="8"/>
      <c r="E326" s="8"/>
      <c r="F326" s="9"/>
      <c r="G326" s="8"/>
      <c r="H326" s="8"/>
      <c r="I326" s="9"/>
    </row>
  </sheetData>
  <mergeCells count="4">
    <mergeCell ref="G1:I1"/>
    <mergeCell ref="A1:C1"/>
    <mergeCell ref="D1:F1"/>
    <mergeCell ref="A2:B2"/>
  </mergeCells>
  <conditionalFormatting sqref="F2 I2 F4:F85 I4:I8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099290" xr:uid="{9E1BC671-010E-492F-A4E7-ECAEEE7516BE}"/>
    <hyperlink ref="K5" r:id="rId2" display="https://us3.assetplanner.com/service_request?ID=107271" xr:uid="{E07FCAB6-27B3-4451-BAAB-465362EDA378}"/>
    <hyperlink ref="M5" r:id="rId3" display="https://us3.assetplanner.com/service_request?ID=105924" xr:uid="{E5221C7E-A706-4C93-B909-77C57DDF8584}"/>
    <hyperlink ref="N5" r:id="rId4" display="https://us3.assetplanner.com/service_request?ID=101243" xr:uid="{5530E5B2-41C4-4A94-BD97-96D0769FA14D}"/>
    <hyperlink ref="O5" r:id="rId5" display="https://us3.assetplanner.com/service_request?ID=105658" xr:uid="{9945859B-534A-4C8F-A1AD-B371ECD5565A}"/>
    <hyperlink ref="P5" r:id="rId6" display="https://us3.assetplanner.com/service_request?ID=107520" xr:uid="{F0A4E3F8-5FB4-405E-B241-D2D0E16D53B5}"/>
    <hyperlink ref="Q5" r:id="rId7" display="https://us3.assetplanner.com/service_request?ID=104647" xr:uid="{172A339B-6031-4885-AE21-35865F6E672C}"/>
    <hyperlink ref="R5" r:id="rId8" display="https://us3.assetplanner.com/service_request?ID=101245" xr:uid="{B97EB3A2-2891-41A3-BEEE-C65F24AA4FC5}"/>
    <hyperlink ref="K8" r:id="rId9" display="https://us3.assetplanner.com/service_request?ID=098870" xr:uid="{19718888-6310-441E-992D-B4F07DE2C339}"/>
    <hyperlink ref="M8" r:id="rId10" display="https://us3.assetplanner.com/service_request?ID=099461" xr:uid="{2A1F9F20-FB21-42F5-8AAA-06AC4E31A5EC}"/>
    <hyperlink ref="K9" r:id="rId11" display="https://us3.assetplanner.com/service_request?ID=107775" xr:uid="{8ECDB5E6-EA03-4982-81F7-81D48EBDA41A}"/>
    <hyperlink ref="M9" r:id="rId12" display="https://us3.assetplanner.com/service_request?ID=104023" xr:uid="{7A3B188E-40EF-4E27-8098-5E2906C65730}"/>
    <hyperlink ref="K11" r:id="rId13" display="https://us3.assetplanner.com/service_request?ID=110027" xr:uid="{550A7098-BECE-40D4-80D7-7C2599015A2C}"/>
    <hyperlink ref="M11" r:id="rId14" display="https://us3.assetplanner.com/service_request?ID=109753" xr:uid="{F23DBF18-B5B9-44FA-BB03-0487CBF69969}"/>
    <hyperlink ref="N11" r:id="rId15" display="https://us3.assetplanner.com/service_request?ID=109179" xr:uid="{052563EF-DBCE-4582-BFC9-E108064A2105}"/>
    <hyperlink ref="K12" r:id="rId16" display="https://us3.assetplanner.com/service_request?ID=102209" xr:uid="{E4FA6854-77D2-4156-B78C-8F5C4779D83E}"/>
    <hyperlink ref="M12" r:id="rId17" display="https://us3.assetplanner.com/service_request?ID=110401" xr:uid="{6E995514-A284-4AED-AA4F-BAC8FE7414BC}"/>
    <hyperlink ref="K13" r:id="rId18" display="https://us3.assetplanner.com/service_request?ID=109506" xr:uid="{02CF9B23-5404-4486-9D9D-3367EE745854}"/>
    <hyperlink ref="K14" r:id="rId19" display="https://us3.assetplanner.com/service_request?ID=107872" xr:uid="{72AC0978-5CDF-4119-BD67-D2FA731E2D12}"/>
    <hyperlink ref="M14" r:id="rId20" display="https://us3.assetplanner.com/service_request?ID=109812" xr:uid="{1E370680-9B10-4095-94DB-F1186368FC0A}"/>
    <hyperlink ref="K15" r:id="rId21" display="https://us3.assetplanner.com/service_request?ID=106831" xr:uid="{3061BE7A-0DB9-44F5-ADF8-4394C97042BB}"/>
    <hyperlink ref="K16" r:id="rId22" display="https://us3.assetplanner.com/service_request?ID=108311" xr:uid="{B2902DBF-E28F-4179-9EB0-9AFC1B7FF9F1}"/>
    <hyperlink ref="K17" r:id="rId23" display="https://us3.assetplanner.com/service_request?ID=109383" xr:uid="{92F01FD4-482C-4409-875C-E263B29B44CE}"/>
    <hyperlink ref="M17" r:id="rId24" display="https://us3.assetplanner.com/service_request?ID=109222" xr:uid="{C1A3E165-51D2-4156-BBEC-6DCE9E9C1062}"/>
    <hyperlink ref="K18" r:id="rId25" display="https://us3.assetplanner.com/service_request?ID=108881" xr:uid="{7F2DDA32-CDCC-49D1-A1C1-1A4A1C17192C}"/>
    <hyperlink ref="K19" r:id="rId26" display="https://us3.assetplanner.com/service_request?ID=107579" xr:uid="{E7FBB7AE-DE01-4649-895B-C1837DE62B4B}"/>
    <hyperlink ref="M19" r:id="rId27" display="https://us3.assetplanner.com/service_request?ID=110134" xr:uid="{564F5412-1920-4D8C-BE14-311AFA814762}"/>
    <hyperlink ref="K20" r:id="rId28" display="https://us3.assetplanner.com/service_request?ID=109491" xr:uid="{AB14816B-C093-48C4-9305-BD86AAE9E03F}"/>
    <hyperlink ref="K21" r:id="rId29" display="https://us3.assetplanner.com/service_request?ID=108422" xr:uid="{35F87667-B32D-4571-A46B-6EC6EA4981EF}"/>
    <hyperlink ref="M21" r:id="rId30" display="https://us3.assetplanner.com/service_request?ID=106514" xr:uid="{9A102D6C-7760-4D99-97FF-8873321C9B83}"/>
    <hyperlink ref="N21" r:id="rId31" display="https://us3.assetplanner.com/service_request?ID=106483" xr:uid="{255F5E26-D9A0-44C1-96F5-3EC786FEE5D7}"/>
    <hyperlink ref="O21" r:id="rId32" display="https://us3.assetplanner.com/service_request?ID=106806" xr:uid="{B6FBEE05-FDE3-4CA9-8287-FEAD61B35B2C}"/>
    <hyperlink ref="P21" r:id="rId33" display="https://us3.assetplanner.com/service_request?ID=106806" xr:uid="{51BA321D-7EDF-4857-BAE6-4209353F55BF}"/>
    <hyperlink ref="K22" r:id="rId34" display="https://us3.assetplanner.com/service_request?ID=103914" xr:uid="{6D4D050E-C1C2-420E-A568-1B07C3CA1007}"/>
    <hyperlink ref="K25" r:id="rId35" display="https://us3.assetplanner.com/service_request?ID=104192" xr:uid="{CBA5B738-CA4E-460B-B6C9-F4AC7A4360AE}"/>
    <hyperlink ref="M25" r:id="rId36" display="https://us3.assetplanner.com/service_request?ID=102794" xr:uid="{97B69780-B4D6-4AE0-BB08-AE3E34AF44B4}"/>
    <hyperlink ref="N25" r:id="rId37" display="https://us3.assetplanner.com/service_request?ID=105489" xr:uid="{1FCA9257-DBFC-4C56-9A4F-F6A8419CF20D}"/>
    <hyperlink ref="O25" r:id="rId38" display="https://us3.assetplanner.com/service_request?ID=107586" xr:uid="{A103207C-6263-43DD-92A1-D1D9768462B4}"/>
    <hyperlink ref="P25" r:id="rId39" display="https://us3.assetplanner.com/service_request?ID=108491" xr:uid="{0B032DDB-D0D9-4CC5-8B72-58A01B962152}"/>
    <hyperlink ref="Q25" r:id="rId40" display="https://us3.assetplanner.com/service_request?ID=109906" xr:uid="{9B402732-0A41-4EEC-822C-D47FB4921FC1}"/>
    <hyperlink ref="K26" r:id="rId41" display="https://us3.assetplanner.com/service_request?ID=108496" xr:uid="{FD8D6639-E257-481A-904A-629B4AA5ADC9}"/>
    <hyperlink ref="M26" r:id="rId42" display="https://us3.assetplanner.com/service_request?ID=109104" xr:uid="{1197A181-4539-4FD4-85C8-005732628855}"/>
    <hyperlink ref="K31" r:id="rId43" display="https://us3.assetplanner.com/service_request?ID=105973" xr:uid="{52EBCA68-F6C2-4076-9BD6-E6281DA6D78E}"/>
    <hyperlink ref="K33" r:id="rId44" display="https://us3.assetplanner.com/service_request?ID=102723" xr:uid="{4FA92FCA-0B09-428B-AE4E-A38110B0F4EF}"/>
    <hyperlink ref="M33" r:id="rId45" display="https://us3.assetplanner.com/service_request?ID=105641" xr:uid="{0DF657B9-BBED-450B-A172-D7F2701FAA9F}"/>
    <hyperlink ref="K39" r:id="rId46" display="https://us3.assetplanner.com/service_request?ID=106082" xr:uid="{9C0CF80A-5D82-49EC-BBB3-020F16EDDB03}"/>
    <hyperlink ref="M39" r:id="rId47" display="https://us3.assetplanner.com/service_request?ID=100857" xr:uid="{2AE1E370-6D62-4504-9CAB-C6849186D1A4}"/>
    <hyperlink ref="K40" r:id="rId48" display="https://us3.assetplanner.com/service_request?ID=101963" xr:uid="{E1B122B8-7AA7-49C3-8B7F-21AF53A31341}"/>
    <hyperlink ref="K41" r:id="rId49" display="https://us3.assetplanner.com/service_request?ID=101818" xr:uid="{DE9589F2-76D4-4D3D-81FA-17FF24BD6665}"/>
    <hyperlink ref="M41" r:id="rId50" display="https://us3.assetplanner.com/service_request?ID=105928" xr:uid="{E7E47097-3907-4531-B71F-25D3F2D8AFA9}"/>
    <hyperlink ref="K42" r:id="rId51" display="https://us3.assetplanner.com/service_request?ID=101034" xr:uid="{89ACF43F-708D-4BFE-8E1A-A0F7C68C1EE9}"/>
    <hyperlink ref="M42" r:id="rId52" display="https://us3.assetplanner.com/service_request?ID=103779" xr:uid="{17A2345E-C928-4C61-B318-296E23DB069B}"/>
    <hyperlink ref="N42" r:id="rId53" display="https://us3.assetplanner.com/service_request?ID=102621" xr:uid="{B0D6AC99-74A4-4D43-88B8-90B19F1C4AAE}"/>
    <hyperlink ref="O42" r:id="rId54" display="https://us3.assetplanner.com/service_request?ID=109841" xr:uid="{E6B4A5EB-A1B2-454E-B8F0-1C09F885F612}"/>
    <hyperlink ref="K43" r:id="rId55" display="https://us3.assetplanner.com/service_request?ID=101021" xr:uid="{6807164D-DB47-4D32-9761-52F3621A24D1}"/>
    <hyperlink ref="K44" r:id="rId56" display="https://us3.assetplanner.com/service_request?ID=100915" xr:uid="{D32550B2-D45D-4421-A1EA-0464E1AAD592}"/>
    <hyperlink ref="K45" r:id="rId57" display="https://us3.assetplanner.com/service_request?ID=105366" xr:uid="{1C3294DE-12AC-4D40-8E50-908A9B14C66B}"/>
    <hyperlink ref="M45" r:id="rId58" display="https://us3.assetplanner.com/service_request?ID=101100" xr:uid="{39BC77E9-0D46-4AA9-A479-F46E40519807}"/>
    <hyperlink ref="N45" r:id="rId59" display="https://us3.assetplanner.com/service_request?ID=107802" xr:uid="{2955FC91-6F5E-46A0-B704-B8E8EF26DE0E}"/>
    <hyperlink ref="O45" r:id="rId60" display="https://us3.assetplanner.com/service_request?ID=108849" xr:uid="{5CDCC533-D8CB-450C-9BB5-3E776D6662B3}"/>
    <hyperlink ref="K46" r:id="rId61" display="https://us3.assetplanner.com/service_request?ID=105192" xr:uid="{4755D6E2-315F-4DE0-B329-E4EADBC771DF}"/>
    <hyperlink ref="M46" r:id="rId62" display="https://us3.assetplanner.com/service_request?ID=106435" xr:uid="{2E455AC3-238D-4C68-9227-4A1F7424838D}"/>
    <hyperlink ref="N46" r:id="rId63" display="https://us3.assetplanner.com/service_request?ID=106650" xr:uid="{4B318BD4-E990-4A28-B119-E8F733EE2F78}"/>
    <hyperlink ref="K47" r:id="rId64" display="https://us3.assetplanner.com/service_request?ID=102419" xr:uid="{4351F9EE-5CAE-4213-80A4-A2FB5F5F3CE5}"/>
    <hyperlink ref="M47" r:id="rId65" display="https://us3.assetplanner.com/service_request?ID=105494" xr:uid="{00A51C06-4762-44EB-96CE-CD3ACACE1A1F}"/>
    <hyperlink ref="N47" r:id="rId66" display="https://us3.assetplanner.com/service_request?ID=107209" xr:uid="{521932D4-8FE0-47FD-8C98-EB888316175E}"/>
    <hyperlink ref="K48" r:id="rId67" display="https://us3.assetplanner.com/service_request?ID=102283" xr:uid="{C39356E4-A932-4C08-AD65-375B277699DD}"/>
    <hyperlink ref="M48" r:id="rId68" display="https://us3.assetplanner.com/service_request?ID=108846" xr:uid="{8E40B43A-97C9-4A48-9951-4A9FE6C9AA64}"/>
    <hyperlink ref="N48" r:id="rId69" display="https://us3.assetplanner.com/service_request?ID=109533" xr:uid="{B086F6C8-8D5A-47EC-9ADC-B9E00BC28864}"/>
    <hyperlink ref="K49" r:id="rId70" display="https://us3.assetplanner.com/service_request?ID=102418" xr:uid="{F6AE9CC4-87CE-42B1-B208-B594C69E07FA}"/>
    <hyperlink ref="K50" r:id="rId71" display="https://us3.assetplanner.com/service_request?ID=102416" xr:uid="{6D6F266B-1A39-45CF-B81D-DF194BC8EED6}"/>
    <hyperlink ref="M50" r:id="rId72" display="https://us3.assetplanner.com/service_request?ID=105908" xr:uid="{D731F0DA-60AC-4DA3-8D36-CE8B5CFF18E0}"/>
    <hyperlink ref="K51" r:id="rId73" display="https://us3.assetplanner.com/service_request?ID=102392" xr:uid="{EFD272BB-1892-4B28-98DC-2F355B2B1C1C}"/>
    <hyperlink ref="K52" r:id="rId74" display="https://us3.assetplanner.com/service_request?ID=102321" xr:uid="{362AD6B6-D2BB-45B4-955B-8B3B7CDD0BDA}"/>
    <hyperlink ref="M52" r:id="rId75" display="https://us3.assetplanner.com/service_request?ID=103636" xr:uid="{D8CCA50C-EA3B-40E3-AD1F-658900B17B00}"/>
    <hyperlink ref="N52" r:id="rId76" display="https://us3.assetplanner.com/service_request?ID=102539" xr:uid="{E92D95F5-07C7-4B34-B3BC-E760BBC7A9AE}"/>
    <hyperlink ref="O52" r:id="rId77" display="https://us3.assetplanner.com/service_request?ID=104882" xr:uid="{7A37301F-6599-4766-BEB0-8C8B17359E47}"/>
    <hyperlink ref="K53" r:id="rId78" display="https://us3.assetplanner.com/service_request?ID=102320" xr:uid="{35DF9C6D-0201-4BB1-8322-06C35DC47DDE}"/>
    <hyperlink ref="K54" r:id="rId79" display="https://us3.assetplanner.com/service_request?ID=102317" xr:uid="{315160AC-A295-4DF7-BD54-BFA13E33EC9F}"/>
    <hyperlink ref="K55" r:id="rId80" display="https://us3.assetplanner.com/service_request?ID=108297" xr:uid="{4BB0E2F8-8227-4341-8C28-12F7A777A6A6}"/>
    <hyperlink ref="M55" r:id="rId81" display="https://us3.assetplanner.com/service_request?ID=108307" xr:uid="{67E31CD9-F5AF-4F55-86C8-A524D05FBB7E}"/>
    <hyperlink ref="N55" r:id="rId82" display="https://us3.assetplanner.com/service_request?ID=108307" xr:uid="{5D31FEA4-6C8F-4ED3-856A-4D75A9D8C475}"/>
    <hyperlink ref="O55" r:id="rId83" display="https://us3.assetplanner.com/service_request?ID=109597" xr:uid="{428AFFC1-7F2C-4FDD-AA76-B8E4CB7EE6C9}"/>
    <hyperlink ref="P55" r:id="rId84" display="https://us3.assetplanner.com/service_request?ID=109599" xr:uid="{9A36831C-E6A6-43F8-8C4C-9B024A3830A3}"/>
    <hyperlink ref="Q55" r:id="rId85" display="https://us3.assetplanner.com/service_request?ID=109598" xr:uid="{F23319D9-9298-420F-B651-C4F981222D57}"/>
    <hyperlink ref="R55" r:id="rId86" display="https://us3.assetplanner.com/service_request?ID=109599" xr:uid="{E95D8699-A713-4729-8F31-655194891A11}"/>
    <hyperlink ref="S55" r:id="rId87" display="https://us3.assetplanner.com/service_request?ID=109599" xr:uid="{48D2F96B-3648-4074-9F77-A57E1D513C72}"/>
    <hyperlink ref="K56" r:id="rId88" display="https://us3.assetplanner.com/service_request?ID=102886" xr:uid="{8F775996-87F0-45B5-9794-7AD17DE00654}"/>
    <hyperlink ref="M56" r:id="rId89" display="https://us3.assetplanner.com/service_request?ID=107512" xr:uid="{0211361B-9A53-44FE-9EFA-B7936941DE47}"/>
    <hyperlink ref="N56" r:id="rId90" display="https://us3.assetplanner.com/service_request?ID=108834" xr:uid="{2A59477A-CAFC-4279-9CE6-C434491E3B2B}"/>
    <hyperlink ref="K57" r:id="rId91" display="https://us3.assetplanner.com/service_request?ID=102281" xr:uid="{C1C14B43-37AE-496E-B0CA-1AE5FEF84246}"/>
    <hyperlink ref="K58" r:id="rId92" display="https://us3.assetplanner.com/service_request?ID=109629" xr:uid="{66FFABBE-7EEB-4166-8F95-67DF44263EBC}"/>
    <hyperlink ref="K59" r:id="rId93" display="https://us3.assetplanner.com/service_request?ID=101986" xr:uid="{003CD358-F07D-45FA-A927-80CBF566A853}"/>
    <hyperlink ref="M59" r:id="rId94" display="https://us3.assetplanner.com/service_request?ID=102503" xr:uid="{C1B869EF-EEEF-45E1-9967-6F34E116A44A}"/>
    <hyperlink ref="K60" r:id="rId95" display="https://us3.assetplanner.com/service_request?ID=102451" xr:uid="{9C01393A-B5CF-4D15-9935-E993EF5B523F}"/>
    <hyperlink ref="K61" r:id="rId96" display="https://us3.assetplanner.com/service_request?ID=102321" xr:uid="{9389A19E-68CC-4722-A818-A6E9A8CBFEE4}"/>
    <hyperlink ref="M61" r:id="rId97" display="https://us3.assetplanner.com/service_request?ID=108902" xr:uid="{9708A7E0-4F56-411B-8787-094FA08E4985}"/>
    <hyperlink ref="N61" r:id="rId98" display="https://us3.assetplanner.com/service_request?ID=103636" xr:uid="{2FC44AAA-3C9A-4449-A5D6-ECDFA56E8000}"/>
    <hyperlink ref="O61" r:id="rId99" display="https://us3.assetplanner.com/service_request?ID=102539" xr:uid="{487F0229-B874-4B30-BB3C-DF920A96934D}"/>
    <hyperlink ref="P61" r:id="rId100" display="https://us3.assetplanner.com/service_request?ID=104882" xr:uid="{19F7A1B8-CB11-46E4-BD6C-C6AD6EFC356E}"/>
    <hyperlink ref="K62" r:id="rId101" display="https://us3.assetplanner.com/service_request?ID=102329" xr:uid="{A0456133-BC0C-4166-91B7-D7C33C56EFCB}"/>
    <hyperlink ref="M62" r:id="rId102" display="https://us3.assetplanner.com/service_request?ID=105139" xr:uid="{90996B21-E19D-437A-A962-F004836B8288}"/>
    <hyperlink ref="N62" r:id="rId103" display="https://us3.assetplanner.com/service_request?ID=106828" xr:uid="{F2090C4B-3532-495B-A5A8-4E702C4E299C}"/>
    <hyperlink ref="O62" r:id="rId104" display="https://us3.assetplanner.com/service_request?ID=109164" xr:uid="{578870A2-FC54-4A73-9F16-AE9F5052B051}"/>
    <hyperlink ref="K63" r:id="rId105" display="https://us3.assetplanner.com/service_request?ID=102303" xr:uid="{93FDBEE0-ECEA-448C-BD2B-A4AEAC60313C}"/>
    <hyperlink ref="K64" r:id="rId106" display="https://us3.assetplanner.com/service_request?ID=102411" xr:uid="{8FDBFEAC-1B94-49F5-B83B-A133ECE5CDE0}"/>
    <hyperlink ref="K65" r:id="rId107" display="https://us3.assetplanner.com/service_request?ID=106531" xr:uid="{67376F5B-6A48-4C7F-9C70-B33C910CC1C9}"/>
    <hyperlink ref="K66" r:id="rId108" display="https://us3.assetplanner.com/service_request?ID=108501" xr:uid="{5F889FDE-7F23-4737-9F97-8B645658C6B0}"/>
    <hyperlink ref="M66" r:id="rId109" display="https://us3.assetplanner.com/service_request?ID=107991" xr:uid="{F477C2D6-C321-41C7-A971-CFF5FCE8B22E}"/>
    <hyperlink ref="N66" r:id="rId110" display="https://us3.assetplanner.com/service_request?ID=102310" xr:uid="{EF0A447F-8E25-46D3-BB02-B03A513EEF25}"/>
    <hyperlink ref="K67" r:id="rId111" display="https://us3.assetplanner.com/service_request?ID=104289" xr:uid="{5ACFA657-95E0-43A9-A3FE-30C02D39B740}"/>
    <hyperlink ref="K68" r:id="rId112" display="https://us3.assetplanner.com/service_request?ID=102450" xr:uid="{7E7B553D-0DCA-4794-8F94-705567ADD685}"/>
    <hyperlink ref="K69" r:id="rId113" display="https://us3.assetplanner.com/service_request?ID=102413" xr:uid="{0F0109A7-8D99-479B-8AF0-E8E3EC74477F}"/>
    <hyperlink ref="M69" r:id="rId114" display="https://us3.assetplanner.com/service_request?ID=108898" xr:uid="{0673D7B7-C5FE-47B1-8F71-906A1A143F73}"/>
    <hyperlink ref="K70" r:id="rId115" display="https://us3.assetplanner.com/service_request?ID=106842" xr:uid="{7E8368EB-F723-4C5A-B9B5-F5FC35E5CC60}"/>
    <hyperlink ref="M70" r:id="rId116" display="https://us3.assetplanner.com/service_request?ID=102425" xr:uid="{1DD19606-0E51-48C1-979C-BABE49A74BE0}"/>
    <hyperlink ref="N70" r:id="rId117" display="https://us3.assetplanner.com/service_request?ID=106842" xr:uid="{2DE66E64-33D3-4D63-ABAD-E1BFC9921011}"/>
    <hyperlink ref="K71" r:id="rId118" display="https://us3.assetplanner.com/service_request?ID=102820" xr:uid="{D12EC23A-4FA1-4E47-A04F-C57FC1F3B88B}"/>
    <hyperlink ref="M71" r:id="rId119" display="https://us3.assetplanner.com/service_request?ID=104290" xr:uid="{4F510303-B517-4099-9FB5-6E91DFFFC338}"/>
    <hyperlink ref="K72" r:id="rId120" display="https://us3.assetplanner.com/service_request?ID=102424" xr:uid="{2201F570-45AE-4397-826A-AA47801DA949}"/>
    <hyperlink ref="K73" r:id="rId121" display="https://us3.assetplanner.com/service_request?ID=102423" xr:uid="{B1C6572D-08D2-479E-BD0B-D204E0F9E842}"/>
    <hyperlink ref="M73" r:id="rId122" display="https://us3.assetplanner.com/service_request?ID=108298" xr:uid="{81596B3D-40A5-4840-90D9-E5FA75AD021C}"/>
    <hyperlink ref="K74" r:id="rId123" display="https://us3.assetplanner.com/service_request?ID=102421" xr:uid="{5FC57F0E-9043-4636-9542-8002618CA761}"/>
    <hyperlink ref="M74" r:id="rId124" display="https://us3.assetplanner.com/service_request?ID=108404" xr:uid="{83ACA3CB-2F3F-4BCC-B82C-E8004EF3C8BC}"/>
    <hyperlink ref="K75" r:id="rId125" display="https://us3.assetplanner.com/service_request?ID=102420" xr:uid="{C8F7A7FC-CEFA-40FD-8F8D-A4357B41D059}"/>
    <hyperlink ref="M75" r:id="rId126" display="https://us3.assetplanner.com/service_request?ID=109601" xr:uid="{2DD524EC-C57C-4D89-9335-A0DE75BE786F}"/>
    <hyperlink ref="N75" r:id="rId127" display="https://us3.assetplanner.com/service_request?ID=109601" xr:uid="{AF04E6AE-02CB-4D3C-8AF4-AF3E3BA6C6D1}"/>
    <hyperlink ref="K76" r:id="rId128" display="https://us3.assetplanner.com/service_request?ID=108494" xr:uid="{2310F2E7-B45B-48F1-AEDC-CAEB87F8AF12}"/>
    <hyperlink ref="M76" r:id="rId129" display="https://us3.assetplanner.com/service_request?ID=106851" xr:uid="{C32DF6E3-3E9D-4738-82C4-2141B5AAC26A}"/>
    <hyperlink ref="N76" r:id="rId130" display="https://us3.assetplanner.com/service_request?ID=103869" xr:uid="{91EC29CD-7CB5-4549-9854-1C6DD75A5020}"/>
    <hyperlink ref="O76" r:id="rId131" display="https://us3.assetplanner.com/service_request?ID=110121" xr:uid="{8ECE2C18-FF3E-42B1-9C8C-32F462589DC6}"/>
    <hyperlink ref="K77" r:id="rId132" display="https://us3.assetplanner.com/service_request?ID=108282" xr:uid="{2F1E16B8-2363-49F4-8F89-CF3FB8B7BCFC}"/>
    <hyperlink ref="M77" r:id="rId133" display="https://us3.assetplanner.com/service_request?ID=103868" xr:uid="{83670905-455F-43C3-ABBB-635BFF31A071}"/>
    <hyperlink ref="K78" r:id="rId134" display="https://us3.assetplanner.com/service_request?ID=103867" xr:uid="{A1C51646-19F0-4322-B497-94D0E7E05F69}"/>
    <hyperlink ref="K79" r:id="rId135" display="https://us3.assetplanner.com/service_request?ID=103866" xr:uid="{CB7D6612-0051-4808-B35A-9305EF504383}"/>
    <hyperlink ref="K80" r:id="rId136" display="https://us3.assetplanner.com/service_request?ID=104456" xr:uid="{EB701DA3-C0A6-4B88-861E-974A360B955B}"/>
    <hyperlink ref="K82" r:id="rId137" display="https://us3.assetplanner.com/service_request?ID=104776" xr:uid="{00AD895B-7F92-4F12-B1D0-37E415C59A43}"/>
    <hyperlink ref="K83" r:id="rId138" display="https://us3.assetplanner.com/service_request?ID=103946" xr:uid="{79BDD467-35CF-4947-9926-F002DA4698FD}"/>
    <hyperlink ref="M83" r:id="rId139" display="https://us3.assetplanner.com/service_request?ID=104855" xr:uid="{CABF15A9-A55F-4AD6-B7FA-8709329356B5}"/>
    <hyperlink ref="K84" r:id="rId140" display="https://us3.assetplanner.com/service_request?ID=106885" xr:uid="{5E32B45D-7C32-4E8E-BA92-80BFBB8BA1E2}"/>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13"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8" t="str" cm="1">
        <f t="array" ref="A1">portfolio</f>
        <v>Clean Capital</v>
      </c>
      <c r="B1" s="118"/>
      <c r="C1" s="118"/>
      <c r="D1" s="119" t="s">
        <v>831</v>
      </c>
      <c r="E1" s="119"/>
      <c r="F1" s="119"/>
      <c r="G1" s="117" t="s">
        <v>832</v>
      </c>
      <c r="H1" s="117"/>
      <c r="I1" s="117"/>
      <c r="J1" s="4"/>
      <c r="K1" s="4"/>
    </row>
    <row r="2" spans="1:11" ht="19.5" customHeight="1">
      <c r="A2" s="120" t="s">
        <v>2</v>
      </c>
      <c r="B2" s="120"/>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18" t="str" cm="1">
        <f t="array" ref="A1">portfolio</f>
        <v>Clean Capital</v>
      </c>
      <c r="B1" s="118"/>
      <c r="C1" s="118"/>
      <c r="D1" s="119" t="s">
        <v>833</v>
      </c>
      <c r="E1" s="119"/>
      <c r="F1" s="119"/>
      <c r="G1" s="117" t="s">
        <v>834</v>
      </c>
      <c r="H1" s="117"/>
      <c r="I1" s="117"/>
      <c r="J1" s="4"/>
      <c r="K1" s="4"/>
    </row>
    <row r="2" spans="1:11" ht="19.5" customHeight="1">
      <c r="A2" s="120" t="s">
        <v>2</v>
      </c>
      <c r="B2" s="120"/>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14" activePane="bottomLeft" state="frozen"/>
      <selection pane="bottomLeft" activeCell="A21" sqref="A2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835</v>
      </c>
      <c r="B1" t="s">
        <v>836</v>
      </c>
    </row>
    <row r="3" spans="1:12" ht="13.15">
      <c r="A3" t="s">
        <v>837</v>
      </c>
      <c r="B3" t="s">
        <v>3</v>
      </c>
      <c r="C3" t="s">
        <v>4</v>
      </c>
      <c r="D3" t="s">
        <v>838</v>
      </c>
      <c r="E3" s="2" t="s">
        <v>839</v>
      </c>
    </row>
    <row r="4" spans="1:12" ht="14.45">
      <c r="A4" s="18" t="s">
        <v>840</v>
      </c>
      <c r="B4" t="s">
        <v>841</v>
      </c>
      <c r="C4" s="17" t="s">
        <v>842</v>
      </c>
      <c r="D4" s="16"/>
      <c r="E4" t="s">
        <v>843</v>
      </c>
      <c r="G4" s="3"/>
    </row>
    <row r="5" spans="1:12" ht="14.45">
      <c r="A5" s="18" t="s">
        <v>844</v>
      </c>
      <c r="B5" t="s">
        <v>845</v>
      </c>
      <c r="C5" s="17" t="s">
        <v>846</v>
      </c>
      <c r="D5" s="16"/>
      <c r="E5" t="s">
        <v>847</v>
      </c>
      <c r="G5" s="3"/>
    </row>
    <row r="6" spans="1:12" ht="12.75" customHeight="1">
      <c r="A6" s="18" t="s">
        <v>848</v>
      </c>
      <c r="B6" t="s">
        <v>848</v>
      </c>
      <c r="C6" s="17" t="s">
        <v>842</v>
      </c>
      <c r="D6" s="16"/>
      <c r="E6" t="s">
        <v>849</v>
      </c>
      <c r="K6" s="15"/>
      <c r="L6" s="15"/>
    </row>
    <row r="7" spans="1:12" ht="12.75" customHeight="1">
      <c r="A7" s="64" t="s">
        <v>850</v>
      </c>
      <c r="B7" s="65" t="s">
        <v>851</v>
      </c>
      <c r="C7" s="17" t="s">
        <v>842</v>
      </c>
      <c r="E7" t="s">
        <v>843</v>
      </c>
      <c r="K7" s="15"/>
      <c r="L7" s="15"/>
    </row>
    <row r="8" spans="1:12" ht="12.75" customHeight="1">
      <c r="A8" s="64" t="s">
        <v>852</v>
      </c>
      <c r="B8" s="65" t="s">
        <v>853</v>
      </c>
      <c r="C8" s="17" t="s">
        <v>854</v>
      </c>
      <c r="E8" s="70" t="s">
        <v>855</v>
      </c>
      <c r="K8" s="15"/>
      <c r="L8" s="15"/>
    </row>
    <row r="9" spans="1:12" ht="12.75" customHeight="1">
      <c r="A9" s="64" t="s">
        <v>856</v>
      </c>
      <c r="B9" s="65" t="s">
        <v>857</v>
      </c>
      <c r="C9" s="17" t="s">
        <v>858</v>
      </c>
      <c r="D9" t="s">
        <v>859</v>
      </c>
      <c r="E9" t="s">
        <v>849</v>
      </c>
      <c r="K9" s="15"/>
      <c r="L9" s="15"/>
    </row>
    <row r="10" spans="1:12" ht="12.75" customHeight="1">
      <c r="A10" s="64" t="s">
        <v>860</v>
      </c>
      <c r="B10" s="65" t="s">
        <v>861</v>
      </c>
      <c r="C10" s="17" t="s">
        <v>858</v>
      </c>
      <c r="D10" t="s">
        <v>859</v>
      </c>
      <c r="E10" t="s">
        <v>849</v>
      </c>
    </row>
    <row r="11" spans="1:12" ht="12.75" customHeight="1">
      <c r="A11" s="64" t="s">
        <v>862</v>
      </c>
      <c r="B11" s="65" t="s">
        <v>863</v>
      </c>
      <c r="C11" s="17" t="s">
        <v>858</v>
      </c>
      <c r="D11" t="s">
        <v>859</v>
      </c>
      <c r="E11" t="s">
        <v>849</v>
      </c>
    </row>
    <row r="12" spans="1:12" ht="12.75" customHeight="1">
      <c r="A12" s="64" t="s">
        <v>864</v>
      </c>
      <c r="B12" s="65" t="s">
        <v>865</v>
      </c>
      <c r="C12" s="17" t="s">
        <v>858</v>
      </c>
      <c r="D12" t="s">
        <v>859</v>
      </c>
      <c r="E12" t="s">
        <v>849</v>
      </c>
    </row>
    <row r="13" spans="1:12" ht="12.75" customHeight="1">
      <c r="A13" s="64" t="s">
        <v>866</v>
      </c>
      <c r="B13" s="65" t="s">
        <v>867</v>
      </c>
      <c r="C13" s="17" t="s">
        <v>858</v>
      </c>
      <c r="D13" t="s">
        <v>859</v>
      </c>
      <c r="E13" t="s">
        <v>849</v>
      </c>
    </row>
    <row r="14" spans="1:12" ht="12.75" customHeight="1">
      <c r="A14" s="64" t="s">
        <v>868</v>
      </c>
      <c r="B14" s="65" t="s">
        <v>869</v>
      </c>
      <c r="C14" s="17" t="s">
        <v>858</v>
      </c>
      <c r="E14" t="s">
        <v>849</v>
      </c>
    </row>
    <row r="15" spans="1:12" ht="12.75" customHeight="1">
      <c r="A15" s="64" t="s">
        <v>870</v>
      </c>
      <c r="B15" s="65" t="s">
        <v>871</v>
      </c>
      <c r="C15" s="17" t="s">
        <v>858</v>
      </c>
      <c r="D15" t="s">
        <v>859</v>
      </c>
      <c r="E15" t="s">
        <v>849</v>
      </c>
    </row>
    <row r="16" spans="1:12" ht="12.75" customHeight="1">
      <c r="A16" s="64" t="s">
        <v>872</v>
      </c>
      <c r="B16" s="65" t="s">
        <v>873</v>
      </c>
      <c r="C16" s="17" t="s">
        <v>858</v>
      </c>
      <c r="D16" t="s">
        <v>859</v>
      </c>
      <c r="E16" t="s">
        <v>849</v>
      </c>
    </row>
    <row r="17" spans="1:5" ht="12.75" customHeight="1">
      <c r="A17" s="64" t="s">
        <v>874</v>
      </c>
      <c r="B17" s="65" t="s">
        <v>875</v>
      </c>
      <c r="C17" s="17" t="s">
        <v>876</v>
      </c>
      <c r="E17" t="s">
        <v>877</v>
      </c>
    </row>
    <row r="18" spans="1:5" ht="12.75" customHeight="1">
      <c r="A18" s="64" t="s">
        <v>878</v>
      </c>
      <c r="B18" s="65" t="s">
        <v>879</v>
      </c>
      <c r="C18" s="17" t="s">
        <v>876</v>
      </c>
      <c r="E18" t="s">
        <v>877</v>
      </c>
    </row>
    <row r="19" spans="1:5" ht="12.75" customHeight="1">
      <c r="A19" s="64" t="s">
        <v>880</v>
      </c>
      <c r="B19" s="65" t="s">
        <v>881</v>
      </c>
      <c r="C19" s="17" t="s">
        <v>876</v>
      </c>
      <c r="E19" t="s">
        <v>882</v>
      </c>
    </row>
    <row r="20" spans="1:5" ht="12.75" customHeight="1">
      <c r="A20" s="64" t="s">
        <v>883</v>
      </c>
      <c r="B20" s="65" t="s">
        <v>884</v>
      </c>
      <c r="C20" s="17" t="s">
        <v>854</v>
      </c>
      <c r="E20" t="s">
        <v>882</v>
      </c>
    </row>
    <row r="21" spans="1:5" ht="12.75" customHeight="1">
      <c r="A21" s="64" t="s">
        <v>885</v>
      </c>
      <c r="B21" s="65" t="s">
        <v>886</v>
      </c>
      <c r="C21" s="17" t="s">
        <v>887</v>
      </c>
      <c r="E21" t="s">
        <v>882</v>
      </c>
    </row>
    <row r="22" spans="1:5" ht="12.75" customHeight="1">
      <c r="A22" s="64" t="s">
        <v>888</v>
      </c>
      <c r="B22" s="65" t="s">
        <v>889</v>
      </c>
      <c r="C22" s="17" t="s">
        <v>887</v>
      </c>
      <c r="E22" t="s">
        <v>882</v>
      </c>
    </row>
    <row r="23" spans="1:5" ht="12.75" customHeight="1">
      <c r="A23" s="64" t="s">
        <v>890</v>
      </c>
      <c r="B23" s="65" t="s">
        <v>890</v>
      </c>
      <c r="C23" s="17" t="s">
        <v>876</v>
      </c>
      <c r="E23" t="s">
        <v>891</v>
      </c>
    </row>
    <row r="24" spans="1:5" ht="12.75" customHeight="1">
      <c r="A24" s="64" t="s">
        <v>892</v>
      </c>
      <c r="B24" s="65" t="s">
        <v>893</v>
      </c>
      <c r="C24" s="17" t="s">
        <v>876</v>
      </c>
      <c r="E24" t="s">
        <v>891</v>
      </c>
    </row>
    <row r="25" spans="1:5" ht="12.75" customHeight="1">
      <c r="A25" s="64" t="s">
        <v>894</v>
      </c>
      <c r="B25" s="65" t="s">
        <v>895</v>
      </c>
      <c r="C25" s="17" t="s">
        <v>846</v>
      </c>
      <c r="D25" t="s">
        <v>896</v>
      </c>
      <c r="E25" t="s">
        <v>897</v>
      </c>
    </row>
    <row r="26" spans="1:5" ht="12.75" customHeight="1">
      <c r="A26" s="64" t="s">
        <v>898</v>
      </c>
      <c r="B26" s="65" t="s">
        <v>899</v>
      </c>
      <c r="C26" s="17" t="s">
        <v>900</v>
      </c>
      <c r="D26" t="s">
        <v>896</v>
      </c>
      <c r="E26" t="s">
        <v>897</v>
      </c>
    </row>
    <row r="27" spans="1:5" ht="12.75" customHeight="1">
      <c r="A27" s="64" t="s">
        <v>901</v>
      </c>
      <c r="B27" s="65" t="s">
        <v>902</v>
      </c>
      <c r="C27" s="17" t="s">
        <v>903</v>
      </c>
      <c r="D27" t="s">
        <v>896</v>
      </c>
      <c r="E27" t="s">
        <v>897</v>
      </c>
    </row>
    <row r="28" spans="1:5" ht="12.75" customHeight="1">
      <c r="A28" s="64" t="s">
        <v>904</v>
      </c>
      <c r="B28" s="65" t="s">
        <v>905</v>
      </c>
      <c r="C28" s="17" t="s">
        <v>903</v>
      </c>
      <c r="D28" t="s">
        <v>896</v>
      </c>
      <c r="E28" t="s">
        <v>897</v>
      </c>
    </row>
    <row r="29" spans="1:5" ht="12.75" customHeight="1">
      <c r="A29" s="64" t="s">
        <v>906</v>
      </c>
      <c r="B29" s="65" t="s">
        <v>907</v>
      </c>
      <c r="C29" s="17" t="s">
        <v>903</v>
      </c>
      <c r="E29" t="s">
        <v>897</v>
      </c>
    </row>
    <row r="30" spans="1:5" ht="12.75" customHeight="1">
      <c r="A30" s="64" t="s">
        <v>908</v>
      </c>
      <c r="B30" s="65" t="s">
        <v>909</v>
      </c>
      <c r="C30" s="17" t="s">
        <v>903</v>
      </c>
      <c r="D30" t="s">
        <v>896</v>
      </c>
      <c r="E30" t="s">
        <v>897</v>
      </c>
    </row>
    <row r="31" spans="1:5" ht="12.75" customHeight="1">
      <c r="A31" s="64" t="s">
        <v>910</v>
      </c>
      <c r="B31" s="65" t="s">
        <v>911</v>
      </c>
      <c r="C31" s="17" t="s">
        <v>903</v>
      </c>
      <c r="D31" t="s">
        <v>896</v>
      </c>
      <c r="E31" t="s">
        <v>897</v>
      </c>
    </row>
    <row r="32" spans="1:5" ht="12.75" customHeight="1">
      <c r="A32" s="64" t="s">
        <v>912</v>
      </c>
      <c r="B32" s="65" t="s">
        <v>913</v>
      </c>
      <c r="C32" s="17" t="s">
        <v>903</v>
      </c>
      <c r="D32" t="s">
        <v>896</v>
      </c>
      <c r="E32" t="s">
        <v>897</v>
      </c>
    </row>
    <row r="33" spans="1:5" ht="12.75" customHeight="1">
      <c r="A33" s="64" t="s">
        <v>914</v>
      </c>
      <c r="B33" s="65" t="s">
        <v>915</v>
      </c>
      <c r="C33" s="17" t="s">
        <v>903</v>
      </c>
      <c r="E33" t="s">
        <v>897</v>
      </c>
    </row>
    <row r="34" spans="1:5" ht="12.75" customHeight="1">
      <c r="A34" s="64" t="s">
        <v>916</v>
      </c>
      <c r="B34" s="65" t="s">
        <v>917</v>
      </c>
      <c r="C34" s="17" t="s">
        <v>903</v>
      </c>
      <c r="D34" t="s">
        <v>896</v>
      </c>
      <c r="E34" t="s">
        <v>897</v>
      </c>
    </row>
    <row r="35" spans="1:5" ht="12.75" customHeight="1">
      <c r="A35" s="64" t="s">
        <v>918</v>
      </c>
      <c r="B35" s="65" t="s">
        <v>919</v>
      </c>
      <c r="C35" s="17" t="s">
        <v>903</v>
      </c>
      <c r="D35" t="s">
        <v>896</v>
      </c>
      <c r="E35" t="s">
        <v>897</v>
      </c>
    </row>
    <row r="36" spans="1:5" ht="12.75" customHeight="1">
      <c r="A36" s="64" t="s">
        <v>920</v>
      </c>
      <c r="B36" s="65" t="s">
        <v>921</v>
      </c>
      <c r="C36" s="17" t="s">
        <v>903</v>
      </c>
      <c r="D36" t="s">
        <v>896</v>
      </c>
      <c r="E36" t="s">
        <v>897</v>
      </c>
    </row>
    <row r="37" spans="1:5" ht="12.75" customHeight="1">
      <c r="A37" s="64" t="s">
        <v>922</v>
      </c>
      <c r="B37" s="65" t="s">
        <v>923</v>
      </c>
      <c r="C37" s="17" t="s">
        <v>903</v>
      </c>
      <c r="D37" t="s">
        <v>896</v>
      </c>
      <c r="E37" t="s">
        <v>897</v>
      </c>
    </row>
    <row r="38" spans="1:5" ht="12.75" customHeight="1">
      <c r="A38" s="64" t="s">
        <v>924</v>
      </c>
      <c r="B38" s="65" t="s">
        <v>925</v>
      </c>
      <c r="C38" s="17" t="s">
        <v>903</v>
      </c>
      <c r="D38" t="s">
        <v>896</v>
      </c>
      <c r="E38" t="s">
        <v>897</v>
      </c>
    </row>
    <row r="39" spans="1:5" ht="12.75" customHeight="1">
      <c r="A39" s="64" t="s">
        <v>926</v>
      </c>
      <c r="B39" s="65" t="s">
        <v>927</v>
      </c>
      <c r="C39" s="17" t="s">
        <v>903</v>
      </c>
      <c r="D39" t="s">
        <v>896</v>
      </c>
      <c r="E39" t="s">
        <v>897</v>
      </c>
    </row>
    <row r="40" spans="1:5" ht="12.75" customHeight="1">
      <c r="A40" s="64" t="s">
        <v>928</v>
      </c>
      <c r="B40" s="65" t="s">
        <v>929</v>
      </c>
      <c r="C40" s="17" t="s">
        <v>930</v>
      </c>
      <c r="D40" t="s">
        <v>896</v>
      </c>
      <c r="E40" t="s">
        <v>897</v>
      </c>
    </row>
    <row r="41" spans="1:5" ht="12.75" customHeight="1">
      <c r="A41" s="64" t="s">
        <v>931</v>
      </c>
      <c r="B41" s="65" t="s">
        <v>932</v>
      </c>
      <c r="C41" s="17" t="s">
        <v>900</v>
      </c>
      <c r="D41" t="s">
        <v>896</v>
      </c>
      <c r="E41" t="s">
        <v>897</v>
      </c>
    </row>
    <row r="42" spans="1:5" ht="12.75" customHeight="1">
      <c r="A42" s="64" t="s">
        <v>933</v>
      </c>
      <c r="B42" s="65" t="s">
        <v>934</v>
      </c>
      <c r="C42" s="17" t="s">
        <v>900</v>
      </c>
      <c r="D42" t="s">
        <v>896</v>
      </c>
      <c r="E42" t="s">
        <v>897</v>
      </c>
    </row>
    <row r="43" spans="1:5" ht="12.75" customHeight="1">
      <c r="A43" s="64" t="s">
        <v>935</v>
      </c>
      <c r="B43" s="65" t="s">
        <v>936</v>
      </c>
      <c r="C43" s="17" t="s">
        <v>900</v>
      </c>
      <c r="D43" t="s">
        <v>859</v>
      </c>
      <c r="E43" t="s">
        <v>897</v>
      </c>
    </row>
    <row r="44" spans="1:5" ht="12.75" customHeight="1">
      <c r="A44" s="64" t="s">
        <v>937</v>
      </c>
      <c r="B44" s="65" t="s">
        <v>938</v>
      </c>
      <c r="C44" s="17" t="s">
        <v>900</v>
      </c>
      <c r="D44" t="s">
        <v>896</v>
      </c>
      <c r="E44" t="s">
        <v>897</v>
      </c>
    </row>
    <row r="45" spans="1:5" ht="12.75" customHeight="1">
      <c r="A45" s="64" t="s">
        <v>939</v>
      </c>
      <c r="B45" s="65" t="s">
        <v>940</v>
      </c>
      <c r="C45" s="17" t="s">
        <v>900</v>
      </c>
      <c r="D45" t="s">
        <v>896</v>
      </c>
      <c r="E45" t="s">
        <v>897</v>
      </c>
    </row>
    <row r="46" spans="1:5" ht="12.75" customHeight="1">
      <c r="A46" s="64" t="s">
        <v>941</v>
      </c>
      <c r="B46" s="65" t="s">
        <v>942</v>
      </c>
      <c r="C46" s="17" t="s">
        <v>900</v>
      </c>
      <c r="D46" t="s">
        <v>896</v>
      </c>
      <c r="E46" t="s">
        <v>897</v>
      </c>
    </row>
    <row r="47" spans="1:5" ht="12.75" customHeight="1">
      <c r="A47" s="64" t="s">
        <v>943</v>
      </c>
      <c r="B47" s="65" t="s">
        <v>944</v>
      </c>
      <c r="C47" s="17" t="s">
        <v>846</v>
      </c>
      <c r="D47" t="s">
        <v>896</v>
      </c>
      <c r="E47" t="s">
        <v>897</v>
      </c>
    </row>
    <row r="48" spans="1:5" ht="12.75" customHeight="1">
      <c r="A48" s="64" t="s">
        <v>945</v>
      </c>
      <c r="B48" s="65" t="s">
        <v>946</v>
      </c>
      <c r="C48" s="17" t="s">
        <v>846</v>
      </c>
      <c r="E48" t="s">
        <v>897</v>
      </c>
    </row>
    <row r="49" spans="1:5" ht="12.75" customHeight="1">
      <c r="A49" s="64" t="s">
        <v>947</v>
      </c>
      <c r="B49" s="65" t="s">
        <v>948</v>
      </c>
      <c r="C49" s="17" t="s">
        <v>846</v>
      </c>
      <c r="D49" t="s">
        <v>896</v>
      </c>
      <c r="E49" t="s">
        <v>897</v>
      </c>
    </row>
    <row r="50" spans="1:5" ht="12.75" customHeight="1">
      <c r="A50" s="64" t="s">
        <v>949</v>
      </c>
      <c r="B50" s="65" t="s">
        <v>950</v>
      </c>
      <c r="C50" s="17" t="s">
        <v>846</v>
      </c>
      <c r="D50" t="s">
        <v>896</v>
      </c>
      <c r="E50" t="s">
        <v>897</v>
      </c>
    </row>
    <row r="51" spans="1:5" ht="12.75" customHeight="1">
      <c r="A51" s="64" t="s">
        <v>951</v>
      </c>
      <c r="B51" s="65" t="s">
        <v>952</v>
      </c>
      <c r="C51" s="17" t="s">
        <v>846</v>
      </c>
      <c r="D51" t="s">
        <v>896</v>
      </c>
      <c r="E51" t="s">
        <v>897</v>
      </c>
    </row>
    <row r="52" spans="1:5" ht="12.75" customHeight="1">
      <c r="A52" s="64" t="s">
        <v>953</v>
      </c>
      <c r="B52" s="65" t="s">
        <v>954</v>
      </c>
      <c r="C52" s="17" t="s">
        <v>846</v>
      </c>
      <c r="D52" t="s">
        <v>896</v>
      </c>
      <c r="E52" t="s">
        <v>897</v>
      </c>
    </row>
    <row r="53" spans="1:5" ht="12.75" customHeight="1">
      <c r="A53" s="64" t="s">
        <v>955</v>
      </c>
      <c r="B53" s="65" t="s">
        <v>956</v>
      </c>
      <c r="C53" s="17" t="s">
        <v>846</v>
      </c>
      <c r="E53" t="s">
        <v>897</v>
      </c>
    </row>
    <row r="54" spans="1:5" ht="12.75" customHeight="1">
      <c r="A54" s="64" t="s">
        <v>957</v>
      </c>
      <c r="B54" s="65" t="s">
        <v>958</v>
      </c>
      <c r="C54" s="17" t="s">
        <v>846</v>
      </c>
      <c r="D54" t="s">
        <v>896</v>
      </c>
      <c r="E54" t="s">
        <v>897</v>
      </c>
    </row>
    <row r="55" spans="1:5" ht="12.75" customHeight="1">
      <c r="A55" s="64" t="s">
        <v>959</v>
      </c>
      <c r="B55" s="65" t="s">
        <v>960</v>
      </c>
      <c r="C55" s="17" t="s">
        <v>846</v>
      </c>
      <c r="D55" t="s">
        <v>896</v>
      </c>
      <c r="E55" t="s">
        <v>897</v>
      </c>
    </row>
    <row r="56" spans="1:5" ht="12.75" customHeight="1">
      <c r="A56" s="64" t="s">
        <v>961</v>
      </c>
      <c r="B56" s="65" t="s">
        <v>962</v>
      </c>
      <c r="C56" s="17" t="s">
        <v>846</v>
      </c>
      <c r="D56" t="s">
        <v>896</v>
      </c>
      <c r="E56" t="s">
        <v>897</v>
      </c>
    </row>
    <row r="57" spans="1:5" ht="12.75" customHeight="1">
      <c r="A57" s="64" t="s">
        <v>963</v>
      </c>
      <c r="B57" s="65" t="s">
        <v>964</v>
      </c>
      <c r="C57" s="17" t="s">
        <v>846</v>
      </c>
      <c r="D57" t="s">
        <v>896</v>
      </c>
      <c r="E57" t="s">
        <v>897</v>
      </c>
    </row>
    <row r="58" spans="1:5" ht="12.75" customHeight="1">
      <c r="A58" s="64" t="s">
        <v>965</v>
      </c>
      <c r="B58" s="65" t="s">
        <v>966</v>
      </c>
      <c r="C58" s="17" t="s">
        <v>846</v>
      </c>
      <c r="D58" t="s">
        <v>896</v>
      </c>
      <c r="E58" t="s">
        <v>897</v>
      </c>
    </row>
    <row r="59" spans="1:5" ht="12.75" customHeight="1">
      <c r="A59" s="64" t="s">
        <v>967</v>
      </c>
      <c r="B59" s="65" t="s">
        <v>968</v>
      </c>
      <c r="C59" s="17" t="s">
        <v>846</v>
      </c>
      <c r="D59" t="s">
        <v>896</v>
      </c>
      <c r="E59" t="s">
        <v>897</v>
      </c>
    </row>
    <row r="60" spans="1:5" ht="12.75" customHeight="1">
      <c r="A60" s="64" t="s">
        <v>969</v>
      </c>
      <c r="B60" s="65" t="s">
        <v>970</v>
      </c>
      <c r="C60" s="17" t="s">
        <v>846</v>
      </c>
      <c r="D60" t="s">
        <v>896</v>
      </c>
      <c r="E60" t="s">
        <v>897</v>
      </c>
    </row>
    <row r="61" spans="1:5" ht="12.75" customHeight="1">
      <c r="A61" s="64" t="s">
        <v>954</v>
      </c>
      <c r="B61" s="65" t="s">
        <v>953</v>
      </c>
      <c r="C61" s="17" t="s">
        <v>846</v>
      </c>
      <c r="E61" t="s">
        <v>897</v>
      </c>
    </row>
    <row r="62" spans="1:5" ht="12.75" customHeight="1">
      <c r="A62" s="64" t="s">
        <v>971</v>
      </c>
      <c r="B62" s="65" t="s">
        <v>972</v>
      </c>
      <c r="C62" s="17" t="s">
        <v>846</v>
      </c>
      <c r="D62" t="s">
        <v>896</v>
      </c>
      <c r="E62" t="s">
        <v>897</v>
      </c>
    </row>
    <row r="63" spans="1:5" ht="12.75" customHeight="1">
      <c r="A63" s="64" t="s">
        <v>973</v>
      </c>
      <c r="B63" s="65" t="s">
        <v>974</v>
      </c>
      <c r="C63" s="17" t="s">
        <v>846</v>
      </c>
      <c r="D63" t="s">
        <v>896</v>
      </c>
      <c r="E63" t="s">
        <v>897</v>
      </c>
    </row>
    <row r="64" spans="1:5" ht="12.75" customHeight="1">
      <c r="A64" s="64" t="s">
        <v>975</v>
      </c>
      <c r="B64" s="65" t="s">
        <v>976</v>
      </c>
      <c r="C64" s="17" t="s">
        <v>846</v>
      </c>
      <c r="D64" t="s">
        <v>896</v>
      </c>
      <c r="E64" t="s">
        <v>897</v>
      </c>
    </row>
    <row r="65" spans="1:5" ht="12.75" customHeight="1">
      <c r="A65" s="64" t="s">
        <v>977</v>
      </c>
      <c r="B65" s="65" t="s">
        <v>978</v>
      </c>
      <c r="C65" s="17" t="s">
        <v>846</v>
      </c>
      <c r="D65" t="s">
        <v>896</v>
      </c>
      <c r="E65" t="s">
        <v>897</v>
      </c>
    </row>
    <row r="66" spans="1:5" ht="12.75" customHeight="1">
      <c r="A66" s="64" t="s">
        <v>979</v>
      </c>
      <c r="B66" s="65" t="s">
        <v>980</v>
      </c>
      <c r="C66" s="17" t="s">
        <v>846</v>
      </c>
      <c r="D66" t="s">
        <v>896</v>
      </c>
      <c r="E66" t="s">
        <v>897</v>
      </c>
    </row>
    <row r="67" spans="1:5" ht="12.75" customHeight="1">
      <c r="A67" s="64" t="s">
        <v>981</v>
      </c>
      <c r="B67" s="65" t="s">
        <v>982</v>
      </c>
      <c r="C67" s="17" t="s">
        <v>846</v>
      </c>
      <c r="D67" t="s">
        <v>896</v>
      </c>
      <c r="E67" t="s">
        <v>897</v>
      </c>
    </row>
    <row r="68" spans="1:5" ht="12.75" customHeight="1">
      <c r="A68" s="64" t="s">
        <v>983</v>
      </c>
      <c r="B68" s="65" t="s">
        <v>984</v>
      </c>
      <c r="C68" s="17" t="s">
        <v>846</v>
      </c>
      <c r="D68" t="s">
        <v>896</v>
      </c>
      <c r="E68" t="s">
        <v>897</v>
      </c>
    </row>
    <row r="69" spans="1:5" ht="12.75" customHeight="1">
      <c r="A69" s="64" t="s">
        <v>985</v>
      </c>
      <c r="B69" s="65" t="s">
        <v>986</v>
      </c>
      <c r="C69" s="17" t="s">
        <v>846</v>
      </c>
      <c r="D69" t="s">
        <v>896</v>
      </c>
      <c r="E69" t="s">
        <v>897</v>
      </c>
    </row>
    <row r="70" spans="1:5" ht="12.75" customHeight="1">
      <c r="A70" s="64" t="s">
        <v>987</v>
      </c>
      <c r="B70" s="65" t="s">
        <v>988</v>
      </c>
      <c r="C70" s="17" t="s">
        <v>846</v>
      </c>
      <c r="D70" t="s">
        <v>896</v>
      </c>
      <c r="E70" t="s">
        <v>897</v>
      </c>
    </row>
    <row r="71" spans="1:5" ht="12.75" customHeight="1">
      <c r="A71" s="64" t="s">
        <v>989</v>
      </c>
      <c r="B71" s="65" t="s">
        <v>990</v>
      </c>
      <c r="C71" s="17" t="s">
        <v>846</v>
      </c>
      <c r="D71" t="s">
        <v>896</v>
      </c>
      <c r="E71" t="s">
        <v>897</v>
      </c>
    </row>
    <row r="72" spans="1:5" ht="12.75" customHeight="1">
      <c r="A72" s="64" t="s">
        <v>991</v>
      </c>
      <c r="B72" s="65" t="s">
        <v>992</v>
      </c>
      <c r="C72" s="17" t="s">
        <v>846</v>
      </c>
      <c r="D72" t="s">
        <v>896</v>
      </c>
      <c r="E72" t="s">
        <v>897</v>
      </c>
    </row>
    <row r="73" spans="1:5" ht="12.75" customHeight="1">
      <c r="A73" s="64" t="s">
        <v>993</v>
      </c>
      <c r="B73" s="65" t="s">
        <v>994</v>
      </c>
      <c r="C73" s="17" t="s">
        <v>846</v>
      </c>
      <c r="D73" t="s">
        <v>896</v>
      </c>
      <c r="E73" t="s">
        <v>897</v>
      </c>
    </row>
    <row r="74" spans="1:5" ht="12.75" customHeight="1">
      <c r="A74" s="64" t="s">
        <v>995</v>
      </c>
      <c r="B74" s="65" t="s">
        <v>996</v>
      </c>
      <c r="C74" s="17" t="s">
        <v>846</v>
      </c>
      <c r="D74" t="s">
        <v>896</v>
      </c>
      <c r="E74" t="s">
        <v>897</v>
      </c>
    </row>
    <row r="75" spans="1:5" ht="12.75" customHeight="1">
      <c r="A75" s="64" t="s">
        <v>997</v>
      </c>
      <c r="B75" s="65" t="s">
        <v>998</v>
      </c>
      <c r="C75" s="17" t="s">
        <v>846</v>
      </c>
      <c r="D75" t="s">
        <v>896</v>
      </c>
      <c r="E75" t="s">
        <v>897</v>
      </c>
    </row>
    <row r="76" spans="1:5" ht="12.75" customHeight="1">
      <c r="A76" s="64" t="s">
        <v>999</v>
      </c>
      <c r="B76" s="65" t="s">
        <v>1000</v>
      </c>
      <c r="C76" s="17" t="s">
        <v>1001</v>
      </c>
      <c r="D76" t="s">
        <v>896</v>
      </c>
      <c r="E76" t="s">
        <v>897</v>
      </c>
    </row>
    <row r="77" spans="1:5" ht="12.75" customHeight="1">
      <c r="A77" s="64" t="s">
        <v>1002</v>
      </c>
      <c r="B77" s="65" t="s">
        <v>1003</v>
      </c>
      <c r="C77" s="17" t="s">
        <v>1004</v>
      </c>
      <c r="D77" t="s">
        <v>1005</v>
      </c>
      <c r="E77" t="s">
        <v>897</v>
      </c>
    </row>
    <row r="78" spans="1:5" ht="12.75" customHeight="1">
      <c r="A78" s="64" t="s">
        <v>1006</v>
      </c>
      <c r="B78" s="65" t="s">
        <v>1007</v>
      </c>
      <c r="C78" s="17" t="s">
        <v>1004</v>
      </c>
      <c r="D78" t="s">
        <v>896</v>
      </c>
      <c r="E78" t="s">
        <v>897</v>
      </c>
    </row>
    <row r="79" spans="1:5" ht="12.75" customHeight="1">
      <c r="A79" s="64" t="s">
        <v>1008</v>
      </c>
      <c r="B79" s="65" t="s">
        <v>1009</v>
      </c>
      <c r="C79" s="17" t="s">
        <v>1004</v>
      </c>
      <c r="D79" t="s">
        <v>896</v>
      </c>
      <c r="E79" t="s">
        <v>897</v>
      </c>
    </row>
    <row r="80" spans="1:5" ht="12.75" customHeight="1">
      <c r="A80" s="64" t="s">
        <v>1010</v>
      </c>
      <c r="B80" s="65" t="s">
        <v>1011</v>
      </c>
      <c r="C80" s="17" t="s">
        <v>1012</v>
      </c>
      <c r="D80" t="s">
        <v>896</v>
      </c>
      <c r="E80" t="s">
        <v>897</v>
      </c>
    </row>
    <row r="81" spans="1:5" ht="12.75" customHeight="1">
      <c r="A81" s="64" t="s">
        <v>1013</v>
      </c>
      <c r="B81" s="65" t="s">
        <v>1014</v>
      </c>
      <c r="C81" s="17" t="s">
        <v>842</v>
      </c>
      <c r="D81" t="s">
        <v>896</v>
      </c>
      <c r="E81" t="s">
        <v>897</v>
      </c>
    </row>
    <row r="82" spans="1:5" ht="12.75" customHeight="1">
      <c r="A82" s="64" t="s">
        <v>1015</v>
      </c>
      <c r="B82" s="65" t="s">
        <v>1016</v>
      </c>
      <c r="C82" s="17" t="s">
        <v>842</v>
      </c>
      <c r="D82" t="s">
        <v>896</v>
      </c>
      <c r="E82" t="s">
        <v>897</v>
      </c>
    </row>
    <row r="83" spans="1:5" ht="12.75" customHeight="1">
      <c r="A83" s="64" t="s">
        <v>1017</v>
      </c>
      <c r="B83" s="65" t="s">
        <v>1018</v>
      </c>
      <c r="C83" s="17" t="s">
        <v>1019</v>
      </c>
      <c r="D83" t="s">
        <v>896</v>
      </c>
      <c r="E83" t="s">
        <v>897</v>
      </c>
    </row>
    <row r="84" spans="1:5" ht="12.75" customHeight="1">
      <c r="A84" s="64" t="s">
        <v>963</v>
      </c>
      <c r="B84" s="65" t="s">
        <v>964</v>
      </c>
      <c r="C84" s="17" t="s">
        <v>846</v>
      </c>
      <c r="E84" t="s">
        <v>897</v>
      </c>
    </row>
    <row r="85" spans="1:5" ht="12.75" customHeight="1">
      <c r="A85" s="64" t="s">
        <v>1020</v>
      </c>
      <c r="B85" s="65" t="s">
        <v>1021</v>
      </c>
      <c r="C85" s="17" t="s">
        <v>1019</v>
      </c>
      <c r="D85" t="s">
        <v>896</v>
      </c>
      <c r="E85" t="s">
        <v>897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0389C43E-394D-44C0-87DC-4780FCFCFB40}"/>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2BC74AAC-D69B-4AF1-9649-B21EF3C1C463}"/>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D3A7101F-9A85-4235-8B03-415370C100B2}"/>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14966E4F-347B-477B-B74C-9DAC05405806}"/>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1954BBA4-0359-438C-B0EC-A756015F7C02}"/>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D892F5B6-D617-458C-B9DE-DC2DF02D33DF}"/>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2025-12-04T08:25:30Z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