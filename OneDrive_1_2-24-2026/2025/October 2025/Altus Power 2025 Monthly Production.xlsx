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1" documentId="13_ncr:1_{54121E3C-5D73-42D9-8D4A-A9E5B81B3703}" xr6:coauthVersionLast="47" xr6:coauthVersionMax="47" xr10:uidLastSave="{D9358E92-4E63-4A7D-BE5D-F3563E279D7F}"/>
  <bookViews>
    <workbookView xWindow="-108" yWindow="-108" windowWidth="23256" windowHeight="13896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C4" i="30"/>
  <c r="G4" i="29"/>
  <c r="G4" i="18"/>
  <c r="E4" i="19"/>
  <c r="E4" i="4"/>
  <c r="G2" i="18" l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F4" i="19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F4" i="4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<sst xmlns="http://schemas.openxmlformats.org/spreadsheetml/2006/main" count="291" uniqueCount="95">
  <si>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</si>
  <si>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</si>
  <si>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</si>
  <si>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</si>
  <si>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</si>
  <si>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</si>
  <si>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</si>
  <si>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</si>
  <si>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</si>
  <si>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</si>
  <si>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</si>
  <si>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</si>
  <si>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</si>
  <si>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</si>
  <si>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</si>
  <si>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</si>
  <si>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</si>
  <si>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</si>
  <si>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</si>
  <si>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</si>
  <si>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</si>
  <si>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</si>
  <si>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1 is derating by 1000kW due to Impulsion fan comms issue from 11/20</t>
  </si>
  <si>
    <t>1.SR093458</t>
  </si>
  <si>
    <t>February Actual v. Expected</t>
  </si>
  <si>
    <t>February Actual v. Forecasted</t>
  </si>
  <si>
    <t>1. Inverter 1 is derating by 1000kW due to Impulsion fan comms issue since 11/20. Waiting on DGA syringe to group with the dispatch.</t>
  </si>
  <si>
    <t>March Actual v. Expected</t>
  </si>
  <si>
    <t>March Actual v. Forecasted</t>
  </si>
  <si>
    <t>1.Inverter 1 was derating by 1000kw due to Impulsion fan Comms issue since 11/20/24. On 03/04, technician replaced bad exhaust fan with new fan and re-energized the inverter but didn't have the required software needed to configure it for proper operation. Again inverter started derating by 1.7MW due to fan fault from 03/29.
2.Inverter 1 tripped offline at 13:45 on 03/15 due to  Fault:197 and back online at 11AM on 03/16 again tripped offline at 12:30 on 03/16 and back online by remote reset at 10:15AM on 03/17. Again tripped offline at 12PM on 03/21 and self resolved and back online on 03/24.
3.Inverter 2 was offline from 03/07 due to Isolation fault and was offline through out the month.</t>
  </si>
  <si>
    <t>1.SR093458 &amp; SR099185
2.SR098335
3.SR098248</t>
  </si>
  <si>
    <t>SR099185</t>
  </si>
  <si>
    <t>SR098335</t>
  </si>
  <si>
    <t>SR098248</t>
  </si>
  <si>
    <t>April Actual v. Expected</t>
  </si>
  <si>
    <t>April Actual v. Forecasted</t>
  </si>
  <si>
    <t>1. Inverter 1 was derating for whole month fan being replaced and during visit on 04/14 technician found twelve AC capacitors requiring replacement.
2. Inverter 2 was tripped offline on 04/06 at 18:00 due to GFDI. inverter 2 needs DC contactors and possibly capacitors.</t>
  </si>
  <si>
    <t>1. SR099994,  SR099185
2.SR099478</t>
  </si>
  <si>
    <t>SR099478</t>
  </si>
  <si>
    <t>May Actual v. Expected</t>
  </si>
  <si>
    <t>May Actual v. Forecasted</t>
  </si>
  <si>
    <t xml:space="preserve">1. Inverter B tripped offline on 04/06 at 18:00 due to a GFDI fault. The inverter requires new DC contactors and possibly capacitors. A technician visited the site on 05/15, installed a new LS filter, and de-energized the inverter; it came back online at 12:00 the same day.Later, on 05/21 at 07:00, Inverter B tripped offline again, reporting an F45 insulation fault. It was remotely reset and came back online at 14:00. Additionally, on 05/22, Inverter B was offline again from 08:45 to 10:30 due to Pratt being on site to replace the SEL-651R reclosing relay on the inverter.
2. Inverter A was derated by 1000KW down on 05/15 at 09:15 technician took the inverter offline to replace capacitors and exhaust fan. later inverter was re-energized at EOD. Additionally, Inverter A was offline from 15:30 to 17:15 on 05/17 while a technician was on site and performing preventive maintenance inspection. Inverter A was intermittently tripping on and off throughout the day on 05/30.
</t>
  </si>
  <si>
    <t>1. SR099478 
SR101785, SR101822
2. SR099994, SR099185, SR102003, SR102210
PM8642</t>
  </si>
  <si>
    <t>SR101785</t>
  </si>
  <si>
    <t>SR101822</t>
  </si>
  <si>
    <t>SR099994</t>
  </si>
  <si>
    <t>SR102003</t>
  </si>
  <si>
    <t>SR102210</t>
  </si>
  <si>
    <t>June Actual v. Expected</t>
  </si>
  <si>
    <t>June Actual v. Forecasted</t>
  </si>
  <si>
    <t>1. Inverter 1 has tripped offline at 19:26 on 06/03 and is reporting "GFDI fuse or fuse holder open." Inverter 1 came back online at 10:15 on 06/04.
2.Inverter 2 started production late at 15:15 on 06/24, and has been derating by 500 kW since 06/15
3.Inverter 1 offline from 06/30</t>
  </si>
  <si>
    <t>1.SR102433
2.SR103157
3.SR103746</t>
  </si>
  <si>
    <t>SR103157</t>
  </si>
  <si>
    <t>SR103746</t>
  </si>
  <si>
    <t>July Actual v. Expected</t>
  </si>
  <si>
    <t>July Actual v. Forecasted</t>
  </si>
  <si>
    <t>1.Inverter 1 offline from 06/30. On 07/23 inverter came back online at 09:00
2. Inverter B was derating by 1000kW from 07/01 to 07/10. Inverter B offline from 07/11. On 07/23 inverter came back online at 11:15 and again started derating byn 500kW from 07/23 to 07/31 at peek hours.
3. Inverter 1 is derating by 300 kW during high irradiance starting from 07/26 due to down a module. 
4. The ratio of meter to inverter production is 97%, it could be a CT issue affecting the total meter production v/s the inverter production for whole month.</t>
  </si>
  <si>
    <t>1. SR103746 , 	SR103157
2. SR103157
3.SR105299
4. SR104462</t>
  </si>
  <si>
    <t>SR105299</t>
  </si>
  <si>
    <t>SR104462</t>
  </si>
  <si>
    <t>August Actual v. Expected</t>
  </si>
  <si>
    <t>August Actual v. Forecasted</t>
  </si>
  <si>
    <t>1.Inverter 2 was offline on 08/01, and Inverter 1 also went offline on 08/04 at 17:00. Both inverters came back online at 10:00 on 08/06. Again inverter 2 stated late for the production at 14:30 on 08/07.
Inverter 2 went offline again on 08/22, followed by Inverter 1 on 08/26. Both inverters came back online at 07:45 on 08/28
2.Inverter 1 went offline on 08/11, and Inverter 2 went offline on 08/12. Both inverters came back online at 11:00 on 08/19.
Inverter 1 tripped offline again from 12:00 to 13:00 on 08/20
3.The site was offline from 07:45 to 10:45 on 08/28 because a technician was on-site to take transformer DGA samples.
4. The ratio of meter to inverter production is 97%, it could be a CT issue affecting the total meter production v/s the inverter production for whole month.</t>
  </si>
  <si>
    <t>1.SR103157 , SR106097
2.SR106001 , SR105299
3.PM8643
4.SR104462</t>
  </si>
  <si>
    <t>SR106097</t>
  </si>
  <si>
    <t>SR106001</t>
  </si>
  <si>
    <t>September Actual v. Expected</t>
  </si>
  <si>
    <t>September Actual v. Forecasted</t>
  </si>
  <si>
    <t>1. Inverter 1 was offline at 16:00 on 09/14 and back online at 08:30 on 09/15
2. Inverter 2 was taken offline by PE at 12:45 on 09/22 and back online at 10:00 on 09/23
3. Inverter 1 was taken offline by PE at 10:45 to 14:00 on 09/23
4. Inverter 2 is offline from 09/25 till end of the month
5. Inverter 1 was offline from 09/27 till end of the month
6. Inverter 1 and 2 was derated for whole month.</t>
  </si>
  <si>
    <t>1.SR106001
2.SR108348
3.SR108442
4.SR106097
5.SR108673
6. SR103157, SR103746</t>
  </si>
  <si>
    <t>SR108348</t>
  </si>
  <si>
    <t>SR108442</t>
  </si>
  <si>
    <t>SR108673</t>
  </si>
  <si>
    <t>October Actual v. Expected</t>
  </si>
  <si>
    <t>October Actual v. Forecasted</t>
  </si>
  <si>
    <t>Status</t>
  </si>
  <si>
    <t>1. Inverter 1 tripped offline at 13:30 on 09/30, reporting "IMI has detected an insulation problem," and was back online at 12:15 on 10/01. and again tripped offline at 11:45 on 10/29 and back online at 13:30 on 10/30.
2. Inverter 2 tripped offline at 13:30 on 09/30, and after a remote reset, it was back online at 16:30 on 10/01.</t>
  </si>
  <si>
    <t>1. SR108673, SR110226
2. SR110267</t>
  </si>
  <si>
    <t>1. pending
2. Closed</t>
  </si>
  <si>
    <t>SR110226</t>
  </si>
  <si>
    <t>SR110267</t>
  </si>
  <si>
    <t>November Actual v. Expected</t>
  </si>
  <si>
    <t>November Actual v. Forecasted</t>
  </si>
  <si>
    <t>1. Inverter 4 is underperforming by 6kW from 11/02 due to stuck tracker.
2. Site tripped offline at 05:15 AM and back online at 06:00 AM on 11/25 due to utility outage.
3. Forecasted data is not available.</t>
  </si>
  <si>
    <t>December Actual v. Expected</t>
  </si>
  <si>
    <t>December Actual v. Forecasted</t>
  </si>
  <si>
    <t>Portfolio:</t>
  </si>
  <si>
    <t>Altus Power</t>
  </si>
  <si>
    <t>Site DAS Name</t>
  </si>
  <si>
    <t>Update</t>
  </si>
  <si>
    <t>DAS</t>
  </si>
  <si>
    <t>Kenyon Energy KS Solar</t>
  </si>
  <si>
    <t>Pratt Solar Farm</t>
  </si>
  <si>
    <t>KS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</si>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</sst>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0" fontId="0" fillId="0" borderId="0" xfId="0" applyAlignment="1">
      <alignment vertical="top"/>
    </xf>
    <xf numFmtId="0" fontId="35" fillId="0" borderId="0" xfId="45" applyAlignment="1">
      <alignment vertical="top"/>
    </xf>
    <xf numFmtId="0" fontId="35" fillId="0" borderId="0" xfId="45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3458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345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335" TargetMode="External"/><Relationship Id="rId2" Type="http://schemas.openxmlformats.org/officeDocument/2006/relationships/hyperlink" Target="https://us3.assetplanner.com/service_request?ID=099185" TargetMode="External"/><Relationship Id="rId1" Type="http://schemas.openxmlformats.org/officeDocument/2006/relationships/hyperlink" Target="https://us3.assetplanner.com/service_request?ID=093458" TargetMode="External"/><Relationship Id="rId4" Type="http://schemas.openxmlformats.org/officeDocument/2006/relationships/hyperlink" Target="https://us3.assetplanner.com/service_request?ID=09824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478" TargetMode="External"/><Relationship Id="rId2" Type="http://schemas.openxmlformats.org/officeDocument/2006/relationships/hyperlink" Target="https://us3.assetplanner.com/service_request?ID=099185" TargetMode="External"/><Relationship Id="rId1" Type="http://schemas.openxmlformats.org/officeDocument/2006/relationships/hyperlink" Target="https://us3.assetplanner.com/service_request?ID=09999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822" TargetMode="External"/><Relationship Id="rId7" Type="http://schemas.openxmlformats.org/officeDocument/2006/relationships/hyperlink" Target="https://us3.assetplanner.com/service_request?ID=102210" TargetMode="External"/><Relationship Id="rId2" Type="http://schemas.openxmlformats.org/officeDocument/2006/relationships/hyperlink" Target="https://us3.assetplanner.com/service_request?ID=101785" TargetMode="External"/><Relationship Id="rId1" Type="http://schemas.openxmlformats.org/officeDocument/2006/relationships/hyperlink" Target="https://us3.assetplanner.com/service_request?ID=099478" TargetMode="External"/><Relationship Id="rId6" Type="http://schemas.openxmlformats.org/officeDocument/2006/relationships/hyperlink" Target="https://us3.assetplanner.com/service_request?ID=102003" TargetMode="External"/><Relationship Id="rId5" Type="http://schemas.openxmlformats.org/officeDocument/2006/relationships/hyperlink" Target="https://us3.assetplanner.com/service_request?ID=099185" TargetMode="External"/><Relationship Id="rId4" Type="http://schemas.openxmlformats.org/officeDocument/2006/relationships/hyperlink" Target="https://us3.assetplanner.com/service_request?ID=09999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746" TargetMode="External"/><Relationship Id="rId2" Type="http://schemas.openxmlformats.org/officeDocument/2006/relationships/hyperlink" Target="https://us3.assetplanner.com/service_request?ID=103157" TargetMode="External"/><Relationship Id="rId1" Type="http://schemas.openxmlformats.org/officeDocument/2006/relationships/hyperlink" Target="https://us3.assetplanner.com/service_request?ID=102433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157" TargetMode="External"/><Relationship Id="rId2" Type="http://schemas.openxmlformats.org/officeDocument/2006/relationships/hyperlink" Target="https://us3.assetplanner.com/service_request?ID=103157" TargetMode="External"/><Relationship Id="rId1" Type="http://schemas.openxmlformats.org/officeDocument/2006/relationships/hyperlink" Target="https://us3.assetplanner.com/service_request?ID=103746" TargetMode="External"/><Relationship Id="rId5" Type="http://schemas.openxmlformats.org/officeDocument/2006/relationships/hyperlink" Target="https://us3.assetplanner.com/service_request?ID=104462" TargetMode="External"/><Relationship Id="rId4" Type="http://schemas.openxmlformats.org/officeDocument/2006/relationships/hyperlink" Target="https://us3.assetplanner.com/service_request?ID=105299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6001" TargetMode="External"/><Relationship Id="rId2" Type="http://schemas.openxmlformats.org/officeDocument/2006/relationships/hyperlink" Target="https://us3.assetplanner.com/service_request?ID=106097" TargetMode="External"/><Relationship Id="rId1" Type="http://schemas.openxmlformats.org/officeDocument/2006/relationships/hyperlink" Target="https://us3.assetplanner.com/service_request?ID=103157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us3.assetplanner.com/service_request?ID=104462" TargetMode="External"/><Relationship Id="rId4" Type="http://schemas.openxmlformats.org/officeDocument/2006/relationships/hyperlink" Target="https://us3.assetplanner.com/service_request?ID=105299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8442" TargetMode="External"/><Relationship Id="rId7" Type="http://schemas.openxmlformats.org/officeDocument/2006/relationships/hyperlink" Target="https://us3.assetplanner.com/service_request?ID=103746" TargetMode="External"/><Relationship Id="rId2" Type="http://schemas.openxmlformats.org/officeDocument/2006/relationships/hyperlink" Target="https://us3.assetplanner.com/service_request?ID=108348" TargetMode="External"/><Relationship Id="rId1" Type="http://schemas.openxmlformats.org/officeDocument/2006/relationships/hyperlink" Target="https://us3.assetplanner.com/service_request?ID=106001" TargetMode="External"/><Relationship Id="rId6" Type="http://schemas.openxmlformats.org/officeDocument/2006/relationships/hyperlink" Target="https://us3.assetplanner.com/service_request?ID=103157" TargetMode="External"/><Relationship Id="rId5" Type="http://schemas.openxmlformats.org/officeDocument/2006/relationships/hyperlink" Target="https://us3.assetplanner.com/service_request?ID=108673" TargetMode="External"/><Relationship Id="rId4" Type="http://schemas.openxmlformats.org/officeDocument/2006/relationships/hyperlink" Target="https://us3.assetplanner.com/service_request?ID=106097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10267" TargetMode="External"/><Relationship Id="rId2" Type="http://schemas.openxmlformats.org/officeDocument/2006/relationships/hyperlink" Target="https://us3.assetplanner.com/service_request?ID=110226" TargetMode="External"/><Relationship Id="rId1" Type="http://schemas.openxmlformats.org/officeDocument/2006/relationships/hyperlink" Target="https://us3.assetplanner.com/service_request?ID=108673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4"/>
  <sheetViews>
    <sheetView workbookViewId="0">
      <pane xSplit="2" ySplit="3" topLeftCell="C4" activePane="bottomRight" state="frozen"/>
      <selection pane="bottomRight" activeCell="I4" sqref="I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6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Altus Power</v>
      </c>
      <c r="B1" s="53"/>
      <c r="C1" s="53"/>
      <c r="D1" s="54" t="s">
        <v>0</v>
      </c>
      <c r="E1" s="54"/>
      <c r="F1" s="54"/>
      <c r="G1" s="52" t="s">
        <v>1</v>
      </c>
      <c r="H1" s="52"/>
      <c r="I1" s="52"/>
    </row>
    <row r="2" spans="1:9" ht="19.5" customHeight="1">
      <c r="A2" s="55" t="s">
        <v>2</v>
      </c>
      <c r="B2" s="55"/>
      <c r="C2" s="5">
        <f>SUM(C4:C72)</f>
        <v>6185280</v>
      </c>
      <c r="D2" s="5">
        <f>SUM(D4:D72)</f>
        <v>10534675.718</v>
      </c>
      <c r="E2" s="5">
        <f>C2-D2</f>
        <v>-4349395.7180000003</v>
      </c>
      <c r="F2" s="6">
        <f>IFERROR(E2/D2, 0)</f>
        <v>-0.41286469886950916</v>
      </c>
      <c r="G2" s="5">
        <f>SUM(G4:G72)</f>
        <v>10523806.630000001</v>
      </c>
      <c r="H2" s="7">
        <f>C2-G2</f>
        <v>-4338526.6300000008</v>
      </c>
      <c r="I2" s="6">
        <f>IFERROR(H2/G2, 0)</f>
        <v>-0.41225829992279139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Pratt Solar Farm</v>
      </c>
      <c r="B4" s="9" t="str" cm="1">
        <f t="array" ref="B4">Sites[State]</f>
        <v>KS</v>
      </c>
      <c r="C4" s="18">
        <f>SUM('1st Qtr'!C4, '2nd Qtr'!C4, '3rd Qtr'!C4, '4th Qtr'!C4)</f>
        <v>6185280</v>
      </c>
      <c r="D4" s="11">
        <f>SUM('1st Qtr'!D4, '2nd Qtr'!D4, '3rd Qtr'!D4, '4th Qtr'!D4)</f>
        <v>10534675.718</v>
      </c>
      <c r="E4" s="11">
        <f>IF(AND(ISNUMBER(C4),ISNUMBER(D4)), C4-D4, "")</f>
        <v>-4349395.7180000003</v>
      </c>
      <c r="F4" s="12">
        <f>IFERROR(E4/D4, "")</f>
        <v>-0.41286469886950916</v>
      </c>
      <c r="G4" s="13">
        <f>SUM('1st Qtr'!G4, '2nd Qtr'!G4, '3rd Qtr'!G4, '4th Qtr'!G4)</f>
        <v>10523806.630000001</v>
      </c>
      <c r="H4" s="13">
        <f>SUM('1st Qtr'!H4, '2nd Qtr'!H4, '3rd Qtr'!H4, '4th Qtr'!H4)</f>
        <v>-4338526.6300000008</v>
      </c>
      <c r="I4" s="14">
        <f>IFERROR(H4/G4, "")</f>
        <v>-0.41225829992279139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2 I4:I7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4"/>
  <sheetViews>
    <sheetView workbookViewId="0">
      <pane xSplit="2" ySplit="3" topLeftCell="C4" activePane="bottomRight" state="frozen"/>
      <selection pane="bottomRight" activeCell="E17" sqref="E17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Altus Power</v>
      </c>
      <c r="B1" s="53"/>
      <c r="C1" s="53"/>
      <c r="D1" s="54" t="s">
        <v>10</v>
      </c>
      <c r="E1" s="54"/>
      <c r="F1" s="54"/>
      <c r="G1" s="52" t="s">
        <v>11</v>
      </c>
      <c r="H1" s="52"/>
      <c r="I1" s="52"/>
    </row>
    <row r="2" spans="1:9" ht="19.5" customHeight="1">
      <c r="A2" s="55" t="s">
        <v>2</v>
      </c>
      <c r="B2" s="55"/>
      <c r="C2" s="5">
        <f>SUM(C4:C72)</f>
        <v>1654930</v>
      </c>
      <c r="D2" s="5">
        <f>SUM(D4:D72)</f>
        <v>3097059.909</v>
      </c>
      <c r="E2" s="5">
        <f>C2-D2</f>
        <v>-1442129.909</v>
      </c>
      <c r="F2" s="6">
        <f>IFERROR(E2/D2, 0)</f>
        <v>-0.46564482166108462</v>
      </c>
      <c r="G2" s="5">
        <f>SUM(G4:G72)</f>
        <v>2716093.9299999997</v>
      </c>
      <c r="H2" s="7">
        <f>C2-G2</f>
        <v>-1061163.9299999997</v>
      </c>
      <c r="I2" s="6">
        <f>IFERROR(H2/G2, 0)</f>
        <v>-0.39069485715466395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Pratt Solar Farm</v>
      </c>
      <c r="B4" s="9" t="str" cm="1">
        <f t="array" ref="B4">Sites[State]</f>
        <v>KS</v>
      </c>
      <c r="C4" s="18">
        <f>SUM(Jan!C4, Feb!C4, Mar!C4)</f>
        <v>1654930</v>
      </c>
      <c r="D4" s="11">
        <f>SUM(Jan!D4, Feb!D4, Mar!D4)</f>
        <v>3097059.909</v>
      </c>
      <c r="E4" s="11">
        <f>IF(AND(ISNUMBER(C4),ISNUMBER(D4)), C4-D4, "")</f>
        <v>-1442129.909</v>
      </c>
      <c r="F4" s="12">
        <f>IFERROR(E4/D4, "")</f>
        <v>-0.46564482166108462</v>
      </c>
      <c r="G4" s="13">
        <f>SUM(Jan!G4, Feb!G4, Mar!G4)</f>
        <v>2716093.9299999997</v>
      </c>
      <c r="H4" s="13">
        <f>SUM(Jan!H4, Feb!H4, Mar!H4)</f>
        <v>-1061163.9300000002</v>
      </c>
      <c r="I4" s="14">
        <f>IFERROR(H4/G4, "")</f>
        <v>-0.39069485715466412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2 I4:I7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Altus Power</v>
      </c>
      <c r="B1" s="53"/>
      <c r="C1" s="53"/>
      <c r="D1" s="54" t="s">
        <v>12</v>
      </c>
      <c r="E1" s="54"/>
      <c r="F1" s="54"/>
      <c r="G1" s="52" t="s">
        <v>13</v>
      </c>
      <c r="H1" s="52"/>
      <c r="I1" s="52"/>
    </row>
    <row r="2" spans="1:9" ht="19.5" customHeight="1">
      <c r="A2" s="55" t="s">
        <v>2</v>
      </c>
      <c r="B2" s="55"/>
      <c r="C2" s="5">
        <f>SUM(C4:C72)</f>
        <v>1996740</v>
      </c>
      <c r="D2" s="5">
        <f>SUM(D4:D72)</f>
        <v>3212449.46</v>
      </c>
      <c r="E2" s="5">
        <f>C2-D2</f>
        <v>-1215709.46</v>
      </c>
      <c r="F2" s="6">
        <f>IFERROR(E2/D2, 0)</f>
        <v>-0.37843691399272628</v>
      </c>
      <c r="G2" s="5">
        <f>SUM(G4:G72)</f>
        <v>3399757.06</v>
      </c>
      <c r="H2" s="7">
        <f>C2-G2</f>
        <v>-1403017.06</v>
      </c>
      <c r="I2" s="6">
        <f>IFERROR(H2/G2, 0)</f>
        <v>-0.41268156378208976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Pratt Solar Farm</v>
      </c>
      <c r="B4" s="9" t="str" cm="1">
        <f t="array" ref="B4">Sites[State]</f>
        <v>KS</v>
      </c>
      <c r="C4" s="18">
        <f>SUM(Apr!C4, May!C4, Jun!C4)</f>
        <v>1996740</v>
      </c>
      <c r="D4" s="11">
        <f>SUM(Apr!D4, May!D4, Jun!D4)</f>
        <v>3212449.46</v>
      </c>
      <c r="E4" s="11">
        <f>IF(AND(ISNUMBER(C4),ISNUMBER(D4)), C4-D4, "")</f>
        <v>-1215709.46</v>
      </c>
      <c r="F4" s="12">
        <f>IFERROR(E4/D4, "")</f>
        <v>-0.37843691399272628</v>
      </c>
      <c r="G4" s="13">
        <f>SUM(Apr!G4,May!G4,Jun!G4)</f>
        <v>3399757.06</v>
      </c>
      <c r="H4" s="13">
        <f>SUM(Apr!H4, May!H4, Jun!H4)</f>
        <v>-1403017.06</v>
      </c>
      <c r="I4" s="14">
        <f>IFERROR(H4/G4, "")</f>
        <v>-0.41268156378208976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Altus Power</v>
      </c>
      <c r="B1" s="53"/>
      <c r="C1" s="53"/>
      <c r="D1" s="54" t="s">
        <v>14</v>
      </c>
      <c r="E1" s="54"/>
      <c r="F1" s="54"/>
      <c r="G1" s="52" t="s">
        <v>15</v>
      </c>
      <c r="H1" s="52"/>
      <c r="I1" s="52"/>
    </row>
    <row r="2" spans="1:9" ht="19.5" customHeight="1">
      <c r="A2" s="55" t="s">
        <v>2</v>
      </c>
      <c r="B2" s="55"/>
      <c r="C2" s="5">
        <f>SUM(C4:C72)</f>
        <v>1658850</v>
      </c>
      <c r="D2" s="5">
        <f>SUM(D4:D72)</f>
        <v>3252416.1189999999</v>
      </c>
      <c r="E2" s="5">
        <f>C2-D2</f>
        <v>-1593566.1189999999</v>
      </c>
      <c r="F2" s="6">
        <f>IFERROR(E2/D2, 0)</f>
        <v>-0.4899637871337213</v>
      </c>
      <c r="G2" s="5">
        <f>SUM(G4:G72)</f>
        <v>3435205.41</v>
      </c>
      <c r="H2" s="7">
        <f>C2-G2</f>
        <v>-1776355.4100000001</v>
      </c>
      <c r="I2" s="6">
        <f>IFERROR(H2/G2, 0)</f>
        <v>-0.51710311261998165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Pratt Solar Farm</v>
      </c>
      <c r="B4" s="9" t="str" cm="1">
        <f t="array" ref="B4">Sites[State]</f>
        <v>KS</v>
      </c>
      <c r="C4" s="18">
        <f>SUM(Jul!C4, Aug!C4, Sep!C4)</f>
        <v>1658850</v>
      </c>
      <c r="D4" s="11">
        <f>SUM(Jul!D4, Aug!D4, Sep!D4)</f>
        <v>3252416.1189999999</v>
      </c>
      <c r="E4" s="11">
        <f>IF(AND(ISNUMBER(C4),ISNUMBER(D4)), C4-D4, "")</f>
        <v>-1593566.1189999999</v>
      </c>
      <c r="F4" s="12">
        <f>IFERROR(E4/D4, "")</f>
        <v>-0.4899637871337213</v>
      </c>
      <c r="G4" s="13">
        <f>SUM(Jul!G4,Aug!G4,Sep!G4)</f>
        <v>3435205.41</v>
      </c>
      <c r="H4" s="13">
        <f>SUM(Jul!H4, Aug!H4, Sep!H4)</f>
        <v>-1776355.4100000001</v>
      </c>
      <c r="I4" s="14">
        <f>IFERROR(H4/G4, "")</f>
        <v>-0.51710311261998165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4"/>
  <sheetViews>
    <sheetView workbookViewId="0">
      <pane xSplit="2" ySplit="3" topLeftCell="C4" activePane="bottomRight" state="frozen"/>
      <selection pane="bottomRight" activeCell="D14" sqref="D1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Altus Power</v>
      </c>
      <c r="B1" s="53"/>
      <c r="C1" s="53"/>
      <c r="D1" s="54" t="s">
        <v>16</v>
      </c>
      <c r="E1" s="54"/>
      <c r="F1" s="54"/>
      <c r="G1" s="52" t="s">
        <v>17</v>
      </c>
      <c r="H1" s="52"/>
      <c r="I1" s="52"/>
    </row>
    <row r="2" spans="1:9" ht="19.5" customHeight="1">
      <c r="A2" s="55" t="s">
        <v>2</v>
      </c>
      <c r="B2" s="55"/>
      <c r="C2" s="5">
        <f>SUM(C4:C72)</f>
        <v>874760</v>
      </c>
      <c r="D2" s="5">
        <f>SUM(D4:D72)</f>
        <v>972750.23</v>
      </c>
      <c r="E2" s="5">
        <f>C2-D2</f>
        <v>-97990.229999999981</v>
      </c>
      <c r="F2" s="6">
        <f>IFERROR(E2/D2, 0)</f>
        <v>-0.10073524218030766</v>
      </c>
      <c r="G2" s="5">
        <f>SUM(G4:G72)</f>
        <v>972750.23</v>
      </c>
      <c r="H2" s="7">
        <f>C2-G2</f>
        <v>-97990.229999999981</v>
      </c>
      <c r="I2" s="6">
        <f>IFERROR(H2/G2, 0)</f>
        <v>-0.10073524218030766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Pratt Solar Farm</v>
      </c>
      <c r="B4" s="9" t="str" cm="1">
        <f t="array" ref="B4">Sites[State]</f>
        <v>KS</v>
      </c>
      <c r="C4" s="18">
        <f>SUM(Oct!C4, Nov!C4, Dec!C4)</f>
        <v>874760</v>
      </c>
      <c r="D4" s="11">
        <f>SUM(Oct!D4, Nov!D4, Dec!D4)</f>
        <v>972750.23</v>
      </c>
      <c r="E4" s="11">
        <f>IF(AND(ISNUMBER(C4),ISNUMBER(D4)), C4-D4, "")</f>
        <v>-97990.229999999981</v>
      </c>
      <c r="F4" s="12">
        <f>IFERROR(E4/D4, "")</f>
        <v>-0.10073524218030766</v>
      </c>
      <c r="G4" s="13">
        <f>SUM(Oct!G4, Nov!G4, Dec!G4)</f>
        <v>972750.23</v>
      </c>
      <c r="H4" s="13">
        <f>SUM(Oct!H4, Nov!H4, Dec!H4)</f>
        <v>-97990.229999999981</v>
      </c>
      <c r="I4" s="14">
        <f>IFERROR(H4/G4, "")</f>
        <v>-0.10073524218030766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3"/>
  <sheetViews>
    <sheetView zoomScale="80" zoomScaleNormal="80" workbookViewId="0">
      <pane xSplit="2" ySplit="3" topLeftCell="C4" activePane="bottomRight" state="frozen"/>
      <selection pane="bottomRight" activeCell="H17" sqref="H17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Altus Power</v>
      </c>
      <c r="B1" s="53"/>
      <c r="C1" s="53"/>
      <c r="D1" s="54" t="s">
        <v>18</v>
      </c>
      <c r="E1" s="54"/>
      <c r="F1" s="54"/>
      <c r="G1" s="52" t="s">
        <v>19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SUM(C4:C71)</f>
        <v>641110</v>
      </c>
      <c r="D2" s="5">
        <f>SUM(D4:D71)</f>
        <v>959485.1</v>
      </c>
      <c r="E2" s="5">
        <f>C2-D2</f>
        <v>-318375.09999999998</v>
      </c>
      <c r="F2" s="6">
        <f>IFERROR(E2/D2, 0)</f>
        <v>-0.33181870150979936</v>
      </c>
      <c r="G2" s="5">
        <f>SUM(G4:G71)</f>
        <v>865991.1</v>
      </c>
      <c r="H2" s="7">
        <f>C2-G2</f>
        <v>-224881.09999999998</v>
      </c>
      <c r="I2" s="6">
        <f>IFERROR(H2/G2, 0)</f>
        <v>-0.25968061334579534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Pratt Solar Farm</v>
      </c>
      <c r="B4" s="22" t="str" cm="1">
        <f t="array" ref="B4">Sites[State]</f>
        <v>KS</v>
      </c>
      <c r="C4" s="11">
        <v>641110</v>
      </c>
      <c r="D4" s="11">
        <v>959485.1</v>
      </c>
      <c r="E4" s="11">
        <f>IF(AND(ISNUMBER(C4),ISNUMBER(D4)), C4-D4, "")</f>
        <v>-318375.09999999998</v>
      </c>
      <c r="F4" s="34">
        <f>IFERROR(E4/D4, "")</f>
        <v>-0.33181870150979936</v>
      </c>
      <c r="G4" s="45">
        <v>865991.1</v>
      </c>
      <c r="H4" s="13">
        <f>IF(AND(ISNUMBER(C4),ISNUMBER(G4)), C4-G4, "")</f>
        <v>-224881.09999999998</v>
      </c>
      <c r="I4" s="14">
        <f>IFERROR(H4/G4, "")</f>
        <v>-0.25968061334579534</v>
      </c>
      <c r="J4" s="32" t="s">
        <v>22</v>
      </c>
      <c r="K4" s="46" t="s">
        <v>23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D1:F1"/>
    <mergeCell ref="A1:C1"/>
    <mergeCell ref="G1:I1"/>
    <mergeCell ref="A2:B2"/>
  </mergeCells>
  <conditionalFormatting sqref="F2 I2 I4:I71 F5:F71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hyperlinks>
    <hyperlink ref="K4" r:id="rId1" display="https://us3.assetplanner.com/service_request?ID=093458" xr:uid="{99AB3C92-1477-4829-8B75-01C20D68715F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4"/>
  <sheetViews>
    <sheetView zoomScale="80" zoomScaleNormal="80" workbookViewId="0">
      <pane xSplit="2" ySplit="3" topLeftCell="C4" activePane="bottomRight" state="frozen"/>
      <selection pane="bottomRight" activeCell="G12" sqref="G12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Altus Power</v>
      </c>
      <c r="B1" s="53"/>
      <c r="C1" s="53"/>
      <c r="D1" s="54" t="s">
        <v>24</v>
      </c>
      <c r="E1" s="54"/>
      <c r="F1" s="54"/>
      <c r="G1" s="52" t="s">
        <v>25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SUM(C4:C72)</f>
        <v>609030</v>
      </c>
      <c r="D2" s="5">
        <f>SUM(D4:D72)</f>
        <v>919002.6</v>
      </c>
      <c r="E2" s="5">
        <f>C2-D2</f>
        <v>-309972.59999999998</v>
      </c>
      <c r="F2" s="6">
        <f>IFERROR(E2/D2, 0)</f>
        <v>-0.33729240809547217</v>
      </c>
      <c r="G2" s="5">
        <f>SUM(G4:G72)</f>
        <v>811213.8</v>
      </c>
      <c r="H2" s="7">
        <f>C2-G2</f>
        <v>-202183.80000000005</v>
      </c>
      <c r="I2" s="6">
        <f>IFERROR(H2/G2, 0)</f>
        <v>-0.24923614465138541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39" t="str" cm="1">
        <f t="array" ref="A4">Sites[Site]</f>
        <v>Pratt Solar Farm</v>
      </c>
      <c r="B4" s="22" t="str" cm="1">
        <f t="array" ref="B4">Sites[State]</f>
        <v>KS</v>
      </c>
      <c r="C4" s="18">
        <v>609030</v>
      </c>
      <c r="D4" s="11">
        <v>919002.6</v>
      </c>
      <c r="E4" s="11">
        <f>IF(AND(ISNUMBER(C4),ISNUMBER(D4)), C4-D4, "")</f>
        <v>-309972.59999999998</v>
      </c>
      <c r="F4" s="12">
        <f>IFERROR(E4/D4, "")</f>
        <v>-0.33729240809547217</v>
      </c>
      <c r="G4" s="45">
        <v>811213.8</v>
      </c>
      <c r="H4" s="13">
        <f>IF(AND(ISNUMBER(C4),ISNUMBER(G4)), C4-G4, "")</f>
        <v>-202183.80000000005</v>
      </c>
      <c r="I4" s="14">
        <f>IFERROR(H4/G4, "")</f>
        <v>-0.24923614465138541</v>
      </c>
      <c r="J4" s="32" t="s">
        <v>26</v>
      </c>
      <c r="K4" s="46" t="s">
        <v>23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3458" xr:uid="{C6CB6844-C5B7-4931-A8F2-972D1A78FD5D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14"/>
  <sheetViews>
    <sheetView zoomScale="80" zoomScaleNormal="80" workbookViewId="0">
      <pane xSplit="2" ySplit="3" topLeftCell="C4" activePane="bottomRight" state="frozen"/>
      <selection pane="bottomRight" activeCell="L1" sqref="L1:N1048576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47"/>
  </cols>
  <sheetData>
    <row r="1" spans="1:14" ht="19.5" customHeight="1">
      <c r="A1" s="53" t="str" cm="1">
        <f t="array" ref="A1">portfolio</f>
        <v>Altus Power</v>
      </c>
      <c r="B1" s="53"/>
      <c r="C1" s="53"/>
      <c r="D1" s="54" t="s">
        <v>27</v>
      </c>
      <c r="E1" s="54"/>
      <c r="F1" s="54"/>
      <c r="G1" s="52" t="s">
        <v>28</v>
      </c>
      <c r="H1" s="52"/>
      <c r="I1" s="52"/>
      <c r="J1" s="4"/>
      <c r="K1" s="4"/>
    </row>
    <row r="2" spans="1:14" ht="19.5" customHeight="1">
      <c r="A2" s="55" t="s">
        <v>2</v>
      </c>
      <c r="B2" s="55"/>
      <c r="C2" s="5">
        <f>SUM(C4:C72)</f>
        <v>404790</v>
      </c>
      <c r="D2" s="5">
        <f>SUM(D4:D72)</f>
        <v>1218572.209</v>
      </c>
      <c r="E2" s="5">
        <f>C2-D2</f>
        <v>-813782.20900000003</v>
      </c>
      <c r="F2" s="6">
        <f>IFERROR(E2/D2, 0)</f>
        <v>-0.66781615647366199</v>
      </c>
      <c r="G2" s="5">
        <f>SUM(G4:G72)</f>
        <v>1038889.03</v>
      </c>
      <c r="H2" s="7">
        <f>C2-G2</f>
        <v>-634099.03</v>
      </c>
      <c r="I2" s="6">
        <f>IFERROR(H2/G2, 0)</f>
        <v>-0.61036261976892758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4" ht="158.44999999999999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404790</v>
      </c>
      <c r="D4" s="11">
        <v>1218572.209</v>
      </c>
      <c r="E4" s="11">
        <f>IF(AND(ISNUMBER(C4),ISNUMBER(D4)), C4-D4, "")</f>
        <v>-813782.20900000003</v>
      </c>
      <c r="F4" s="12">
        <f>IFERROR(E4/D4, "")</f>
        <v>-0.66781615647366199</v>
      </c>
      <c r="G4" s="45">
        <v>1038889.03</v>
      </c>
      <c r="H4" s="13">
        <f>IF(AND(ISNUMBER(C4),ISNUMBER(G4)), C4-G4, "")</f>
        <v>-634099.03</v>
      </c>
      <c r="I4" s="14">
        <f>IFERROR(H4/G4, "")</f>
        <v>-0.61036261976892758</v>
      </c>
      <c r="J4" s="32" t="s">
        <v>29</v>
      </c>
      <c r="K4" s="46" t="s">
        <v>30</v>
      </c>
      <c r="L4" s="48" t="s">
        <v>31</v>
      </c>
      <c r="M4" s="48" t="s">
        <v>32</v>
      </c>
      <c r="N4" s="48" t="s">
        <v>33</v>
      </c>
    </row>
    <row r="5" spans="1:14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4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4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4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4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4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4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4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4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4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4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4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3458" xr:uid="{D5463026-C89D-4584-8A55-B2F8EDA37505}"/>
    <hyperlink ref="L4" r:id="rId2" display="https://us3.assetplanner.com/service_request?ID=099185" xr:uid="{8617E2CF-E36F-4667-9EAF-29AF19426E0B}"/>
    <hyperlink ref="M4" r:id="rId3" display="https://us3.assetplanner.com/service_request?ID=098335" xr:uid="{EDED8C9D-E745-4E2F-926A-696906083C44}"/>
    <hyperlink ref="N4" r:id="rId4" display="https://us3.assetplanner.com/service_request?ID=098248" xr:uid="{17775B41-9CCC-4635-882E-911AA75DF946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M314"/>
  <sheetViews>
    <sheetView zoomScale="70" zoomScaleNormal="70" workbookViewId="0">
      <pane xSplit="2" ySplit="3" topLeftCell="C4" activePane="bottomRight" state="frozen"/>
      <selection pane="bottomRight" activeCell="L1" sqref="L1:M1048576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5.7109375" customWidth="1"/>
    <col min="12" max="13" width="8.85546875" style="47"/>
  </cols>
  <sheetData>
    <row r="1" spans="1:13" ht="19.5" customHeight="1">
      <c r="A1" s="53" t="str" cm="1">
        <f t="array" ref="A1">portfolio</f>
        <v>Altus Power</v>
      </c>
      <c r="B1" s="53"/>
      <c r="C1" s="53"/>
      <c r="D1" s="54" t="s">
        <v>34</v>
      </c>
      <c r="E1" s="54"/>
      <c r="F1" s="54"/>
      <c r="G1" s="52" t="s">
        <v>35</v>
      </c>
      <c r="H1" s="52"/>
      <c r="I1" s="52"/>
      <c r="J1" s="4"/>
      <c r="K1" s="4"/>
    </row>
    <row r="2" spans="1:13" ht="19.5" customHeight="1">
      <c r="A2" s="55" t="s">
        <v>2</v>
      </c>
      <c r="B2" s="55"/>
      <c r="C2" s="5">
        <f>SUM(C4:C72)</f>
        <v>323630</v>
      </c>
      <c r="D2" s="5">
        <f>SUM(D4:D72)</f>
        <v>1020112</v>
      </c>
      <c r="E2" s="5">
        <f>C2-D2</f>
        <v>-696482</v>
      </c>
      <c r="F2" s="6">
        <f>IFERROR(E2/D2, 0)</f>
        <v>-0.68275052151136351</v>
      </c>
      <c r="G2" s="5">
        <f>SUM(G4:G72)</f>
        <v>1092313</v>
      </c>
      <c r="H2" s="7">
        <f>C2-G2</f>
        <v>-768683</v>
      </c>
      <c r="I2" s="6">
        <f>IFERROR(H2/G2, 0)</f>
        <v>-0.70372045375272474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57.6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323630</v>
      </c>
      <c r="D4" s="11">
        <v>1020112</v>
      </c>
      <c r="E4" s="11">
        <f>IF(AND(ISNUMBER(C4),ISNUMBER(D4)), C4-D4, "")</f>
        <v>-696482</v>
      </c>
      <c r="F4" s="12">
        <f>IFERROR(E4/D4, "")</f>
        <v>-0.68275052151136351</v>
      </c>
      <c r="G4" s="13">
        <v>1092313</v>
      </c>
      <c r="H4" s="13">
        <f>IF(AND(ISNUMBER(C4),ISNUMBER(G4)), C4-G4, "")</f>
        <v>-768683</v>
      </c>
      <c r="I4" s="14">
        <f>IFERROR(H4/G4, "")</f>
        <v>-0.70372045375272474</v>
      </c>
      <c r="J4" s="32" t="s">
        <v>36</v>
      </c>
      <c r="K4" s="46" t="s">
        <v>37</v>
      </c>
      <c r="L4" s="48" t="s">
        <v>31</v>
      </c>
      <c r="M4" s="48" t="s">
        <v>38</v>
      </c>
    </row>
    <row r="5" spans="1:13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99994" xr:uid="{5D6E991B-4836-4FC3-A594-857F723E2176}"/>
    <hyperlink ref="L4" r:id="rId2" display="https://us3.assetplanner.com/service_request?ID=099185" xr:uid="{B287B605-94D0-4A47-9CE4-7F1C8A285C0D}"/>
    <hyperlink ref="M4" r:id="rId3" display="https://us3.assetplanner.com/service_request?ID=099478" xr:uid="{8C1573B6-70F3-4783-90E9-864B28D0B0FB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Q314"/>
  <sheetViews>
    <sheetView zoomScale="70" zoomScaleNormal="70" workbookViewId="0">
      <pane xSplit="2" ySplit="3" topLeftCell="G4" activePane="bottomRight" state="frozen"/>
      <selection pane="bottomRight" activeCell="L1" sqref="L1:Q1048576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7" width="8.85546875" style="47"/>
  </cols>
  <sheetData>
    <row r="1" spans="1:17" ht="19.5" customHeight="1">
      <c r="A1" s="53" t="str" cm="1">
        <f t="array" ref="A1">portfolio</f>
        <v>Altus Power</v>
      </c>
      <c r="B1" s="53"/>
      <c r="C1" s="53"/>
      <c r="D1" s="54" t="s">
        <v>39</v>
      </c>
      <c r="E1" s="54"/>
      <c r="F1" s="54"/>
      <c r="G1" s="52" t="s">
        <v>40</v>
      </c>
      <c r="H1" s="52"/>
      <c r="I1" s="52"/>
      <c r="J1" s="4"/>
      <c r="K1" s="4"/>
    </row>
    <row r="2" spans="1:17" ht="19.5" customHeight="1">
      <c r="A2" s="55" t="s">
        <v>2</v>
      </c>
      <c r="B2" s="55"/>
      <c r="C2" s="5">
        <f>SUM(C4:C72)</f>
        <v>610590</v>
      </c>
      <c r="D2" s="5">
        <f>SUM(D4:D72)</f>
        <v>1070510</v>
      </c>
      <c r="E2" s="5">
        <f>C2-D2</f>
        <v>-459920</v>
      </c>
      <c r="F2" s="6">
        <f>IFERROR(E2/D2, 0)</f>
        <v>-0.42962700021485084</v>
      </c>
      <c r="G2" s="5">
        <f>SUM(G4:G72)</f>
        <v>1172680</v>
      </c>
      <c r="H2" s="7">
        <f>C2-G2</f>
        <v>-562090</v>
      </c>
      <c r="I2" s="6">
        <f>IFERROR(H2/G2, 0)</f>
        <v>-0.47932087184909777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7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7" ht="187.15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610590</v>
      </c>
      <c r="D4" s="11">
        <v>1070510</v>
      </c>
      <c r="E4" s="11">
        <f>IF(AND(ISNUMBER(C4),ISNUMBER(D4)), C4-D4, "")</f>
        <v>-459920</v>
      </c>
      <c r="F4" s="12">
        <f>IFERROR(E4/D4, "")</f>
        <v>-0.42962700021485084</v>
      </c>
      <c r="G4" s="13">
        <v>1172680</v>
      </c>
      <c r="H4" s="13">
        <f>IF(AND(ISNUMBER(C4),ISNUMBER(G4)), C4-G4, "")</f>
        <v>-562090</v>
      </c>
      <c r="I4" s="14">
        <f>IFERROR(H4/G4, "")</f>
        <v>-0.47932087184909777</v>
      </c>
      <c r="J4" s="32" t="s">
        <v>41</v>
      </c>
      <c r="K4" s="46" t="s">
        <v>42</v>
      </c>
      <c r="L4" s="48" t="s">
        <v>43</v>
      </c>
      <c r="M4" s="48" t="s">
        <v>44</v>
      </c>
      <c r="N4" s="48" t="s">
        <v>45</v>
      </c>
      <c r="O4" s="48" t="s">
        <v>31</v>
      </c>
      <c r="P4" s="48" t="s">
        <v>46</v>
      </c>
      <c r="Q4" s="48" t="s">
        <v>47</v>
      </c>
    </row>
    <row r="5" spans="1:17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7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7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7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7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7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7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7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7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7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7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7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99478" xr:uid="{38D1B7A0-3CCE-45E0-87DE-433D41332235}"/>
    <hyperlink ref="L4" r:id="rId2" display="https://us3.assetplanner.com/service_request?ID=101785" xr:uid="{7B88D90A-7E97-4DE3-A9DE-5D3E8D8B7C55}"/>
    <hyperlink ref="M4" r:id="rId3" display="https://us3.assetplanner.com/service_request?ID=101822" xr:uid="{C362EBC5-8355-4F04-82BE-D3E242EDD886}"/>
    <hyperlink ref="N4" r:id="rId4" display="https://us3.assetplanner.com/service_request?ID=099994" xr:uid="{8FF782E1-0814-42F9-8BB9-639BA67AE820}"/>
    <hyperlink ref="O4" r:id="rId5" display="https://us3.assetplanner.com/service_request?ID=099185" xr:uid="{72FE1B6A-67DD-46B0-B9A1-AA5E75E63BA1}"/>
    <hyperlink ref="P4" r:id="rId6" display="https://us3.assetplanner.com/service_request?ID=102003" xr:uid="{957368D8-2576-4DC9-9818-FFF7961F8548}"/>
    <hyperlink ref="Q4" r:id="rId7" display="https://us3.assetplanner.com/service_request?ID=102210" xr:uid="{394BB0C5-CB4D-459F-BAEF-6548646D64EB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14"/>
  <sheetViews>
    <sheetView zoomScale="80" zoomScaleNormal="80" workbookViewId="0">
      <pane xSplit="2" ySplit="3" topLeftCell="F21" activePane="bottomRight" state="frozen"/>
      <selection pane="bottomRight" activeCell="F21" sqref="F21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47"/>
  </cols>
  <sheetData>
    <row r="1" spans="1:13" ht="19.5" customHeight="1">
      <c r="A1" s="53" t="str" cm="1">
        <f t="array" ref="A1">portfolio</f>
        <v>Altus Power</v>
      </c>
      <c r="B1" s="53"/>
      <c r="C1" s="53"/>
      <c r="D1" s="54" t="s">
        <v>48</v>
      </c>
      <c r="E1" s="54"/>
      <c r="F1" s="54"/>
      <c r="G1" s="52" t="s">
        <v>49</v>
      </c>
      <c r="H1" s="52"/>
      <c r="I1" s="52"/>
      <c r="J1" s="4"/>
      <c r="K1" s="4"/>
    </row>
    <row r="2" spans="1:13" ht="19.5" customHeight="1">
      <c r="A2" s="55" t="s">
        <v>2</v>
      </c>
      <c r="B2" s="55"/>
      <c r="C2" s="5">
        <f>SUM(C4:C72)</f>
        <v>1062520</v>
      </c>
      <c r="D2" s="5">
        <f>SUM(D4:D72)</f>
        <v>1121827.46</v>
      </c>
      <c r="E2" s="5">
        <f>C2-D2</f>
        <v>-59307.459999999963</v>
      </c>
      <c r="F2" s="6">
        <f>IFERROR(E2/D2, 0)</f>
        <v>-5.2866828558466528E-2</v>
      </c>
      <c r="G2" s="5">
        <f>SUM(G4:G72)</f>
        <v>1134764.06</v>
      </c>
      <c r="H2" s="7">
        <f>C2-G2</f>
        <v>-72244.060000000056</v>
      </c>
      <c r="I2" s="6">
        <f>IFERROR(H2/G2, 0)</f>
        <v>-6.3664388524959148E-2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72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1062520</v>
      </c>
      <c r="D4" s="11">
        <v>1121827.46</v>
      </c>
      <c r="E4" s="11">
        <f>IF(AND(ISNUMBER(C4),ISNUMBER(D4)), C4-D4, "")</f>
        <v>-59307.459999999963</v>
      </c>
      <c r="F4" s="12">
        <f>IFERROR(E4/D4, "")</f>
        <v>-5.2866828558466528E-2</v>
      </c>
      <c r="G4" s="13">
        <v>1134764.06</v>
      </c>
      <c r="H4" s="13">
        <f>IF(AND(ISNUMBER(C4),ISNUMBER(G4)), C4-G4, "")</f>
        <v>-72244.060000000056</v>
      </c>
      <c r="I4" s="14">
        <f>IFERROR(H4/G4, "")</f>
        <v>-6.3664388524959148E-2</v>
      </c>
      <c r="J4" s="32" t="s">
        <v>50</v>
      </c>
      <c r="K4" s="46" t="s">
        <v>51</v>
      </c>
      <c r="L4" s="48" t="s">
        <v>52</v>
      </c>
      <c r="M4" s="48" t="s">
        <v>53</v>
      </c>
    </row>
    <row r="5" spans="1:13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102433" xr:uid="{EE33E31D-4B4C-4786-8CE1-12AE839D8561}"/>
    <hyperlink ref="L4" r:id="rId2" display="https://us3.assetplanner.com/service_request?ID=103157" xr:uid="{33CC7E35-71A0-4DCE-B0B4-A077158E3B7D}"/>
    <hyperlink ref="M4" r:id="rId3" display="https://us3.assetplanner.com/service_request?ID=103746" xr:uid="{CB09C83B-E7FF-4EA8-823D-B5708E66DCB5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O314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53" t="str" cm="1">
        <f t="array" ref="A1">portfolio</f>
        <v>Altus Power</v>
      </c>
      <c r="B1" s="53"/>
      <c r="C1" s="53"/>
      <c r="D1" s="54" t="s">
        <v>54</v>
      </c>
      <c r="E1" s="54"/>
      <c r="F1" s="54"/>
      <c r="G1" s="52" t="s">
        <v>55</v>
      </c>
      <c r="H1" s="52"/>
      <c r="I1" s="52"/>
      <c r="J1" s="4"/>
      <c r="K1" s="4"/>
    </row>
    <row r="2" spans="1:15" ht="19.5" customHeight="1">
      <c r="A2" s="55" t="s">
        <v>2</v>
      </c>
      <c r="B2" s="55"/>
      <c r="C2" s="5">
        <f>SUM(C4:C72)</f>
        <v>477710</v>
      </c>
      <c r="D2" s="5">
        <f>SUM(D4:D72)</f>
        <v>1137108.382</v>
      </c>
      <c r="E2" s="5">
        <f>C2-D2</f>
        <v>-659398.38199999998</v>
      </c>
      <c r="F2" s="6">
        <f>IFERROR(E2/D2, 0)</f>
        <v>-0.57989052973140431</v>
      </c>
      <c r="G2" s="5">
        <f>SUM(G4:G72)</f>
        <v>1189387.3600000001</v>
      </c>
      <c r="H2" s="7">
        <f>C2-G2</f>
        <v>-711677.3600000001</v>
      </c>
      <c r="I2" s="6">
        <f>IFERROR(H2/G2, 0)</f>
        <v>-0.5983562495569148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138.75" customHeight="1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477710</v>
      </c>
      <c r="D4" s="11">
        <v>1137108.382</v>
      </c>
      <c r="E4" s="11">
        <f>IF(AND(ISNUMBER(C4),ISNUMBER(D4)), C4-D4, "")</f>
        <v>-659398.38199999998</v>
      </c>
      <c r="F4" s="12">
        <f>IFERROR(E4/D4, "")</f>
        <v>-0.57989052973140431</v>
      </c>
      <c r="G4" s="13">
        <v>1189387.3600000001</v>
      </c>
      <c r="H4" s="13">
        <f>IF(AND(ISNUMBER(C4),ISNUMBER(G4)), C4-G4, "")</f>
        <v>-711677.3600000001</v>
      </c>
      <c r="I4" s="14">
        <f>IFERROR(H4/G4, "")</f>
        <v>-0.5983562495569148</v>
      </c>
      <c r="J4" s="32" t="s">
        <v>56</v>
      </c>
      <c r="K4" s="46" t="s">
        <v>57</v>
      </c>
      <c r="L4" s="48" t="s">
        <v>52</v>
      </c>
      <c r="M4" s="48" t="s">
        <v>52</v>
      </c>
      <c r="N4" s="48" t="s">
        <v>58</v>
      </c>
      <c r="O4" s="48" t="s">
        <v>59</v>
      </c>
    </row>
    <row r="5" spans="1:15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103746" xr:uid="{F17D34D8-EC9B-449D-8C6F-D6F8ECA66FA2}"/>
    <hyperlink ref="L4" r:id="rId2" display="https://us3.assetplanner.com/service_request?ID=103157" xr:uid="{FF478992-478D-4A9D-B45F-371DE38F59CA}"/>
    <hyperlink ref="M4" r:id="rId3" display="https://us3.assetplanner.com/service_request?ID=103157" xr:uid="{5992B095-025E-4AFA-8CBC-D984A7C32463}"/>
    <hyperlink ref="N4" r:id="rId4" display="https://us3.assetplanner.com/service_request?ID=105299" xr:uid="{D7161549-F917-461F-8CBA-CB73DD2B3B17}"/>
    <hyperlink ref="O4" r:id="rId5" display="https://us3.assetplanner.com/service_request?ID=104462" xr:uid="{457494EB-B042-48F7-9852-6BF55464BC30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P314"/>
  <sheetViews>
    <sheetView zoomScale="70" zoomScaleNormal="70" workbookViewId="0">
      <pane xSplit="2" ySplit="3" topLeftCell="C4" activePane="bottomRight" state="frozen"/>
      <selection pane="bottomRight" activeCell="J4" sqref="J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6" width="8.85546875" style="49"/>
  </cols>
  <sheetData>
    <row r="1" spans="1:15" ht="19.5" customHeight="1">
      <c r="A1" s="53" t="str" cm="1">
        <f t="array" ref="A1">portfolio</f>
        <v>Altus Power</v>
      </c>
      <c r="B1" s="53"/>
      <c r="C1" s="53"/>
      <c r="D1" s="54" t="s">
        <v>60</v>
      </c>
      <c r="E1" s="54"/>
      <c r="F1" s="54"/>
      <c r="G1" s="52" t="s">
        <v>61</v>
      </c>
      <c r="H1" s="52"/>
      <c r="I1" s="52"/>
      <c r="J1" s="4"/>
      <c r="K1" s="4"/>
    </row>
    <row r="2" spans="1:15" ht="19.5" customHeight="1">
      <c r="A2" s="55" t="s">
        <v>2</v>
      </c>
      <c r="B2" s="55"/>
      <c r="C2" s="5">
        <f>SUM(C4:C72)</f>
        <v>442700</v>
      </c>
      <c r="D2" s="5">
        <f>SUM(D4:D72)</f>
        <v>1070863.358</v>
      </c>
      <c r="E2" s="5">
        <f>C2-D2</f>
        <v>-628163.35800000001</v>
      </c>
      <c r="F2" s="6">
        <f>IFERROR(E2/D2, 0)</f>
        <v>-0.58659524887768177</v>
      </c>
      <c r="G2" s="5">
        <f>SUM(G4:G72)</f>
        <v>1150995.8400000001</v>
      </c>
      <c r="H2" s="7">
        <f>C2-G2</f>
        <v>-708295.84000000008</v>
      </c>
      <c r="I2" s="6">
        <f>IFERROR(H2/G2, 0)</f>
        <v>-0.61537654210809312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172.9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442700</v>
      </c>
      <c r="D4" s="11">
        <v>1070863.358</v>
      </c>
      <c r="E4" s="11">
        <f>IF(AND(ISNUMBER(C4),ISNUMBER(D4)), C4-D4, "")</f>
        <v>-628163.35800000001</v>
      </c>
      <c r="F4" s="12">
        <f>IFERROR(E4/D4, "")</f>
        <v>-0.58659524887768177</v>
      </c>
      <c r="G4" s="43">
        <v>1150995.8400000001</v>
      </c>
      <c r="H4" s="13">
        <f>IF(AND(ISNUMBER(C4),ISNUMBER(G4)), C4-G4, "")</f>
        <v>-708295.84000000008</v>
      </c>
      <c r="I4" s="14">
        <f>IFERROR(H4/G4, "")</f>
        <v>-0.61537654210809312</v>
      </c>
      <c r="J4" s="32" t="s">
        <v>62</v>
      </c>
      <c r="K4" s="46" t="s">
        <v>63</v>
      </c>
      <c r="L4" s="50" t="s">
        <v>64</v>
      </c>
      <c r="M4" s="50" t="s">
        <v>65</v>
      </c>
      <c r="N4" s="50" t="s">
        <v>58</v>
      </c>
      <c r="O4" s="50" t="s">
        <v>59</v>
      </c>
    </row>
    <row r="5" spans="1:15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4" r:id="rId1" display="https://us3.assetplanner.com/service_request?ID=103157" xr:uid="{688EDB49-4238-416C-B320-C6E6A8953FA7}"/>
    <hyperlink ref="L4" r:id="rId2" display="https://us3.assetplanner.com/service_request?ID=106097" xr:uid="{49CA08E0-230D-4E87-BD2E-1E8280745793}"/>
    <hyperlink ref="M4" r:id="rId3" display="https://us3.assetplanner.com/service_request?ID=106001" xr:uid="{BFF5BBB4-D0E6-495F-9682-F299FE94AFB6}"/>
    <hyperlink ref="N4" r:id="rId4" display="https://us3.assetplanner.com/service_request?ID=105299" xr:uid="{877E9B34-50D5-48C3-99F9-99B5E8DB78C9}"/>
    <hyperlink ref="O4" r:id="rId5" display="https://us3.assetplanner.com/service_request?ID=104462" xr:uid="{83D6FA0B-02BF-44C5-83DD-91D32305084A}"/>
  </hyperlinks>
  <pageMargins left="0.4" right="0.7" top="0.25" bottom="0.25" header="0.3" footer="0.3"/>
  <pageSetup fitToHeight="99" orientation="landscape" r:id="rId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Q314"/>
  <sheetViews>
    <sheetView workbookViewId="0">
      <pane xSplit="2" ySplit="3" topLeftCell="J4" activePane="bottomRight" state="frozen"/>
      <selection pane="bottomRight" activeCell="J10" sqref="J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7" width="8.85546875" style="47"/>
  </cols>
  <sheetData>
    <row r="1" spans="1:17" ht="19.5" customHeight="1">
      <c r="A1" s="53" t="str" cm="1">
        <f t="array" ref="A1">portfolio</f>
        <v>Altus Power</v>
      </c>
      <c r="B1" s="53"/>
      <c r="C1" s="53"/>
      <c r="D1" s="54" t="s">
        <v>66</v>
      </c>
      <c r="E1" s="54"/>
      <c r="F1" s="54"/>
      <c r="G1" s="52" t="s">
        <v>67</v>
      </c>
      <c r="H1" s="52"/>
      <c r="I1" s="52"/>
      <c r="J1" s="4"/>
      <c r="K1" s="4"/>
    </row>
    <row r="2" spans="1:17" ht="19.5" customHeight="1">
      <c r="A2" s="55" t="s">
        <v>2</v>
      </c>
      <c r="B2" s="55"/>
      <c r="C2" s="5">
        <f>SUM(C4:C72)</f>
        <v>738440</v>
      </c>
      <c r="D2" s="5">
        <f>SUM(D4:D72)</f>
        <v>1044444.379</v>
      </c>
      <c r="E2" s="5">
        <f>C2-D2</f>
        <v>-306004.37899999996</v>
      </c>
      <c r="F2" s="6">
        <f>IFERROR(E2/D2, 0)</f>
        <v>-0.29298293442201573</v>
      </c>
      <c r="G2" s="5">
        <f>SUM(G4:G72)</f>
        <v>1094822.21</v>
      </c>
      <c r="H2" s="7">
        <f>C2-G2</f>
        <v>-356382.20999999996</v>
      </c>
      <c r="I2" s="6">
        <f>IFERROR(H2/G2, 0)</f>
        <v>-0.32551605799082206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7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7" ht="100.9">
      <c r="A4" s="23" t="str" cm="1">
        <f t="array" ref="A4">Sites[Site]</f>
        <v>Pratt Solar Farm</v>
      </c>
      <c r="B4" s="22" t="str" cm="1">
        <f t="array" ref="B4">Sites[State]</f>
        <v>KS</v>
      </c>
      <c r="C4" s="18">
        <v>738440</v>
      </c>
      <c r="D4" s="11">
        <v>1044444.379</v>
      </c>
      <c r="E4" s="11">
        <f>IF(AND(ISNUMBER(C4),ISNUMBER(D4)), C4-D4, "")</f>
        <v>-306004.37899999996</v>
      </c>
      <c r="F4" s="12">
        <f>IFERROR(E4/D4, "")</f>
        <v>-0.29298293442201573</v>
      </c>
      <c r="G4" s="43">
        <v>1094822.21</v>
      </c>
      <c r="H4" s="13">
        <f>IF(AND(ISNUMBER(C4),ISNUMBER(G4)), C4-G4, "")</f>
        <v>-356382.20999999996</v>
      </c>
      <c r="I4" s="14">
        <f>IFERROR(H4/G4, "")</f>
        <v>-0.32551605799082206</v>
      </c>
      <c r="J4" s="32" t="s">
        <v>68</v>
      </c>
      <c r="K4" s="46" t="s">
        <v>69</v>
      </c>
      <c r="L4" s="48" t="s">
        <v>70</v>
      </c>
      <c r="M4" s="48" t="s">
        <v>71</v>
      </c>
      <c r="N4" s="48" t="s">
        <v>64</v>
      </c>
      <c r="O4" s="48" t="s">
        <v>72</v>
      </c>
      <c r="P4" s="48" t="s">
        <v>52</v>
      </c>
      <c r="Q4" s="48" t="s">
        <v>53</v>
      </c>
    </row>
    <row r="5" spans="1:17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7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7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7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7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44"/>
    </row>
    <row r="10" spans="1:17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7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7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7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7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7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7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hyperlinks>
    <hyperlink ref="K4" r:id="rId1" display="https://us3.assetplanner.com/service_request?ID=106001" xr:uid="{56451189-8076-44A6-814F-62293CEFFE7D}"/>
    <hyperlink ref="L4" r:id="rId2" display="https://us3.assetplanner.com/service_request?ID=108348" xr:uid="{B9E3D71B-7D14-4236-9C35-9EF052B1CC57}"/>
    <hyperlink ref="M4" r:id="rId3" display="https://us3.assetplanner.com/service_request?ID=108442" xr:uid="{3ADBF74D-AF49-4F0B-9C9A-20DA6E8F8B55}"/>
    <hyperlink ref="N4" r:id="rId4" display="https://us3.assetplanner.com/service_request?ID=106097" xr:uid="{32605E8C-1C62-4C02-9735-091A385F5DE7}"/>
    <hyperlink ref="O4" r:id="rId5" display="https://us3.assetplanner.com/service_request?ID=108673" xr:uid="{267BFF5A-ADEF-4E32-A5DB-47EA09F9125A}"/>
    <hyperlink ref="P4" r:id="rId6" display="https://us3.assetplanner.com/service_request?ID=103157" xr:uid="{DC631458-F2D9-44EA-ACF2-0588E79CBEE1}"/>
    <hyperlink ref="Q4" r:id="rId7" display="https://us3.assetplanner.com/service_request?ID=103746" xr:uid="{EC901E22-73DD-4D3E-92E1-FD01868DBEC0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N314"/>
  <sheetViews>
    <sheetView tabSelected="1" workbookViewId="0">
      <pane xSplit="2" ySplit="3" topLeftCell="I4" activePane="bottomRight" state="frozen"/>
      <selection pane="bottomRight" activeCell="Y5" sqref="Y5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3.85546875" customWidth="1"/>
  </cols>
  <sheetData>
    <row r="1" spans="1:14" ht="19.5" customHeight="1">
      <c r="A1" s="53" t="str" cm="1">
        <f t="array" ref="A1">portfolio</f>
        <v>Altus Power</v>
      </c>
      <c r="B1" s="53"/>
      <c r="C1" s="53"/>
      <c r="D1" s="54" t="s">
        <v>73</v>
      </c>
      <c r="E1" s="54"/>
      <c r="F1" s="54"/>
      <c r="G1" s="52" t="s">
        <v>74</v>
      </c>
      <c r="H1" s="52"/>
      <c r="I1" s="52"/>
      <c r="J1" s="4"/>
      <c r="K1" s="4"/>
    </row>
    <row r="2" spans="1:14" ht="19.5" customHeight="1">
      <c r="A2" s="55" t="s">
        <v>2</v>
      </c>
      <c r="B2" s="55"/>
      <c r="C2" s="5">
        <f>SUM(C4:C72)</f>
        <v>874760</v>
      </c>
      <c r="D2" s="5">
        <f>SUM(D4:D72)</f>
        <v>972750.23</v>
      </c>
      <c r="E2" s="5">
        <f>C2-D2</f>
        <v>-97990.229999999981</v>
      </c>
      <c r="F2" s="6">
        <f>IFERROR(E2/D2, 0)</f>
        <v>-0.10073524218030766</v>
      </c>
      <c r="G2" s="5">
        <f>SUM(G4:G72)</f>
        <v>972750.23</v>
      </c>
      <c r="H2" s="7">
        <f>C2-G2</f>
        <v>-97990.229999999981</v>
      </c>
      <c r="I2" s="6">
        <f>IFERROR(H2/G2, 0)</f>
        <v>-0.10073524218030766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  <c r="L3" s="19" t="s">
        <v>75</v>
      </c>
    </row>
    <row r="4" spans="1:14" ht="76.5">
      <c r="A4" s="23" t="str" cm="1">
        <f t="array" ref="A4">Sites[Site]</f>
        <v>Pratt Solar Farm</v>
      </c>
      <c r="B4" s="22" t="str" cm="1">
        <f t="array" ref="B4">Sites[State]</f>
        <v>KS</v>
      </c>
      <c r="C4" s="18">
        <v>874760</v>
      </c>
      <c r="D4" s="11">
        <v>972750.23</v>
      </c>
      <c r="E4" s="11">
        <f>IF(AND(ISNUMBER(C4),ISNUMBER(D4)), C4-D4, "")</f>
        <v>-97990.229999999981</v>
      </c>
      <c r="F4" s="12">
        <f>IFERROR(E4/D4, "")</f>
        <v>-0.10073524218030766</v>
      </c>
      <c r="G4" s="13">
        <v>972750.23</v>
      </c>
      <c r="H4" s="13">
        <f>IF(AND(ISNUMBER(C4),ISNUMBER(G4)), C4-G4, "")</f>
        <v>-97990.229999999981</v>
      </c>
      <c r="I4" s="14">
        <f>IFERROR(H4/G4, "")</f>
        <v>-0.10073524218030766</v>
      </c>
      <c r="J4" s="32" t="s">
        <v>76</v>
      </c>
      <c r="K4" s="46" t="s">
        <v>77</v>
      </c>
      <c r="L4" s="32" t="s">
        <v>78</v>
      </c>
      <c r="M4" s="51" t="s">
        <v>79</v>
      </c>
      <c r="N4" s="51" t="s">
        <v>80</v>
      </c>
    </row>
    <row r="5" spans="1:14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4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4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4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4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4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4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4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4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4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4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4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hyperlinks>
    <hyperlink ref="K4" r:id="rId1" display="https://us3.assetplanner.com/service_request?ID=108673" xr:uid="{3DFAA526-D7D2-4C3A-B084-62D058248428}"/>
    <hyperlink ref="M4" r:id="rId2" display="https://us3.assetplanner.com/service_request?ID=110226" xr:uid="{B2E30A33-47B4-433F-83FC-67DEF6FA74C3}"/>
    <hyperlink ref="N4" r:id="rId3" display="https://us3.assetplanner.com/service_request?ID=110267" xr:uid="{5A74C9BE-35F2-4171-BB74-6A994809790D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4"/>
  <sheetViews>
    <sheetView workbookViewId="0">
      <pane xSplit="2" ySplit="3" topLeftCell="C4" activePane="bottomRight" state="frozen"/>
      <selection pane="bottomRight" activeCell="G13" sqref="G13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Altus Power</v>
      </c>
      <c r="B1" s="53"/>
      <c r="C1" s="53"/>
      <c r="D1" s="54" t="s">
        <v>81</v>
      </c>
      <c r="E1" s="54"/>
      <c r="F1" s="54"/>
      <c r="G1" s="52" t="s">
        <v>82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57.6">
      <c r="A4" s="23" t="str" cm="1">
        <f t="array" ref="A4">Sites[Site]</f>
        <v>Pratt Solar Farm</v>
      </c>
      <c r="B4" s="22" t="str" cm="1">
        <f t="array" ref="B4">Sites[State]</f>
        <v>KS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 t="s">
        <v>83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4"/>
  <sheetViews>
    <sheetView workbookViewId="0">
      <pane xSplit="2" ySplit="3" topLeftCell="C4" activePane="bottomRight" state="frozen"/>
      <selection pane="bottomRight" activeCell="D7" sqref="D7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Altus Power</v>
      </c>
      <c r="B1" s="53"/>
      <c r="C1" s="53"/>
      <c r="D1" s="54" t="s">
        <v>84</v>
      </c>
      <c r="E1" s="54"/>
      <c r="F1" s="54"/>
      <c r="G1" s="52" t="s">
        <v>85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Pratt Solar Farm</v>
      </c>
      <c r="B4" s="22" t="str" cm="1">
        <f t="array" ref="B4">Sites[State]</f>
        <v>KS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14" sqref="D14"/>
    </sheetView>
  </sheetViews>
  <sheetFormatPr defaultRowHeight="12.75" customHeight="1"/>
  <cols>
    <col min="1" max="2" width="41.85546875" customWidth="1"/>
    <col min="4" max="4" width="11.425781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86</v>
      </c>
      <c r="B1" s="40" t="s">
        <v>87</v>
      </c>
    </row>
    <row r="3" spans="1:12" ht="13.15">
      <c r="A3" t="s">
        <v>88</v>
      </c>
      <c r="B3" t="s">
        <v>3</v>
      </c>
      <c r="C3" t="s">
        <v>4</v>
      </c>
      <c r="D3" t="s">
        <v>89</v>
      </c>
      <c r="E3" s="2" t="s">
        <v>90</v>
      </c>
    </row>
    <row r="4" spans="1:12" ht="14.45">
      <c r="A4" s="38" t="s">
        <v>91</v>
      </c>
      <c r="B4" t="s">
        <v>92</v>
      </c>
      <c r="C4" s="36" t="s">
        <v>93</v>
      </c>
      <c r="D4" s="41"/>
      <c r="E4" s="40" t="s">
        <v>94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14966E4F-347B-477B-B74C-9DAC05405806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D3A7101F-9A85-4235-8B03-415370C100B2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6B5C5AE3-B386-4D80-8F20-4CC4D096D50C}"/>
</file>

<file path=customXml/itemProps19.xml><?xml version="1.0" encoding="utf-8"?>
<ds:datastoreItem xmlns:ds="http://schemas.openxmlformats.org/officeDocument/2006/customXml" ds:itemID="{078388C9-06F9-42F4-B857-EF76B5CAF1FD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2025-11-10T11:35:47Z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2025-02-10T20:30:54Z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75efe078-835a-4483-9c70-3d5453774c6f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