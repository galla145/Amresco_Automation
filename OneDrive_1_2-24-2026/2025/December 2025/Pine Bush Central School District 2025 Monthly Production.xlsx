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0E88D646-E895-49FC-8613-F14BBCA35B8B}" xr6:coauthVersionLast="47" xr6:coauthVersionMax="47" xr10:uidLastSave="{F9BE98BC-0B4F-4EE9-BD65-2B96B0ED2389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3" l="1"/>
  <c r="F7" i="33" s="1"/>
  <c r="H7" i="33"/>
  <c r="I7" i="33" s="1"/>
  <c r="E8" i="33"/>
  <c r="F8" i="33" s="1"/>
  <c r="H8" i="33"/>
  <c r="I8" i="33" s="1"/>
  <c r="E7" i="32"/>
  <c r="F7" i="32" s="1"/>
  <c r="H7" i="32"/>
  <c r="H7" i="30" s="1"/>
  <c r="E8" i="32"/>
  <c r="F8" i="32" s="1"/>
  <c r="H8" i="32"/>
  <c r="E7" i="31"/>
  <c r="F7" i="31" s="1"/>
  <c r="H7" i="31"/>
  <c r="I7" i="31" s="1"/>
  <c r="E8" i="31"/>
  <c r="F8" i="31" s="1"/>
  <c r="H8" i="31"/>
  <c r="I8" i="31"/>
  <c r="C6" i="30"/>
  <c r="C7" i="30"/>
  <c r="C8" i="30"/>
  <c r="D6" i="30"/>
  <c r="D7" i="30"/>
  <c r="D8" i="30"/>
  <c r="G5" i="30"/>
  <c r="G6" i="30"/>
  <c r="G7" i="30"/>
  <c r="G8" i="30"/>
  <c r="G8" i="34" s="1"/>
  <c r="I8" i="34" s="1"/>
  <c r="G4" i="30"/>
  <c r="I7" i="29"/>
  <c r="H5" i="29"/>
  <c r="H7" i="29"/>
  <c r="G5" i="29"/>
  <c r="G6" i="29"/>
  <c r="G7" i="29"/>
  <c r="G8" i="29"/>
  <c r="G4" i="29"/>
  <c r="G5" i="18"/>
  <c r="G6" i="18"/>
  <c r="G7" i="18"/>
  <c r="G8" i="18"/>
  <c r="G4" i="18"/>
  <c r="F7" i="29"/>
  <c r="E7" i="29"/>
  <c r="D7" i="29"/>
  <c r="D8" i="29"/>
  <c r="C7" i="29"/>
  <c r="C8" i="29"/>
  <c r="E8" i="29" s="1"/>
  <c r="F8" i="29" s="1"/>
  <c r="C7" i="18"/>
  <c r="E7" i="18" s="1"/>
  <c r="F7" i="18" s="1"/>
  <c r="D7" i="18"/>
  <c r="H7" i="18"/>
  <c r="I7" i="18" s="1"/>
  <c r="C8" i="18"/>
  <c r="D8" i="18"/>
  <c r="E8" i="18"/>
  <c r="F8" i="18" s="1"/>
  <c r="H8" i="18"/>
  <c r="I8" i="18"/>
  <c r="C7" i="1"/>
  <c r="D7" i="1"/>
  <c r="E7" i="1"/>
  <c r="F7" i="1"/>
  <c r="G7" i="1"/>
  <c r="H7" i="1"/>
  <c r="I7" i="1"/>
  <c r="C8" i="1"/>
  <c r="E8" i="1" s="1"/>
  <c r="F8" i="1" s="1"/>
  <c r="D8" i="1"/>
  <c r="G8" i="1"/>
  <c r="H8" i="1"/>
  <c r="I8" i="1"/>
  <c r="H7" i="34"/>
  <c r="H8" i="34"/>
  <c r="F7" i="34"/>
  <c r="F8" i="34"/>
  <c r="E7" i="34"/>
  <c r="E8" i="34"/>
  <c r="D7" i="34"/>
  <c r="D8" i="34"/>
  <c r="C7" i="34"/>
  <c r="C8" i="34"/>
  <c r="I7" i="28"/>
  <c r="H6" i="28"/>
  <c r="I6" i="28" s="1"/>
  <c r="H7" i="28"/>
  <c r="H8" i="2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5" i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I6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8" i="30" l="1"/>
  <c r="I8" i="32"/>
  <c r="I7" i="32"/>
  <c r="E8" i="30"/>
  <c r="G4" i="34"/>
  <c r="I7" i="30"/>
  <c r="E6" i="30"/>
  <c r="F6" i="30" s="1"/>
  <c r="E5" i="30"/>
  <c r="F5" i="30" s="1"/>
  <c r="I8" i="30"/>
  <c r="H6" i="30"/>
  <c r="I6" i="30" s="1"/>
  <c r="I6" i="31"/>
  <c r="H8" i="29"/>
  <c r="I8" i="29" s="1"/>
  <c r="I8" i="28"/>
  <c r="G6" i="34"/>
  <c r="H6" i="29"/>
  <c r="I6" i="29" s="1"/>
  <c r="E7" i="30"/>
  <c r="G2" i="30"/>
  <c r="G5" i="34"/>
  <c r="G7" i="34"/>
  <c r="I7" i="34" s="1"/>
  <c r="E6" i="29"/>
  <c r="F6" i="29" s="1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H2" i="19"/>
  <c r="I2" i="19" s="1"/>
  <c r="J2" i="19"/>
  <c r="H2" i="28"/>
  <c r="I2" i="28" s="1"/>
  <c r="H2" i="32"/>
  <c r="I2" i="32" s="1"/>
  <c r="H2" i="26"/>
  <c r="I2" i="26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H4" i="29"/>
  <c r="I4" i="29" s="1"/>
  <c r="I5" i="29"/>
  <c r="H6" i="18"/>
  <c r="I6" i="18" s="1"/>
  <c r="H4" i="18"/>
  <c r="I4" i="18" s="1"/>
  <c r="C4" i="34"/>
  <c r="H5" i="18"/>
  <c r="I5" i="18" s="1"/>
  <c r="H6" i="34"/>
  <c r="I6" i="34" s="1"/>
  <c r="H5" i="34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" i="72" s="1"/>
  <c r="I5" i="34" l="1"/>
  <c r="G2" i="34"/>
  <c r="E2" i="29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<sst xmlns="http://schemas.openxmlformats.org/spreadsheetml/2006/main" count="367" uniqueCount="92">
  <si>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</si>
  <si>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</si>
  <si>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</si>
  <si>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</si>
  <si>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</si>
  <si>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</si>
  <si>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</si>
  <si>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</si>
  <si>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</si>
  <si>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</si>
  <si>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</si>
  <si>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</si>
  <si>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</si>
  <si>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</si>
  <si>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</si>
  <si>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</si>
  <si>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</si>
  <si>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</si>
  <si>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</si>
  <si>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</si>
  <si>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</si>
  <si>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</si>
  <si>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</si>
  <si>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</si>
  <si>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</si>
  <si>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</si>
  <si>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</si>
  <si>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</si>
  <si>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</si>
  <si>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</si>
  <si>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2 tripped offline at 13:45 on 05/28 and self-resolved, returning online at 16:00 the same day</t>
  </si>
  <si>
    <t>1. SR102050</t>
  </si>
  <si>
    <t>June Actual v. Expected</t>
  </si>
  <si>
    <t>June Actual v. Forecasted</t>
  </si>
  <si>
    <t>July Actual v. Expected</t>
  </si>
  <si>
    <t>July Actual v. Forecasted</t>
  </si>
  <si>
    <t>N/A</t>
  </si>
  <si>
    <t>1.Inverter 13 is derating at 16kW from 12:15 since 06/24 and reporting " Fan Fault"
2. Inverter 12 dropped a string on 7/23.</t>
  </si>
  <si>
    <t>1.SR103425
2.SR105584</t>
  </si>
  <si>
    <t>SR105584</t>
  </si>
  <si>
    <t>1.Inverter 2 tripped offline multiple days through out the month
2.Site was offline at 22:45 on 07/03 and it came back online at 02:15 on 07/04
3.Inverter 1 is underperforming by 5kW since 12/26/24</t>
  </si>
  <si>
    <t>1.SR103723
2.	SR104003
3.	SR107621</t>
  </si>
  <si>
    <t>SR104003</t>
  </si>
  <si>
    <t>SR107621</t>
  </si>
  <si>
    <t>1. The meter had intermittent communication, so the actual production data was taken from the inverters</t>
  </si>
  <si>
    <t xml:space="preserve"> </t>
  </si>
  <si>
    <t>August Actual v. Expected</t>
  </si>
  <si>
    <t>August Actual v. Forecasted</t>
  </si>
  <si>
    <t>1.nverter 13 is producing with its peers on 08/10
2. Inverter 12 dropped a string on 7/23</t>
  </si>
  <si>
    <t>1.Inverter 2 tripped offline multiple days
2.Inverter 1 is underperforming by 5kW since 12/26/24</t>
  </si>
  <si>
    <t>1.SR103723
2.	SR107621</t>
  </si>
  <si>
    <t>September Actual v. Expected</t>
  </si>
  <si>
    <t>September Actual v. Forecasted</t>
  </si>
  <si>
    <t>1. Inverter 12 dropped a string on 7/23</t>
  </si>
  <si>
    <t>1.SR105584</t>
  </si>
  <si>
    <t>1.Inverter 2 tripped from 11:00 to 14:45 on 09/20</t>
  </si>
  <si>
    <t>1.	SR102050</t>
  </si>
  <si>
    <t>1.Inverter 2 tripped offline multiple days
2.Inverter 1 is underperforming by 5kW since 12/26/24
3.Inverter 2 is derating at 17kW.</t>
  </si>
  <si>
    <t>1.	SR103723
2.	SR107621
3.SR107622</t>
  </si>
  <si>
    <t>SR107622</t>
  </si>
  <si>
    <t>October Actual v. Expected</t>
  </si>
  <si>
    <t>October Actual v. Forecasted</t>
  </si>
  <si>
    <t>Status</t>
  </si>
  <si>
    <t>1.Inverter 12 producing as expected from 10/03</t>
  </si>
  <si>
    <t>1.Closed</t>
  </si>
  <si>
    <t>1.	SR107622
2.	SR107621</t>
  </si>
  <si>
    <t>1.Closed
2.Closed</t>
  </si>
  <si>
    <t>November Actual v. Expected</t>
  </si>
  <si>
    <t>November Actual v. Forecasted</t>
  </si>
  <si>
    <t>1.Inverter 4 started late for production at 10:30 on 11/14</t>
  </si>
  <si>
    <t>1.	SR111067</t>
  </si>
  <si>
    <t>1.Inverter 2 tripped offline and rmad
2.Inverter 1 is underperforming by 5kW since 12/26/24</t>
  </si>
  <si>
    <t>December Actual v. Expected</t>
  </si>
  <si>
    <t>December Actual v. Forecasted</t>
  </si>
  <si>
    <t>1.Inverter 2 tripped offline and rmad
2.Inverter 2 producing as expected from 12/17</t>
  </si>
  <si>
    <t>Portfolio:</t>
  </si>
  <si>
    <t>Pine Bush Central School District</t>
  </si>
  <si>
    <t>Site DAS Name</t>
  </si>
  <si>
    <t>Update</t>
  </si>
  <si>
    <t>DAS</t>
  </si>
  <si>
    <t>NY:  Pine Bush - HS</t>
  </si>
  <si>
    <t>Pine Bush - HS</t>
  </si>
  <si>
    <t>NY</t>
  </si>
  <si>
    <t>PF Unity</t>
  </si>
  <si>
    <t>NY:  Pine Bush - ES</t>
  </si>
  <si>
    <t>Pine Bush - ES</t>
  </si>
  <si>
    <t>NY:  Pine Bush - Russel ES</t>
  </si>
  <si>
    <t xml:space="preserve"> Pine Bush - Russel ES</t>
  </si>
  <si>
    <t>NY:  Circleville - ES</t>
  </si>
  <si>
    <t xml:space="preserve">  Circleville - ES</t>
  </si>
  <si>
    <t>NY:  Circleville - MS</t>
  </si>
  <si>
    <t xml:space="preserve"> Circleville -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</si>
</sst>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/>
    </xf>
    <xf numFmtId="0" fontId="36" fillId="0" borderId="0" xfId="45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49" fontId="36" fillId="0" borderId="0" xfId="45" applyNumberFormat="1" applyAlignment="1">
      <alignment horizontal="left" vertical="center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3" fontId="30" fillId="0" borderId="0" xfId="1" applyNumberFormat="1" applyFont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49" fontId="27" fillId="0" borderId="0" xfId="0" applyNumberFormat="1" applyFont="1" applyAlignment="1">
      <alignment horizontal="center" vertical="center" wrapText="1"/>
    </xf>
    <xf numFmtId="0" fontId="36" fillId="0" borderId="0" xfId="45"/>
    <xf numFmtId="0" fontId="5" fillId="0" borderId="0" xfId="0" applyFont="1" applyAlignment="1">
      <alignment horizontal="left" vertical="top"/>
    </xf>
    <xf numFmtId="0" fontId="5" fillId="45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36" fillId="0" borderId="0" xfId="45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23" TargetMode="External"/><Relationship Id="rId2" Type="http://schemas.openxmlformats.org/officeDocument/2006/relationships/hyperlink" Target="https://us3.assetplanner.com/service_request?ID=105584" TargetMode="External"/><Relationship Id="rId1" Type="http://schemas.openxmlformats.org/officeDocument/2006/relationships/hyperlink" Target="https://us3.assetplanner.com/service_request?ID=103425" TargetMode="External"/><Relationship Id="rId5" Type="http://schemas.openxmlformats.org/officeDocument/2006/relationships/hyperlink" Target="https://us3.assetplanner.com/service_request?ID=107621" TargetMode="External"/><Relationship Id="rId4" Type="http://schemas.openxmlformats.org/officeDocument/2006/relationships/hyperlink" Target="https://us3.assetplanner.com/service_request?ID=104003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23" TargetMode="External"/><Relationship Id="rId2" Type="http://schemas.openxmlformats.org/officeDocument/2006/relationships/hyperlink" Target="https://us3.assetplanner.com/service_request?ID=105584" TargetMode="External"/><Relationship Id="rId1" Type="http://schemas.openxmlformats.org/officeDocument/2006/relationships/hyperlink" Target="https://us3.assetplanner.com/service_request?ID=103425" TargetMode="External"/><Relationship Id="rId4" Type="http://schemas.openxmlformats.org/officeDocument/2006/relationships/hyperlink" Target="https://us3.assetplanner.com/service_request?ID=10762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23" TargetMode="External"/><Relationship Id="rId2" Type="http://schemas.openxmlformats.org/officeDocument/2006/relationships/hyperlink" Target="https://us3.assetplanner.com/service_request?ID=102050" TargetMode="External"/><Relationship Id="rId1" Type="http://schemas.openxmlformats.org/officeDocument/2006/relationships/hyperlink" Target="https://us3.assetplanner.com/service_request?ID=105584" TargetMode="External"/><Relationship Id="rId5" Type="http://schemas.openxmlformats.org/officeDocument/2006/relationships/hyperlink" Target="https://us3.assetplanner.com/service_request?ID=107622" TargetMode="External"/><Relationship Id="rId4" Type="http://schemas.openxmlformats.org/officeDocument/2006/relationships/hyperlink" Target="https://us3.assetplanner.com/service_request?ID=10762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621" TargetMode="External"/><Relationship Id="rId2" Type="http://schemas.openxmlformats.org/officeDocument/2006/relationships/hyperlink" Target="https://us3.assetplanner.com/service_request?ID=107622" TargetMode="External"/><Relationship Id="rId1" Type="http://schemas.openxmlformats.org/officeDocument/2006/relationships/hyperlink" Target="https://us3.assetplanner.com/service_request?ID=105584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621" TargetMode="External"/><Relationship Id="rId2" Type="http://schemas.openxmlformats.org/officeDocument/2006/relationships/hyperlink" Target="https://us3.assetplanner.com/service_request?ID=107622" TargetMode="External"/><Relationship Id="rId1" Type="http://schemas.openxmlformats.org/officeDocument/2006/relationships/hyperlink" Target="https://us3.assetplanner.com/service_request?ID=111067" TargetMode="External"/><Relationship Id="rId4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7621" TargetMode="External"/><Relationship Id="rId1" Type="http://schemas.openxmlformats.org/officeDocument/2006/relationships/hyperlink" Target="https://us3.assetplanner.com/service_request?ID=10762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activeCell="E17" sqref="E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Pine Bush Central School District</v>
      </c>
      <c r="B1" s="80"/>
      <c r="C1" s="80"/>
      <c r="D1" s="81" t="s">
        <v>0</v>
      </c>
      <c r="E1" s="81"/>
      <c r="F1" s="81"/>
      <c r="G1" s="79" t="s">
        <v>1</v>
      </c>
      <c r="H1" s="79"/>
      <c r="I1" s="79"/>
    </row>
    <row r="2" spans="1:9" ht="19.5" customHeight="1">
      <c r="A2" s="82" t="s">
        <v>2</v>
      </c>
      <c r="B2" s="82"/>
      <c r="C2" s="6">
        <f>SUM(C4:C85)</f>
        <v>267562.5</v>
      </c>
      <c r="D2" s="6">
        <f>SUM(D4:D85)</f>
        <v>0</v>
      </c>
      <c r="E2" s="6">
        <f>C2-D2</f>
        <v>267562.5</v>
      </c>
      <c r="F2" s="7">
        <f>IFERROR(E2/D2, 0)</f>
        <v>0</v>
      </c>
      <c r="G2" s="6">
        <f>SUM(G4:G85)</f>
        <v>0</v>
      </c>
      <c r="H2" s="8">
        <f>C2-G2</f>
        <v>267562.5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SUM('1st Qtr'!C4, '2nd Qtr'!C4, '3rd Qtr'!C4, '4th Qtr'!C4)</f>
        <v>267562.5</v>
      </c>
      <c r="D4" s="14">
        <f>SUM('1st Qtr'!D4, '2nd Qtr'!D4, '3rd Qtr'!D4, '4th Qtr'!D4)</f>
        <v>0</v>
      </c>
      <c r="E4" s="14">
        <f>IF(AND(ISNUMBER(C4),ISNUMBER(D4)), C4-D4, "")</f>
        <v>267562.5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Pine Bush - ES</v>
      </c>
      <c r="B5" s="11" t="str">
        <v>NY</v>
      </c>
      <c r="C5" s="12">
        <f>SUM(Jan!C5, Feb!C5, Mar!C5)</f>
        <v>0</v>
      </c>
      <c r="D5" s="20">
        <f>SUM(Jan!D5, Feb!D5, Mar!D5)</f>
        <v>0</v>
      </c>
      <c r="E5" s="20">
        <f t="shared" ref="E5:E8" si="0">IF(AND(ISNUMBER(C5),ISNUMBER(D5)), C5-D5, "")</f>
        <v>0</v>
      </c>
      <c r="F5" s="21">
        <f>IFERROR(E5/D5, 0)</f>
        <v>0</v>
      </c>
      <c r="G5" s="22">
        <f>SUM('1st Qtr'!G5,'2nd Qtr'!G5,'3rd Qtr'!G5,'4th Qtr'!G5)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 xml:space="preserve"> Pine Bush - Russel ES</v>
      </c>
      <c r="B6" s="10" t="str">
        <v>NY</v>
      </c>
      <c r="C6" s="26">
        <f>SUM(Jan!C6, Feb!C6, Mar!C6)</f>
        <v>0</v>
      </c>
      <c r="D6" s="14">
        <f>SUM(Jan!D6, Feb!D6, Mar!D6)</f>
        <v>0</v>
      </c>
      <c r="E6" s="14">
        <f t="shared" si="0"/>
        <v>0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0</v>
      </c>
      <c r="I6" s="17">
        <f>IFERROR(H6/G6, 0)</f>
        <v>0</v>
      </c>
    </row>
    <row r="7" spans="1:9" ht="15.6">
      <c r="A7" s="19" t="str">
        <v xml:space="preserve">  Circleville - ES</v>
      </c>
      <c r="B7" s="11" t="str">
        <v>NY</v>
      </c>
      <c r="C7" s="12">
        <f>SUM(Jan!C7, Feb!C7, Mar!C7)</f>
        <v>0</v>
      </c>
      <c r="D7" s="20">
        <f>SUM(Jan!D7, Feb!D7, Mar!D7)</f>
        <v>0</v>
      </c>
      <c r="E7" s="20">
        <f t="shared" si="0"/>
        <v>0</v>
      </c>
      <c r="F7" s="21">
        <f>IFERROR(E7/D7, 0)</f>
        <v>0</v>
      </c>
      <c r="G7" s="22">
        <f>SUM('1st Qtr'!G7,'2nd Qtr'!G7,'3rd Qtr'!G7,'4th Qtr'!G7)</f>
        <v>0</v>
      </c>
      <c r="H7" s="22">
        <f>SUM(Jan!H7, Feb!H7, Mar!H7)</f>
        <v>0</v>
      </c>
      <c r="I7" s="21">
        <f>IFERROR(H7/G7, 0)</f>
        <v>0</v>
      </c>
    </row>
    <row r="8" spans="1:9" ht="15.6">
      <c r="A8" s="13" t="str">
        <v xml:space="preserve"> Circleville - MS</v>
      </c>
      <c r="B8" s="10" t="str">
        <v>NY</v>
      </c>
      <c r="C8" s="26">
        <f>SUM(Jan!C8, Feb!C8, Mar!C8)</f>
        <v>0</v>
      </c>
      <c r="D8" s="14">
        <f>SUM(Jan!D8, Feb!D8, Mar!D8)</f>
        <v>0</v>
      </c>
      <c r="E8" s="14">
        <f t="shared" si="0"/>
        <v>0</v>
      </c>
      <c r="F8" s="15">
        <f>IFERROR(E8/D8, 0)</f>
        <v>0</v>
      </c>
      <c r="G8" s="16">
        <f>SUM('1st Qtr'!G8,'2nd Qtr'!G8,'3rd Qtr'!G8,'4th Qtr'!G8)</f>
        <v>0</v>
      </c>
      <c r="H8" s="16">
        <f>SUM(Jan!H8, Feb!H8, Mar!H8)</f>
        <v>0</v>
      </c>
      <c r="I8" s="17">
        <f>IFERROR(H8/G8, 0)</f>
        <v>0</v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C18" sqref="C18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Pine Bush Central School District</v>
      </c>
      <c r="B1" s="80"/>
      <c r="C1" s="80"/>
      <c r="D1" s="81" t="s">
        <v>10</v>
      </c>
      <c r="E1" s="81"/>
      <c r="F1" s="81"/>
      <c r="G1" s="79" t="s">
        <v>11</v>
      </c>
      <c r="H1" s="79"/>
      <c r="I1" s="79"/>
    </row>
    <row r="2" spans="1:9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Pine Bush - ES</v>
      </c>
      <c r="B5" s="11" t="str">
        <v>NY</v>
      </c>
      <c r="C5" s="12">
        <f>SUM(Jan!C5, Feb!C5, Mar!C5)</f>
        <v>0</v>
      </c>
      <c r="D5" s="20">
        <f>SUM(Jan!D5, Feb!D5, Mar!D5)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SUM(Jan!G5, Feb!G5, Mar!G5)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 xml:space="preserve"> Pine Bush - Russel ES</v>
      </c>
      <c r="B6" s="10" t="str">
        <v>NY</v>
      </c>
      <c r="C6" s="26">
        <f>SUM(Jan!C6, Feb!C6, Mar!C6)</f>
        <v>0</v>
      </c>
      <c r="D6" s="14">
        <f>SUM(Jan!D6, Feb!D6, Mar!D6)</f>
        <v>0</v>
      </c>
      <c r="E6" s="14">
        <f t="shared" si="0"/>
        <v>0</v>
      </c>
      <c r="F6" s="15" t="str">
        <f t="shared" ref="F6" si="1">IFERROR(E6/D6, "")</f>
        <v/>
      </c>
      <c r="G6" s="16">
        <f>SUM(Jan!G6, Feb!G6, Mar!G6)</f>
        <v>0</v>
      </c>
      <c r="H6" s="16">
        <f>SUM(Jan!H6, Feb!H6, Mar!H6)</f>
        <v>0</v>
      </c>
      <c r="I6" s="17">
        <f>IFERROR(H6/G6, 0)</f>
        <v>0</v>
      </c>
    </row>
    <row r="7" spans="1:9" ht="15.6">
      <c r="A7" s="19" t="str">
        <v xml:space="preserve">  Circleville - ES</v>
      </c>
      <c r="B7" s="11" t="str">
        <v>NY</v>
      </c>
      <c r="C7" s="12">
        <f>SUM(Jan!C7, Feb!C7, Mar!C7)</f>
        <v>0</v>
      </c>
      <c r="D7" s="20">
        <f>SUM(Jan!D7, Feb!D7, Mar!D7)</f>
        <v>0</v>
      </c>
      <c r="E7" s="20">
        <f t="shared" ref="E7:E8" si="2">IF(AND(ISNUMBER(C7),ISNUMBER(D7)), C7-D7, "")</f>
        <v>0</v>
      </c>
      <c r="F7" s="21" t="str">
        <f>IFERROR(E7/D7, "")</f>
        <v/>
      </c>
      <c r="G7" s="22">
        <f>SUM(Jan!G7, Feb!G7, Mar!G7)</f>
        <v>0</v>
      </c>
      <c r="H7" s="22">
        <f>SUM(Jan!H7, Feb!H7, Mar!H7)</f>
        <v>0</v>
      </c>
      <c r="I7" s="21">
        <f>IFERROR(H7/G7, 0)</f>
        <v>0</v>
      </c>
    </row>
    <row r="8" spans="1:9" ht="15.6">
      <c r="A8" s="13" t="str">
        <v xml:space="preserve"> Circleville - MS</v>
      </c>
      <c r="B8" s="10" t="str">
        <v>NY</v>
      </c>
      <c r="C8" s="26">
        <f>SUM(Jan!C8, Feb!C8, Mar!C8)</f>
        <v>0</v>
      </c>
      <c r="D8" s="14">
        <f>SUM(Jan!D8, Feb!D8, Mar!D8)</f>
        <v>0</v>
      </c>
      <c r="E8" s="14">
        <f t="shared" si="2"/>
        <v>0</v>
      </c>
      <c r="F8" s="15" t="str">
        <f t="shared" ref="F8" si="3">IFERROR(E8/D8, "")</f>
        <v/>
      </c>
      <c r="G8" s="16">
        <f>SUM(Jan!G8, Feb!G8, Mar!G8)</f>
        <v>0</v>
      </c>
      <c r="H8" s="16">
        <f>SUM(Jan!H8, Feb!H8, Mar!H8)</f>
        <v>0</v>
      </c>
      <c r="I8" s="17">
        <f>IFERROR(H8/G8, 0)</f>
        <v>0</v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E16" sqref="E16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Pine Bush Central School District</v>
      </c>
      <c r="B1" s="80"/>
      <c r="C1" s="80"/>
      <c r="D1" s="81" t="s">
        <v>12</v>
      </c>
      <c r="E1" s="81"/>
      <c r="F1" s="81"/>
      <c r="G1" s="79" t="s">
        <v>13</v>
      </c>
      <c r="H1" s="79"/>
      <c r="I1" s="79"/>
    </row>
    <row r="2" spans="1:9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Pine Bush - ES</v>
      </c>
      <c r="B5" s="11" t="str">
        <v>NY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 xml:space="preserve"> Pine Bush - Russel ES</v>
      </c>
      <c r="B6" s="10" t="str">
        <v>NY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" si="2">IFERROR(H6/G6, "")</f>
        <v/>
      </c>
    </row>
    <row r="7" spans="1:9" ht="15.6">
      <c r="A7" s="19" t="str">
        <v xml:space="preserve">  Circleville - ES</v>
      </c>
      <c r="B7" s="11" t="str">
        <v>NY</v>
      </c>
      <c r="C7" s="12">
        <f>SUM(Apr!C7, May!C7, Jun!C7)</f>
        <v>0</v>
      </c>
      <c r="D7" s="20">
        <f>SUM(Apr!D7, May!D7, Jun!D7)</f>
        <v>0</v>
      </c>
      <c r="E7" s="20">
        <f t="shared" ref="E7:E8" si="3">IF(AND(ISNUMBER(C7),ISNUMBER(D7)), C7-D7, "")</f>
        <v>0</v>
      </c>
      <c r="F7" s="21" t="str">
        <f>IFERROR(E7/D7, "")</f>
        <v/>
      </c>
      <c r="G7" s="22">
        <f>SUM(Apr!G7,May!G7,Jun!G7)</f>
        <v>0</v>
      </c>
      <c r="H7" s="22">
        <f>SUM(Apr!H7, May!H7, Jun!H7)</f>
        <v>0</v>
      </c>
      <c r="I7" s="21" t="str">
        <f>IFERROR(H7/G7, "")</f>
        <v/>
      </c>
    </row>
    <row r="8" spans="1:9" ht="15.6">
      <c r="A8" s="13" t="str">
        <v xml:space="preserve"> Circleville - MS</v>
      </c>
      <c r="B8" s="10" t="str">
        <v>NY</v>
      </c>
      <c r="C8" s="26">
        <f>SUM(Apr!C8, May!C8, Jun!C8)</f>
        <v>0</v>
      </c>
      <c r="D8" s="14">
        <f>SUM(Apr!D8, May!D8, Jun!D8)</f>
        <v>0</v>
      </c>
      <c r="E8" s="14">
        <f t="shared" si="3"/>
        <v>0</v>
      </c>
      <c r="F8" s="15" t="str">
        <f t="shared" ref="F8" si="4">IFERROR(E8/D8, "")</f>
        <v/>
      </c>
      <c r="G8" s="16">
        <f>SUM(Apr!G8,May!G8,Jun!G8)</f>
        <v>0</v>
      </c>
      <c r="H8" s="16">
        <f>SUM(Apr!H8, May!H8, Jun!H8)</f>
        <v>0</v>
      </c>
      <c r="I8" s="17" t="str">
        <f t="shared" ref="I8" si="5">IFERROR(H8/G8, "")</f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G19" sqref="G19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Pine Bush Central School District</v>
      </c>
      <c r="B1" s="80"/>
      <c r="C1" s="80"/>
      <c r="D1" s="81" t="s">
        <v>14</v>
      </c>
      <c r="E1" s="81"/>
      <c r="F1" s="81"/>
      <c r="G1" s="79" t="s">
        <v>15</v>
      </c>
      <c r="H1" s="79"/>
      <c r="I1" s="79"/>
    </row>
    <row r="2" spans="1:9" ht="19.5" customHeight="1">
      <c r="A2" s="82" t="s">
        <v>2</v>
      </c>
      <c r="B2" s="82"/>
      <c r="C2" s="6">
        <f>SUM(C4:C85)</f>
        <v>494873.35399999999</v>
      </c>
      <c r="D2" s="6">
        <f>SUM(D4:D85)</f>
        <v>0</v>
      </c>
      <c r="E2" s="6">
        <f>C2-D2</f>
        <v>494873.35399999999</v>
      </c>
      <c r="F2" s="7">
        <f>IFERROR(E2/D2, 0)</f>
        <v>0</v>
      </c>
      <c r="G2" s="6">
        <f>SUM(G4:G85)</f>
        <v>0</v>
      </c>
      <c r="H2" s="8">
        <f>C2-G2</f>
        <v>494873.35399999999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SUM(Jul!C4, Aug!C4, Sep!C4)</f>
        <v>195630.7</v>
      </c>
      <c r="D4" s="14">
        <f>SUM(Jul!D4, Aug!D4, Sep!D4)</f>
        <v>0</v>
      </c>
      <c r="E4" s="14">
        <f>IF(AND(ISNUMBER(C4),ISNUMBER(D4)), C4-D4, "")</f>
        <v>195630.7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Pine Bush - ES</v>
      </c>
      <c r="B5" s="11" t="str">
        <v>NY</v>
      </c>
      <c r="C5" s="12">
        <f>SUM(Jul!C5, Aug!C5, Sep!C5)</f>
        <v>31223.856</v>
      </c>
      <c r="D5" s="20">
        <f>SUM(Jul!D5, Aug!D5, Sep!D5)</f>
        <v>0</v>
      </c>
      <c r="E5" s="20">
        <f t="shared" ref="E5:E8" si="0">IF(AND(ISNUMBER(C5),ISNUMBER(D5)), C5-D5, "")</f>
        <v>31223.856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 xml:space="preserve"> Pine Bush - Russel ES</v>
      </c>
      <c r="B6" s="10" t="str">
        <v>NY</v>
      </c>
      <c r="C6" s="26">
        <f>SUM(Jul!C6, Aug!C6, Sep!C6)</f>
        <v>104814.39999999999</v>
      </c>
      <c r="D6" s="14">
        <f>SUM(Jul!D6, Aug!D6, Sep!D6)</f>
        <v>0</v>
      </c>
      <c r="E6" s="14">
        <f t="shared" si="0"/>
        <v>104814.39999999999</v>
      </c>
      <c r="F6" s="15" t="str">
        <f t="shared" ref="F6:F8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 xml:space="preserve">  Circleville - ES</v>
      </c>
      <c r="B7" s="11" t="str">
        <v>NY</v>
      </c>
      <c r="C7" s="12">
        <f>SUM(Jul!C7, Aug!C7, Sep!C7)</f>
        <v>73576.97</v>
      </c>
      <c r="D7" s="20">
        <f>SUM(Jul!D7, Aug!D7, Sep!D7)</f>
        <v>0</v>
      </c>
      <c r="E7" s="20">
        <f t="shared" si="0"/>
        <v>73576.97</v>
      </c>
      <c r="F7" s="21" t="str">
        <f>IFERROR(E7/D7, "")</f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3" t="str">
        <v xml:space="preserve"> Circleville - MS</v>
      </c>
      <c r="B8" s="10" t="str">
        <v>NY</v>
      </c>
      <c r="C8" s="26">
        <f>SUM(Jul!C8, Aug!C8, Sep!C8)</f>
        <v>89627.428000000014</v>
      </c>
      <c r="D8" s="14">
        <f>SUM(Jul!D8, Aug!D8, Sep!D8)</f>
        <v>0</v>
      </c>
      <c r="E8" s="14">
        <f t="shared" si="0"/>
        <v>89627.428000000014</v>
      </c>
      <c r="F8" s="15" t="str">
        <f t="shared" si="1"/>
        <v/>
      </c>
      <c r="G8" s="16">
        <f>SUM(Jul!G8,Aug!G8,Sep!G8)</f>
        <v>0</v>
      </c>
      <c r="H8" s="16">
        <f>SUM(Jul!H8, Aug!H8, Sep!H8)</f>
        <v>0</v>
      </c>
      <c r="I8" s="17" t="str">
        <f t="shared" si="2"/>
        <v/>
      </c>
    </row>
    <row r="9" spans="1:9" ht="14.45">
      <c r="A9" s="23"/>
      <c r="B9" s="23"/>
      <c r="C9" s="23"/>
      <c r="D9" s="23"/>
      <c r="E9" s="23"/>
      <c r="F9" s="23"/>
      <c r="G9" s="23"/>
      <c r="H9" s="23"/>
      <c r="I9" s="21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G15" sqref="G15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Pine Bush Central School District</v>
      </c>
      <c r="B1" s="80"/>
      <c r="C1" s="80"/>
      <c r="D1" s="81" t="s">
        <v>16</v>
      </c>
      <c r="E1" s="81"/>
      <c r="F1" s="81"/>
      <c r="G1" s="79" t="s">
        <v>17</v>
      </c>
      <c r="H1" s="79"/>
      <c r="I1" s="79"/>
    </row>
    <row r="2" spans="1:9" ht="19.5" customHeight="1">
      <c r="A2" s="82" t="s">
        <v>2</v>
      </c>
      <c r="B2" s="82"/>
      <c r="C2" s="6">
        <f>SUM(C4:C85)</f>
        <v>177833.39999999997</v>
      </c>
      <c r="D2" s="6">
        <f>SUM(D4:D85)</f>
        <v>0</v>
      </c>
      <c r="E2" s="6">
        <f>C2-D2</f>
        <v>177833.39999999997</v>
      </c>
      <c r="F2" s="7">
        <f>IFERROR(E2/D2, 0)</f>
        <v>0</v>
      </c>
      <c r="G2" s="6">
        <f>SUM(G4:G85)</f>
        <v>0</v>
      </c>
      <c r="H2" s="8">
        <f>C2-G2</f>
        <v>177833.39999999997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8">Sites[Site]</f>
        <v>Pine Bush - HS</v>
      </c>
      <c r="B4" s="10" t="str" cm="1">
        <f t="array" ref="B4:B8">Sites[State]</f>
        <v>NY</v>
      </c>
      <c r="C4" s="26">
        <f>SUM(Oct!C4, Nov!C4, Dec!C4)</f>
        <v>71931.799999999988</v>
      </c>
      <c r="D4" s="14">
        <f>SUM(Oct!D4, Nov!D4, Dec!D4)</f>
        <v>0</v>
      </c>
      <c r="E4" s="14">
        <f>IF(AND(ISNUMBER(C4),ISNUMBER(D4)), C4-D4, "")</f>
        <v>71931.799999999988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Pine Bush - ES</v>
      </c>
      <c r="B5" s="11" t="str">
        <v>NY</v>
      </c>
      <c r="C5" s="12">
        <f>SUM(Oct!C5, Nov!C5, Dec!C5)</f>
        <v>11133.3</v>
      </c>
      <c r="D5" s="20">
        <f>SUM(Oct!D5, Nov!D5, Dec!D5)</f>
        <v>0</v>
      </c>
      <c r="E5" s="20">
        <f t="shared" ref="E5:E8" si="0">IF(AND(ISNUMBER(C5),ISNUMBER(D5)), C5-D5, "")</f>
        <v>11133.3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 xml:space="preserve"> Pine Bush - Russel ES</v>
      </c>
      <c r="B6" s="10" t="str">
        <v>NY</v>
      </c>
      <c r="C6" s="26">
        <f>SUM(Oct!C6, Nov!C6, Dec!C6)</f>
        <v>37471.1</v>
      </c>
      <c r="D6" s="14">
        <f>SUM(Oct!D6, Nov!D6, Dec!D6)</f>
        <v>0</v>
      </c>
      <c r="E6" s="14">
        <f t="shared" si="0"/>
        <v>37471.1</v>
      </c>
      <c r="F6" s="15" t="str">
        <f t="shared" ref="F6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8" si="2">IFERROR(H6/G6, "")</f>
        <v/>
      </c>
    </row>
    <row r="7" spans="1:9" ht="15.6">
      <c r="A7" s="19" t="str">
        <v xml:space="preserve">  Circleville - ES</v>
      </c>
      <c r="B7" s="11" t="str">
        <v>NY</v>
      </c>
      <c r="C7" s="12">
        <f>SUM(Oct!C7, Nov!C7, Dec!C7)</f>
        <v>23900.5</v>
      </c>
      <c r="D7" s="20">
        <f>SUM(Oct!D7, Nov!D7, Dec!D7)</f>
        <v>0</v>
      </c>
      <c r="E7" s="20">
        <f t="shared" si="0"/>
        <v>23900.5</v>
      </c>
      <c r="F7" s="21"/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5.6">
      <c r="A8" s="13" t="str">
        <v xml:space="preserve"> Circleville - MS</v>
      </c>
      <c r="B8" s="10" t="str">
        <v>NY</v>
      </c>
      <c r="C8" s="26">
        <f>SUM(Oct!C8, Nov!C8, Dec!C8)</f>
        <v>33396.699999999997</v>
      </c>
      <c r="D8" s="14">
        <f>SUM(Oct!D8, Nov!D8, Dec!D8)</f>
        <v>0</v>
      </c>
      <c r="E8" s="14">
        <f t="shared" si="0"/>
        <v>33396.699999999997</v>
      </c>
      <c r="F8" s="15"/>
      <c r="G8" s="16">
        <f>SUM(Oct!G8,Nov!G8,Dec!G8)</f>
        <v>0</v>
      </c>
      <c r="H8" s="16">
        <f>SUM(Oct!H8, Nov!H8, Dec!H8)</f>
        <v>0</v>
      </c>
      <c r="I8" s="17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zoomScale="70" zoomScaleNormal="70" workbookViewId="0">
      <pane ySplit="3" topLeftCell="A4" activePane="bottomLeft" state="frozen"/>
      <selection pane="bottomLeft" activeCell="J31" sqref="J31"/>
      <selection activeCell="J31" sqref="J3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Pine Bush Central School District</v>
      </c>
      <c r="B1" s="80"/>
      <c r="C1" s="80"/>
      <c r="D1" s="81" t="s">
        <v>18</v>
      </c>
      <c r="E1" s="81"/>
      <c r="F1" s="81"/>
      <c r="G1" s="79" t="s">
        <v>19</v>
      </c>
      <c r="H1" s="79"/>
      <c r="I1" s="79"/>
      <c r="J1" s="5"/>
      <c r="K1" s="5"/>
    </row>
    <row r="2" spans="1:11" ht="19.5" customHeight="1">
      <c r="A2" s="82" t="s">
        <v>2</v>
      </c>
      <c r="B2" s="8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54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5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51"/>
    </row>
    <row r="6" spans="1:11" ht="15.6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52"/>
      <c r="H7" s="23"/>
      <c r="I7" s="23"/>
      <c r="J7" s="23"/>
      <c r="K7" s="23"/>
    </row>
    <row r="8" spans="1:11" ht="14.45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5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70" zoomScaleNormal="70" workbookViewId="0">
      <pane ySplit="2" topLeftCell="A3" activePane="bottomLeft" state="frozen"/>
      <selection pane="bottomLeft" activeCell="G25" sqref="G25:H26"/>
      <selection activeCell="J31" sqref="J3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0" t="str" cm="1">
        <f t="array" ref="A1">portfolio</f>
        <v>Pine Bush Central School District</v>
      </c>
      <c r="B1" s="80"/>
      <c r="C1" s="80"/>
      <c r="D1" s="81" t="s">
        <v>22</v>
      </c>
      <c r="E1" s="81"/>
      <c r="F1" s="81"/>
      <c r="G1" s="79" t="s">
        <v>23</v>
      </c>
      <c r="H1" s="79"/>
      <c r="I1" s="79"/>
      <c r="J1" s="5"/>
      <c r="K1" s="5"/>
    </row>
    <row r="2" spans="1:12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5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57"/>
      <c r="L5" s="58"/>
    </row>
    <row r="6" spans="1:12" ht="15.6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6"/>
      <c r="H6" s="16" t="str">
        <f t="shared" si="1"/>
        <v/>
      </c>
      <c r="I6" s="17" t="str">
        <f>IFERROR(H6/G6,"")</f>
        <v/>
      </c>
      <c r="J6" s="18"/>
      <c r="K6" s="18"/>
    </row>
    <row r="7" spans="1:12" ht="14.45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7"/>
  <sheetViews>
    <sheetView topLeftCell="B1" zoomScale="70" zoomScaleNormal="70" workbookViewId="0">
      <pane ySplit="2" topLeftCell="A32" activePane="bottomLeft" state="frozen"/>
      <selection pane="bottomLeft" activeCell="J32" sqref="J32"/>
      <selection activeCell="J31" sqref="J3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0" t="str" cm="1">
        <f t="array" ref="A1">portfolio</f>
        <v>Pine Bush Central School District</v>
      </c>
      <c r="B1" s="80"/>
      <c r="C1" s="80"/>
      <c r="D1" s="81" t="s">
        <v>24</v>
      </c>
      <c r="E1" s="81"/>
      <c r="F1" s="81"/>
      <c r="G1" s="79" t="s">
        <v>25</v>
      </c>
      <c r="H1" s="79"/>
      <c r="I1" s="79"/>
      <c r="J1" s="5"/>
      <c r="K1" s="5"/>
    </row>
    <row r="2" spans="1:12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>
      <c r="A5" s="32" t="str">
        <v>Pine Bush - ES</v>
      </c>
      <c r="B5" s="33" t="str">
        <v>NY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55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57"/>
      <c r="L5" s="58"/>
    </row>
    <row r="6" spans="1:12" ht="15.6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56"/>
      <c r="H6" s="16" t="str">
        <f t="shared" si="1"/>
        <v/>
      </c>
      <c r="I6" s="17" t="str">
        <f>IFERROR(H6/G6,"")</f>
        <v/>
      </c>
      <c r="J6" s="18"/>
      <c r="K6" s="59"/>
    </row>
    <row r="7" spans="1:12" ht="14.45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zoomScale="70" zoomScaleNormal="70" workbookViewId="0">
      <pane ySplit="2" topLeftCell="A3" activePane="bottomLeft" state="frozen"/>
      <selection pane="bottomLeft" activeCell="J31" sqref="J31"/>
      <selection activeCell="J31" sqref="J3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Pine Bush Central School District</v>
      </c>
      <c r="B1" s="80"/>
      <c r="C1" s="80"/>
      <c r="D1" s="81" t="s">
        <v>26</v>
      </c>
      <c r="E1" s="81"/>
      <c r="F1" s="81"/>
      <c r="G1" s="79" t="s">
        <v>27</v>
      </c>
      <c r="H1" s="79"/>
      <c r="I1" s="79"/>
      <c r="J1" s="5"/>
      <c r="K1" s="5"/>
    </row>
    <row r="2" spans="1:11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Pine Bush -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70" zoomScaleNormal="70" workbookViewId="0">
      <pane ySplit="2" topLeftCell="A3" activePane="bottomLeft" state="frozen"/>
      <selection pane="bottomLeft" activeCell="E26" sqref="E26"/>
      <selection activeCell="J31" sqref="J3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Pine Bush Central School District</v>
      </c>
      <c r="B1" s="80"/>
      <c r="C1" s="80"/>
      <c r="D1" s="81" t="s">
        <v>28</v>
      </c>
      <c r="E1" s="81"/>
      <c r="F1" s="81"/>
      <c r="G1" s="79" t="s">
        <v>29</v>
      </c>
      <c r="H1" s="79"/>
      <c r="I1" s="79"/>
      <c r="J1" s="5"/>
      <c r="K1" s="5"/>
    </row>
    <row r="2" spans="1:11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Pine Bush -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28.9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 t="s">
        <v>30</v>
      </c>
      <c r="K6" s="18" t="s">
        <v>31</v>
      </c>
    </row>
    <row r="7" spans="1:11" ht="15.6">
      <c r="A7" s="32" t="str">
        <v xml:space="preserve">  Circleville - ES</v>
      </c>
      <c r="B7" s="33" t="str">
        <v>NY</v>
      </c>
      <c r="C7" s="44"/>
      <c r="D7" s="44"/>
      <c r="E7" s="20"/>
      <c r="F7" s="21"/>
      <c r="G7" s="22"/>
      <c r="H7" s="22"/>
      <c r="I7" s="21"/>
      <c r="J7" s="11"/>
      <c r="K7" s="19"/>
    </row>
    <row r="8" spans="1:11" ht="15.6">
      <c r="A8" s="30" t="str">
        <v xml:space="preserve"> Circleville - MS</v>
      </c>
      <c r="B8" s="31" t="str">
        <v>NY</v>
      </c>
      <c r="C8" s="26"/>
      <c r="D8" s="14"/>
      <c r="E8" s="14"/>
      <c r="F8" s="15"/>
      <c r="G8" s="16"/>
      <c r="H8" s="16"/>
      <c r="I8" s="17"/>
      <c r="J8" s="18"/>
      <c r="K8" s="18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zoomScale="70" zoomScaleNormal="70" workbookViewId="0">
      <pane ySplit="2" topLeftCell="A3" activePane="bottomLeft" state="frozen"/>
      <selection pane="bottomLeft" activeCell="J31" sqref="J31"/>
      <selection activeCell="J14" sqref="J1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Pine Bush Central School District</v>
      </c>
      <c r="B1" s="80"/>
      <c r="C1" s="80"/>
      <c r="D1" s="81" t="s">
        <v>32</v>
      </c>
      <c r="E1" s="81"/>
      <c r="F1" s="81"/>
      <c r="G1" s="79" t="s">
        <v>33</v>
      </c>
      <c r="H1" s="79"/>
      <c r="I1" s="79"/>
      <c r="J1" s="5"/>
      <c r="K1" s="5"/>
    </row>
    <row r="2" spans="1:11" ht="19.5" customHeight="1">
      <c r="A2" s="82" t="s">
        <v>2</v>
      </c>
      <c r="B2" s="8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Pine Bush -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 xml:space="preserve"> Pine Bush - Russel ES</v>
      </c>
      <c r="B6" s="31" t="str">
        <v>NY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 t="str">
        <v xml:space="preserve">  Circleville - ES</v>
      </c>
      <c r="B7" s="35" t="str">
        <v>NY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 t="str">
        <v xml:space="preserve"> Circleville - MS</v>
      </c>
      <c r="B8" s="35" t="str">
        <v>NY</v>
      </c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27"/>
  <sheetViews>
    <sheetView zoomScale="70" zoomScaleNormal="70" workbookViewId="0">
      <pane ySplit="2" topLeftCell="A3" activePane="bottomLeft" state="frozen"/>
      <selection pane="bottomLeft" activeCell="H22" sqref="H22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9.7109375" customWidth="1"/>
    <col min="11" max="11" width="20.5703125" bestFit="1" customWidth="1"/>
    <col min="12" max="15" width="8.85546875" style="61"/>
  </cols>
  <sheetData>
    <row r="1" spans="1:13" ht="19.5" customHeight="1">
      <c r="A1" s="80" t="str" cm="1">
        <f t="array" ref="A1">portfolio</f>
        <v>Pine Bush Central School District</v>
      </c>
      <c r="B1" s="80"/>
      <c r="C1" s="80"/>
      <c r="D1" s="81" t="s">
        <v>34</v>
      </c>
      <c r="E1" s="81"/>
      <c r="F1" s="81"/>
      <c r="G1" s="79" t="s">
        <v>35</v>
      </c>
      <c r="H1" s="79"/>
      <c r="I1" s="79"/>
      <c r="J1" s="5"/>
      <c r="K1" s="5"/>
    </row>
    <row r="2" spans="1:13" ht="19.5" customHeight="1">
      <c r="A2" s="82" t="s">
        <v>2</v>
      </c>
      <c r="B2" s="82"/>
      <c r="C2" s="6">
        <f>SUM(C4:C85)</f>
        <v>180077.25200000001</v>
      </c>
      <c r="D2" s="6">
        <f>SUM(D4:D85)</f>
        <v>0</v>
      </c>
      <c r="E2" s="6">
        <f>C2-D2</f>
        <v>180077.25200000001</v>
      </c>
      <c r="F2" s="7">
        <f>IFERROR(E2/D2, 0)</f>
        <v>0</v>
      </c>
      <c r="G2" s="6">
        <f>SUM(G4:G85)</f>
        <v>0</v>
      </c>
      <c r="H2" s="8">
        <f>C2-G2</f>
        <v>180077.25200000001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3" ht="28.9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71071.3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37</v>
      </c>
      <c r="K4" s="59" t="s">
        <v>38</v>
      </c>
      <c r="L4" s="58" t="s">
        <v>39</v>
      </c>
    </row>
    <row r="5" spans="1:13" ht="15.6">
      <c r="A5" s="32" t="str">
        <v>Pine Bush - ES</v>
      </c>
      <c r="B5" s="33" t="str">
        <v>NY</v>
      </c>
      <c r="C5" s="12">
        <v>11263.968999999999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45"/>
      <c r="K5" s="46"/>
    </row>
    <row r="6" spans="1:13" ht="15.6">
      <c r="A6" s="34" t="str">
        <v xml:space="preserve"> Pine Bush - Russel ES</v>
      </c>
      <c r="B6" s="31" t="str">
        <v>NY</v>
      </c>
      <c r="C6" s="26">
        <v>37858.1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</row>
    <row r="7" spans="1:13" ht="43.15">
      <c r="A7" s="32" t="str">
        <v xml:space="preserve">  Circleville - ES</v>
      </c>
      <c r="B7" s="33" t="str">
        <v>NY</v>
      </c>
      <c r="C7" s="12">
        <v>26295.152999999998</v>
      </c>
      <c r="D7" s="20" t="s">
        <v>36</v>
      </c>
      <c r="E7" s="20"/>
      <c r="F7" s="21"/>
      <c r="G7" s="55" t="s">
        <v>36</v>
      </c>
      <c r="H7" s="22"/>
      <c r="I7" s="21"/>
      <c r="J7" s="49" t="s">
        <v>40</v>
      </c>
      <c r="K7" s="60" t="s">
        <v>41</v>
      </c>
      <c r="L7" s="58" t="s">
        <v>42</v>
      </c>
      <c r="M7" s="58" t="s">
        <v>43</v>
      </c>
    </row>
    <row r="8" spans="1:13" ht="15.6">
      <c r="A8" s="34" t="str">
        <v xml:space="preserve"> Circleville - MS</v>
      </c>
      <c r="B8" s="31" t="str">
        <v>NY</v>
      </c>
      <c r="C8" s="26">
        <v>33588.730000000003</v>
      </c>
      <c r="D8" s="14" t="s">
        <v>36</v>
      </c>
      <c r="E8" s="14"/>
      <c r="F8" s="15"/>
      <c r="G8" s="56" t="s">
        <v>36</v>
      </c>
      <c r="H8" s="16"/>
      <c r="I8" s="17"/>
      <c r="J8" s="18" t="s">
        <v>44</v>
      </c>
      <c r="K8" s="18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 t="s">
        <v>45</v>
      </c>
      <c r="J13" s="23"/>
      <c r="K13" s="23"/>
    </row>
    <row r="14" spans="1:13" ht="14.45">
      <c r="A14" s="23"/>
      <c r="B14" s="35"/>
      <c r="C14" s="23"/>
      <c r="D14" s="23"/>
      <c r="E14" s="23"/>
      <c r="F14" s="23"/>
      <c r="G14" s="23" t="s">
        <v>45</v>
      </c>
      <c r="H14" s="23"/>
      <c r="I14" s="23"/>
      <c r="J14" s="23"/>
      <c r="K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425" xr:uid="{2F6E61DC-9F28-4109-8ED2-16AE911C07D1}"/>
    <hyperlink ref="L4" r:id="rId2" display="https://us3.assetplanner.com/service_request?ID=105584" xr:uid="{5B917B8F-AF12-401B-8832-FC6A53CB1993}"/>
    <hyperlink ref="K7" r:id="rId3" display="https://us3.assetplanner.com/service_request?ID=103723" xr:uid="{4809016E-9575-4B38-8EA9-1B29C27E815A}"/>
    <hyperlink ref="L7" r:id="rId4" display="https://us3.assetplanner.com/service_request?ID=104003" xr:uid="{DE8D452A-09CE-4772-9D02-5A64D7750805}"/>
    <hyperlink ref="M7" r:id="rId5" display="https://us3.assetplanner.com/service_request?ID=107621" xr:uid="{F657CBF1-FF02-423B-A4A4-1BCBE0C7B26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7"/>
  <sheetViews>
    <sheetView zoomScale="80" zoomScaleNormal="80" workbookViewId="0">
      <pane ySplit="2" topLeftCell="A3" activePane="bottomLeft" state="frozen"/>
      <selection pane="bottomLeft" activeCell="L1" sqref="L1:L104857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1"/>
  </cols>
  <sheetData>
    <row r="1" spans="1:12" ht="19.5" customHeight="1">
      <c r="A1" s="80" t="str" cm="1">
        <f t="array" ref="A1">portfolio</f>
        <v>Pine Bush Central School District</v>
      </c>
      <c r="B1" s="80"/>
      <c r="C1" s="80"/>
      <c r="D1" s="81" t="s">
        <v>46</v>
      </c>
      <c r="E1" s="81"/>
      <c r="F1" s="81"/>
      <c r="G1" s="79" t="s">
        <v>47</v>
      </c>
      <c r="H1" s="79"/>
      <c r="I1" s="79"/>
      <c r="J1" s="5"/>
      <c r="K1" s="5"/>
    </row>
    <row r="2" spans="1:12" ht="19.5" customHeight="1">
      <c r="A2" s="82" t="s">
        <v>2</v>
      </c>
      <c r="B2" s="82"/>
      <c r="C2" s="6">
        <f>SUM(C4:C85)</f>
        <v>178498.08199999999</v>
      </c>
      <c r="D2" s="6">
        <f>SUM(D4:D85)</f>
        <v>0</v>
      </c>
      <c r="E2" s="6">
        <f>C2-D2</f>
        <v>178498.08199999999</v>
      </c>
      <c r="F2" s="7">
        <f>IFERROR(E2/D2, 0)</f>
        <v>0</v>
      </c>
      <c r="G2" s="6">
        <f>SUM(G4:G85)</f>
        <v>0</v>
      </c>
      <c r="H2" s="8">
        <f>C2-G2</f>
        <v>178498.08199999999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28.9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69912.7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48</v>
      </c>
      <c r="K4" s="59" t="s">
        <v>38</v>
      </c>
      <c r="L4" s="58" t="s">
        <v>39</v>
      </c>
    </row>
    <row r="5" spans="1:12" ht="15.6">
      <c r="A5" s="32" t="str">
        <v>Pine Bush - ES</v>
      </c>
      <c r="B5" s="33" t="str">
        <v>NY</v>
      </c>
      <c r="C5" s="12">
        <v>11245.424999999999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2" ht="15.6">
      <c r="A6" s="34" t="str">
        <v xml:space="preserve"> Pine Bush - Russel ES</v>
      </c>
      <c r="B6" s="31" t="str">
        <v>NY</v>
      </c>
      <c r="C6" s="26">
        <v>37798.199999999997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</row>
    <row r="7" spans="1:12" ht="28.9">
      <c r="A7" s="32" t="str">
        <v xml:space="preserve">  Circleville - ES</v>
      </c>
      <c r="B7" s="33" t="str">
        <v>NY</v>
      </c>
      <c r="C7" s="12">
        <v>26444.757000000001</v>
      </c>
      <c r="D7" s="20" t="s">
        <v>36</v>
      </c>
      <c r="E7" s="20"/>
      <c r="F7" s="21"/>
      <c r="G7" s="55" t="s">
        <v>36</v>
      </c>
      <c r="H7" s="22"/>
      <c r="I7" s="21"/>
      <c r="J7" s="47" t="s">
        <v>49</v>
      </c>
      <c r="K7" s="62" t="s">
        <v>50</v>
      </c>
      <c r="L7" s="58" t="s">
        <v>43</v>
      </c>
    </row>
    <row r="8" spans="1:12" ht="28.9">
      <c r="A8" s="34" t="str">
        <v xml:space="preserve"> Circleville - MS</v>
      </c>
      <c r="B8" s="31" t="str">
        <v>NY</v>
      </c>
      <c r="C8" s="26">
        <v>33097</v>
      </c>
      <c r="D8" s="14" t="s">
        <v>36</v>
      </c>
      <c r="E8" s="14"/>
      <c r="F8" s="15"/>
      <c r="G8" s="56" t="s">
        <v>36</v>
      </c>
      <c r="H8" s="16"/>
      <c r="I8" s="17"/>
      <c r="J8" s="18" t="s">
        <v>44</v>
      </c>
      <c r="K8" s="18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3425" xr:uid="{A07E5E41-402A-4E87-83A1-1705A9123A20}"/>
    <hyperlink ref="L4" r:id="rId2" display="https://us3.assetplanner.com/service_request?ID=105584" xr:uid="{3C802C41-4E43-471C-ADAD-36CC94B256FC}"/>
    <hyperlink ref="K7" r:id="rId3" display="https://us3.assetplanner.com/service_request?ID=103723" xr:uid="{E963C2EF-4AED-4473-BDFB-3DBF88544C00}"/>
    <hyperlink ref="L7" r:id="rId4" display="https://us3.assetplanner.com/service_request?ID=107621" xr:uid="{9C52E5E0-0ED7-4CA0-87F2-0B250378196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N327"/>
  <sheetViews>
    <sheetView zoomScale="80" zoomScaleNormal="80" workbookViewId="0">
      <pane ySplit="2" topLeftCell="A3" activePane="bottomLeft" state="frozen"/>
      <selection pane="bottomLeft" activeCell="D4" sqref="D4:D8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1"/>
  </cols>
  <sheetData>
    <row r="1" spans="1:13" ht="19.5" customHeight="1">
      <c r="A1" s="80" t="str" cm="1">
        <f t="array" ref="A1">portfolio</f>
        <v>Pine Bush Central School District</v>
      </c>
      <c r="B1" s="80"/>
      <c r="C1" s="80"/>
      <c r="D1" s="81" t="s">
        <v>51</v>
      </c>
      <c r="E1" s="81"/>
      <c r="F1" s="81"/>
      <c r="G1" s="79" t="s">
        <v>52</v>
      </c>
      <c r="H1" s="79"/>
      <c r="I1" s="79"/>
      <c r="J1" s="5"/>
      <c r="K1" s="5"/>
    </row>
    <row r="2" spans="1:13" ht="19.5" customHeight="1">
      <c r="A2" s="82" t="s">
        <v>2</v>
      </c>
      <c r="B2" s="82"/>
      <c r="C2" s="6">
        <f>SUM(C4:C85)</f>
        <v>136298.01999999999</v>
      </c>
      <c r="D2" s="6">
        <f>SUM(D4:D85)</f>
        <v>0</v>
      </c>
      <c r="E2" s="6">
        <f>C2-D2</f>
        <v>136298.01999999999</v>
      </c>
      <c r="F2" s="7">
        <f>IFERROR(E2/D2, 0)</f>
        <v>0</v>
      </c>
      <c r="G2" s="6">
        <f>SUM(G4:G85)</f>
        <v>0</v>
      </c>
      <c r="H2" s="8">
        <f>C2-G2</f>
        <v>136298.01999999999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3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54646.7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53</v>
      </c>
      <c r="K4" s="59" t="s">
        <v>54</v>
      </c>
    </row>
    <row r="5" spans="1:13" ht="15.6">
      <c r="A5" s="32" t="str">
        <v>Pine Bush - ES</v>
      </c>
      <c r="B5" s="33" t="str">
        <v>NY</v>
      </c>
      <c r="C5" s="12">
        <v>8714.4619999999995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8" si="1">IF(AND(ISNUMBER(C5),ISNUMBER(G5)), C5-G5, "")</f>
        <v/>
      </c>
      <c r="I5" s="21" t="str">
        <f>IFERROR(H5/G5,"")</f>
        <v/>
      </c>
      <c r="J5" s="11"/>
      <c r="K5" s="19"/>
    </row>
    <row r="6" spans="1:13" ht="15.6">
      <c r="A6" s="34" t="str">
        <v xml:space="preserve"> Pine Bush - Russel ES</v>
      </c>
      <c r="B6" s="31" t="str">
        <v>NY</v>
      </c>
      <c r="C6" s="26">
        <v>29158.1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 t="shared" ref="I6:I8" si="3">IFERROR(H6/G6,"")</f>
        <v/>
      </c>
      <c r="J6" s="18" t="s">
        <v>55</v>
      </c>
      <c r="K6" s="59" t="s">
        <v>56</v>
      </c>
    </row>
    <row r="7" spans="1:13" ht="43.15">
      <c r="A7" s="32" t="str">
        <v xml:space="preserve">  Circleville - ES</v>
      </c>
      <c r="B7" s="33" t="str">
        <v>NY</v>
      </c>
      <c r="C7" s="12">
        <v>20837.060000000001</v>
      </c>
      <c r="D7" s="20" t="s">
        <v>36</v>
      </c>
      <c r="E7" s="20"/>
      <c r="F7" s="21"/>
      <c r="G7" s="55" t="s">
        <v>36</v>
      </c>
      <c r="H7" s="22" t="str">
        <f t="shared" si="1"/>
        <v/>
      </c>
      <c r="I7" s="21" t="str">
        <f t="shared" si="3"/>
        <v/>
      </c>
      <c r="J7" s="47" t="s">
        <v>57</v>
      </c>
      <c r="K7" s="62" t="s">
        <v>58</v>
      </c>
      <c r="L7" s="58" t="s">
        <v>43</v>
      </c>
      <c r="M7" s="58" t="s">
        <v>59</v>
      </c>
    </row>
    <row r="8" spans="1:13" ht="28.9">
      <c r="A8" s="34" t="str">
        <v xml:space="preserve"> Circleville - MS</v>
      </c>
      <c r="B8" s="31" t="str">
        <v>NY</v>
      </c>
      <c r="C8" s="26">
        <v>22941.698</v>
      </c>
      <c r="D8" s="14" t="s">
        <v>36</v>
      </c>
      <c r="E8" s="14"/>
      <c r="F8" s="15"/>
      <c r="G8" s="56" t="s">
        <v>36</v>
      </c>
      <c r="H8" s="16" t="str">
        <f t="shared" si="1"/>
        <v/>
      </c>
      <c r="I8" s="17" t="str">
        <f t="shared" si="3"/>
        <v/>
      </c>
      <c r="J8" s="18" t="s">
        <v>44</v>
      </c>
      <c r="K8" s="18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105584" xr:uid="{E3519E9C-9985-42C2-896B-40753261C77A}"/>
    <hyperlink ref="K6" r:id="rId2" display="https://us3.assetplanner.com/service_request?ID=102050" xr:uid="{F19EB1D8-5017-418F-BD3C-A0206DCEEDBF}"/>
    <hyperlink ref="K7" r:id="rId3" display="https://us3.assetplanner.com/service_request?ID=103723" xr:uid="{6096A98D-B069-459E-AD92-FEE981DBFDEF}"/>
    <hyperlink ref="L7" r:id="rId4" display="https://us3.assetplanner.com/service_request?ID=107621" xr:uid="{495B2FB4-E839-4851-A8A5-1A69B674B0D9}"/>
    <hyperlink ref="M7" r:id="rId5" display="https://us3.assetplanner.com/service_request?ID=107622" xr:uid="{D4462FAD-4CBF-4A90-AEB0-77B7459735C7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27"/>
  <sheetViews>
    <sheetView topLeftCell="E1" workbookViewId="0">
      <pane ySplit="2" topLeftCell="A3" activePane="bottomLeft" state="frozen"/>
      <selection pane="bottomLeft" activeCell="L1" sqref="L1:L104857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61" bestFit="1" customWidth="1"/>
  </cols>
  <sheetData>
    <row r="1" spans="1:13" ht="19.5" customHeight="1">
      <c r="A1" s="80" t="str" cm="1">
        <f t="array" ref="A1">portfolio</f>
        <v>Pine Bush Central School District</v>
      </c>
      <c r="B1" s="80"/>
      <c r="C1" s="80"/>
      <c r="D1" s="81" t="s">
        <v>60</v>
      </c>
      <c r="E1" s="81"/>
      <c r="F1" s="81"/>
      <c r="G1" s="79" t="s">
        <v>61</v>
      </c>
      <c r="H1" s="79"/>
      <c r="I1" s="79"/>
      <c r="J1" s="5"/>
      <c r="K1" s="75"/>
      <c r="L1" s="5"/>
    </row>
    <row r="2" spans="1:13" ht="19.5" customHeight="1">
      <c r="A2" s="82" t="s">
        <v>2</v>
      </c>
      <c r="B2" s="82"/>
      <c r="C2" s="6">
        <f>SUM(C4:C85)</f>
        <v>105872.4</v>
      </c>
      <c r="D2" s="6">
        <f>SUM(D4:D85)</f>
        <v>0</v>
      </c>
      <c r="E2" s="6">
        <f>C2-D2</f>
        <v>105872.4</v>
      </c>
      <c r="F2" s="7">
        <f>IFERROR(E2/D2, 0)</f>
        <v>0</v>
      </c>
      <c r="G2" s="6">
        <f>SUM(G4:G85)</f>
        <v>0</v>
      </c>
      <c r="H2" s="8">
        <f>C2-G2</f>
        <v>105872.4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7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76" t="s">
        <v>21</v>
      </c>
      <c r="L3" s="27" t="s">
        <v>62</v>
      </c>
    </row>
    <row r="4" spans="1:13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42634.1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63</v>
      </c>
      <c r="K4" s="59" t="s">
        <v>54</v>
      </c>
      <c r="L4" s="18" t="s">
        <v>64</v>
      </c>
    </row>
    <row r="5" spans="1:13" ht="15.6">
      <c r="A5" s="32" t="str">
        <v>Pine Bush - ES</v>
      </c>
      <c r="B5" s="33" t="str">
        <v>NY</v>
      </c>
      <c r="C5" s="12">
        <v>6649.2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46"/>
      <c r="L5" s="19"/>
    </row>
    <row r="6" spans="1:13" ht="15.6">
      <c r="A6" s="30" t="str">
        <v xml:space="preserve"> Pine Bush - Russel ES</v>
      </c>
      <c r="B6" s="31" t="str">
        <v>NY</v>
      </c>
      <c r="C6" s="26">
        <v>22490.5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  <c r="L6" s="18"/>
    </row>
    <row r="7" spans="1:13" ht="31.15">
      <c r="A7" s="32" t="str">
        <v xml:space="preserve">  Circleville - ES</v>
      </c>
      <c r="B7" s="33" t="str">
        <v>NY</v>
      </c>
      <c r="C7" s="63">
        <v>14461.7</v>
      </c>
      <c r="D7" s="20" t="s">
        <v>36</v>
      </c>
      <c r="E7" s="20" t="str">
        <f>IF(AND(ISNUMBER(C7),ISNUMBER(D7)), C7-D7, "")</f>
        <v/>
      </c>
      <c r="F7" s="64" t="str">
        <f>IFERROR(E7/D7, "")</f>
        <v/>
      </c>
      <c r="G7" s="71" t="s">
        <v>36</v>
      </c>
      <c r="H7" s="65" t="str">
        <f>IF(AND(ISNUMBER(C7),ISNUMBER(G7)), C7-G7, "")</f>
        <v/>
      </c>
      <c r="I7" s="64" t="str">
        <f>IFERROR(H7/G7,"")</f>
        <v/>
      </c>
      <c r="J7" s="47" t="s">
        <v>49</v>
      </c>
      <c r="K7" s="60" t="s">
        <v>65</v>
      </c>
      <c r="L7" s="73" t="s">
        <v>66</v>
      </c>
      <c r="M7" s="74" t="s">
        <v>43</v>
      </c>
    </row>
    <row r="8" spans="1:13" ht="28.9">
      <c r="A8" s="30" t="str">
        <v xml:space="preserve"> Circleville - MS</v>
      </c>
      <c r="B8" s="31" t="str">
        <v>NY</v>
      </c>
      <c r="C8" s="66">
        <v>19636.900000000001</v>
      </c>
      <c r="D8" s="14" t="s">
        <v>36</v>
      </c>
      <c r="E8" s="14" t="str">
        <f>IF(AND(ISNUMBER(C8),ISNUMBER(D8)), C8-D8, "")</f>
        <v/>
      </c>
      <c r="F8" s="67" t="str">
        <f>IFERROR(E8/D8, "")</f>
        <v/>
      </c>
      <c r="G8" s="72" t="s">
        <v>36</v>
      </c>
      <c r="H8" s="68" t="str">
        <f>IF(AND(ISNUMBER(C8),ISNUMBER(G8)), C8-G8, "")</f>
        <v/>
      </c>
      <c r="I8" s="69" t="str">
        <f>IFERROR(H8/G8,"")</f>
        <v/>
      </c>
      <c r="J8" s="70" t="s">
        <v>44</v>
      </c>
      <c r="K8" s="70"/>
      <c r="L8" s="70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77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77"/>
      <c r="L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77"/>
      <c r="L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77"/>
      <c r="L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77"/>
      <c r="L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77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77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77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77"/>
      <c r="L17" s="23"/>
    </row>
    <row r="18" spans="1:12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77"/>
      <c r="L18" s="23"/>
    </row>
    <row r="19" spans="1:12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77"/>
      <c r="L19" s="23"/>
    </row>
    <row r="20" spans="1:12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77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77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77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77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77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77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77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77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77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77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77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77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77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77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77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77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77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77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77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77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77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77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77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77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77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77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77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77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77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77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77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77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77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77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77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77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77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77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77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77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77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77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77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77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77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77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77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77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77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77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77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77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77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77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77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77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77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77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77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77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77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77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77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77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77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77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77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77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77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77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77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77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77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77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77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77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77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77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77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77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77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77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77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77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77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77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77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77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77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77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77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77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77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77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77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77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77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77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77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77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77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77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77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77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77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77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77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77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77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77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77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77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77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77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77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77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77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77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77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77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77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77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77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77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77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77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77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77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77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77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77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77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77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77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77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77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77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77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77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77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77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77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77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77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77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77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77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77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77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77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77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77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77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77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77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77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77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77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77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77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77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77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77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77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77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77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77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77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77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77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77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77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77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77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77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77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77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77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77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77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77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77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77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77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77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77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77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77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77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77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77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77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77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77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77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77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77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77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77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77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77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77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77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77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77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77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77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77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77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77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77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77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77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77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77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77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77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77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77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77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77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77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77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77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77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77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77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77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77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77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77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77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77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77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77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77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77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77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77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77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77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77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77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77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77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77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77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77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77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77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77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77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77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77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77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77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77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77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77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77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77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77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77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77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77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77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77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77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77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77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77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77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77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77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77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77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77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77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77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77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77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77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77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77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77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77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77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77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77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77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77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77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77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77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77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77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77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77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77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77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77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77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77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77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77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77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77"/>
      <c r="L326" s="23"/>
    </row>
    <row r="327" spans="1:12" ht="14.45">
      <c r="C327" s="23"/>
      <c r="D327" s="23"/>
      <c r="E327" s="23"/>
      <c r="F327" s="24"/>
      <c r="G327" s="23"/>
      <c r="H327" s="23"/>
      <c r="I327" s="24"/>
      <c r="J327" s="23"/>
      <c r="K327" s="77"/>
      <c r="L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105584" xr:uid="{C2FA48F9-17C7-4F7D-BA7D-852879099894}"/>
    <hyperlink ref="K7" r:id="rId2" display="https://us3.assetplanner.com/service_request?ID=107622" xr:uid="{7409F1F6-3F70-4627-B4ED-B65680E5183C}"/>
    <hyperlink ref="M7" r:id="rId3" display="https://us3.assetplanner.com/service_request?ID=107621" xr:uid="{C087F880-19AB-4A13-ADB6-9D50EE745CB5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27"/>
  <sheetViews>
    <sheetView topLeftCell="D1" workbookViewId="0">
      <pane ySplit="2" topLeftCell="A3" activePane="bottomLeft" state="frozen"/>
      <selection pane="bottomLeft" activeCell="K12" sqref="K12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0" t="str" cm="1">
        <f t="array" ref="A1">portfolio</f>
        <v>Pine Bush Central School District</v>
      </c>
      <c r="B1" s="80"/>
      <c r="C1" s="80"/>
      <c r="D1" s="81" t="s">
        <v>67</v>
      </c>
      <c r="E1" s="81"/>
      <c r="F1" s="81"/>
      <c r="G1" s="79" t="s">
        <v>68</v>
      </c>
      <c r="H1" s="79"/>
      <c r="I1" s="79"/>
      <c r="J1" s="5"/>
      <c r="K1" s="5"/>
      <c r="L1" s="5"/>
    </row>
    <row r="2" spans="1:13" ht="19.5" customHeight="1">
      <c r="A2" s="82" t="s">
        <v>2</v>
      </c>
      <c r="B2" s="82"/>
      <c r="C2" s="6">
        <f>SUM(C4:C85)</f>
        <v>56463.299999999996</v>
      </c>
      <c r="D2" s="6">
        <f>SUM(D4:D85)</f>
        <v>0</v>
      </c>
      <c r="E2" s="6">
        <f>C2-D2</f>
        <v>56463.299999999996</v>
      </c>
      <c r="F2" s="7">
        <f>IFERROR(E2/D2, 0)</f>
        <v>0</v>
      </c>
      <c r="G2" s="6">
        <f>SUM(G4:G85)</f>
        <v>0</v>
      </c>
      <c r="H2" s="8">
        <f>C2-G2</f>
        <v>56463.299999999996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  <c r="L3" s="27" t="s">
        <v>62</v>
      </c>
    </row>
    <row r="4" spans="1:13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23093.8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69</v>
      </c>
      <c r="K4" s="59" t="s">
        <v>70</v>
      </c>
      <c r="L4" s="18" t="s">
        <v>64</v>
      </c>
    </row>
    <row r="5" spans="1:13" ht="15.6">
      <c r="A5" s="32" t="str">
        <v>Pine Bush - ES</v>
      </c>
      <c r="B5" s="33" t="str">
        <v>NY</v>
      </c>
      <c r="C5" s="12">
        <v>3597.6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47"/>
      <c r="K5" s="50"/>
      <c r="L5" s="19"/>
    </row>
    <row r="6" spans="1:13" ht="15.6">
      <c r="A6" s="30" t="str">
        <v xml:space="preserve"> Pine Bush - Russel ES</v>
      </c>
      <c r="B6" s="31" t="str">
        <v>NY</v>
      </c>
      <c r="C6" s="26">
        <v>11934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  <c r="L6" s="18"/>
    </row>
    <row r="7" spans="1:13" ht="31.15">
      <c r="A7" s="32" t="str">
        <v xml:space="preserve">  Circleville - ES</v>
      </c>
      <c r="B7" s="33" t="str">
        <v>NY</v>
      </c>
      <c r="C7" s="63">
        <v>7304.3</v>
      </c>
      <c r="D7" s="20" t="s">
        <v>36</v>
      </c>
      <c r="E7" s="20" t="str">
        <f>IF(AND(ISNUMBER(C7),ISNUMBER(D7)), C7-D7, "")</f>
        <v/>
      </c>
      <c r="F7" s="64" t="str">
        <f>IFERROR(E7/D7, "")</f>
        <v/>
      </c>
      <c r="G7" s="71" t="s">
        <v>36</v>
      </c>
      <c r="H7" s="65" t="str">
        <f>IF(AND(ISNUMBER(C7),ISNUMBER(G7)), C7-G7, "")</f>
        <v/>
      </c>
      <c r="I7" s="64" t="str">
        <f>IFERROR(H7/G7,"")</f>
        <v/>
      </c>
      <c r="J7" s="47" t="s">
        <v>71</v>
      </c>
      <c r="K7" s="60" t="s">
        <v>65</v>
      </c>
      <c r="L7" s="73" t="s">
        <v>66</v>
      </c>
      <c r="M7" s="74" t="s">
        <v>43</v>
      </c>
    </row>
    <row r="8" spans="1:13" ht="28.9">
      <c r="A8" s="30" t="str">
        <v xml:space="preserve"> Circleville - MS</v>
      </c>
      <c r="B8" s="31" t="str">
        <v>NY</v>
      </c>
      <c r="C8" s="66">
        <v>10533.6</v>
      </c>
      <c r="D8" s="14" t="s">
        <v>36</v>
      </c>
      <c r="E8" s="14" t="str">
        <f>IF(AND(ISNUMBER(C8),ISNUMBER(D8)), C8-D8, "")</f>
        <v/>
      </c>
      <c r="F8" s="67" t="str">
        <f>IFERROR(E8/D8, "")</f>
        <v/>
      </c>
      <c r="G8" s="72" t="s">
        <v>36</v>
      </c>
      <c r="H8" s="68" t="str">
        <f>IF(AND(ISNUMBER(C8),ISNUMBER(G8)), C8-G8, "")</f>
        <v/>
      </c>
      <c r="I8" s="69" t="str">
        <f>IFERROR(H8/G8,"")</f>
        <v/>
      </c>
      <c r="J8" s="70" t="s">
        <v>44</v>
      </c>
      <c r="K8" s="70"/>
      <c r="L8" s="70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111067" xr:uid="{038F5A79-7810-48D9-945C-A14CAFF66FF2}"/>
    <hyperlink ref="K7" r:id="rId2" display="https://us3.assetplanner.com/service_request?ID=107622" xr:uid="{73FB22F2-0BC3-4A8A-A06C-B4AEBF836D61}"/>
    <hyperlink ref="M7" r:id="rId3" display="https://us3.assetplanner.com/service_request?ID=107621" xr:uid="{323639A0-637A-4082-94B9-AB4B83792399}"/>
  </hyperlinks>
  <pageMargins left="0.4" right="0.7" top="0.25" bottom="0.25" header="0.3" footer="0.3"/>
  <pageSetup fitToHeight="99" orientation="landscape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27"/>
  <sheetViews>
    <sheetView tabSelected="1" topLeftCell="I1" workbookViewId="0">
      <pane ySplit="2" topLeftCell="A3" activePane="bottomLeft" state="frozen"/>
      <selection pane="bottomLeft" activeCell="D19" sqref="D19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6.140625" customWidth="1"/>
    <col min="13" max="13" width="8.85546875" style="61"/>
  </cols>
  <sheetData>
    <row r="1" spans="1:13" ht="19.5" customHeight="1">
      <c r="A1" s="80" t="str" cm="1">
        <f t="array" ref="A1">portfolio</f>
        <v>Pine Bush Central School District</v>
      </c>
      <c r="B1" s="80"/>
      <c r="C1" s="80"/>
      <c r="D1" s="81" t="s">
        <v>72</v>
      </c>
      <c r="E1" s="81"/>
      <c r="F1" s="81"/>
      <c r="G1" s="79" t="s">
        <v>73</v>
      </c>
      <c r="H1" s="79"/>
      <c r="I1" s="79"/>
      <c r="J1" s="5"/>
      <c r="K1" s="5"/>
      <c r="L1" s="5"/>
    </row>
    <row r="2" spans="1:13" ht="19.5" customHeight="1">
      <c r="A2" s="82" t="s">
        <v>2</v>
      </c>
      <c r="B2" s="82"/>
      <c r="C2" s="6">
        <f>SUM(C4:C85)</f>
        <v>15497.7</v>
      </c>
      <c r="D2" s="6">
        <f>SUM(D4:D85)</f>
        <v>0</v>
      </c>
      <c r="E2" s="6">
        <f>C2-D2</f>
        <v>15497.7</v>
      </c>
      <c r="F2" s="7">
        <f>IFERROR(E2/D2, 0)</f>
        <v>0</v>
      </c>
      <c r="G2" s="6">
        <f>SUM(G4:G85)</f>
        <v>0</v>
      </c>
      <c r="H2" s="8">
        <f>C2-G2</f>
        <v>15497.7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  <c r="L2" s="28"/>
    </row>
    <row r="3" spans="1:13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  <c r="L3" s="27" t="s">
        <v>62</v>
      </c>
    </row>
    <row r="4" spans="1:13" ht="15.6">
      <c r="A4" s="34" t="str" cm="1">
        <f t="array" ref="A4:A8">Sites[Site]</f>
        <v>Pine Bush - HS</v>
      </c>
      <c r="B4" s="31" t="str" cm="1">
        <f t="array" ref="B4:B8">Sites[State]</f>
        <v>NY</v>
      </c>
      <c r="C4" s="26">
        <v>6203.9</v>
      </c>
      <c r="D4" s="14" t="s">
        <v>36</v>
      </c>
      <c r="E4" s="14" t="str">
        <f>IF(AND(ISNUMBER(C4),ISNUMBER(D4)), C4-D4, "")</f>
        <v/>
      </c>
      <c r="F4" s="15" t="str">
        <f>IFERROR(E4/D4, "")</f>
        <v/>
      </c>
      <c r="G4" s="56" t="s">
        <v>36</v>
      </c>
      <c r="H4" s="16" t="str">
        <f>IF(AND(ISNUMBER(C4),ISNUMBER(G4)), C4-G4, "")</f>
        <v/>
      </c>
      <c r="I4" s="17" t="str">
        <f>IFERROR(H4/G4,"")</f>
        <v/>
      </c>
      <c r="J4" s="18"/>
      <c r="K4" s="18"/>
      <c r="L4" s="18"/>
    </row>
    <row r="5" spans="1:13" ht="15.6">
      <c r="A5" s="32" t="str">
        <v>Pine Bush - ES</v>
      </c>
      <c r="B5" s="33" t="str">
        <v>NY</v>
      </c>
      <c r="C5" s="12">
        <v>886.5</v>
      </c>
      <c r="D5" s="20" t="s">
        <v>36</v>
      </c>
      <c r="E5" s="20" t="str">
        <f t="shared" ref="E5:E6" si="0">IF(AND(ISNUMBER(C5),ISNUMBER(D5)), C5-D5, "")</f>
        <v/>
      </c>
      <c r="F5" s="21" t="str">
        <f>IFERROR(E5/D5, "")</f>
        <v/>
      </c>
      <c r="G5" s="55" t="s">
        <v>36</v>
      </c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48"/>
      <c r="L5" s="49"/>
    </row>
    <row r="6" spans="1:13" ht="15.6">
      <c r="A6" s="30" t="str">
        <v xml:space="preserve"> Pine Bush - Russel ES</v>
      </c>
      <c r="B6" s="31" t="str">
        <v>NY</v>
      </c>
      <c r="C6" s="26">
        <v>3046.6</v>
      </c>
      <c r="D6" s="14" t="s">
        <v>36</v>
      </c>
      <c r="E6" s="14" t="str">
        <f t="shared" si="0"/>
        <v/>
      </c>
      <c r="F6" s="15" t="str">
        <f t="shared" ref="F6" si="2">IFERROR(E6/D6, "")</f>
        <v/>
      </c>
      <c r="G6" s="56" t="s">
        <v>36</v>
      </c>
      <c r="H6" s="16" t="str">
        <f t="shared" si="1"/>
        <v/>
      </c>
      <c r="I6" s="17" t="str">
        <f>IFERROR(H6/G6,"")</f>
        <v/>
      </c>
      <c r="J6" s="18"/>
      <c r="K6" s="18"/>
      <c r="L6" s="18"/>
    </row>
    <row r="7" spans="1:13" ht="28.9">
      <c r="A7" s="32" t="str">
        <v xml:space="preserve">  Circleville - ES</v>
      </c>
      <c r="B7" s="33" t="str">
        <v>NY</v>
      </c>
      <c r="C7" s="63">
        <v>2134.5</v>
      </c>
      <c r="D7" s="20" t="s">
        <v>36</v>
      </c>
      <c r="E7" s="20" t="str">
        <f>IF(AND(ISNUMBER(C7),ISNUMBER(D7)), C7-D7, "")</f>
        <v/>
      </c>
      <c r="F7" s="64" t="str">
        <f>IFERROR(E7/D7, "")</f>
        <v/>
      </c>
      <c r="G7" s="71" t="s">
        <v>36</v>
      </c>
      <c r="H7" s="65" t="str">
        <f>IF(AND(ISNUMBER(C7),ISNUMBER(G7)), C7-G7, "")</f>
        <v/>
      </c>
      <c r="I7" s="64" t="str">
        <f>IFERROR(H7/G7,"")</f>
        <v/>
      </c>
      <c r="J7" s="49" t="s">
        <v>74</v>
      </c>
      <c r="K7" s="78" t="s">
        <v>65</v>
      </c>
      <c r="L7" s="49" t="s">
        <v>66</v>
      </c>
      <c r="M7" s="58" t="s">
        <v>43</v>
      </c>
    </row>
    <row r="8" spans="1:13" ht="28.9">
      <c r="A8" s="30" t="str">
        <v xml:space="preserve"> Circleville - MS</v>
      </c>
      <c r="B8" s="31" t="str">
        <v>NY</v>
      </c>
      <c r="C8" s="66">
        <v>3226.2</v>
      </c>
      <c r="D8" s="14" t="s">
        <v>36</v>
      </c>
      <c r="E8" s="14" t="str">
        <f>IF(AND(ISNUMBER(C8),ISNUMBER(D8)), C8-D8, "")</f>
        <v/>
      </c>
      <c r="F8" s="67" t="str">
        <f>IFERROR(E8/D8, "")</f>
        <v/>
      </c>
      <c r="G8" s="72" t="s">
        <v>36</v>
      </c>
      <c r="H8" s="68" t="str">
        <f>IF(AND(ISNUMBER(C8),ISNUMBER(G8)), C8-G8, "")</f>
        <v/>
      </c>
      <c r="I8" s="69" t="str">
        <f>IFERROR(H8/G8,"")</f>
        <v/>
      </c>
      <c r="J8" s="70" t="s">
        <v>44</v>
      </c>
      <c r="K8" s="70"/>
      <c r="L8" s="70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hyperlinks>
    <hyperlink ref="K7" r:id="rId1" display="https://us3.assetplanner.com/service_request?ID=107622" xr:uid="{2104581F-E036-46A2-87FF-69E26BDA7FE8}"/>
    <hyperlink ref="M7" r:id="rId2" display="https://us3.assetplanner.com/service_request?ID=107621" xr:uid="{0CA13FB1-D061-4763-A2A0-2D6A574A07BD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8"/>
  <sheetViews>
    <sheetView workbookViewId="0">
      <pane ySplit="3" topLeftCell="A4" activePane="bottomLeft" state="frozen"/>
      <selection pane="bottomLeft" activeCell="A6" sqref="A6:XFD6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75</v>
      </c>
      <c r="B1" s="37" t="s">
        <v>76</v>
      </c>
    </row>
    <row r="3" spans="1:7" ht="13.15">
      <c r="A3" t="s">
        <v>77</v>
      </c>
      <c r="B3" t="s">
        <v>3</v>
      </c>
      <c r="C3" t="s">
        <v>4</v>
      </c>
      <c r="D3" t="s">
        <v>78</v>
      </c>
      <c r="E3" s="2" t="s">
        <v>79</v>
      </c>
    </row>
    <row r="4" spans="1:7" ht="14.45">
      <c r="A4" s="37" t="s">
        <v>80</v>
      </c>
      <c r="B4" s="37" t="s">
        <v>81</v>
      </c>
      <c r="C4" s="4" t="s">
        <v>82</v>
      </c>
      <c r="E4" t="s">
        <v>83</v>
      </c>
      <c r="G4" s="3"/>
    </row>
    <row r="5" spans="1:7" ht="14.45">
      <c r="A5" s="37" t="s">
        <v>84</v>
      </c>
      <c r="B5" s="37" t="s">
        <v>85</v>
      </c>
      <c r="C5" s="4" t="s">
        <v>82</v>
      </c>
      <c r="E5" t="s">
        <v>83</v>
      </c>
      <c r="G5" s="3"/>
    </row>
    <row r="6" spans="1:7" ht="14.45">
      <c r="A6" s="37" t="s">
        <v>86</v>
      </c>
      <c r="B6" s="37" t="s">
        <v>87</v>
      </c>
      <c r="C6" s="4" t="s">
        <v>82</v>
      </c>
      <c r="E6" t="s">
        <v>83</v>
      </c>
      <c r="G6" s="3"/>
    </row>
    <row r="7" spans="1:7" ht="12.75" customHeight="1">
      <c r="A7" s="4" t="s">
        <v>88</v>
      </c>
      <c r="B7" s="4" t="s">
        <v>89</v>
      </c>
      <c r="C7" s="4" t="s">
        <v>82</v>
      </c>
      <c r="E7" t="s">
        <v>83</v>
      </c>
    </row>
    <row r="8" spans="1:7" ht="12.75" customHeight="1">
      <c r="A8" s="4" t="s">
        <v>90</v>
      </c>
      <c r="B8" s="4" t="s">
        <v>91</v>
      </c>
      <c r="C8" s="4" t="s">
        <v>82</v>
      </c>
      <c r="E8" t="s">
        <v>83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323BAF91-465B-4FA9-92CE-8E0647CC9DD4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2026-01-23T18:06:21Z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ee62069e-2b50-47ef-bc74-ee589e614edf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